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8a6ee1e82349c3/4UM Investimentos/Estudos Econômicos/Análises de Conjuntura/Panorama Macroeconômico Semanal/Panorama Macroeconômico (2022-03-07)/"/>
    </mc:Choice>
  </mc:AlternateContent>
  <xr:revisionPtr revIDLastSave="8842" documentId="8_{64B2EA6A-BE69-4918-B7FB-1CE93BC5FA7D}" xr6:coauthVersionLast="47" xr6:coauthVersionMax="47" xr10:uidLastSave="{F6CC260D-E188-4C24-BC2E-C47C9A19D4C8}"/>
  <bookViews>
    <workbookView xWindow="-120" yWindow="-120" windowWidth="29040" windowHeight="15720" tabRatio="905" firstSheet="7" activeTab="10" xr2:uid="{93CAEA70-C667-4E52-BA0A-78B9D8DA0CFE}"/>
  </bookViews>
  <sheets>
    <sheet name="Variação do IPCA-15" sheetId="115" r:id="rId1"/>
    <sheet name="Subitens do IPCA-15" sheetId="117" state="hidden" r:id="rId2"/>
    <sheet name="Variação Desagregada do IPCA-15" sheetId="118" r:id="rId3"/>
    <sheet name="Investimento em Carteira" sheetId="119" r:id="rId4"/>
    <sheet name="Investimento Direto" sheetId="132" r:id="rId5"/>
    <sheet name="Desempenho Cambial" sheetId="120" r:id="rId6"/>
    <sheet name="Fluxo Global Total" sheetId="121" state="hidden" r:id="rId7"/>
    <sheet name="Fluxo Global de Investimentos" sheetId="122" r:id="rId8"/>
    <sheet name="Desempenho Cambial Global" sheetId="123" r:id="rId9"/>
    <sheet name="Expectativas IPCA - Rascunho" sheetId="124" r:id="rId10"/>
    <sheet name="Expectativas de IPCA" sheetId="125" r:id="rId11"/>
    <sheet name="Crescimento do PIB" sheetId="126" r:id="rId12"/>
    <sheet name="Juros Globais - Avançados" sheetId="127" r:id="rId13"/>
    <sheet name="Juros Globais - Emergentes" sheetId="128" r:id="rId14"/>
    <sheet name="Crescimento do PIB - Demanda" sheetId="129" r:id="rId15"/>
    <sheet name="Planilha14" sheetId="130" state="hidden" r:id="rId16"/>
    <sheet name="Planilha15" sheetId="131" state="hidden" r:id="rId17"/>
  </sheets>
  <definedNames>
    <definedName name="_xlnm._FilterDatabase" localSheetId="6" hidden="1">'Fluxo Global Total'!$A$1:$D$144</definedName>
    <definedName name="_xlnm._FilterDatabase" localSheetId="1" hidden="1">'Subitens do IPCA-15'!$A$1:$F$9176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6" i="123" l="1"/>
  <c r="AA45" i="123"/>
  <c r="AA44" i="123"/>
  <c r="AA43" i="123"/>
  <c r="AA42" i="123"/>
  <c r="AA41" i="123"/>
  <c r="AA40" i="123"/>
  <c r="Z46" i="123"/>
  <c r="Z45" i="123"/>
  <c r="Z44" i="123"/>
  <c r="Z43" i="123"/>
  <c r="Z42" i="123"/>
  <c r="AB46" i="123"/>
  <c r="AB45" i="123"/>
  <c r="AB44" i="123"/>
  <c r="AB43" i="123"/>
  <c r="AB42" i="123"/>
  <c r="AB41" i="123"/>
  <c r="Z41" i="123" s="1"/>
  <c r="AB40" i="123"/>
  <c r="Z40" i="123"/>
  <c r="Y46" i="123"/>
  <c r="Y45" i="123"/>
  <c r="Y44" i="123"/>
  <c r="Y43" i="123"/>
  <c r="Y42" i="123"/>
  <c r="Y41" i="123"/>
  <c r="Y40" i="123"/>
  <c r="X46" i="123"/>
  <c r="X45" i="123"/>
  <c r="X44" i="123"/>
  <c r="X43" i="123"/>
  <c r="X42" i="123"/>
  <c r="X41" i="123"/>
  <c r="X40" i="123"/>
  <c r="W46" i="123"/>
  <c r="W45" i="123"/>
  <c r="W44" i="123"/>
  <c r="W43" i="123"/>
  <c r="W42" i="123"/>
  <c r="W41" i="123"/>
  <c r="W40" i="123"/>
  <c r="U46" i="123"/>
  <c r="U45" i="123"/>
  <c r="U44" i="123"/>
  <c r="U43" i="123"/>
  <c r="U42" i="123"/>
  <c r="U41" i="123"/>
  <c r="U40" i="123"/>
  <c r="T46" i="123"/>
  <c r="T45" i="123"/>
  <c r="T44" i="123"/>
  <c r="T43" i="123"/>
  <c r="T42" i="123"/>
  <c r="T41" i="123"/>
  <c r="T40" i="123"/>
  <c r="S46" i="123"/>
  <c r="S45" i="123"/>
  <c r="S44" i="123"/>
  <c r="S43" i="123"/>
  <c r="S42" i="123"/>
  <c r="S41" i="123"/>
  <c r="S40" i="123"/>
  <c r="R46" i="123"/>
  <c r="R45" i="123"/>
  <c r="R44" i="123"/>
  <c r="R43" i="123"/>
  <c r="R42" i="123"/>
  <c r="R41" i="123"/>
  <c r="R40" i="123"/>
  <c r="Q46" i="123"/>
  <c r="Q45" i="123"/>
  <c r="Q44" i="123"/>
  <c r="Q43" i="123"/>
  <c r="Q42" i="123"/>
  <c r="Q41" i="123"/>
  <c r="Q40" i="123"/>
  <c r="P46" i="123"/>
  <c r="P45" i="123"/>
  <c r="P44" i="123"/>
  <c r="P43" i="123"/>
  <c r="P42" i="123"/>
  <c r="P41" i="123"/>
  <c r="P40" i="123"/>
  <c r="O46" i="123"/>
  <c r="O45" i="123"/>
  <c r="O44" i="123"/>
  <c r="O43" i="123"/>
  <c r="O42" i="123"/>
  <c r="O41" i="123"/>
  <c r="O40" i="123"/>
  <c r="N46" i="123"/>
  <c r="N45" i="123"/>
  <c r="N44" i="123"/>
  <c r="N43" i="123"/>
  <c r="N42" i="123"/>
  <c r="N41" i="123"/>
  <c r="N40" i="123"/>
  <c r="M46" i="123"/>
  <c r="M45" i="123"/>
  <c r="M44" i="123"/>
  <c r="M43" i="123"/>
  <c r="M42" i="123"/>
  <c r="M41" i="123"/>
  <c r="M40" i="123"/>
  <c r="L46" i="123"/>
  <c r="L45" i="123"/>
  <c r="L44" i="123"/>
  <c r="L43" i="123"/>
  <c r="L42" i="123"/>
  <c r="L41" i="123"/>
  <c r="L40" i="123"/>
  <c r="C278" i="125"/>
  <c r="H43" i="124" l="1"/>
  <c r="J53" i="124"/>
  <c r="I53" i="124"/>
  <c r="H53" i="124"/>
  <c r="F53" i="124"/>
  <c r="E53" i="124"/>
  <c r="J52" i="124"/>
  <c r="I52" i="124"/>
  <c r="H52" i="124"/>
  <c r="F52" i="124"/>
  <c r="E52" i="124"/>
  <c r="J51" i="124"/>
  <c r="I51" i="124"/>
  <c r="H51" i="124"/>
  <c r="F51" i="124"/>
  <c r="E51" i="124"/>
  <c r="J50" i="124"/>
  <c r="I50" i="124"/>
  <c r="H50" i="124"/>
  <c r="F50" i="124"/>
  <c r="E50" i="124"/>
  <c r="J49" i="124"/>
  <c r="I49" i="124"/>
  <c r="H49" i="124"/>
  <c r="F49" i="124"/>
  <c r="E49" i="124"/>
  <c r="J48" i="124"/>
  <c r="I48" i="124"/>
  <c r="H48" i="124"/>
  <c r="F48" i="124"/>
  <c r="E48" i="124"/>
  <c r="J47" i="124"/>
  <c r="I47" i="124"/>
  <c r="H47" i="124"/>
  <c r="F47" i="124"/>
  <c r="E47" i="124"/>
  <c r="J46" i="124"/>
  <c r="I46" i="124"/>
  <c r="H46" i="124"/>
  <c r="F46" i="124"/>
  <c r="E46" i="124"/>
  <c r="J45" i="124"/>
  <c r="I45" i="124"/>
  <c r="H45" i="124"/>
  <c r="F45" i="124"/>
  <c r="E45" i="124"/>
  <c r="J44" i="124"/>
  <c r="I44" i="124"/>
  <c r="H44" i="124"/>
  <c r="F44" i="124"/>
  <c r="E44" i="124"/>
  <c r="E43" i="124"/>
  <c r="F43" i="124"/>
  <c r="I43" i="124"/>
  <c r="J43" i="124"/>
  <c r="A42" i="124"/>
  <c r="A53" i="124"/>
  <c r="A52" i="124"/>
  <c r="A51" i="124"/>
  <c r="A50" i="124"/>
  <c r="A49" i="124"/>
  <c r="A48" i="124"/>
  <c r="A47" i="124"/>
  <c r="A46" i="124"/>
  <c r="A45" i="124"/>
  <c r="A44" i="124"/>
  <c r="A43" i="124"/>
  <c r="J40" i="124"/>
  <c r="I40" i="124"/>
  <c r="H40" i="124"/>
  <c r="G40" i="124"/>
  <c r="F40" i="124"/>
  <c r="E40" i="124"/>
  <c r="D40" i="124"/>
  <c r="C40" i="124"/>
  <c r="B40" i="124"/>
  <c r="J39" i="124"/>
  <c r="I39" i="124"/>
  <c r="H39" i="124"/>
  <c r="G39" i="124"/>
  <c r="F39" i="124"/>
  <c r="E39" i="124"/>
  <c r="D39" i="124"/>
  <c r="C39" i="124"/>
  <c r="B39" i="124"/>
  <c r="J38" i="124"/>
  <c r="I38" i="124"/>
  <c r="H38" i="124"/>
  <c r="G38" i="124"/>
  <c r="F38" i="124"/>
  <c r="E38" i="124"/>
  <c r="D38" i="124"/>
  <c r="C38" i="124"/>
  <c r="B38" i="124"/>
  <c r="J37" i="124"/>
  <c r="I37" i="124"/>
  <c r="H37" i="124"/>
  <c r="G37" i="124"/>
  <c r="F37" i="124"/>
  <c r="E37" i="124"/>
  <c r="D37" i="124"/>
  <c r="C37" i="124"/>
  <c r="B37" i="124"/>
  <c r="J36" i="124"/>
  <c r="I36" i="124"/>
  <c r="H36" i="124"/>
  <c r="G36" i="124"/>
  <c r="F36" i="124"/>
  <c r="E36" i="124"/>
  <c r="D36" i="124"/>
  <c r="C36" i="124"/>
  <c r="B36" i="124"/>
  <c r="J35" i="124"/>
  <c r="I35" i="124"/>
  <c r="H35" i="124"/>
  <c r="G35" i="124"/>
  <c r="F35" i="124"/>
  <c r="E35" i="124"/>
  <c r="D35" i="124"/>
  <c r="C35" i="124"/>
  <c r="B35" i="124"/>
  <c r="J34" i="124"/>
  <c r="I34" i="124"/>
  <c r="H34" i="124"/>
  <c r="G34" i="124"/>
  <c r="F34" i="124"/>
  <c r="E34" i="124"/>
  <c r="D34" i="124"/>
  <c r="C34" i="124"/>
  <c r="B34" i="124"/>
  <c r="J33" i="124"/>
  <c r="I33" i="124"/>
  <c r="H33" i="124"/>
  <c r="G33" i="124"/>
  <c r="F33" i="124"/>
  <c r="E33" i="124"/>
  <c r="D33" i="124"/>
  <c r="C33" i="124"/>
  <c r="B33" i="124"/>
  <c r="J32" i="124"/>
  <c r="I32" i="124"/>
  <c r="H32" i="124"/>
  <c r="G32" i="124"/>
  <c r="F32" i="124"/>
  <c r="E32" i="124"/>
  <c r="D32" i="124"/>
  <c r="C32" i="124"/>
  <c r="B32" i="124"/>
  <c r="J31" i="124"/>
  <c r="I31" i="124"/>
  <c r="H31" i="124"/>
  <c r="G31" i="124"/>
  <c r="F31" i="124"/>
  <c r="E31" i="124"/>
  <c r="D31" i="124"/>
  <c r="C31" i="124"/>
  <c r="B31" i="124"/>
  <c r="A33" i="124"/>
  <c r="J17" i="124" a="1"/>
  <c r="J17" i="124" s="1"/>
  <c r="I17" i="124" a="1"/>
  <c r="I17" i="124" s="1"/>
  <c r="H17" i="124" a="1"/>
  <c r="H17" i="124" s="1"/>
  <c r="G17" i="124" a="1"/>
  <c r="G17" i="124" s="1"/>
  <c r="G43" i="124" s="1"/>
  <c r="F17" i="124" a="1"/>
  <c r="F17" i="124" s="1"/>
  <c r="E17" i="124" a="1"/>
  <c r="E17" i="124" s="1"/>
  <c r="D17" i="124" a="1"/>
  <c r="D17" i="124" s="1"/>
  <c r="D43" i="124" s="1"/>
  <c r="C17" i="124" a="1"/>
  <c r="C17" i="124" s="1"/>
  <c r="C43" i="124" s="1"/>
  <c r="B17" i="124" a="1"/>
  <c r="B17" i="124" s="1"/>
  <c r="B43" i="124" s="1"/>
  <c r="A27" i="124"/>
  <c r="A40" i="124" s="1"/>
  <c r="A26" i="124"/>
  <c r="A39" i="124" s="1"/>
  <c r="A25" i="124"/>
  <c r="A38" i="124" s="1"/>
  <c r="A24" i="124"/>
  <c r="A37" i="124" s="1"/>
  <c r="A23" i="124"/>
  <c r="A36" i="124" s="1"/>
  <c r="A22" i="124"/>
  <c r="A35" i="124" s="1"/>
  <c r="A21" i="124"/>
  <c r="A34" i="124" s="1"/>
  <c r="A20" i="124"/>
  <c r="A19" i="124"/>
  <c r="A32" i="124" s="1"/>
  <c r="A18" i="124"/>
  <c r="A31" i="124" s="1"/>
  <c r="A17" i="124"/>
  <c r="A30" i="124" s="1"/>
  <c r="A15" i="124"/>
  <c r="A29" i="124" s="1"/>
  <c r="AA3" i="123"/>
  <c r="AA4" i="123"/>
  <c r="AA5" i="123"/>
  <c r="AA6" i="123"/>
  <c r="AA7" i="123"/>
  <c r="AA8" i="123"/>
  <c r="AA9" i="123"/>
  <c r="AA10" i="123"/>
  <c r="AA11" i="123"/>
  <c r="AA12" i="123"/>
  <c r="AA13" i="123"/>
  <c r="AA14" i="123"/>
  <c r="AA15" i="123"/>
  <c r="AA16" i="123"/>
  <c r="AA17" i="123"/>
  <c r="AA18" i="123"/>
  <c r="AA19" i="123"/>
  <c r="AA20" i="123"/>
  <c r="AA21" i="123"/>
  <c r="AA22" i="123"/>
  <c r="AA23" i="123"/>
  <c r="AA24" i="123"/>
  <c r="AA25" i="123"/>
  <c r="AA26" i="123"/>
  <c r="AA27" i="123"/>
  <c r="AA28" i="123"/>
  <c r="AA29" i="123"/>
  <c r="AA30" i="123"/>
  <c r="AA31" i="123"/>
  <c r="AA32" i="123"/>
  <c r="AA33" i="123"/>
  <c r="AA34" i="123"/>
  <c r="AA35" i="123"/>
  <c r="AA36" i="123"/>
  <c r="AA37" i="123"/>
  <c r="AA38" i="123"/>
  <c r="AA2" i="123"/>
  <c r="Z3" i="123"/>
  <c r="Z4" i="123"/>
  <c r="Z5" i="123"/>
  <c r="Z6" i="123"/>
  <c r="Z7" i="123"/>
  <c r="Z8" i="123"/>
  <c r="Z9" i="123"/>
  <c r="Z10" i="123"/>
  <c r="Z11" i="123"/>
  <c r="Z12" i="123"/>
  <c r="Z13" i="123"/>
  <c r="Z14" i="123"/>
  <c r="Z15" i="123"/>
  <c r="Z16" i="123"/>
  <c r="Z17" i="123"/>
  <c r="Z18" i="123"/>
  <c r="Z19" i="123"/>
  <c r="Z20" i="123"/>
  <c r="Z21" i="123"/>
  <c r="Z22" i="123"/>
  <c r="Z23" i="123"/>
  <c r="Z24" i="123"/>
  <c r="Z25" i="123"/>
  <c r="Z26" i="123"/>
  <c r="Z27" i="123"/>
  <c r="Z28" i="123"/>
  <c r="Z29" i="123"/>
  <c r="Z30" i="123"/>
  <c r="Z31" i="123"/>
  <c r="Z32" i="123"/>
  <c r="Z33" i="123"/>
  <c r="Z34" i="123"/>
  <c r="Z35" i="123"/>
  <c r="Z36" i="123"/>
  <c r="Z37" i="123"/>
  <c r="Z38" i="123"/>
  <c r="Z2" i="123"/>
  <c r="Y3" i="123"/>
  <c r="Y4" i="123"/>
  <c r="Y5" i="123"/>
  <c r="Y6" i="123"/>
  <c r="Y7" i="123"/>
  <c r="Y8" i="123"/>
  <c r="Y9" i="123"/>
  <c r="Y10" i="123"/>
  <c r="Y11" i="123"/>
  <c r="Y12" i="123"/>
  <c r="Y13" i="123"/>
  <c r="Y14" i="123"/>
  <c r="Y15" i="123"/>
  <c r="Y16" i="123"/>
  <c r="Y17" i="123"/>
  <c r="Y18" i="123"/>
  <c r="Y19" i="123"/>
  <c r="Y20" i="123"/>
  <c r="Y21" i="123"/>
  <c r="Y22" i="123"/>
  <c r="Y23" i="123"/>
  <c r="Y24" i="123"/>
  <c r="Y25" i="123"/>
  <c r="Y26" i="123"/>
  <c r="Y27" i="123"/>
  <c r="Y28" i="123"/>
  <c r="Y29" i="123"/>
  <c r="Y30" i="123"/>
  <c r="Y31" i="123"/>
  <c r="Y32" i="123"/>
  <c r="Y33" i="123"/>
  <c r="Y34" i="123"/>
  <c r="Y35" i="123"/>
  <c r="Y36" i="123"/>
  <c r="Y37" i="123"/>
  <c r="Y38" i="123"/>
  <c r="Y2" i="123"/>
  <c r="AB4" i="123"/>
  <c r="AB5" i="123"/>
  <c r="AB6" i="123"/>
  <c r="AB7" i="123"/>
  <c r="AB8" i="123"/>
  <c r="AB9" i="123"/>
  <c r="AB10" i="123"/>
  <c r="AB11" i="123"/>
  <c r="AB12" i="123"/>
  <c r="AB13" i="123"/>
  <c r="AB14" i="123"/>
  <c r="AB15" i="123"/>
  <c r="AB16" i="123"/>
  <c r="AB17" i="123"/>
  <c r="AB18" i="123"/>
  <c r="AB19" i="123"/>
  <c r="AB20" i="123"/>
  <c r="AB21" i="123"/>
  <c r="AB22" i="123"/>
  <c r="AB23" i="123"/>
  <c r="AB24" i="123"/>
  <c r="AB25" i="123"/>
  <c r="AB26" i="123"/>
  <c r="AB27" i="123"/>
  <c r="AB28" i="123"/>
  <c r="AB29" i="123"/>
  <c r="AB30" i="123"/>
  <c r="AB31" i="123"/>
  <c r="AB32" i="123"/>
  <c r="AB33" i="123"/>
  <c r="AB34" i="123"/>
  <c r="AB35" i="123"/>
  <c r="AB36" i="123"/>
  <c r="AB37" i="123"/>
  <c r="AB38" i="123"/>
  <c r="AB3" i="123"/>
  <c r="AB2" i="123"/>
  <c r="X3" i="123"/>
  <c r="X4" i="123"/>
  <c r="X5" i="123"/>
  <c r="X6" i="123"/>
  <c r="X7" i="123"/>
  <c r="X8" i="123"/>
  <c r="X9" i="123"/>
  <c r="X10" i="123"/>
  <c r="X11" i="123"/>
  <c r="X12" i="123"/>
  <c r="X13" i="123"/>
  <c r="X14" i="123"/>
  <c r="X15" i="123"/>
  <c r="X16" i="123"/>
  <c r="X17" i="123"/>
  <c r="X18" i="123"/>
  <c r="X19" i="123"/>
  <c r="X20" i="123"/>
  <c r="X21" i="123"/>
  <c r="X22" i="123"/>
  <c r="X23" i="123"/>
  <c r="X24" i="123"/>
  <c r="X25" i="123"/>
  <c r="X26" i="123"/>
  <c r="X27" i="123"/>
  <c r="X28" i="123"/>
  <c r="X29" i="123"/>
  <c r="X30" i="123"/>
  <c r="X31" i="123"/>
  <c r="X32" i="123"/>
  <c r="X33" i="123"/>
  <c r="X34" i="123"/>
  <c r="X35" i="123"/>
  <c r="X36" i="123"/>
  <c r="X37" i="123"/>
  <c r="X38" i="123"/>
  <c r="X39" i="123"/>
  <c r="X2" i="123"/>
  <c r="W2" i="123"/>
  <c r="W3" i="123"/>
  <c r="W4" i="123"/>
  <c r="W5" i="123"/>
  <c r="W6" i="123"/>
  <c r="W7" i="123"/>
  <c r="W8" i="123"/>
  <c r="W9" i="123"/>
  <c r="W10" i="123"/>
  <c r="W11" i="123"/>
  <c r="W12" i="123"/>
  <c r="W13" i="123"/>
  <c r="W14" i="123"/>
  <c r="W15" i="123"/>
  <c r="W16" i="123"/>
  <c r="W17" i="123"/>
  <c r="W18" i="123"/>
  <c r="W19" i="123"/>
  <c r="W20" i="123"/>
  <c r="W21" i="123"/>
  <c r="W22" i="123"/>
  <c r="W23" i="123"/>
  <c r="W24" i="123"/>
  <c r="W25" i="123"/>
  <c r="W26" i="123"/>
  <c r="W27" i="123"/>
  <c r="W28" i="123"/>
  <c r="W29" i="123"/>
  <c r="W30" i="123"/>
  <c r="W31" i="123"/>
  <c r="W32" i="123"/>
  <c r="W33" i="123"/>
  <c r="W34" i="123"/>
  <c r="W35" i="123"/>
  <c r="W36" i="123"/>
  <c r="W37" i="123"/>
  <c r="W38" i="123"/>
  <c r="W39" i="123"/>
  <c r="W1" i="123"/>
  <c r="L4" i="123"/>
  <c r="L5" i="123"/>
  <c r="L6" i="123"/>
  <c r="L7" i="123"/>
  <c r="L8" i="123"/>
  <c r="L9" i="123"/>
  <c r="L10" i="123"/>
  <c r="L11" i="123"/>
  <c r="L12" i="123"/>
  <c r="L13" i="123"/>
  <c r="L14" i="123"/>
  <c r="L15" i="123"/>
  <c r="L16" i="123"/>
  <c r="L17" i="123"/>
  <c r="L18" i="123"/>
  <c r="L19" i="123"/>
  <c r="L20" i="123"/>
  <c r="L21" i="123"/>
  <c r="L22" i="123"/>
  <c r="L23" i="123"/>
  <c r="L24" i="123"/>
  <c r="L25" i="123"/>
  <c r="L26" i="123"/>
  <c r="L27" i="123"/>
  <c r="L28" i="123"/>
  <c r="L29" i="123"/>
  <c r="L30" i="123"/>
  <c r="L31" i="123"/>
  <c r="L32" i="123"/>
  <c r="L33" i="123"/>
  <c r="L34" i="123"/>
  <c r="L35" i="123"/>
  <c r="L36" i="123"/>
  <c r="L37" i="123"/>
  <c r="L38" i="123"/>
  <c r="L39" i="123"/>
  <c r="L3" i="123"/>
  <c r="L2" i="123"/>
  <c r="L1" i="123"/>
  <c r="U39" i="123"/>
  <c r="T39" i="123"/>
  <c r="S39" i="123"/>
  <c r="R39" i="123"/>
  <c r="Q39" i="123"/>
  <c r="P39" i="123"/>
  <c r="AB39" i="123" s="1"/>
  <c r="O39" i="123"/>
  <c r="N39" i="123"/>
  <c r="M39" i="123"/>
  <c r="U38" i="123"/>
  <c r="T38" i="123"/>
  <c r="S38" i="123"/>
  <c r="R38" i="123"/>
  <c r="Q38" i="123"/>
  <c r="P38" i="123"/>
  <c r="O38" i="123"/>
  <c r="N38" i="123"/>
  <c r="M38" i="123"/>
  <c r="U37" i="123"/>
  <c r="T37" i="123"/>
  <c r="S37" i="123"/>
  <c r="R37" i="123"/>
  <c r="Q37" i="123"/>
  <c r="P37" i="123"/>
  <c r="O37" i="123"/>
  <c r="N37" i="123"/>
  <c r="M37" i="123"/>
  <c r="U36" i="123"/>
  <c r="T36" i="123"/>
  <c r="S36" i="123"/>
  <c r="R36" i="123"/>
  <c r="Q36" i="123"/>
  <c r="P36" i="123"/>
  <c r="O36" i="123"/>
  <c r="N36" i="123"/>
  <c r="M36" i="123"/>
  <c r="U35" i="123"/>
  <c r="T35" i="123"/>
  <c r="S35" i="123"/>
  <c r="R35" i="123"/>
  <c r="Q35" i="123"/>
  <c r="P35" i="123"/>
  <c r="O35" i="123"/>
  <c r="N35" i="123"/>
  <c r="M35" i="123"/>
  <c r="U34" i="123"/>
  <c r="T34" i="123"/>
  <c r="S34" i="123"/>
  <c r="R34" i="123"/>
  <c r="Q34" i="123"/>
  <c r="P34" i="123"/>
  <c r="O34" i="123"/>
  <c r="N34" i="123"/>
  <c r="M34" i="123"/>
  <c r="U33" i="123"/>
  <c r="T33" i="123"/>
  <c r="S33" i="123"/>
  <c r="R33" i="123"/>
  <c r="Q33" i="123"/>
  <c r="P33" i="123"/>
  <c r="O33" i="123"/>
  <c r="N33" i="123"/>
  <c r="M33" i="123"/>
  <c r="U32" i="123"/>
  <c r="T32" i="123"/>
  <c r="S32" i="123"/>
  <c r="R32" i="123"/>
  <c r="Q32" i="123"/>
  <c r="P32" i="123"/>
  <c r="O32" i="123"/>
  <c r="N32" i="123"/>
  <c r="M32" i="123"/>
  <c r="U31" i="123"/>
  <c r="T31" i="123"/>
  <c r="S31" i="123"/>
  <c r="R31" i="123"/>
  <c r="Q31" i="123"/>
  <c r="P31" i="123"/>
  <c r="O31" i="123"/>
  <c r="N31" i="123"/>
  <c r="M31" i="123"/>
  <c r="U30" i="123"/>
  <c r="T30" i="123"/>
  <c r="S30" i="123"/>
  <c r="R30" i="123"/>
  <c r="Q30" i="123"/>
  <c r="P30" i="123"/>
  <c r="O30" i="123"/>
  <c r="N30" i="123"/>
  <c r="M30" i="123"/>
  <c r="U29" i="123"/>
  <c r="T29" i="123"/>
  <c r="S29" i="123"/>
  <c r="R29" i="123"/>
  <c r="Q29" i="123"/>
  <c r="P29" i="123"/>
  <c r="O29" i="123"/>
  <c r="N29" i="123"/>
  <c r="M29" i="123"/>
  <c r="U28" i="123"/>
  <c r="T28" i="123"/>
  <c r="S28" i="123"/>
  <c r="R28" i="123"/>
  <c r="Q28" i="123"/>
  <c r="P28" i="123"/>
  <c r="O28" i="123"/>
  <c r="N28" i="123"/>
  <c r="M28" i="123"/>
  <c r="U27" i="123"/>
  <c r="T27" i="123"/>
  <c r="S27" i="123"/>
  <c r="R27" i="123"/>
  <c r="Q27" i="123"/>
  <c r="P27" i="123"/>
  <c r="O27" i="123"/>
  <c r="N27" i="123"/>
  <c r="M27" i="123"/>
  <c r="U26" i="123"/>
  <c r="T26" i="123"/>
  <c r="S26" i="123"/>
  <c r="R26" i="123"/>
  <c r="Q26" i="123"/>
  <c r="P26" i="123"/>
  <c r="O26" i="123"/>
  <c r="N26" i="123"/>
  <c r="M26" i="123"/>
  <c r="U25" i="123"/>
  <c r="T25" i="123"/>
  <c r="S25" i="123"/>
  <c r="R25" i="123"/>
  <c r="Q25" i="123"/>
  <c r="P25" i="123"/>
  <c r="O25" i="123"/>
  <c r="N25" i="123"/>
  <c r="M25" i="123"/>
  <c r="U24" i="123"/>
  <c r="T24" i="123"/>
  <c r="S24" i="123"/>
  <c r="R24" i="123"/>
  <c r="Q24" i="123"/>
  <c r="P24" i="123"/>
  <c r="O24" i="123"/>
  <c r="N24" i="123"/>
  <c r="M24" i="123"/>
  <c r="U23" i="123"/>
  <c r="T23" i="123"/>
  <c r="S23" i="123"/>
  <c r="R23" i="123"/>
  <c r="Q23" i="123"/>
  <c r="P23" i="123"/>
  <c r="O23" i="123"/>
  <c r="N23" i="123"/>
  <c r="M23" i="123"/>
  <c r="U22" i="123"/>
  <c r="T22" i="123"/>
  <c r="S22" i="123"/>
  <c r="R22" i="123"/>
  <c r="Q22" i="123"/>
  <c r="P22" i="123"/>
  <c r="O22" i="123"/>
  <c r="N22" i="123"/>
  <c r="M22" i="123"/>
  <c r="U21" i="123"/>
  <c r="T21" i="123"/>
  <c r="S21" i="123"/>
  <c r="R21" i="123"/>
  <c r="Q21" i="123"/>
  <c r="P21" i="123"/>
  <c r="O21" i="123"/>
  <c r="N21" i="123"/>
  <c r="M21" i="123"/>
  <c r="U20" i="123"/>
  <c r="T20" i="123"/>
  <c r="S20" i="123"/>
  <c r="R20" i="123"/>
  <c r="Q20" i="123"/>
  <c r="P20" i="123"/>
  <c r="O20" i="123"/>
  <c r="N20" i="123"/>
  <c r="M20" i="123"/>
  <c r="U19" i="123"/>
  <c r="T19" i="123"/>
  <c r="S19" i="123"/>
  <c r="R19" i="123"/>
  <c r="Q19" i="123"/>
  <c r="P19" i="123"/>
  <c r="O19" i="123"/>
  <c r="N19" i="123"/>
  <c r="M19" i="123"/>
  <c r="U18" i="123"/>
  <c r="T18" i="123"/>
  <c r="S18" i="123"/>
  <c r="R18" i="123"/>
  <c r="Q18" i="123"/>
  <c r="P18" i="123"/>
  <c r="O18" i="123"/>
  <c r="N18" i="123"/>
  <c r="M18" i="123"/>
  <c r="U17" i="123"/>
  <c r="T17" i="123"/>
  <c r="S17" i="123"/>
  <c r="R17" i="123"/>
  <c r="Q17" i="123"/>
  <c r="P17" i="123"/>
  <c r="O17" i="123"/>
  <c r="N17" i="123"/>
  <c r="M17" i="123"/>
  <c r="U16" i="123"/>
  <c r="T16" i="123"/>
  <c r="S16" i="123"/>
  <c r="R16" i="123"/>
  <c r="Q16" i="123"/>
  <c r="P16" i="123"/>
  <c r="O16" i="123"/>
  <c r="N16" i="123"/>
  <c r="M16" i="123"/>
  <c r="U15" i="123"/>
  <c r="T15" i="123"/>
  <c r="S15" i="123"/>
  <c r="R15" i="123"/>
  <c r="Q15" i="123"/>
  <c r="P15" i="123"/>
  <c r="O15" i="123"/>
  <c r="N15" i="123"/>
  <c r="M15" i="123"/>
  <c r="U14" i="123"/>
  <c r="T14" i="123"/>
  <c r="S14" i="123"/>
  <c r="R14" i="123"/>
  <c r="Q14" i="123"/>
  <c r="P14" i="123"/>
  <c r="O14" i="123"/>
  <c r="N14" i="123"/>
  <c r="M14" i="123"/>
  <c r="U13" i="123"/>
  <c r="T13" i="123"/>
  <c r="S13" i="123"/>
  <c r="R13" i="123"/>
  <c r="Q13" i="123"/>
  <c r="P13" i="123"/>
  <c r="O13" i="123"/>
  <c r="N13" i="123"/>
  <c r="M13" i="123"/>
  <c r="U12" i="123"/>
  <c r="T12" i="123"/>
  <c r="S12" i="123"/>
  <c r="R12" i="123"/>
  <c r="Q12" i="123"/>
  <c r="P12" i="123"/>
  <c r="O12" i="123"/>
  <c r="N12" i="123"/>
  <c r="M12" i="123"/>
  <c r="U11" i="123"/>
  <c r="T11" i="123"/>
  <c r="S11" i="123"/>
  <c r="R11" i="123"/>
  <c r="Q11" i="123"/>
  <c r="P11" i="123"/>
  <c r="O11" i="123"/>
  <c r="N11" i="123"/>
  <c r="M11" i="123"/>
  <c r="U10" i="123"/>
  <c r="T10" i="123"/>
  <c r="S10" i="123"/>
  <c r="R10" i="123"/>
  <c r="Q10" i="123"/>
  <c r="P10" i="123"/>
  <c r="O10" i="123"/>
  <c r="N10" i="123"/>
  <c r="M10" i="123"/>
  <c r="U9" i="123"/>
  <c r="T9" i="123"/>
  <c r="S9" i="123"/>
  <c r="R9" i="123"/>
  <c r="Q9" i="123"/>
  <c r="P9" i="123"/>
  <c r="O9" i="123"/>
  <c r="N9" i="123"/>
  <c r="M9" i="123"/>
  <c r="U8" i="123"/>
  <c r="T8" i="123"/>
  <c r="S8" i="123"/>
  <c r="R8" i="123"/>
  <c r="Q8" i="123"/>
  <c r="P8" i="123"/>
  <c r="O8" i="123"/>
  <c r="N8" i="123"/>
  <c r="M8" i="123"/>
  <c r="U7" i="123"/>
  <c r="T7" i="123"/>
  <c r="S7" i="123"/>
  <c r="R7" i="123"/>
  <c r="Q7" i="123"/>
  <c r="P7" i="123"/>
  <c r="O7" i="123"/>
  <c r="N7" i="123"/>
  <c r="M7" i="123"/>
  <c r="U6" i="123"/>
  <c r="T6" i="123"/>
  <c r="S6" i="123"/>
  <c r="R6" i="123"/>
  <c r="Q6" i="123"/>
  <c r="P6" i="123"/>
  <c r="O6" i="123"/>
  <c r="N6" i="123"/>
  <c r="M6" i="123"/>
  <c r="U5" i="123"/>
  <c r="T5" i="123"/>
  <c r="S5" i="123"/>
  <c r="R5" i="123"/>
  <c r="Q5" i="123"/>
  <c r="P5" i="123"/>
  <c r="O5" i="123"/>
  <c r="N5" i="123"/>
  <c r="M5" i="123"/>
  <c r="U4" i="123"/>
  <c r="T4" i="123"/>
  <c r="S4" i="123"/>
  <c r="R4" i="123"/>
  <c r="Q4" i="123"/>
  <c r="P4" i="123"/>
  <c r="O4" i="123"/>
  <c r="N4" i="123"/>
  <c r="M4" i="123"/>
  <c r="U3" i="123"/>
  <c r="T3" i="123"/>
  <c r="S3" i="123"/>
  <c r="R3" i="123"/>
  <c r="Q3" i="123"/>
  <c r="P3" i="123"/>
  <c r="O3" i="123"/>
  <c r="N3" i="123"/>
  <c r="M3" i="123"/>
  <c r="F4" i="120"/>
  <c r="F5" i="120"/>
  <c r="F6" i="120"/>
  <c r="F7" i="120"/>
  <c r="F8" i="120"/>
  <c r="F9" i="120"/>
  <c r="F10" i="120"/>
  <c r="F11" i="120"/>
  <c r="D11" i="120" s="1"/>
  <c r="F12" i="120"/>
  <c r="F13" i="120"/>
  <c r="F14" i="120"/>
  <c r="F15" i="120"/>
  <c r="F16" i="120"/>
  <c r="F17" i="120"/>
  <c r="F18" i="120"/>
  <c r="F19" i="120"/>
  <c r="D19" i="120" s="1"/>
  <c r="F20" i="120"/>
  <c r="F21" i="120"/>
  <c r="F22" i="120"/>
  <c r="F23" i="120"/>
  <c r="F24" i="120"/>
  <c r="F25" i="120"/>
  <c r="F26" i="120"/>
  <c r="F27" i="120"/>
  <c r="D27" i="120" s="1"/>
  <c r="F28" i="120"/>
  <c r="F29" i="120"/>
  <c r="F30" i="120"/>
  <c r="F31" i="120"/>
  <c r="F32" i="120"/>
  <c r="F33" i="120"/>
  <c r="F34" i="120"/>
  <c r="F35" i="120"/>
  <c r="D35" i="120" s="1"/>
  <c r="F36" i="120"/>
  <c r="F37" i="120"/>
  <c r="F38" i="120"/>
  <c r="F39" i="120"/>
  <c r="F40" i="120"/>
  <c r="F41" i="120"/>
  <c r="F42" i="120"/>
  <c r="F43" i="120"/>
  <c r="F44" i="120"/>
  <c r="F45" i="120"/>
  <c r="F46" i="120"/>
  <c r="F47" i="120"/>
  <c r="F48" i="120"/>
  <c r="F49" i="120"/>
  <c r="F50" i="120"/>
  <c r="F51" i="120"/>
  <c r="D51" i="120" s="1"/>
  <c r="F52" i="120"/>
  <c r="F53" i="120"/>
  <c r="F54" i="120"/>
  <c r="F55" i="120"/>
  <c r="F56" i="120"/>
  <c r="F57" i="120"/>
  <c r="F58" i="120"/>
  <c r="F59" i="120"/>
  <c r="D59" i="120" s="1"/>
  <c r="F60" i="120"/>
  <c r="F61" i="120"/>
  <c r="F62" i="120"/>
  <c r="F63" i="120"/>
  <c r="F64" i="120"/>
  <c r="F65" i="120"/>
  <c r="F66" i="120"/>
  <c r="F67" i="120"/>
  <c r="D67" i="120" s="1"/>
  <c r="F68" i="120"/>
  <c r="F69" i="120"/>
  <c r="F70" i="120"/>
  <c r="F71" i="120"/>
  <c r="F72" i="120"/>
  <c r="F73" i="120"/>
  <c r="F74" i="120"/>
  <c r="F75" i="120"/>
  <c r="D75" i="120" s="1"/>
  <c r="F76" i="120"/>
  <c r="F77" i="120"/>
  <c r="F78" i="120"/>
  <c r="F79" i="120"/>
  <c r="F80" i="120"/>
  <c r="F81" i="120"/>
  <c r="F82" i="120"/>
  <c r="F83" i="120"/>
  <c r="D83" i="120" s="1"/>
  <c r="F84" i="120"/>
  <c r="F85" i="120"/>
  <c r="F86" i="120"/>
  <c r="F87" i="120"/>
  <c r="F88" i="120"/>
  <c r="F89" i="120"/>
  <c r="F90" i="120"/>
  <c r="F91" i="120"/>
  <c r="D91" i="120" s="1"/>
  <c r="F92" i="120"/>
  <c r="F93" i="120"/>
  <c r="F94" i="120"/>
  <c r="F95" i="120"/>
  <c r="F96" i="120"/>
  <c r="F97" i="120"/>
  <c r="F98" i="120"/>
  <c r="F99" i="120"/>
  <c r="D99" i="120" s="1"/>
  <c r="F100" i="120"/>
  <c r="F101" i="120"/>
  <c r="F102" i="120"/>
  <c r="F103" i="120"/>
  <c r="F104" i="120"/>
  <c r="F105" i="120"/>
  <c r="F106" i="120"/>
  <c r="F107" i="120"/>
  <c r="E107" i="120" s="1"/>
  <c r="F108" i="120"/>
  <c r="F109" i="120"/>
  <c r="F110" i="120"/>
  <c r="F111" i="120"/>
  <c r="F112" i="120"/>
  <c r="F113" i="120"/>
  <c r="F114" i="120"/>
  <c r="F115" i="120"/>
  <c r="D115" i="120" s="1"/>
  <c r="F116" i="120"/>
  <c r="F117" i="120"/>
  <c r="F118" i="120"/>
  <c r="F119" i="120"/>
  <c r="F120" i="120"/>
  <c r="F121" i="120"/>
  <c r="F122" i="120"/>
  <c r="F123" i="120"/>
  <c r="F124" i="120"/>
  <c r="F125" i="120"/>
  <c r="F126" i="120"/>
  <c r="F127" i="120"/>
  <c r="F128" i="120"/>
  <c r="F129" i="120"/>
  <c r="F130" i="120"/>
  <c r="F131" i="120"/>
  <c r="D131" i="120" s="1"/>
  <c r="F132" i="120"/>
  <c r="F133" i="120"/>
  <c r="F134" i="120"/>
  <c r="F135" i="120"/>
  <c r="F136" i="120"/>
  <c r="F137" i="120"/>
  <c r="F138" i="120"/>
  <c r="F139" i="120"/>
  <c r="D139" i="120" s="1"/>
  <c r="F140" i="120"/>
  <c r="F141" i="120"/>
  <c r="F142" i="120"/>
  <c r="F143" i="120"/>
  <c r="F144" i="120"/>
  <c r="F145" i="120"/>
  <c r="F146" i="120"/>
  <c r="F147" i="120"/>
  <c r="D147" i="120" s="1"/>
  <c r="F148" i="120"/>
  <c r="F149" i="120"/>
  <c r="F150" i="120"/>
  <c r="F151" i="120"/>
  <c r="F152" i="120"/>
  <c r="F153" i="120"/>
  <c r="F154" i="120"/>
  <c r="F155" i="120"/>
  <c r="D155" i="120" s="1"/>
  <c r="F156" i="120"/>
  <c r="F157" i="120"/>
  <c r="F158" i="120"/>
  <c r="F159" i="120"/>
  <c r="F160" i="120"/>
  <c r="F161" i="120"/>
  <c r="F162" i="120"/>
  <c r="F163" i="120"/>
  <c r="D163" i="120" s="1"/>
  <c r="F164" i="120"/>
  <c r="F165" i="120"/>
  <c r="F166" i="120"/>
  <c r="F167" i="120"/>
  <c r="F168" i="120"/>
  <c r="F169" i="120"/>
  <c r="F170" i="120"/>
  <c r="F171" i="120"/>
  <c r="D171" i="120" s="1"/>
  <c r="F172" i="120"/>
  <c r="F173" i="120"/>
  <c r="F174" i="120"/>
  <c r="F175" i="120"/>
  <c r="F176" i="120"/>
  <c r="F177" i="120"/>
  <c r="F178" i="120"/>
  <c r="F179" i="120"/>
  <c r="D179" i="120" s="1"/>
  <c r="F180" i="120"/>
  <c r="F181" i="120"/>
  <c r="F182" i="120"/>
  <c r="F183" i="120"/>
  <c r="F184" i="120"/>
  <c r="F185" i="120"/>
  <c r="F186" i="120"/>
  <c r="F187" i="120"/>
  <c r="E187" i="120" s="1"/>
  <c r="F188" i="120"/>
  <c r="F189" i="120"/>
  <c r="F190" i="120"/>
  <c r="F191" i="120"/>
  <c r="F192" i="120"/>
  <c r="F193" i="120"/>
  <c r="F194" i="120"/>
  <c r="F195" i="120"/>
  <c r="F196" i="120"/>
  <c r="F197" i="120"/>
  <c r="F198" i="120"/>
  <c r="F199" i="120"/>
  <c r="F200" i="120"/>
  <c r="F201" i="120"/>
  <c r="F202" i="120"/>
  <c r="F203" i="120"/>
  <c r="D203" i="120" s="1"/>
  <c r="F204" i="120"/>
  <c r="F205" i="120"/>
  <c r="F206" i="120"/>
  <c r="F207" i="120"/>
  <c r="F208" i="120"/>
  <c r="F209" i="120"/>
  <c r="F210" i="120"/>
  <c r="F211" i="120"/>
  <c r="D211" i="120" s="1"/>
  <c r="F212" i="120"/>
  <c r="F213" i="120"/>
  <c r="F214" i="120"/>
  <c r="F215" i="120"/>
  <c r="F216" i="120"/>
  <c r="F217" i="120"/>
  <c r="F218" i="120"/>
  <c r="F219" i="120"/>
  <c r="E219" i="120" s="1"/>
  <c r="F220" i="120"/>
  <c r="F221" i="120"/>
  <c r="F222" i="120"/>
  <c r="F223" i="120"/>
  <c r="F224" i="120"/>
  <c r="F225" i="120"/>
  <c r="F226" i="120"/>
  <c r="F227" i="120"/>
  <c r="D227" i="120" s="1"/>
  <c r="F228" i="120"/>
  <c r="F229" i="120"/>
  <c r="F230" i="120"/>
  <c r="F231" i="120"/>
  <c r="F232" i="120"/>
  <c r="F233" i="120"/>
  <c r="F234" i="120"/>
  <c r="F235" i="120"/>
  <c r="E235" i="120" s="1"/>
  <c r="F236" i="120"/>
  <c r="F237" i="120"/>
  <c r="F238" i="120"/>
  <c r="F239" i="120"/>
  <c r="F240" i="120"/>
  <c r="F241" i="120"/>
  <c r="F242" i="120"/>
  <c r="F243" i="120"/>
  <c r="D243" i="120" s="1"/>
  <c r="F244" i="120"/>
  <c r="F245" i="120"/>
  <c r="F246" i="120"/>
  <c r="F247" i="120"/>
  <c r="F248" i="120"/>
  <c r="F249" i="120"/>
  <c r="F250" i="120"/>
  <c r="F251" i="120"/>
  <c r="E251" i="120" s="1"/>
  <c r="F252" i="120"/>
  <c r="F253" i="120"/>
  <c r="F254" i="120"/>
  <c r="F255" i="120"/>
  <c r="F256" i="120"/>
  <c r="F257" i="120"/>
  <c r="F258" i="120"/>
  <c r="F259" i="120"/>
  <c r="D259" i="120" s="1"/>
  <c r="F260" i="120"/>
  <c r="F261" i="120"/>
  <c r="F262" i="120"/>
  <c r="F263" i="120"/>
  <c r="F264" i="120"/>
  <c r="F265" i="120"/>
  <c r="F266" i="120"/>
  <c r="F267" i="120"/>
  <c r="E267" i="120" s="1"/>
  <c r="F268" i="120"/>
  <c r="F269" i="120"/>
  <c r="F270" i="120"/>
  <c r="F271" i="120"/>
  <c r="F272" i="120"/>
  <c r="F273" i="120"/>
  <c r="F274" i="120"/>
  <c r="F275" i="120"/>
  <c r="F276" i="120"/>
  <c r="F277" i="120"/>
  <c r="F278" i="120"/>
  <c r="F279" i="120"/>
  <c r="F280" i="120"/>
  <c r="F281" i="120"/>
  <c r="F282" i="120"/>
  <c r="F283" i="120"/>
  <c r="E283" i="120" s="1"/>
  <c r="F284" i="120"/>
  <c r="F285" i="120"/>
  <c r="F286" i="120"/>
  <c r="F287" i="120"/>
  <c r="F288" i="120"/>
  <c r="F289" i="120"/>
  <c r="F290" i="120"/>
  <c r="F291" i="120"/>
  <c r="D291" i="120" s="1"/>
  <c r="F292" i="120"/>
  <c r="F293" i="120"/>
  <c r="F294" i="120"/>
  <c r="F295" i="120"/>
  <c r="F296" i="120"/>
  <c r="F297" i="120"/>
  <c r="F298" i="120"/>
  <c r="F299" i="120"/>
  <c r="E299" i="120" s="1"/>
  <c r="F300" i="120"/>
  <c r="F301" i="120"/>
  <c r="F302" i="120"/>
  <c r="F303" i="120"/>
  <c r="F304" i="120"/>
  <c r="F305" i="120"/>
  <c r="F306" i="120"/>
  <c r="F307" i="120"/>
  <c r="D307" i="120" s="1"/>
  <c r="F308" i="120"/>
  <c r="F309" i="120"/>
  <c r="F310" i="120"/>
  <c r="F311" i="120"/>
  <c r="F312" i="120"/>
  <c r="F313" i="120"/>
  <c r="F314" i="120"/>
  <c r="F315" i="120"/>
  <c r="E315" i="120" s="1"/>
  <c r="F316" i="120"/>
  <c r="F317" i="120"/>
  <c r="F318" i="120"/>
  <c r="F319" i="120"/>
  <c r="F320" i="120"/>
  <c r="F321" i="120"/>
  <c r="F322" i="120"/>
  <c r="F323" i="120"/>
  <c r="D323" i="120" s="1"/>
  <c r="F324" i="120"/>
  <c r="F325" i="120"/>
  <c r="F326" i="120"/>
  <c r="F327" i="120"/>
  <c r="F328" i="120"/>
  <c r="F329" i="120"/>
  <c r="F330" i="120"/>
  <c r="F331" i="120"/>
  <c r="E331" i="120" s="1"/>
  <c r="F332" i="120"/>
  <c r="F333" i="120"/>
  <c r="D333" i="120" s="1"/>
  <c r="F334" i="120"/>
  <c r="F3" i="120"/>
  <c r="E3" i="120" s="1"/>
  <c r="D43" i="120"/>
  <c r="D123" i="120"/>
  <c r="D195" i="120"/>
  <c r="D275" i="120"/>
  <c r="D330" i="120"/>
  <c r="E334" i="120"/>
  <c r="D21" i="120"/>
  <c r="D29" i="120"/>
  <c r="D37" i="120"/>
  <c r="D45" i="120"/>
  <c r="D53" i="120"/>
  <c r="D61" i="120"/>
  <c r="D69" i="120"/>
  <c r="D77" i="120"/>
  <c r="D85" i="120"/>
  <c r="D93" i="120"/>
  <c r="D101" i="120"/>
  <c r="D109" i="120"/>
  <c r="D117" i="120"/>
  <c r="D125" i="120"/>
  <c r="D133" i="120"/>
  <c r="D141" i="120"/>
  <c r="D149" i="120"/>
  <c r="D157" i="120"/>
  <c r="D165" i="120"/>
  <c r="D173" i="120"/>
  <c r="D181" i="120"/>
  <c r="D189" i="120"/>
  <c r="D197" i="120"/>
  <c r="D205" i="120"/>
  <c r="D213" i="120"/>
  <c r="D221" i="120"/>
  <c r="D237" i="120"/>
  <c r="D253" i="120"/>
  <c r="D261" i="120"/>
  <c r="D269" i="120"/>
  <c r="D277" i="120"/>
  <c r="D293" i="120"/>
  <c r="D301" i="120"/>
  <c r="D309" i="120"/>
  <c r="D317" i="120"/>
  <c r="E322" i="120"/>
  <c r="D325" i="120"/>
  <c r="D314" i="120"/>
  <c r="E328" i="120"/>
  <c r="D229" i="120"/>
  <c r="D304" i="120"/>
  <c r="E306" i="120"/>
  <c r="E312" i="120"/>
  <c r="D320" i="120"/>
  <c r="D326" i="120"/>
  <c r="D20" i="120"/>
  <c r="D28" i="120"/>
  <c r="D36" i="120"/>
  <c r="D44" i="120"/>
  <c r="D52" i="120"/>
  <c r="D60" i="120"/>
  <c r="D68" i="120"/>
  <c r="D76" i="120"/>
  <c r="D84" i="120"/>
  <c r="D92" i="120"/>
  <c r="D100" i="120"/>
  <c r="D108" i="120"/>
  <c r="D116" i="120"/>
  <c r="D124" i="120"/>
  <c r="D132" i="120"/>
  <c r="D140" i="120"/>
  <c r="D148" i="120"/>
  <c r="D156" i="120"/>
  <c r="D164" i="120"/>
  <c r="D172" i="120"/>
  <c r="D180" i="120"/>
  <c r="D188" i="120"/>
  <c r="D196" i="120"/>
  <c r="D204" i="120"/>
  <c r="D212" i="120"/>
  <c r="D220" i="120"/>
  <c r="D228" i="120"/>
  <c r="D236" i="120"/>
  <c r="D244" i="120"/>
  <c r="D245" i="120"/>
  <c r="D252" i="120"/>
  <c r="D260" i="120"/>
  <c r="D268" i="120"/>
  <c r="D276" i="120"/>
  <c r="D284" i="120"/>
  <c r="D285" i="120"/>
  <c r="D292" i="120"/>
  <c r="D300" i="120"/>
  <c r="D308" i="120"/>
  <c r="D316" i="120"/>
  <c r="D324" i="120"/>
  <c r="D332" i="120"/>
  <c r="E13" i="120"/>
  <c r="D4" i="120"/>
  <c r="E4" i="120"/>
  <c r="D5" i="120"/>
  <c r="E5" i="120"/>
  <c r="D6" i="120"/>
  <c r="E6" i="120"/>
  <c r="D7" i="120"/>
  <c r="E7" i="120"/>
  <c r="D8" i="120"/>
  <c r="E8" i="120"/>
  <c r="D9" i="120"/>
  <c r="E9" i="120"/>
  <c r="D10" i="120"/>
  <c r="E10" i="120"/>
  <c r="D12" i="120"/>
  <c r="E12" i="120"/>
  <c r="D13" i="120"/>
  <c r="D14" i="120"/>
  <c r="E14" i="120"/>
  <c r="D15" i="120"/>
  <c r="E15" i="120"/>
  <c r="D16" i="120"/>
  <c r="E16" i="120"/>
  <c r="D17" i="120"/>
  <c r="E17" i="120"/>
  <c r="D18" i="120"/>
  <c r="E18" i="120"/>
  <c r="D22" i="120"/>
  <c r="E22" i="120"/>
  <c r="D23" i="120"/>
  <c r="E23" i="120"/>
  <c r="D24" i="120"/>
  <c r="E24" i="120"/>
  <c r="D25" i="120"/>
  <c r="E25" i="120"/>
  <c r="D26" i="120"/>
  <c r="E26" i="120"/>
  <c r="D30" i="120"/>
  <c r="E30" i="120"/>
  <c r="D31" i="120"/>
  <c r="E31" i="120"/>
  <c r="D32" i="120"/>
  <c r="E32" i="120"/>
  <c r="D33" i="120"/>
  <c r="E33" i="120"/>
  <c r="D34" i="120"/>
  <c r="E34" i="120"/>
  <c r="D38" i="120"/>
  <c r="E38" i="120"/>
  <c r="D39" i="120"/>
  <c r="E39" i="120"/>
  <c r="D40" i="120"/>
  <c r="E40" i="120"/>
  <c r="D41" i="120"/>
  <c r="E41" i="120"/>
  <c r="D42" i="120"/>
  <c r="E42" i="120"/>
  <c r="D46" i="120"/>
  <c r="E46" i="120"/>
  <c r="D47" i="120"/>
  <c r="E47" i="120"/>
  <c r="D48" i="120"/>
  <c r="E48" i="120"/>
  <c r="D49" i="120"/>
  <c r="E49" i="120"/>
  <c r="D50" i="120"/>
  <c r="E50" i="120"/>
  <c r="D54" i="120"/>
  <c r="E54" i="120"/>
  <c r="D55" i="120"/>
  <c r="E55" i="120"/>
  <c r="D56" i="120"/>
  <c r="E56" i="120"/>
  <c r="D57" i="120"/>
  <c r="E57" i="120"/>
  <c r="D58" i="120"/>
  <c r="E58" i="120"/>
  <c r="D62" i="120"/>
  <c r="E62" i="120"/>
  <c r="D63" i="120"/>
  <c r="E63" i="120"/>
  <c r="D64" i="120"/>
  <c r="E64" i="120"/>
  <c r="D65" i="120"/>
  <c r="E65" i="120"/>
  <c r="D66" i="120"/>
  <c r="E66" i="120"/>
  <c r="D70" i="120"/>
  <c r="E70" i="120"/>
  <c r="D71" i="120"/>
  <c r="E71" i="120"/>
  <c r="D72" i="120"/>
  <c r="E72" i="120"/>
  <c r="D73" i="120"/>
  <c r="E73" i="120"/>
  <c r="D74" i="120"/>
  <c r="E74" i="120"/>
  <c r="D78" i="120"/>
  <c r="E78" i="120"/>
  <c r="D79" i="120"/>
  <c r="E79" i="120"/>
  <c r="D80" i="120"/>
  <c r="E80" i="120"/>
  <c r="D81" i="120"/>
  <c r="E81" i="120"/>
  <c r="D82" i="120"/>
  <c r="E82" i="120"/>
  <c r="D86" i="120"/>
  <c r="E86" i="120"/>
  <c r="D87" i="120"/>
  <c r="E87" i="120"/>
  <c r="D88" i="120"/>
  <c r="E88" i="120"/>
  <c r="D89" i="120"/>
  <c r="E89" i="120"/>
  <c r="D90" i="120"/>
  <c r="E90" i="120"/>
  <c r="D94" i="120"/>
  <c r="E94" i="120"/>
  <c r="D95" i="120"/>
  <c r="E95" i="120"/>
  <c r="D96" i="120"/>
  <c r="E96" i="120"/>
  <c r="D97" i="120"/>
  <c r="E97" i="120"/>
  <c r="D98" i="120"/>
  <c r="E98" i="120"/>
  <c r="D102" i="120"/>
  <c r="E102" i="120"/>
  <c r="D103" i="120"/>
  <c r="E103" i="120"/>
  <c r="D104" i="120"/>
  <c r="E104" i="120"/>
  <c r="D105" i="120"/>
  <c r="E105" i="120"/>
  <c r="D106" i="120"/>
  <c r="E106" i="120"/>
  <c r="D110" i="120"/>
  <c r="E110" i="120"/>
  <c r="D111" i="120"/>
  <c r="E111" i="120"/>
  <c r="D112" i="120"/>
  <c r="E112" i="120"/>
  <c r="D113" i="120"/>
  <c r="E113" i="120"/>
  <c r="D114" i="120"/>
  <c r="E114" i="120"/>
  <c r="D118" i="120"/>
  <c r="E118" i="120"/>
  <c r="D119" i="120"/>
  <c r="E119" i="120"/>
  <c r="D120" i="120"/>
  <c r="E120" i="120"/>
  <c r="D121" i="120"/>
  <c r="E121" i="120"/>
  <c r="D122" i="120"/>
  <c r="E122" i="120"/>
  <c r="D126" i="120"/>
  <c r="E126" i="120"/>
  <c r="D127" i="120"/>
  <c r="E127" i="120"/>
  <c r="D128" i="120"/>
  <c r="E128" i="120"/>
  <c r="D129" i="120"/>
  <c r="E129" i="120"/>
  <c r="D130" i="120"/>
  <c r="E130" i="120"/>
  <c r="D134" i="120"/>
  <c r="E134" i="120"/>
  <c r="D135" i="120"/>
  <c r="E135" i="120"/>
  <c r="D136" i="120"/>
  <c r="E136" i="120"/>
  <c r="D137" i="120"/>
  <c r="E137" i="120"/>
  <c r="D138" i="120"/>
  <c r="E138" i="120"/>
  <c r="D142" i="120"/>
  <c r="E142" i="120"/>
  <c r="D143" i="120"/>
  <c r="E143" i="120"/>
  <c r="D144" i="120"/>
  <c r="E144" i="120"/>
  <c r="D145" i="120"/>
  <c r="E145" i="120"/>
  <c r="D146" i="120"/>
  <c r="E146" i="120"/>
  <c r="D150" i="120"/>
  <c r="E150" i="120"/>
  <c r="D151" i="120"/>
  <c r="E151" i="120"/>
  <c r="D152" i="120"/>
  <c r="E152" i="120"/>
  <c r="D153" i="120"/>
  <c r="E153" i="120"/>
  <c r="D154" i="120"/>
  <c r="E154" i="120"/>
  <c r="D158" i="120"/>
  <c r="E158" i="120"/>
  <c r="D159" i="120"/>
  <c r="E159" i="120"/>
  <c r="D160" i="120"/>
  <c r="E160" i="120"/>
  <c r="D161" i="120"/>
  <c r="E161" i="120"/>
  <c r="D162" i="120"/>
  <c r="E162" i="120"/>
  <c r="D166" i="120"/>
  <c r="E166" i="120"/>
  <c r="D167" i="120"/>
  <c r="E167" i="120"/>
  <c r="D168" i="120"/>
  <c r="E168" i="120"/>
  <c r="D169" i="120"/>
  <c r="E169" i="120"/>
  <c r="D170" i="120"/>
  <c r="E170" i="120"/>
  <c r="D174" i="120"/>
  <c r="E174" i="120"/>
  <c r="D175" i="120"/>
  <c r="E175" i="120"/>
  <c r="D176" i="120"/>
  <c r="E176" i="120"/>
  <c r="D177" i="120"/>
  <c r="E177" i="120"/>
  <c r="D178" i="120"/>
  <c r="E178" i="120"/>
  <c r="D182" i="120"/>
  <c r="E182" i="120"/>
  <c r="D183" i="120"/>
  <c r="E183" i="120"/>
  <c r="D184" i="120"/>
  <c r="E184" i="120"/>
  <c r="D185" i="120"/>
  <c r="E185" i="120"/>
  <c r="D186" i="120"/>
  <c r="E186" i="120"/>
  <c r="D190" i="120"/>
  <c r="E190" i="120"/>
  <c r="D191" i="120"/>
  <c r="E191" i="120"/>
  <c r="D192" i="120"/>
  <c r="E192" i="120"/>
  <c r="D193" i="120"/>
  <c r="E193" i="120"/>
  <c r="D194" i="120"/>
  <c r="E194" i="120"/>
  <c r="D198" i="120"/>
  <c r="E198" i="120"/>
  <c r="D199" i="120"/>
  <c r="E199" i="120"/>
  <c r="D200" i="120"/>
  <c r="E200" i="120"/>
  <c r="D201" i="120"/>
  <c r="E201" i="120"/>
  <c r="D202" i="120"/>
  <c r="E202" i="120"/>
  <c r="D206" i="120"/>
  <c r="E206" i="120"/>
  <c r="D207" i="120"/>
  <c r="E207" i="120"/>
  <c r="D208" i="120"/>
  <c r="E208" i="120"/>
  <c r="D209" i="120"/>
  <c r="E209" i="120"/>
  <c r="D210" i="120"/>
  <c r="E210" i="120"/>
  <c r="D214" i="120"/>
  <c r="E214" i="120"/>
  <c r="D215" i="120"/>
  <c r="E215" i="120"/>
  <c r="D216" i="120"/>
  <c r="E216" i="120"/>
  <c r="D217" i="120"/>
  <c r="E217" i="120"/>
  <c r="D218" i="120"/>
  <c r="E218" i="120"/>
  <c r="D222" i="120"/>
  <c r="E222" i="120"/>
  <c r="D223" i="120"/>
  <c r="E223" i="120"/>
  <c r="D224" i="120"/>
  <c r="E224" i="120"/>
  <c r="D225" i="120"/>
  <c r="E225" i="120"/>
  <c r="D226" i="120"/>
  <c r="E226" i="120"/>
  <c r="D230" i="120"/>
  <c r="E230" i="120"/>
  <c r="D231" i="120"/>
  <c r="E231" i="120"/>
  <c r="D232" i="120"/>
  <c r="E232" i="120"/>
  <c r="D233" i="120"/>
  <c r="E233" i="120"/>
  <c r="D234" i="120"/>
  <c r="E234" i="120"/>
  <c r="D238" i="120"/>
  <c r="E238" i="120"/>
  <c r="D239" i="120"/>
  <c r="E239" i="120"/>
  <c r="D240" i="120"/>
  <c r="E240" i="120"/>
  <c r="D241" i="120"/>
  <c r="E241" i="120"/>
  <c r="D242" i="120"/>
  <c r="E242" i="120"/>
  <c r="D246" i="120"/>
  <c r="E246" i="120"/>
  <c r="D247" i="120"/>
  <c r="E247" i="120"/>
  <c r="D248" i="120"/>
  <c r="E248" i="120"/>
  <c r="D249" i="120"/>
  <c r="E249" i="120"/>
  <c r="D250" i="120"/>
  <c r="E250" i="120"/>
  <c r="D254" i="120"/>
  <c r="E254" i="120"/>
  <c r="D255" i="120"/>
  <c r="E255" i="120"/>
  <c r="D256" i="120"/>
  <c r="E256" i="120"/>
  <c r="D257" i="120"/>
  <c r="E257" i="120"/>
  <c r="D258" i="120"/>
  <c r="E258" i="120"/>
  <c r="D262" i="120"/>
  <c r="E262" i="120"/>
  <c r="D263" i="120"/>
  <c r="E263" i="120"/>
  <c r="D264" i="120"/>
  <c r="E264" i="120"/>
  <c r="D265" i="120"/>
  <c r="E265" i="120"/>
  <c r="D266" i="120"/>
  <c r="E266" i="120"/>
  <c r="D270" i="120"/>
  <c r="E270" i="120"/>
  <c r="D271" i="120"/>
  <c r="E271" i="120"/>
  <c r="D272" i="120"/>
  <c r="E272" i="120"/>
  <c r="D273" i="120"/>
  <c r="E273" i="120"/>
  <c r="D274" i="120"/>
  <c r="E274" i="120"/>
  <c r="D278" i="120"/>
  <c r="E278" i="120"/>
  <c r="D279" i="120"/>
  <c r="E279" i="120"/>
  <c r="D280" i="120"/>
  <c r="E280" i="120"/>
  <c r="D281" i="120"/>
  <c r="E281" i="120"/>
  <c r="D282" i="120"/>
  <c r="E282" i="120"/>
  <c r="D286" i="120"/>
  <c r="E286" i="120"/>
  <c r="D287" i="120"/>
  <c r="E287" i="120"/>
  <c r="D288" i="120"/>
  <c r="E288" i="120"/>
  <c r="D289" i="120"/>
  <c r="E289" i="120"/>
  <c r="D290" i="120"/>
  <c r="E290" i="120"/>
  <c r="D294" i="120"/>
  <c r="E294" i="120"/>
  <c r="D295" i="120"/>
  <c r="E295" i="120"/>
  <c r="D296" i="120"/>
  <c r="E296" i="120"/>
  <c r="D297" i="120"/>
  <c r="E297" i="120"/>
  <c r="D298" i="120"/>
  <c r="E298" i="120"/>
  <c r="D302" i="120"/>
  <c r="E302" i="120"/>
  <c r="D303" i="120"/>
  <c r="E303" i="120"/>
  <c r="D305" i="120"/>
  <c r="E305" i="120"/>
  <c r="D310" i="120"/>
  <c r="E310" i="120"/>
  <c r="D311" i="120"/>
  <c r="E311" i="120"/>
  <c r="D312" i="120"/>
  <c r="D313" i="120"/>
  <c r="E313" i="120"/>
  <c r="E314" i="120"/>
  <c r="D318" i="120"/>
  <c r="E318" i="120"/>
  <c r="D319" i="120"/>
  <c r="E319" i="120"/>
  <c r="E320" i="120"/>
  <c r="D321" i="120"/>
  <c r="E321" i="120"/>
  <c r="D322" i="120"/>
  <c r="E326" i="120"/>
  <c r="D327" i="120"/>
  <c r="E327" i="120"/>
  <c r="D328" i="120"/>
  <c r="D329" i="120"/>
  <c r="E329" i="120"/>
  <c r="D334" i="120"/>
  <c r="E2" i="120"/>
  <c r="D2" i="120"/>
  <c r="F2" i="120"/>
  <c r="C23" i="120"/>
  <c r="C31" i="120"/>
  <c r="C39" i="120"/>
  <c r="C47" i="120"/>
  <c r="C55" i="120"/>
  <c r="C63" i="120"/>
  <c r="C71" i="120"/>
  <c r="C79" i="120"/>
  <c r="C87" i="120"/>
  <c r="C95" i="120"/>
  <c r="C103" i="120"/>
  <c r="C111" i="120"/>
  <c r="C119" i="120"/>
  <c r="C127" i="120"/>
  <c r="C135" i="120"/>
  <c r="C143" i="120"/>
  <c r="C151" i="120"/>
  <c r="C159" i="120"/>
  <c r="C167" i="120"/>
  <c r="C175" i="120"/>
  <c r="C183" i="120"/>
  <c r="C191" i="120"/>
  <c r="C199" i="120"/>
  <c r="C207" i="120"/>
  <c r="C215" i="120"/>
  <c r="C223" i="120"/>
  <c r="C231" i="120"/>
  <c r="C239" i="120"/>
  <c r="C247" i="120"/>
  <c r="C255" i="120"/>
  <c r="C263" i="120"/>
  <c r="C271" i="120"/>
  <c r="C279" i="120"/>
  <c r="C287" i="120"/>
  <c r="C295" i="120"/>
  <c r="C303" i="120"/>
  <c r="C311" i="120"/>
  <c r="C319" i="120"/>
  <c r="C327" i="120"/>
  <c r="C3" i="120"/>
  <c r="C11" i="120"/>
  <c r="I3" i="120"/>
  <c r="I4" i="120"/>
  <c r="C4" i="120" s="1"/>
  <c r="I5" i="120"/>
  <c r="C5" i="120" s="1"/>
  <c r="I6" i="120"/>
  <c r="C6" i="120" s="1"/>
  <c r="I7" i="120"/>
  <c r="C7" i="120" s="1"/>
  <c r="I8" i="120"/>
  <c r="C8" i="120" s="1"/>
  <c r="I9" i="120"/>
  <c r="C9" i="120" s="1"/>
  <c r="I10" i="120"/>
  <c r="C10" i="120" s="1"/>
  <c r="I11" i="120"/>
  <c r="I12" i="120"/>
  <c r="C12" i="120" s="1"/>
  <c r="I13" i="120"/>
  <c r="C13" i="120" s="1"/>
  <c r="I14" i="120"/>
  <c r="C14" i="120" s="1"/>
  <c r="I15" i="120"/>
  <c r="C15" i="120" s="1"/>
  <c r="I16" i="120"/>
  <c r="C16" i="120" s="1"/>
  <c r="I17" i="120"/>
  <c r="C17" i="120" s="1"/>
  <c r="I18" i="120"/>
  <c r="C18" i="120" s="1"/>
  <c r="I19" i="120"/>
  <c r="C19" i="120" s="1"/>
  <c r="I20" i="120"/>
  <c r="C20" i="120" s="1"/>
  <c r="I21" i="120"/>
  <c r="C21" i="120" s="1"/>
  <c r="I22" i="120"/>
  <c r="C22" i="120" s="1"/>
  <c r="I23" i="120"/>
  <c r="I24" i="120"/>
  <c r="C24" i="120" s="1"/>
  <c r="I25" i="120"/>
  <c r="C25" i="120" s="1"/>
  <c r="I26" i="120"/>
  <c r="C26" i="120" s="1"/>
  <c r="I27" i="120"/>
  <c r="C27" i="120" s="1"/>
  <c r="I28" i="120"/>
  <c r="C28" i="120" s="1"/>
  <c r="I29" i="120"/>
  <c r="C29" i="120" s="1"/>
  <c r="I30" i="120"/>
  <c r="C30" i="120" s="1"/>
  <c r="I31" i="120"/>
  <c r="I32" i="120"/>
  <c r="C32" i="120" s="1"/>
  <c r="I33" i="120"/>
  <c r="C33" i="120" s="1"/>
  <c r="I34" i="120"/>
  <c r="C34" i="120" s="1"/>
  <c r="I35" i="120"/>
  <c r="C35" i="120" s="1"/>
  <c r="I36" i="120"/>
  <c r="C36" i="120" s="1"/>
  <c r="I37" i="120"/>
  <c r="C37" i="120" s="1"/>
  <c r="I38" i="120"/>
  <c r="C38" i="120" s="1"/>
  <c r="I39" i="120"/>
  <c r="I40" i="120"/>
  <c r="C40" i="120" s="1"/>
  <c r="I41" i="120"/>
  <c r="C41" i="120" s="1"/>
  <c r="I42" i="120"/>
  <c r="C42" i="120" s="1"/>
  <c r="I43" i="120"/>
  <c r="C43" i="120" s="1"/>
  <c r="I44" i="120"/>
  <c r="C44" i="120" s="1"/>
  <c r="I45" i="120"/>
  <c r="C45" i="120" s="1"/>
  <c r="I46" i="120"/>
  <c r="C46" i="120" s="1"/>
  <c r="I47" i="120"/>
  <c r="I48" i="120"/>
  <c r="C48" i="120" s="1"/>
  <c r="I49" i="120"/>
  <c r="C49" i="120" s="1"/>
  <c r="I50" i="120"/>
  <c r="C50" i="120" s="1"/>
  <c r="I51" i="120"/>
  <c r="C51" i="120" s="1"/>
  <c r="I52" i="120"/>
  <c r="C52" i="120" s="1"/>
  <c r="I53" i="120"/>
  <c r="C53" i="120" s="1"/>
  <c r="I54" i="120"/>
  <c r="C54" i="120" s="1"/>
  <c r="I55" i="120"/>
  <c r="I56" i="120"/>
  <c r="C56" i="120" s="1"/>
  <c r="I57" i="120"/>
  <c r="C57" i="120" s="1"/>
  <c r="I58" i="120"/>
  <c r="C58" i="120" s="1"/>
  <c r="I59" i="120"/>
  <c r="C59" i="120" s="1"/>
  <c r="I60" i="120"/>
  <c r="C60" i="120" s="1"/>
  <c r="I61" i="120"/>
  <c r="C61" i="120" s="1"/>
  <c r="I62" i="120"/>
  <c r="C62" i="120" s="1"/>
  <c r="I63" i="120"/>
  <c r="I64" i="120"/>
  <c r="C64" i="120" s="1"/>
  <c r="I65" i="120"/>
  <c r="C65" i="120" s="1"/>
  <c r="I66" i="120"/>
  <c r="C66" i="120" s="1"/>
  <c r="I67" i="120"/>
  <c r="C67" i="120" s="1"/>
  <c r="I68" i="120"/>
  <c r="C68" i="120" s="1"/>
  <c r="I69" i="120"/>
  <c r="C69" i="120" s="1"/>
  <c r="I70" i="120"/>
  <c r="C70" i="120" s="1"/>
  <c r="I71" i="120"/>
  <c r="I72" i="120"/>
  <c r="C72" i="120" s="1"/>
  <c r="I73" i="120"/>
  <c r="C73" i="120" s="1"/>
  <c r="I74" i="120"/>
  <c r="C74" i="120" s="1"/>
  <c r="I75" i="120"/>
  <c r="C75" i="120" s="1"/>
  <c r="I76" i="120"/>
  <c r="C76" i="120" s="1"/>
  <c r="I77" i="120"/>
  <c r="C77" i="120" s="1"/>
  <c r="I78" i="120"/>
  <c r="C78" i="120" s="1"/>
  <c r="I79" i="120"/>
  <c r="I80" i="120"/>
  <c r="C80" i="120" s="1"/>
  <c r="I81" i="120"/>
  <c r="C81" i="120" s="1"/>
  <c r="I82" i="120"/>
  <c r="C82" i="120" s="1"/>
  <c r="I83" i="120"/>
  <c r="C83" i="120" s="1"/>
  <c r="I84" i="120"/>
  <c r="C84" i="120" s="1"/>
  <c r="I85" i="120"/>
  <c r="C85" i="120" s="1"/>
  <c r="I86" i="120"/>
  <c r="C86" i="120" s="1"/>
  <c r="I87" i="120"/>
  <c r="I88" i="120"/>
  <c r="C88" i="120" s="1"/>
  <c r="I89" i="120"/>
  <c r="C89" i="120" s="1"/>
  <c r="I90" i="120"/>
  <c r="C90" i="120" s="1"/>
  <c r="I91" i="120"/>
  <c r="C91" i="120" s="1"/>
  <c r="I92" i="120"/>
  <c r="C92" i="120" s="1"/>
  <c r="I93" i="120"/>
  <c r="C93" i="120" s="1"/>
  <c r="I94" i="120"/>
  <c r="C94" i="120" s="1"/>
  <c r="I95" i="120"/>
  <c r="I96" i="120"/>
  <c r="C96" i="120" s="1"/>
  <c r="I97" i="120"/>
  <c r="C97" i="120" s="1"/>
  <c r="I98" i="120"/>
  <c r="C98" i="120" s="1"/>
  <c r="I99" i="120"/>
  <c r="C99" i="120" s="1"/>
  <c r="I100" i="120"/>
  <c r="C100" i="120" s="1"/>
  <c r="I101" i="120"/>
  <c r="C101" i="120" s="1"/>
  <c r="I102" i="120"/>
  <c r="C102" i="120" s="1"/>
  <c r="I103" i="120"/>
  <c r="I104" i="120"/>
  <c r="C104" i="120" s="1"/>
  <c r="I105" i="120"/>
  <c r="C105" i="120" s="1"/>
  <c r="I106" i="120"/>
  <c r="C106" i="120" s="1"/>
  <c r="I107" i="120"/>
  <c r="C107" i="120" s="1"/>
  <c r="I108" i="120"/>
  <c r="C108" i="120" s="1"/>
  <c r="I109" i="120"/>
  <c r="C109" i="120" s="1"/>
  <c r="I110" i="120"/>
  <c r="C110" i="120" s="1"/>
  <c r="I111" i="120"/>
  <c r="I112" i="120"/>
  <c r="C112" i="120" s="1"/>
  <c r="I113" i="120"/>
  <c r="C113" i="120" s="1"/>
  <c r="I114" i="120"/>
  <c r="C114" i="120" s="1"/>
  <c r="I115" i="120"/>
  <c r="C115" i="120" s="1"/>
  <c r="I116" i="120"/>
  <c r="C116" i="120" s="1"/>
  <c r="I117" i="120"/>
  <c r="C117" i="120" s="1"/>
  <c r="I118" i="120"/>
  <c r="C118" i="120" s="1"/>
  <c r="I119" i="120"/>
  <c r="I120" i="120"/>
  <c r="C120" i="120" s="1"/>
  <c r="I121" i="120"/>
  <c r="C121" i="120" s="1"/>
  <c r="I122" i="120"/>
  <c r="C122" i="120" s="1"/>
  <c r="I123" i="120"/>
  <c r="C123" i="120" s="1"/>
  <c r="I124" i="120"/>
  <c r="C124" i="120" s="1"/>
  <c r="I125" i="120"/>
  <c r="C125" i="120" s="1"/>
  <c r="I126" i="120"/>
  <c r="C126" i="120" s="1"/>
  <c r="I127" i="120"/>
  <c r="I128" i="120"/>
  <c r="C128" i="120" s="1"/>
  <c r="I129" i="120"/>
  <c r="C129" i="120" s="1"/>
  <c r="I130" i="120"/>
  <c r="C130" i="120" s="1"/>
  <c r="I131" i="120"/>
  <c r="C131" i="120" s="1"/>
  <c r="I132" i="120"/>
  <c r="C132" i="120" s="1"/>
  <c r="I133" i="120"/>
  <c r="C133" i="120" s="1"/>
  <c r="I134" i="120"/>
  <c r="C134" i="120" s="1"/>
  <c r="I135" i="120"/>
  <c r="I136" i="120"/>
  <c r="C136" i="120" s="1"/>
  <c r="I137" i="120"/>
  <c r="C137" i="120" s="1"/>
  <c r="I138" i="120"/>
  <c r="C138" i="120" s="1"/>
  <c r="I139" i="120"/>
  <c r="C139" i="120" s="1"/>
  <c r="I140" i="120"/>
  <c r="C140" i="120" s="1"/>
  <c r="I141" i="120"/>
  <c r="C141" i="120" s="1"/>
  <c r="I142" i="120"/>
  <c r="C142" i="120" s="1"/>
  <c r="I143" i="120"/>
  <c r="I144" i="120"/>
  <c r="C144" i="120" s="1"/>
  <c r="I145" i="120"/>
  <c r="C145" i="120" s="1"/>
  <c r="I146" i="120"/>
  <c r="C146" i="120" s="1"/>
  <c r="I147" i="120"/>
  <c r="C147" i="120" s="1"/>
  <c r="I148" i="120"/>
  <c r="C148" i="120" s="1"/>
  <c r="I149" i="120"/>
  <c r="C149" i="120" s="1"/>
  <c r="I150" i="120"/>
  <c r="C150" i="120" s="1"/>
  <c r="I151" i="120"/>
  <c r="I152" i="120"/>
  <c r="C152" i="120" s="1"/>
  <c r="I153" i="120"/>
  <c r="C153" i="120" s="1"/>
  <c r="I154" i="120"/>
  <c r="C154" i="120" s="1"/>
  <c r="I155" i="120"/>
  <c r="C155" i="120" s="1"/>
  <c r="I156" i="120"/>
  <c r="C156" i="120" s="1"/>
  <c r="I157" i="120"/>
  <c r="C157" i="120" s="1"/>
  <c r="I158" i="120"/>
  <c r="C158" i="120" s="1"/>
  <c r="I159" i="120"/>
  <c r="I160" i="120"/>
  <c r="C160" i="120" s="1"/>
  <c r="I161" i="120"/>
  <c r="C161" i="120" s="1"/>
  <c r="I162" i="120"/>
  <c r="C162" i="120" s="1"/>
  <c r="I163" i="120"/>
  <c r="C163" i="120" s="1"/>
  <c r="I164" i="120"/>
  <c r="C164" i="120" s="1"/>
  <c r="I165" i="120"/>
  <c r="C165" i="120" s="1"/>
  <c r="I166" i="120"/>
  <c r="C166" i="120" s="1"/>
  <c r="I167" i="120"/>
  <c r="I168" i="120"/>
  <c r="C168" i="120" s="1"/>
  <c r="I169" i="120"/>
  <c r="C169" i="120" s="1"/>
  <c r="I170" i="120"/>
  <c r="C170" i="120" s="1"/>
  <c r="I171" i="120"/>
  <c r="C171" i="120" s="1"/>
  <c r="I172" i="120"/>
  <c r="C172" i="120" s="1"/>
  <c r="I173" i="120"/>
  <c r="C173" i="120" s="1"/>
  <c r="I174" i="120"/>
  <c r="C174" i="120" s="1"/>
  <c r="I175" i="120"/>
  <c r="I176" i="120"/>
  <c r="C176" i="120" s="1"/>
  <c r="I177" i="120"/>
  <c r="C177" i="120" s="1"/>
  <c r="I178" i="120"/>
  <c r="C178" i="120" s="1"/>
  <c r="I179" i="120"/>
  <c r="C179" i="120" s="1"/>
  <c r="I180" i="120"/>
  <c r="C180" i="120" s="1"/>
  <c r="I181" i="120"/>
  <c r="C181" i="120" s="1"/>
  <c r="I182" i="120"/>
  <c r="C182" i="120" s="1"/>
  <c r="I183" i="120"/>
  <c r="I184" i="120"/>
  <c r="C184" i="120" s="1"/>
  <c r="I185" i="120"/>
  <c r="C185" i="120" s="1"/>
  <c r="I186" i="120"/>
  <c r="C186" i="120" s="1"/>
  <c r="I187" i="120"/>
  <c r="C187" i="120" s="1"/>
  <c r="I188" i="120"/>
  <c r="C188" i="120" s="1"/>
  <c r="I189" i="120"/>
  <c r="C189" i="120" s="1"/>
  <c r="I190" i="120"/>
  <c r="C190" i="120" s="1"/>
  <c r="I191" i="120"/>
  <c r="I192" i="120"/>
  <c r="C192" i="120" s="1"/>
  <c r="I193" i="120"/>
  <c r="C193" i="120" s="1"/>
  <c r="I194" i="120"/>
  <c r="C194" i="120" s="1"/>
  <c r="I195" i="120"/>
  <c r="C195" i="120" s="1"/>
  <c r="I196" i="120"/>
  <c r="C196" i="120" s="1"/>
  <c r="I197" i="120"/>
  <c r="C197" i="120" s="1"/>
  <c r="I198" i="120"/>
  <c r="C198" i="120" s="1"/>
  <c r="I199" i="120"/>
  <c r="I200" i="120"/>
  <c r="C200" i="120" s="1"/>
  <c r="I201" i="120"/>
  <c r="C201" i="120" s="1"/>
  <c r="I202" i="120"/>
  <c r="C202" i="120" s="1"/>
  <c r="I203" i="120"/>
  <c r="C203" i="120" s="1"/>
  <c r="I204" i="120"/>
  <c r="C204" i="120" s="1"/>
  <c r="I205" i="120"/>
  <c r="C205" i="120" s="1"/>
  <c r="I206" i="120"/>
  <c r="C206" i="120" s="1"/>
  <c r="I207" i="120"/>
  <c r="I208" i="120"/>
  <c r="C208" i="120" s="1"/>
  <c r="I209" i="120"/>
  <c r="C209" i="120" s="1"/>
  <c r="I210" i="120"/>
  <c r="C210" i="120" s="1"/>
  <c r="I211" i="120"/>
  <c r="C211" i="120" s="1"/>
  <c r="I212" i="120"/>
  <c r="C212" i="120" s="1"/>
  <c r="I213" i="120"/>
  <c r="C213" i="120" s="1"/>
  <c r="I214" i="120"/>
  <c r="C214" i="120" s="1"/>
  <c r="I215" i="120"/>
  <c r="I216" i="120"/>
  <c r="C216" i="120" s="1"/>
  <c r="I217" i="120"/>
  <c r="C217" i="120" s="1"/>
  <c r="I218" i="120"/>
  <c r="C218" i="120" s="1"/>
  <c r="I219" i="120"/>
  <c r="C219" i="120" s="1"/>
  <c r="I220" i="120"/>
  <c r="C220" i="120" s="1"/>
  <c r="I221" i="120"/>
  <c r="C221" i="120" s="1"/>
  <c r="I222" i="120"/>
  <c r="C222" i="120" s="1"/>
  <c r="I223" i="120"/>
  <c r="I224" i="120"/>
  <c r="C224" i="120" s="1"/>
  <c r="I225" i="120"/>
  <c r="C225" i="120" s="1"/>
  <c r="I226" i="120"/>
  <c r="C226" i="120" s="1"/>
  <c r="I227" i="120"/>
  <c r="C227" i="120" s="1"/>
  <c r="I228" i="120"/>
  <c r="C228" i="120" s="1"/>
  <c r="I229" i="120"/>
  <c r="C229" i="120" s="1"/>
  <c r="I230" i="120"/>
  <c r="C230" i="120" s="1"/>
  <c r="I231" i="120"/>
  <c r="I232" i="120"/>
  <c r="C232" i="120" s="1"/>
  <c r="I233" i="120"/>
  <c r="C233" i="120" s="1"/>
  <c r="I234" i="120"/>
  <c r="C234" i="120" s="1"/>
  <c r="I235" i="120"/>
  <c r="C235" i="120" s="1"/>
  <c r="I236" i="120"/>
  <c r="C236" i="120" s="1"/>
  <c r="I237" i="120"/>
  <c r="C237" i="120" s="1"/>
  <c r="I238" i="120"/>
  <c r="C238" i="120" s="1"/>
  <c r="I239" i="120"/>
  <c r="I240" i="120"/>
  <c r="C240" i="120" s="1"/>
  <c r="I241" i="120"/>
  <c r="C241" i="120" s="1"/>
  <c r="I242" i="120"/>
  <c r="C242" i="120" s="1"/>
  <c r="I243" i="120"/>
  <c r="C243" i="120" s="1"/>
  <c r="I244" i="120"/>
  <c r="C244" i="120" s="1"/>
  <c r="I245" i="120"/>
  <c r="C245" i="120" s="1"/>
  <c r="I246" i="120"/>
  <c r="C246" i="120" s="1"/>
  <c r="I247" i="120"/>
  <c r="I248" i="120"/>
  <c r="C248" i="120" s="1"/>
  <c r="I249" i="120"/>
  <c r="C249" i="120" s="1"/>
  <c r="I250" i="120"/>
  <c r="C250" i="120" s="1"/>
  <c r="I251" i="120"/>
  <c r="C251" i="120" s="1"/>
  <c r="I252" i="120"/>
  <c r="C252" i="120" s="1"/>
  <c r="I253" i="120"/>
  <c r="C253" i="120" s="1"/>
  <c r="I254" i="120"/>
  <c r="C254" i="120" s="1"/>
  <c r="I255" i="120"/>
  <c r="I256" i="120"/>
  <c r="C256" i="120" s="1"/>
  <c r="I257" i="120"/>
  <c r="C257" i="120" s="1"/>
  <c r="I258" i="120"/>
  <c r="C258" i="120" s="1"/>
  <c r="I259" i="120"/>
  <c r="C259" i="120" s="1"/>
  <c r="I260" i="120"/>
  <c r="C260" i="120" s="1"/>
  <c r="I261" i="120"/>
  <c r="C261" i="120" s="1"/>
  <c r="I262" i="120"/>
  <c r="C262" i="120" s="1"/>
  <c r="I263" i="120"/>
  <c r="I264" i="120"/>
  <c r="C264" i="120" s="1"/>
  <c r="I265" i="120"/>
  <c r="C265" i="120" s="1"/>
  <c r="I266" i="120"/>
  <c r="C266" i="120" s="1"/>
  <c r="I267" i="120"/>
  <c r="C267" i="120" s="1"/>
  <c r="I268" i="120"/>
  <c r="C268" i="120" s="1"/>
  <c r="I269" i="120"/>
  <c r="C269" i="120" s="1"/>
  <c r="I270" i="120"/>
  <c r="C270" i="120" s="1"/>
  <c r="I271" i="120"/>
  <c r="I272" i="120"/>
  <c r="C272" i="120" s="1"/>
  <c r="I273" i="120"/>
  <c r="C273" i="120" s="1"/>
  <c r="I274" i="120"/>
  <c r="C274" i="120" s="1"/>
  <c r="I275" i="120"/>
  <c r="C275" i="120" s="1"/>
  <c r="I276" i="120"/>
  <c r="C276" i="120" s="1"/>
  <c r="I277" i="120"/>
  <c r="C277" i="120" s="1"/>
  <c r="I278" i="120"/>
  <c r="C278" i="120" s="1"/>
  <c r="I279" i="120"/>
  <c r="I280" i="120"/>
  <c r="C280" i="120" s="1"/>
  <c r="I281" i="120"/>
  <c r="C281" i="120" s="1"/>
  <c r="I282" i="120"/>
  <c r="C282" i="120" s="1"/>
  <c r="I283" i="120"/>
  <c r="C283" i="120" s="1"/>
  <c r="I284" i="120"/>
  <c r="C284" i="120" s="1"/>
  <c r="I285" i="120"/>
  <c r="C285" i="120" s="1"/>
  <c r="I286" i="120"/>
  <c r="C286" i="120" s="1"/>
  <c r="I287" i="120"/>
  <c r="I288" i="120"/>
  <c r="C288" i="120" s="1"/>
  <c r="I289" i="120"/>
  <c r="C289" i="120" s="1"/>
  <c r="I290" i="120"/>
  <c r="C290" i="120" s="1"/>
  <c r="I291" i="120"/>
  <c r="C291" i="120" s="1"/>
  <c r="I292" i="120"/>
  <c r="C292" i="120" s="1"/>
  <c r="I293" i="120"/>
  <c r="C293" i="120" s="1"/>
  <c r="I294" i="120"/>
  <c r="C294" i="120" s="1"/>
  <c r="I295" i="120"/>
  <c r="I296" i="120"/>
  <c r="C296" i="120" s="1"/>
  <c r="I297" i="120"/>
  <c r="C297" i="120" s="1"/>
  <c r="I298" i="120"/>
  <c r="C298" i="120" s="1"/>
  <c r="I299" i="120"/>
  <c r="C299" i="120" s="1"/>
  <c r="I300" i="120"/>
  <c r="C300" i="120" s="1"/>
  <c r="I301" i="120"/>
  <c r="C301" i="120" s="1"/>
  <c r="I302" i="120"/>
  <c r="C302" i="120" s="1"/>
  <c r="I303" i="120"/>
  <c r="I304" i="120"/>
  <c r="C304" i="120" s="1"/>
  <c r="I305" i="120"/>
  <c r="C305" i="120" s="1"/>
  <c r="I306" i="120"/>
  <c r="C306" i="120" s="1"/>
  <c r="I307" i="120"/>
  <c r="C307" i="120" s="1"/>
  <c r="I308" i="120"/>
  <c r="C308" i="120" s="1"/>
  <c r="I309" i="120"/>
  <c r="C309" i="120" s="1"/>
  <c r="I310" i="120"/>
  <c r="C310" i="120" s="1"/>
  <c r="I311" i="120"/>
  <c r="I312" i="120"/>
  <c r="C312" i="120" s="1"/>
  <c r="I313" i="120"/>
  <c r="C313" i="120" s="1"/>
  <c r="I314" i="120"/>
  <c r="C314" i="120" s="1"/>
  <c r="I315" i="120"/>
  <c r="C315" i="120" s="1"/>
  <c r="I316" i="120"/>
  <c r="C316" i="120" s="1"/>
  <c r="I317" i="120"/>
  <c r="C317" i="120" s="1"/>
  <c r="I318" i="120"/>
  <c r="C318" i="120" s="1"/>
  <c r="I319" i="120"/>
  <c r="I320" i="120"/>
  <c r="C320" i="120" s="1"/>
  <c r="I321" i="120"/>
  <c r="C321" i="120" s="1"/>
  <c r="I322" i="120"/>
  <c r="C322" i="120" s="1"/>
  <c r="I323" i="120"/>
  <c r="C323" i="120" s="1"/>
  <c r="I324" i="120"/>
  <c r="C324" i="120" s="1"/>
  <c r="I325" i="120"/>
  <c r="C325" i="120" s="1"/>
  <c r="I326" i="120"/>
  <c r="C326" i="120" s="1"/>
  <c r="I327" i="120"/>
  <c r="I328" i="120"/>
  <c r="C328" i="120" s="1"/>
  <c r="I329" i="120"/>
  <c r="C329" i="120" s="1"/>
  <c r="I330" i="120"/>
  <c r="C330" i="120" s="1"/>
  <c r="I331" i="120"/>
  <c r="C331" i="120" s="1"/>
  <c r="I332" i="120"/>
  <c r="C332" i="120" s="1"/>
  <c r="I333" i="120"/>
  <c r="C333" i="120" s="1"/>
  <c r="I334" i="120"/>
  <c r="C334" i="120" s="1"/>
  <c r="I2" i="120"/>
  <c r="C2" i="120" s="1"/>
  <c r="B31" i="118"/>
  <c r="B25" i="118"/>
  <c r="B19" i="118"/>
  <c r="B13" i="118"/>
  <c r="B7" i="118"/>
  <c r="H31" i="118"/>
  <c r="H30" i="118"/>
  <c r="E30" i="118"/>
  <c r="H29" i="118"/>
  <c r="E29" i="118"/>
  <c r="H28" i="118"/>
  <c r="E28" i="118"/>
  <c r="H27" i="118"/>
  <c r="E27" i="118"/>
  <c r="H26" i="118"/>
  <c r="E26" i="118"/>
  <c r="H25" i="118"/>
  <c r="H24" i="118"/>
  <c r="E24" i="118"/>
  <c r="H23" i="118"/>
  <c r="E23" i="118"/>
  <c r="H22" i="118"/>
  <c r="E22" i="118"/>
  <c r="H21" i="118"/>
  <c r="E21" i="118"/>
  <c r="H20" i="118"/>
  <c r="E20" i="118"/>
  <c r="H19" i="118"/>
  <c r="H18" i="118"/>
  <c r="E18" i="118"/>
  <c r="H17" i="118"/>
  <c r="E17" i="118"/>
  <c r="H16" i="118"/>
  <c r="E16" i="118"/>
  <c r="H15" i="118"/>
  <c r="E15" i="118"/>
  <c r="H14" i="118"/>
  <c r="E14" i="118"/>
  <c r="H13" i="118"/>
  <c r="H12" i="118"/>
  <c r="E12" i="118"/>
  <c r="H11" i="118"/>
  <c r="E11" i="118"/>
  <c r="H10" i="118"/>
  <c r="E10" i="118"/>
  <c r="H9" i="118"/>
  <c r="E9" i="118"/>
  <c r="H8" i="118"/>
  <c r="E8" i="118"/>
  <c r="H7" i="118"/>
  <c r="H6" i="118"/>
  <c r="E6" i="118"/>
  <c r="H5" i="118"/>
  <c r="E5" i="118"/>
  <c r="H4" i="118"/>
  <c r="E4" i="118"/>
  <c r="H3" i="118"/>
  <c r="E3" i="118"/>
  <c r="H2" i="118"/>
  <c r="G2" i="118"/>
  <c r="F3" i="118" s="1"/>
  <c r="G3" i="118" s="1"/>
  <c r="F4" i="118" s="1"/>
  <c r="G4" i="118" s="1"/>
  <c r="F5" i="118" s="1"/>
  <c r="G5" i="118" s="1"/>
  <c r="F6" i="118" s="1"/>
  <c r="G6" i="118" s="1"/>
  <c r="F7" i="118" s="1"/>
  <c r="E2" i="118"/>
  <c r="Y39" i="123" l="1"/>
  <c r="B50" i="124"/>
  <c r="B46" i="124"/>
  <c r="B45" i="124"/>
  <c r="B49" i="124"/>
  <c r="B53" i="124"/>
  <c r="B44" i="124"/>
  <c r="B48" i="124"/>
  <c r="B52" i="124"/>
  <c r="B47" i="124"/>
  <c r="B51" i="124"/>
  <c r="G49" i="124"/>
  <c r="G48" i="124"/>
  <c r="G47" i="124"/>
  <c r="G46" i="124"/>
  <c r="G45" i="124"/>
  <c r="G53" i="124"/>
  <c r="G44" i="124"/>
  <c r="G52" i="124"/>
  <c r="G51" i="124"/>
  <c r="G50" i="124"/>
  <c r="K43" i="124"/>
  <c r="D44" i="124"/>
  <c r="D45" i="124"/>
  <c r="D46" i="124"/>
  <c r="D47" i="124"/>
  <c r="D48" i="124"/>
  <c r="D49" i="124"/>
  <c r="D50" i="124"/>
  <c r="D51" i="124"/>
  <c r="D52" i="124"/>
  <c r="D53" i="124"/>
  <c r="C50" i="124"/>
  <c r="C51" i="124"/>
  <c r="C44" i="124"/>
  <c r="C52" i="124"/>
  <c r="C45" i="124"/>
  <c r="C53" i="124"/>
  <c r="C46" i="124"/>
  <c r="C47" i="124"/>
  <c r="C48" i="124"/>
  <c r="C49" i="124"/>
  <c r="E330" i="120"/>
  <c r="D3" i="120"/>
  <c r="D306" i="120"/>
  <c r="E203" i="120"/>
  <c r="E171" i="120"/>
  <c r="E155" i="120"/>
  <c r="E139" i="120"/>
  <c r="E123" i="120"/>
  <c r="E91" i="120"/>
  <c r="E75" i="120"/>
  <c r="E59" i="120"/>
  <c r="E43" i="120"/>
  <c r="E27" i="120"/>
  <c r="D331" i="120"/>
  <c r="D315" i="120"/>
  <c r="D299" i="120"/>
  <c r="D283" i="120"/>
  <c r="D267" i="120"/>
  <c r="D251" i="120"/>
  <c r="D235" i="120"/>
  <c r="D219" i="120"/>
  <c r="D187" i="120"/>
  <c r="D107" i="120"/>
  <c r="E304" i="120"/>
  <c r="E11" i="120"/>
  <c r="E323" i="120"/>
  <c r="E307" i="120"/>
  <c r="E291" i="120"/>
  <c r="E275" i="120"/>
  <c r="E259" i="120"/>
  <c r="E243" i="120"/>
  <c r="E227" i="120"/>
  <c r="E211" i="120"/>
  <c r="E195" i="120"/>
  <c r="E179" i="120"/>
  <c r="E163" i="120"/>
  <c r="E147" i="120"/>
  <c r="E131" i="120"/>
  <c r="E115" i="120"/>
  <c r="E99" i="120"/>
  <c r="E83" i="120"/>
  <c r="E67" i="120"/>
  <c r="E51" i="120"/>
  <c r="E35" i="120"/>
  <c r="E19" i="120"/>
  <c r="E333" i="120"/>
  <c r="E325" i="120"/>
  <c r="E317" i="120"/>
  <c r="E309" i="120"/>
  <c r="E301" i="120"/>
  <c r="E293" i="120"/>
  <c r="E285" i="120"/>
  <c r="E277" i="120"/>
  <c r="E269" i="120"/>
  <c r="E261" i="120"/>
  <c r="E253" i="120"/>
  <c r="E245" i="120"/>
  <c r="E237" i="120"/>
  <c r="E229" i="120"/>
  <c r="E221" i="120"/>
  <c r="E213" i="120"/>
  <c r="E205" i="120"/>
  <c r="E197" i="120"/>
  <c r="E189" i="120"/>
  <c r="E181" i="120"/>
  <c r="E173" i="120"/>
  <c r="E165" i="120"/>
  <c r="E157" i="120"/>
  <c r="E149" i="120"/>
  <c r="E141" i="120"/>
  <c r="E133" i="120"/>
  <c r="E125" i="120"/>
  <c r="E117" i="120"/>
  <c r="E109" i="120"/>
  <c r="E101" i="120"/>
  <c r="E93" i="120"/>
  <c r="E85" i="120"/>
  <c r="E77" i="120"/>
  <c r="E69" i="120"/>
  <c r="E61" i="120"/>
  <c r="E53" i="120"/>
  <c r="E45" i="120"/>
  <c r="E37" i="120"/>
  <c r="E29" i="120"/>
  <c r="E21" i="120"/>
  <c r="E332" i="120"/>
  <c r="E324" i="120"/>
  <c r="E316" i="120"/>
  <c r="E308" i="120"/>
  <c r="E300" i="120"/>
  <c r="E292" i="120"/>
  <c r="E284" i="120"/>
  <c r="E276" i="120"/>
  <c r="E268" i="120"/>
  <c r="E260" i="120"/>
  <c r="E252" i="120"/>
  <c r="E244" i="120"/>
  <c r="E236" i="120"/>
  <c r="E228" i="120"/>
  <c r="E220" i="120"/>
  <c r="E212" i="120"/>
  <c r="E204" i="120"/>
  <c r="E196" i="120"/>
  <c r="E188" i="120"/>
  <c r="E180" i="120"/>
  <c r="E172" i="120"/>
  <c r="E164" i="120"/>
  <c r="E156" i="120"/>
  <c r="E148" i="120"/>
  <c r="E140" i="120"/>
  <c r="E132" i="120"/>
  <c r="E124" i="120"/>
  <c r="E116" i="120"/>
  <c r="E108" i="120"/>
  <c r="E100" i="120"/>
  <c r="E92" i="120"/>
  <c r="E84" i="120"/>
  <c r="E76" i="120"/>
  <c r="E68" i="120"/>
  <c r="E60" i="120"/>
  <c r="E52" i="120"/>
  <c r="E44" i="120"/>
  <c r="E36" i="120"/>
  <c r="E28" i="120"/>
  <c r="E20" i="120"/>
  <c r="G7" i="118"/>
  <c r="F8" i="118" s="1"/>
  <c r="G8" i="118" s="1"/>
  <c r="F9" i="118" s="1"/>
  <c r="G9" i="118" s="1"/>
  <c r="F10" i="118" s="1"/>
  <c r="G10" i="118" s="1"/>
  <c r="F11" i="118" s="1"/>
  <c r="G11" i="118" s="1"/>
  <c r="F12" i="118" s="1"/>
  <c r="G12" i="118" s="1"/>
  <c r="F13" i="118" s="1"/>
  <c r="G13" i="118" s="1"/>
  <c r="F14" i="118" s="1"/>
  <c r="G14" i="118" s="1"/>
  <c r="F15" i="118" s="1"/>
  <c r="G15" i="118" s="1"/>
  <c r="F16" i="118" s="1"/>
  <c r="G16" i="118" s="1"/>
  <c r="F17" i="118" s="1"/>
  <c r="G17" i="118" s="1"/>
  <c r="F18" i="118" s="1"/>
  <c r="G18" i="118" s="1"/>
  <c r="F19" i="118" s="1"/>
  <c r="G19" i="118" s="1"/>
  <c r="F20" i="118" s="1"/>
  <c r="G20" i="118" s="1"/>
  <c r="F21" i="118" s="1"/>
  <c r="G21" i="118" s="1"/>
  <c r="F22" i="118" s="1"/>
  <c r="G22" i="118" s="1"/>
  <c r="F23" i="118" s="1"/>
  <c r="G23" i="118" s="1"/>
  <c r="F24" i="118" s="1"/>
  <c r="G24" i="118" s="1"/>
  <c r="F25" i="118" s="1"/>
  <c r="G25" i="118" s="1"/>
  <c r="F26" i="118" s="1"/>
  <c r="G26" i="118" s="1"/>
  <c r="F27" i="118" s="1"/>
  <c r="G27" i="118" s="1"/>
  <c r="F28" i="118" s="1"/>
  <c r="G28" i="118" s="1"/>
  <c r="F29" i="118" s="1"/>
  <c r="G29" i="118" s="1"/>
  <c r="F30" i="118" s="1"/>
  <c r="G30" i="118" s="1"/>
  <c r="F31" i="118" s="1"/>
  <c r="G31" i="118" s="1"/>
  <c r="G32" i="118" s="1"/>
  <c r="Z39" i="123" l="1"/>
  <c r="AA39" i="123"/>
  <c r="K44" i="124"/>
  <c r="K51" i="124"/>
  <c r="K46" i="124"/>
  <c r="K45" i="124"/>
  <c r="K52" i="124"/>
  <c r="K49" i="124"/>
  <c r="K48" i="124"/>
  <c r="K50" i="124"/>
  <c r="K47" i="124"/>
  <c r="K53" i="124"/>
  <c r="K54" i="124" l="1" a="1"/>
  <c r="K54" i="1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<sst xmlns="http://schemas.openxmlformats.org/spreadsheetml/2006/main" count="19193" uniqueCount="621">
  <si>
    <t>data</t>
  </si>
  <si>
    <t>itens</t>
  </si>
  <si>
    <t>variacao_mensal</t>
  </si>
  <si>
    <t>peso_mensal</t>
  </si>
  <si>
    <t>ponderado</t>
  </si>
  <si>
    <t>categorias</t>
  </si>
  <si>
    <t>.ARROZ</t>
  </si>
  <si>
    <t>Alimentos</t>
  </si>
  <si>
    <t>.FEIJÃO - MULATINHO</t>
  </si>
  <si>
    <t>.FEIJÃO - PRETO</t>
  </si>
  <si>
    <t>.FEIJÃO - MACÁÇAR (FRADINHO)</t>
  </si>
  <si>
    <t>.FEIJÃO - CARIOCA (RAJADO)</t>
  </si>
  <si>
    <t>.MILHO (EM GRÃO)</t>
  </si>
  <si>
    <t>.FARINHA DE ARROZ</t>
  </si>
  <si>
    <t>.MACARRÃO</t>
  </si>
  <si>
    <t>.FUBÁ DE MILHO</t>
  </si>
  <si>
    <t>.FLOCOS DE MILHO</t>
  </si>
  <si>
    <t>.FARINHA DE TRIGO</t>
  </si>
  <si>
    <t>.FARINHA DE MANDIOCA</t>
  </si>
  <si>
    <t>.MASSA SEMIPREPARADA</t>
  </si>
  <si>
    <t>.MACARRÃO INSTANTÂNEO</t>
  </si>
  <si>
    <t>.BATATA-DOCE</t>
  </si>
  <si>
    <t>.BATATA-INGLESA</t>
  </si>
  <si>
    <t>.MANDIOCA (AIPIM)</t>
  </si>
  <si>
    <t>.ABOBRINHA</t>
  </si>
  <si>
    <t>.PEPINO</t>
  </si>
  <si>
    <t>.PIMENTÃO</t>
  </si>
  <si>
    <t>.TOMATE</t>
  </si>
  <si>
    <t>.CEBOLA</t>
  </si>
  <si>
    <t>.CENOURA</t>
  </si>
  <si>
    <t>.AÇÚCAR REFINADO</t>
  </si>
  <si>
    <t>.AÇÚCAR CRISTAL</t>
  </si>
  <si>
    <t>.BALAS</t>
  </si>
  <si>
    <t>.CHOCOLATE EM BARRA E BOMBOM</t>
  </si>
  <si>
    <t>.SORVETE</t>
  </si>
  <si>
    <t>.CHOCOLATE E ACHOCOLATADO EM PÓ</t>
  </si>
  <si>
    <t>.DOCE DE FRUTAS EM PASTA</t>
  </si>
  <si>
    <t>.ALFACE</t>
  </si>
  <si>
    <t>.COENTRO</t>
  </si>
  <si>
    <t>.COUVE</t>
  </si>
  <si>
    <t>.COUVE-FLOR</t>
  </si>
  <si>
    <t>.REPOLHO</t>
  </si>
  <si>
    <t>.CHEIRO-VERDE</t>
  </si>
  <si>
    <t>.BRÓCOLIS</t>
  </si>
  <si>
    <t>.BANANA-DA-TERRA</t>
  </si>
  <si>
    <t>.ABACAXI</t>
  </si>
  <si>
    <t>.ABACATE</t>
  </si>
  <si>
    <t>.BANANA - D'ÁGUA</t>
  </si>
  <si>
    <t>.BANANA - MAÇÃ</t>
  </si>
  <si>
    <t>.BANANA - PRATA</t>
  </si>
  <si>
    <t>.LARANJA - BAÍA</t>
  </si>
  <si>
    <t>.LARANJA - LIMA</t>
  </si>
  <si>
    <t>.LIMÃO</t>
  </si>
  <si>
    <t>.MAÇÃ</t>
  </si>
  <si>
    <t>.MAMÃO</t>
  </si>
  <si>
    <t>.MANGA</t>
  </si>
  <si>
    <t>.MARACUJÁ</t>
  </si>
  <si>
    <t>.MELANCIA</t>
  </si>
  <si>
    <t>.MELÃO</t>
  </si>
  <si>
    <t>.PERA</t>
  </si>
  <si>
    <t>.TANGERINA</t>
  </si>
  <si>
    <t>.UVA</t>
  </si>
  <si>
    <t>.LARANJA - PERA</t>
  </si>
  <si>
    <t>.MORANGO</t>
  </si>
  <si>
    <t>.GOIABA</t>
  </si>
  <si>
    <t>.FÍGADO</t>
  </si>
  <si>
    <t>.CARNE DE PORCO</t>
  </si>
  <si>
    <t>.CARNE DE CARNEIRO</t>
  </si>
  <si>
    <t>.CUPIM</t>
  </si>
  <si>
    <t>.CONTRAFILÉ</t>
  </si>
  <si>
    <t>.FILÉ-MIGNON</t>
  </si>
  <si>
    <t>.CHÃ DE DENTRO</t>
  </si>
  <si>
    <t>.ALCATRA</t>
  </si>
  <si>
    <t>.PATINHO</t>
  </si>
  <si>
    <t>.LAGARTO REDONDO</t>
  </si>
  <si>
    <t>.LAGARTO COMUM</t>
  </si>
  <si>
    <t>.MÚSCULO</t>
  </si>
  <si>
    <t>.PÁ</t>
  </si>
  <si>
    <t>.ACÉM</t>
  </si>
  <si>
    <t>.PEITO</t>
  </si>
  <si>
    <t>.CAPA DE FILÉ</t>
  </si>
  <si>
    <t>.COSTELA</t>
  </si>
  <si>
    <t>.PICANHA</t>
  </si>
  <si>
    <t>.PEIXE - ANCHOVA</t>
  </si>
  <si>
    <t>.PEIXE - CORVINA</t>
  </si>
  <si>
    <t>.PEIXE - SARDINHA</t>
  </si>
  <si>
    <t>.CAMARÃO</t>
  </si>
  <si>
    <t>.PEIXE - CAVALA</t>
  </si>
  <si>
    <t>.PEIXE - CAÇÃO</t>
  </si>
  <si>
    <t>.PEIXE - MERLUZA</t>
  </si>
  <si>
    <t>.PEIXE - SERRA</t>
  </si>
  <si>
    <t>.PEIXE - PESCADA</t>
  </si>
  <si>
    <t>.CARANGUEJO</t>
  </si>
  <si>
    <t>.PEIXE - CASTANHA</t>
  </si>
  <si>
    <t>.PEIXE - PALOMBETA</t>
  </si>
  <si>
    <t>.PEIXE - SALMÃO</t>
  </si>
  <si>
    <t>.PEIXE - TILÁPIA</t>
  </si>
  <si>
    <t>.PEIXE - TAMBAQUI</t>
  </si>
  <si>
    <t>.PEIXE - DOURADA</t>
  </si>
  <si>
    <t>.PEIXE - FILHOTE</t>
  </si>
  <si>
    <t>.PEIXE - ARUANÃ</t>
  </si>
  <si>
    <t>.PRESUNTO</t>
  </si>
  <si>
    <t>.SALSICHA</t>
  </si>
  <si>
    <t>.LINGUIÇA</t>
  </si>
  <si>
    <t>.MORTADELA</t>
  </si>
  <si>
    <t>.SALAME</t>
  </si>
  <si>
    <t>.BACALHAU</t>
  </si>
  <si>
    <t>.CARNE-SECA E DE SOL</t>
  </si>
  <si>
    <t>.CARNE DE PORCO SALGADA E DEFUMADA</t>
  </si>
  <si>
    <t>.FRANGO INTEIRO</t>
  </si>
  <si>
    <t>.FRANGO EM PEDAÇOS</t>
  </si>
  <si>
    <t>.OVO DE GALINHA</t>
  </si>
  <si>
    <t>.LEITE LONGA VIDA</t>
  </si>
  <si>
    <t>.LEITE CONDENSADO</t>
  </si>
  <si>
    <t>.LEITE EM PÓ</t>
  </si>
  <si>
    <t>.QUEIJO</t>
  </si>
  <si>
    <t>.IOGURTE E BEBIDAS LÁCTEAS</t>
  </si>
  <si>
    <t>.REQUEIJÃO</t>
  </si>
  <si>
    <t>.MANTEIGA</t>
  </si>
  <si>
    <t>.LEITE FERMENTADO</t>
  </si>
  <si>
    <t>.BISCOITO</t>
  </si>
  <si>
    <t>.PÃO FRANCÊS</t>
  </si>
  <si>
    <t>.PÃO DOCE</t>
  </si>
  <si>
    <t>.PÃO DE FORMA</t>
  </si>
  <si>
    <t>.BOLO</t>
  </si>
  <si>
    <t>.PÃO DE QUEIJO</t>
  </si>
  <si>
    <t>.ÓLEO DE SOJA</t>
  </si>
  <si>
    <t>.AZEITE DE OLIVA</t>
  </si>
  <si>
    <t>.MARGARINA</t>
  </si>
  <si>
    <t>.SUCO DE FRUTAS</t>
  </si>
  <si>
    <t>.POLPA DE FRUTA (CONGELADA)</t>
  </si>
  <si>
    <t>.AÇAÍ (EMULSÃO)</t>
  </si>
  <si>
    <t>.CAFÉ MOÍDO</t>
  </si>
  <si>
    <t>.CAFÉ SOLÚVEL</t>
  </si>
  <si>
    <t>.REFRIGERANTE E ÁGUA MINERAL</t>
  </si>
  <si>
    <t>.CERVEJA</t>
  </si>
  <si>
    <t>.OUTRAS BEBIDAS ALCOÓLICAS</t>
  </si>
  <si>
    <t>.VINHO</t>
  </si>
  <si>
    <t>.SUCO EM PÓ</t>
  </si>
  <si>
    <t>.CHÁ MATE (ERVA MATE)</t>
  </si>
  <si>
    <t>.ALIMENTO INFANTIL</t>
  </si>
  <si>
    <t>.PALMITO EM CONSERVA</t>
  </si>
  <si>
    <t>.PEPINO EM CONSERVA</t>
  </si>
  <si>
    <t>.SARDINHA EM CONSERVA</t>
  </si>
  <si>
    <t>.SALSICHA EM CONSERVA</t>
  </si>
  <si>
    <t>.SOPA DESIDRATADA</t>
  </si>
  <si>
    <t>.AZEITONA</t>
  </si>
  <si>
    <t>.MILHO-VERDE EM CONSERVA</t>
  </si>
  <si>
    <t>.ATUM EM CONSERVA</t>
  </si>
  <si>
    <t>.LEITE DE COCO</t>
  </si>
  <si>
    <t>.ATOMATADO</t>
  </si>
  <si>
    <t>.ALHO</t>
  </si>
  <si>
    <t>.SAL</t>
  </si>
  <si>
    <t>.COLORAU</t>
  </si>
  <si>
    <t>.CALDO DE TUCUPI</t>
  </si>
  <si>
    <t>.FERMENTO</t>
  </si>
  <si>
    <t>.MAIONESE</t>
  </si>
  <si>
    <t>.VINAGRE</t>
  </si>
  <si>
    <t>.CALDO CONCENTRADO</t>
  </si>
  <si>
    <t>.TEMPERO MISTO</t>
  </si>
  <si>
    <t>.REFEIÇÃO</t>
  </si>
  <si>
    <t>.LANCHE</t>
  </si>
  <si>
    <t>.CAFEZINHO</t>
  </si>
  <si>
    <t>.DOCES</t>
  </si>
  <si>
    <t>.ALUGUEL RESIDENCIAL</t>
  </si>
  <si>
    <t>Serviços</t>
  </si>
  <si>
    <t>.CONDOMÍNIO</t>
  </si>
  <si>
    <t>.TAXA DE ÁGUA E ESGOTO</t>
  </si>
  <si>
    <t>Administrados</t>
  </si>
  <si>
    <t>.FERRAGENS</t>
  </si>
  <si>
    <t>Bens Duráveis</t>
  </si>
  <si>
    <t>.MATERIAL DE ELETRICIDADE</t>
  </si>
  <si>
    <t>.VIDRO</t>
  </si>
  <si>
    <t>.TINTA</t>
  </si>
  <si>
    <t>Bens Semi/Não Duráveis</t>
  </si>
  <si>
    <t>.REVESTIMENTO DE PISO E PAREDE</t>
  </si>
  <si>
    <t>.MADEIRA E TACO</t>
  </si>
  <si>
    <t>.CIMENTO</t>
  </si>
  <si>
    <t>.TIJOLO</t>
  </si>
  <si>
    <t>.MATERIAL HIDRÁULICO</t>
  </si>
  <si>
    <t>.MÃO DE OBRA</t>
  </si>
  <si>
    <t>.AREIA</t>
  </si>
  <si>
    <t>.TELHA</t>
  </si>
  <si>
    <t>.SACO PARA LIXO</t>
  </si>
  <si>
    <t>.ÁGUA SANITÁRIA</t>
  </si>
  <si>
    <t>.DETERGENTE</t>
  </si>
  <si>
    <t>.SABÃO EM PÓ</t>
  </si>
  <si>
    <t>.DESINFETANTE</t>
  </si>
  <si>
    <t>.SABÃO EM BARRA</t>
  </si>
  <si>
    <t>.ESPONJA DE LIMPEZA</t>
  </si>
  <si>
    <t>.SABÃO LÍQUIDO</t>
  </si>
  <si>
    <t>.LIMPADOR MULTIUSO</t>
  </si>
  <si>
    <t>.PAPEL TOALHA</t>
  </si>
  <si>
    <t>.AMACIANTE E ALVEJANTE</t>
  </si>
  <si>
    <t>.CARVÃO VEGETAL</t>
  </si>
  <si>
    <t>.GÁS DE BOTIJÃO</t>
  </si>
  <si>
    <t>.GÁS ENCANADO</t>
  </si>
  <si>
    <t>.ENERGIA ELÉTRICA RESIDENCIAL</t>
  </si>
  <si>
    <t>.MÓVEL PARA SALA</t>
  </si>
  <si>
    <t>.MÓVEL PARA QUARTO</t>
  </si>
  <si>
    <t>.MÓVEL PARA COPA E COZINHA</t>
  </si>
  <si>
    <t>.MÓVEL INFANTIL</t>
  </si>
  <si>
    <t>.COLCHÃO</t>
  </si>
  <si>
    <t>.ARTIGOS DE ILUMINAÇÃO</t>
  </si>
  <si>
    <t>.TAPETE</t>
  </si>
  <si>
    <t>.CORTINA</t>
  </si>
  <si>
    <t>.UTENSÍLIOS DE METAL</t>
  </si>
  <si>
    <t>.UTENSÍLIOS DE VIDRO E LOUÇA</t>
  </si>
  <si>
    <t>.UTENSÍLIOS DE PLÁSTICO</t>
  </si>
  <si>
    <t>.FLORES NATURAIS</t>
  </si>
  <si>
    <t>.UTENSÍLIOS PARA BEBÊ</t>
  </si>
  <si>
    <t>.ROUPA DE CAMA</t>
  </si>
  <si>
    <t>.ROUPA DE BANHO</t>
  </si>
  <si>
    <t>.REFRIGERADOR</t>
  </si>
  <si>
    <t>.AR-CONDICIONADO</t>
  </si>
  <si>
    <t>.MÁQUINA DE LAVAR ROUPA</t>
  </si>
  <si>
    <t>.VENTILADOR</t>
  </si>
  <si>
    <t>.FOGÃO</t>
  </si>
  <si>
    <t>.CHUVEIRO ELÉTRICO</t>
  </si>
  <si>
    <t>.TELEVISOR</t>
  </si>
  <si>
    <t>.APARELHO DE SOM</t>
  </si>
  <si>
    <t>.VIDEOGAME (CONSOLE)</t>
  </si>
  <si>
    <t>.COMPUTADOR PESSOAL</t>
  </si>
  <si>
    <t>.CONSERTO DE REFRIGERADOR</t>
  </si>
  <si>
    <t>.CONSERTO DE TELEVISOR</t>
  </si>
  <si>
    <t>.CONSERTO DE MÁQUINA DE LAVAR ROUPA</t>
  </si>
  <si>
    <t>.REFORMA DE ESTOFADO</t>
  </si>
  <si>
    <t>.CONSERTO DE APARELHO CELULAR</t>
  </si>
  <si>
    <t>.CONSERTO DE BICICLETA</t>
  </si>
  <si>
    <t>.CALÇA COMPRIDA MASCULINA</t>
  </si>
  <si>
    <t>.AGASALHO MASCULINO</t>
  </si>
  <si>
    <t>.BERMUDA/SHORT MASCULINO</t>
  </si>
  <si>
    <t>.CUECA</t>
  </si>
  <si>
    <t>.CAMISA/CAMISETA MASCULINA</t>
  </si>
  <si>
    <t>.CALÇA COMPRIDA FEMININA</t>
  </si>
  <si>
    <t>.AGASALHO FEMININO</t>
  </si>
  <si>
    <t>.SAIA</t>
  </si>
  <si>
    <t>.VESTIDO</t>
  </si>
  <si>
    <t>.BLUSA</t>
  </si>
  <si>
    <t>.LINGERIE</t>
  </si>
  <si>
    <t>.BERMUDA/SHORT FEMININO</t>
  </si>
  <si>
    <t>.UNIFORME ESCOLAR</t>
  </si>
  <si>
    <t>.CALÇA COMPRIDA INFANTIL</t>
  </si>
  <si>
    <t>.AGASALHO INFANTIL</t>
  </si>
  <si>
    <t>.VESTIDO INFANTIL</t>
  </si>
  <si>
    <t>.BERMUDA/SHORT INFANTIL</t>
  </si>
  <si>
    <t>.CAMISA/CAMISETA INFANTIL</t>
  </si>
  <si>
    <t>.CONJUNTO INFANTIL</t>
  </si>
  <si>
    <t>.SAPATO MASCULINO</t>
  </si>
  <si>
    <t>.SAPATO FEMININO</t>
  </si>
  <si>
    <t>.SAPATO INFANTIL</t>
  </si>
  <si>
    <t>.BOLSA</t>
  </si>
  <si>
    <t>.MOCHILA</t>
  </si>
  <si>
    <t>.TÊNIS</t>
  </si>
  <si>
    <t>.SANDÁLIA/CHINELO</t>
  </si>
  <si>
    <t>.BIJUTERIA</t>
  </si>
  <si>
    <t>.JOIA</t>
  </si>
  <si>
    <t>.RELÓGIO DE PULSO</t>
  </si>
  <si>
    <t>.TECIDO</t>
  </si>
  <si>
    <t>.ARTIGOS DE ARMARINHO</t>
  </si>
  <si>
    <t>.ÔNIBUS URBANO</t>
  </si>
  <si>
    <t>.TÁXI</t>
  </si>
  <si>
    <t>.TREM</t>
  </si>
  <si>
    <t>.ÔNIBUS INTERMUNICIPAL</t>
  </si>
  <si>
    <t>.ÔNIBUS INTERESTADUAL</t>
  </si>
  <si>
    <t>.PASSAGEM AÉREA</t>
  </si>
  <si>
    <t>.METRÔ</t>
  </si>
  <si>
    <t>.TRANSPORTE ESCOLAR</t>
  </si>
  <si>
    <t>.TRANSPORTE POR APLICATIVO</t>
  </si>
  <si>
    <t>.INTEGRAÇÃO TRANSPORTE PÚBLICO</t>
  </si>
  <si>
    <t>.AUTOMÓVEL NOVO</t>
  </si>
  <si>
    <t>.EMPLACAMENTO E LICENÇA</t>
  </si>
  <si>
    <t>.SEGURO VOLUNTÁRIO DE VEÍCULO</t>
  </si>
  <si>
    <t>.MULTA</t>
  </si>
  <si>
    <t>.ÓLEO LUBRIFICANTE</t>
  </si>
  <si>
    <t>.ACESSÓRIOS E PEÇAS</t>
  </si>
  <si>
    <t>.PNEU</t>
  </si>
  <si>
    <t>.CONSERTO DE AUTOMÓVEL</t>
  </si>
  <si>
    <t>.ESTACIONAMENTO</t>
  </si>
  <si>
    <t>.PEDÁGIO</t>
  </si>
  <si>
    <t>.AUTOMÓVEL USADO</t>
  </si>
  <si>
    <t>.PINTURA DE VEÍCULO</t>
  </si>
  <si>
    <t>.ALUGUEL DE VEÍCULO</t>
  </si>
  <si>
    <t>.MOTOCICLETA</t>
  </si>
  <si>
    <t>.GASOLINA</t>
  </si>
  <si>
    <t>.ETANOL</t>
  </si>
  <si>
    <t>.ÓLEO DIESEL</t>
  </si>
  <si>
    <t>.GÁS VEICULAR</t>
  </si>
  <si>
    <t>.ANTI-INFECCIOSO E ANTIBIÓTICO</t>
  </si>
  <si>
    <t>.ANALGÉSICO E ANTITÉRMICO</t>
  </si>
  <si>
    <t>.ANTI-INFLAMATÓRIO E ANTIRREUMÁTICO</t>
  </si>
  <si>
    <t>.ANTIGRIPAL E ANTITUSSÍGENO</t>
  </si>
  <si>
    <t>.DERMATOLÓGICO</t>
  </si>
  <si>
    <t>.ANTIALÉRGICO E BRONCODILATADOR</t>
  </si>
  <si>
    <t>.GASTROPROTETOR</t>
  </si>
  <si>
    <t>.VITAMINA E FORTIFICANTE</t>
  </si>
  <si>
    <t>.HORMONAL</t>
  </si>
  <si>
    <t>.PSICOTRÓPICO E ANOREXÍGENO</t>
  </si>
  <si>
    <t>.HIPOTENSOR E HIPOCOLESTEROLÊMICO</t>
  </si>
  <si>
    <t>.OFTALMOLÓGICO</t>
  </si>
  <si>
    <t>.ANTIDIABÉTICO</t>
  </si>
  <si>
    <t>.NEUROLÓGICO</t>
  </si>
  <si>
    <t>.ÓCULOS DE GRAU</t>
  </si>
  <si>
    <t>.MÉDICO</t>
  </si>
  <si>
    <t>.DENTISTA</t>
  </si>
  <si>
    <t>.APARELHO ORTODÔNTICO</t>
  </si>
  <si>
    <t>.PSICÓLOGO</t>
  </si>
  <si>
    <t>.EXAME DE LABORATÓRIO</t>
  </si>
  <si>
    <t>.HOSPITALIZAÇÃO E CIRURGIA</t>
  </si>
  <si>
    <t>.EXAME DE IMAGEM</t>
  </si>
  <si>
    <t>.PLANO DE SAÚDE</t>
  </si>
  <si>
    <t>.PRODUTO PARA CABELO</t>
  </si>
  <si>
    <t>.FRALDA DESCARTÁVEL</t>
  </si>
  <si>
    <t>.PRODUTO PARA BARBA</t>
  </si>
  <si>
    <t>.PRODUTO PARA PELE</t>
  </si>
  <si>
    <t>.PRODUTO PARA HIGIENE BUCAL</t>
  </si>
  <si>
    <t>.PRODUTO PARA UNHA</t>
  </si>
  <si>
    <t>.PERFUME</t>
  </si>
  <si>
    <t>.DESODORANTE</t>
  </si>
  <si>
    <t>.ABSORVENTE HIGIÊNICO</t>
  </si>
  <si>
    <t>.SABONETE</t>
  </si>
  <si>
    <t>.PAPEL HIGIÊNICO</t>
  </si>
  <si>
    <t>.ARTIGOS DE MAQUIAGEM</t>
  </si>
  <si>
    <t>.COSTUREIRA</t>
  </si>
  <si>
    <t>.MANICURE</t>
  </si>
  <si>
    <t>.EMPREGADO DOMÉSTICO</t>
  </si>
  <si>
    <t>.CABELEIREIRO E BARBEIRO</t>
  </si>
  <si>
    <t>.DEPILAÇÃO</t>
  </si>
  <si>
    <t>.CARTÓRIO</t>
  </si>
  <si>
    <t>.DESPACHANTE</t>
  </si>
  <si>
    <t>.SERVIÇO BANCÁRIO</t>
  </si>
  <si>
    <t>.CONSELHO DE CLASSE</t>
  </si>
  <si>
    <t>.SOBRANCELHA</t>
  </si>
  <si>
    <t>.CLUBE</t>
  </si>
  <si>
    <t>.INSTRUMENTO MUSICAL</t>
  </si>
  <si>
    <t>.TRATAMENTO DE ANIMAIS (CLÍNICA)</t>
  </si>
  <si>
    <t>.BICICLETA</t>
  </si>
  <si>
    <t>.ALIMENTO PARA ANIMAIS</t>
  </si>
  <si>
    <t>.BRINQUEDO</t>
  </si>
  <si>
    <t>.CASA NOTURNA</t>
  </si>
  <si>
    <t>.JOGOS DE AZAR</t>
  </si>
  <si>
    <t>.MATERIAL DE CAÇA E PESCA</t>
  </si>
  <si>
    <t>.HOSPEDAGEM</t>
  </si>
  <si>
    <t>.PACOTE TURÍSTICO</t>
  </si>
  <si>
    <t>.SERVIÇO DE HIGIENE PARA ANIMAIS</t>
  </si>
  <si>
    <t>.CINEMA, TEATRO E CONCERTOS</t>
  </si>
  <si>
    <t>.CIGARRO</t>
  </si>
  <si>
    <t>.CRECHE</t>
  </si>
  <si>
    <t>.PRÉ-ESCOLA</t>
  </si>
  <si>
    <t>.ENSINO FUNDAMENTAL</t>
  </si>
  <si>
    <t>.ENSINO MÉDIO</t>
  </si>
  <si>
    <t>.ENSINO SUPERIOR</t>
  </si>
  <si>
    <t>.PÓS-GRADUAÇÃO</t>
  </si>
  <si>
    <t>.EDUCAÇÃO DE JOVENS E ADULTOS</t>
  </si>
  <si>
    <t>.CURSO TÉCNICO</t>
  </si>
  <si>
    <t>.JORNAL DIÁRIO</t>
  </si>
  <si>
    <t>.REVISTA</t>
  </si>
  <si>
    <t>.LIVRO DIDÁTICO</t>
  </si>
  <si>
    <t>.LIVRO NÃO DIDÁTICO</t>
  </si>
  <si>
    <t>.CADERNO</t>
  </si>
  <si>
    <t>.ARTIGOS DE PAPELARIA</t>
  </si>
  <si>
    <t>.CURSO PREPARATÓRIO</t>
  </si>
  <si>
    <t>.CURSO DE IDIOMA</t>
  </si>
  <si>
    <t>.AUTOESCOLA</t>
  </si>
  <si>
    <t>.ATIVIDADES FÍSICAS</t>
  </si>
  <si>
    <t>.CORREIO</t>
  </si>
  <si>
    <t>.PLANO DE TELEFONIA FIXA</t>
  </si>
  <si>
    <t>.PLANO DE TELEFONIA MÓVEL</t>
  </si>
  <si>
    <t>.TV POR ASSINATURA</t>
  </si>
  <si>
    <t>.ACESSO À INTERNET</t>
  </si>
  <si>
    <t>.APARELHO TELEFÔNICO</t>
  </si>
  <si>
    <t>.SERVIÇOS DE STREAMING</t>
  </si>
  <si>
    <t>.COMBO DE TELEFONIA, INTERNET E TV POR ASSINATURA</t>
  </si>
  <si>
    <t>valor</t>
  </si>
  <si>
    <t>item</t>
  </si>
  <si>
    <t>inicio</t>
  </si>
  <si>
    <t>fim</t>
  </si>
  <si>
    <t>categoria</t>
  </si>
  <si>
    <t>id</t>
  </si>
  <si>
    <t>Outros Administrados</t>
  </si>
  <si>
    <t>Outros Alimentos</t>
  </si>
  <si>
    <t>Outros Duráveis</t>
  </si>
  <si>
    <t>Outros Semi/Não Duráveis</t>
  </si>
  <si>
    <t>Outros Serviços</t>
  </si>
  <si>
    <t>Total</t>
  </si>
  <si>
    <t>Gasolina</t>
  </si>
  <si>
    <t>Refeição</t>
  </si>
  <si>
    <t>Automóvel Novo</t>
  </si>
  <si>
    <t>Automóvel Usado</t>
  </si>
  <si>
    <t>Refrigerador</t>
  </si>
  <si>
    <t>Aluguel Residencial</t>
  </si>
  <si>
    <t>Ensino Fundamental</t>
  </si>
  <si>
    <t>Outros1</t>
  </si>
  <si>
    <t>Outros2</t>
  </si>
  <si>
    <t>Outros3</t>
  </si>
  <si>
    <t>Outros4</t>
  </si>
  <si>
    <t>Outros5</t>
  </si>
  <si>
    <t>Emplacamento</t>
  </si>
  <si>
    <t>Óleo Diesel</t>
  </si>
  <si>
    <t>Planos de Telefonia</t>
  </si>
  <si>
    <t>Água e Esgoto</t>
  </si>
  <si>
    <t>Batata-Inglesa</t>
  </si>
  <si>
    <t>Cenoura</t>
  </si>
  <si>
    <t>Contrafilé</t>
  </si>
  <si>
    <t>Alface</t>
  </si>
  <si>
    <t>Motocicleta</t>
  </si>
  <si>
    <t>Móveis de Quarto</t>
  </si>
  <si>
    <t>Maquiagem</t>
  </si>
  <si>
    <t>Camisetas Masculinas</t>
  </si>
  <si>
    <t>Tênis</t>
  </si>
  <si>
    <t>Brinquedo</t>
  </si>
  <si>
    <t>Sabonete</t>
  </si>
  <si>
    <t>Ensino Superior</t>
  </si>
  <si>
    <t>Ensino Médio</t>
  </si>
  <si>
    <t>Seguro de Veículos</t>
  </si>
  <si>
    <t>total</t>
  </si>
  <si>
    <t>Renda Variável</t>
  </si>
  <si>
    <t>Fundos</t>
  </si>
  <si>
    <t>Renda Fixa</t>
  </si>
  <si>
    <t>Participação no Capital</t>
  </si>
  <si>
    <t>Operações Intercompanhias</t>
  </si>
  <si>
    <t>Cambio Nominal</t>
  </si>
  <si>
    <t>Cambio Real (PPC)</t>
  </si>
  <si>
    <t>menos</t>
  </si>
  <si>
    <t>mais</t>
  </si>
  <si>
    <t>IPC BR</t>
  </si>
  <si>
    <t>IPC US</t>
  </si>
  <si>
    <t>relacao</t>
  </si>
  <si>
    <t>dp</t>
  </si>
  <si>
    <t>United States</t>
  </si>
  <si>
    <t>Luxembourg</t>
  </si>
  <si>
    <t>Ireland</t>
  </si>
  <si>
    <t>United Kingdom</t>
  </si>
  <si>
    <t>France</t>
  </si>
  <si>
    <t>Canada</t>
  </si>
  <si>
    <t>Spain</t>
  </si>
  <si>
    <t>Japan</t>
  </si>
  <si>
    <t>Belgium</t>
  </si>
  <si>
    <t>Italy</t>
  </si>
  <si>
    <t>Chile</t>
  </si>
  <si>
    <t>Israel</t>
  </si>
  <si>
    <t>Brazil</t>
  </si>
  <si>
    <t>Saudi Arabia</t>
  </si>
  <si>
    <t>Austria</t>
  </si>
  <si>
    <t>Norway</t>
  </si>
  <si>
    <t>Finland</t>
  </si>
  <si>
    <t>India</t>
  </si>
  <si>
    <t>Germany</t>
  </si>
  <si>
    <t>Malaysia</t>
  </si>
  <si>
    <t>Denmark</t>
  </si>
  <si>
    <t>Egypt</t>
  </si>
  <si>
    <t>Indonesia</t>
  </si>
  <si>
    <t>Sweden</t>
  </si>
  <si>
    <t>Peru</t>
  </si>
  <si>
    <t>Colombia</t>
  </si>
  <si>
    <t>Romania</t>
  </si>
  <si>
    <t>New Zealand</t>
  </si>
  <si>
    <t>Greece</t>
  </si>
  <si>
    <t>Cyprus</t>
  </si>
  <si>
    <t>Turkey</t>
  </si>
  <si>
    <t>Hungary</t>
  </si>
  <si>
    <t>Pakistan</t>
  </si>
  <si>
    <t>Singapore</t>
  </si>
  <si>
    <t>Dominican Rep.</t>
  </si>
  <si>
    <t>Zambia</t>
  </si>
  <si>
    <t>Panama</t>
  </si>
  <si>
    <t>Nigeria</t>
  </si>
  <si>
    <t>Mauritius</t>
  </si>
  <si>
    <t>Iceland</t>
  </si>
  <si>
    <t>Guatemala</t>
  </si>
  <si>
    <t>Thailand</t>
  </si>
  <si>
    <t>Vietnam</t>
  </si>
  <si>
    <t>Ukraine</t>
  </si>
  <si>
    <t>Paraguay</t>
  </si>
  <si>
    <t>Uruguay</t>
  </si>
  <si>
    <t>Kuwait</t>
  </si>
  <si>
    <t>Malta</t>
  </si>
  <si>
    <t>Honduras</t>
  </si>
  <si>
    <t>Bosnia and Herzegovina</t>
  </si>
  <si>
    <t>Trinidad and Tobago</t>
  </si>
  <si>
    <t>Namibia</t>
  </si>
  <si>
    <t>Rwanda</t>
  </si>
  <si>
    <t>Iraq</t>
  </si>
  <si>
    <t>Bolivia</t>
  </si>
  <si>
    <t>Cabo Verde</t>
  </si>
  <si>
    <t>Angola</t>
  </si>
  <si>
    <t>Bhutan</t>
  </si>
  <si>
    <t>Brunei Darussalam</t>
  </si>
  <si>
    <t>Cambodia</t>
  </si>
  <si>
    <t>Cameroon</t>
  </si>
  <si>
    <t>Djibouti</t>
  </si>
  <si>
    <t>El Salvador</t>
  </si>
  <si>
    <t>Fiji, Rep. of</t>
  </si>
  <si>
    <t>Gambia, The</t>
  </si>
  <si>
    <t>Ghana</t>
  </si>
  <si>
    <t>Guinea</t>
  </si>
  <si>
    <t>Guyana</t>
  </si>
  <si>
    <t>Kiribati</t>
  </si>
  <si>
    <t>Lebanon</t>
  </si>
  <si>
    <t>Liberia</t>
  </si>
  <si>
    <t>Myanmar</t>
  </si>
  <si>
    <t>Nepal</t>
  </si>
  <si>
    <t>Nicaragua</t>
  </si>
  <si>
    <t>Papua New Guinea</t>
  </si>
  <si>
    <t>Samoa</t>
  </si>
  <si>
    <t>Solomon Islands</t>
  </si>
  <si>
    <t>Sudan</t>
  </si>
  <si>
    <t>Tonga</t>
  </si>
  <si>
    <t>Uganda</t>
  </si>
  <si>
    <t>Vanuatu</t>
  </si>
  <si>
    <t>Zimbabwe</t>
  </si>
  <si>
    <t>Morocco</t>
  </si>
  <si>
    <t>Mongolia</t>
  </si>
  <si>
    <t>Belize</t>
  </si>
  <si>
    <t>Seychelles</t>
  </si>
  <si>
    <t>West Bank and Gaza</t>
  </si>
  <si>
    <t>Jordan</t>
  </si>
  <si>
    <t>Jamaica</t>
  </si>
  <si>
    <t>Suriname</t>
  </si>
  <si>
    <t>Latvia</t>
  </si>
  <si>
    <t>Sri Lanka</t>
  </si>
  <si>
    <t>Albania</t>
  </si>
  <si>
    <t>Bulgaria</t>
  </si>
  <si>
    <t>Ecuador</t>
  </si>
  <si>
    <t>Bangladesh</t>
  </si>
  <si>
    <t>Georgia</t>
  </si>
  <si>
    <t>Montenegro</t>
  </si>
  <si>
    <t>Costa Rica</t>
  </si>
  <si>
    <t>Australia</t>
  </si>
  <si>
    <t>Lithuania</t>
  </si>
  <si>
    <t>Philippines</t>
  </si>
  <si>
    <t>Argentina</t>
  </si>
  <si>
    <t>Qatar</t>
  </si>
  <si>
    <t>Switzerland</t>
  </si>
  <si>
    <t>Portugal</t>
  </si>
  <si>
    <t>Mexico</t>
  </si>
  <si>
    <t>South Africa</t>
  </si>
  <si>
    <t>pais</t>
  </si>
  <si>
    <t>tipo</t>
  </si>
  <si>
    <t>China</t>
  </si>
  <si>
    <t>Netherlands</t>
  </si>
  <si>
    <t>Korea</t>
  </si>
  <si>
    <t>Hong Kong</t>
  </si>
  <si>
    <t>Serbia</t>
  </si>
  <si>
    <t>Kazakhstan</t>
  </si>
  <si>
    <t>Slovak</t>
  </si>
  <si>
    <t>Croatia</t>
  </si>
  <si>
    <t>Uzbekistan</t>
  </si>
  <si>
    <t>Armenia</t>
  </si>
  <si>
    <t>Estonia</t>
  </si>
  <si>
    <t>North Macedonia</t>
  </si>
  <si>
    <t>Tanzania</t>
  </si>
  <si>
    <t>Kosovo</t>
  </si>
  <si>
    <t>Tajikistan</t>
  </si>
  <si>
    <t>Kyrgyz</t>
  </si>
  <si>
    <t>Lesotho</t>
  </si>
  <si>
    <t>Afghanistan</t>
  </si>
  <si>
    <t>Bahamas</t>
  </si>
  <si>
    <t>pib</t>
  </si>
  <si>
    <t>Madagascar</t>
  </si>
  <si>
    <t>Mauritania</t>
  </si>
  <si>
    <t>Mozambique</t>
  </si>
  <si>
    <t>Timor-Leste</t>
  </si>
  <si>
    <t>Venezuela</t>
  </si>
  <si>
    <t>Yemen</t>
  </si>
  <si>
    <t>São Tomé and Príncipe</t>
  </si>
  <si>
    <t>Moldova</t>
  </si>
  <si>
    <t>Belarus</t>
  </si>
  <si>
    <t>Aruba</t>
  </si>
  <si>
    <t>Lao P.D.R.</t>
  </si>
  <si>
    <t>Azerbaijan</t>
  </si>
  <si>
    <t>Slovenia</t>
  </si>
  <si>
    <t>Russia</t>
  </si>
  <si>
    <t>Poland</t>
  </si>
  <si>
    <t>Czech Republic</t>
  </si>
  <si>
    <t>Economia Avançada</t>
  </si>
  <si>
    <t>Economia Emergente</t>
  </si>
  <si>
    <t>regiao</t>
  </si>
  <si>
    <t>Oceania</t>
  </si>
  <si>
    <t>América</t>
  </si>
  <si>
    <t>Europa</t>
  </si>
  <si>
    <t>Ásia</t>
  </si>
  <si>
    <t>África</t>
  </si>
  <si>
    <t>Brasil</t>
  </si>
  <si>
    <t>Colômbia</t>
  </si>
  <si>
    <t>México</t>
  </si>
  <si>
    <t>Bolívia</t>
  </si>
  <si>
    <t>Uruguai</t>
  </si>
  <si>
    <t>Paraguai</t>
  </si>
  <si>
    <t>Média</t>
  </si>
  <si>
    <t>Base</t>
  </si>
  <si>
    <t>Otimista</t>
  </si>
  <si>
    <t>Pessimista</t>
  </si>
  <si>
    <t>Transportes</t>
  </si>
  <si>
    <t>Saúde</t>
  </si>
  <si>
    <t>Despesas Pessoais</t>
  </si>
  <si>
    <t>Habitação</t>
  </si>
  <si>
    <t>Residência</t>
  </si>
  <si>
    <t>Educação</t>
  </si>
  <si>
    <t>Comunicação</t>
  </si>
  <si>
    <t>Vestuário</t>
  </si>
  <si>
    <t>cenario</t>
  </si>
  <si>
    <t>Pessoais</t>
  </si>
  <si>
    <t>IPCA</t>
  </si>
  <si>
    <t>Projeção</t>
  </si>
  <si>
    <t>Limite Inferior</t>
  </si>
  <si>
    <t>Meta de Inflação</t>
  </si>
  <si>
    <t>Limite Superior</t>
  </si>
  <si>
    <t>Carregamento Estatístico</t>
  </si>
  <si>
    <t>Crescimento Econômico</t>
  </si>
  <si>
    <t>vertice</t>
  </si>
  <si>
    <t>variavel</t>
  </si>
  <si>
    <t>Juro Nominal</t>
  </si>
  <si>
    <t>Juro Real</t>
  </si>
  <si>
    <t>Inflação Implícita</t>
  </si>
  <si>
    <t>economia</t>
  </si>
  <si>
    <t>África do Sul</t>
  </si>
  <si>
    <t>Consumo Privado</t>
  </si>
  <si>
    <t>Consumo Público</t>
  </si>
  <si>
    <t>Investimentos</t>
  </si>
  <si>
    <t>Exportações Líquidas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</si>
</sst>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3" x14ac:knownFonts="1">
    <font>
      <sz val="12"/>
      <color theme="1"/>
      <name val="Garamond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Fill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4" fontId="0" fillId="0" borderId="0" xfId="0" quotePrefix="1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6">
    <cellStyle name="Normal" xfId="0" builtinId="0"/>
    <cellStyle name="Normal 1119 2" xfId="5" xr:uid="{3C0F7C1F-73CE-40EF-8826-240BD7782DEB}"/>
    <cellStyle name="Normal 2" xfId="1" xr:uid="{D7FEA324-3585-4DCA-A8CD-BE53906141E8}"/>
    <cellStyle name="Normal 2 2" xfId="3" xr:uid="{7B99BDB1-E5D3-4211-AA4F-7E2DE3572B07}"/>
    <cellStyle name="Separador de milhares 4" xfId="2" xr:uid="{A024B95D-1687-4563-AB33-80C97ACEA63B}"/>
    <cellStyle name="Separador de milhares 4 2" xfId="4" xr:uid="{22659058-085B-48EE-9736-1BE08CE47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66B7-9947-452A-9D68-3666454E53D1}">
  <dimension ref="A1:D126"/>
  <sheetViews>
    <sheetView workbookViewId="0">
      <selection activeCell="I16" sqref="I16"/>
    </sheetView>
  </sheetViews>
  <sheetFormatPr defaultColWidth="16.25" defaultRowHeight="22.5" customHeight="1" x14ac:dyDescent="0.25"/>
  <cols>
    <col min="1" max="1" width="16.25" style="2"/>
    <col min="2" max="2" width="21.5" style="2" bestFit="1" customWidth="1"/>
    <col min="3" max="16384" width="16.25" style="2"/>
  </cols>
  <sheetData>
    <row r="1" spans="1:4" ht="22.5" customHeight="1" x14ac:dyDescent="0.25">
      <c r="A1" s="2" t="s">
        <v>0</v>
      </c>
      <c r="B1" s="2" t="s">
        <v>5</v>
      </c>
      <c r="C1" s="2" t="s">
        <v>373</v>
      </c>
    </row>
    <row r="2" spans="1:4" ht="22.5" customHeight="1" x14ac:dyDescent="0.25">
      <c r="A2" s="3">
        <v>43862</v>
      </c>
      <c r="B2" s="2" t="s">
        <v>168</v>
      </c>
      <c r="C2" s="2">
        <v>3.9276569999999997E-2</v>
      </c>
      <c r="D2" s="1"/>
    </row>
    <row r="3" spans="1:4" ht="22.5" customHeight="1" x14ac:dyDescent="0.25">
      <c r="A3" s="3">
        <v>43862</v>
      </c>
      <c r="B3" s="2" t="s">
        <v>7</v>
      </c>
      <c r="C3" s="2">
        <v>-2.0045980000000001E-2</v>
      </c>
    </row>
    <row r="4" spans="1:4" ht="22.5" customHeight="1" x14ac:dyDescent="0.25">
      <c r="A4" s="3">
        <v>43862</v>
      </c>
      <c r="B4" s="2" t="s">
        <v>170</v>
      </c>
      <c r="C4" s="2">
        <v>1.6665800000000001E-2</v>
      </c>
    </row>
    <row r="5" spans="1:4" ht="22.5" customHeight="1" x14ac:dyDescent="0.25">
      <c r="A5" s="3">
        <v>43862</v>
      </c>
      <c r="B5" s="2" t="s">
        <v>174</v>
      </c>
      <c r="C5" s="2">
        <v>-0.11275926</v>
      </c>
    </row>
    <row r="6" spans="1:4" ht="22.5" customHeight="1" x14ac:dyDescent="0.25">
      <c r="A6" s="3">
        <v>43862</v>
      </c>
      <c r="B6" s="2" t="s">
        <v>165</v>
      </c>
      <c r="C6" s="2">
        <v>0.29678761999999997</v>
      </c>
    </row>
    <row r="7" spans="1:4" ht="22.5" customHeight="1" x14ac:dyDescent="0.25">
      <c r="A7" s="3">
        <v>43891</v>
      </c>
      <c r="B7" s="2" t="s">
        <v>168</v>
      </c>
      <c r="C7" s="2">
        <v>-0.19373245</v>
      </c>
    </row>
    <row r="8" spans="1:4" ht="22.5" customHeight="1" x14ac:dyDescent="0.25">
      <c r="A8" s="3">
        <v>43891</v>
      </c>
      <c r="B8" s="2" t="s">
        <v>7</v>
      </c>
      <c r="C8" s="2">
        <v>6.6847019999999993E-2</v>
      </c>
    </row>
    <row r="9" spans="1:4" ht="22.5" customHeight="1" x14ac:dyDescent="0.25">
      <c r="A9" s="3">
        <v>43891</v>
      </c>
      <c r="B9" s="2" t="s">
        <v>170</v>
      </c>
      <c r="C9" s="2">
        <v>2.315238E-2</v>
      </c>
    </row>
    <row r="10" spans="1:4" ht="22.5" customHeight="1" x14ac:dyDescent="0.25">
      <c r="A10" s="3">
        <v>43891</v>
      </c>
      <c r="B10" s="2" t="s">
        <v>174</v>
      </c>
      <c r="C10" s="2">
        <v>8.8577810000000007E-2</v>
      </c>
    </row>
    <row r="11" spans="1:4" ht="22.5" customHeight="1" x14ac:dyDescent="0.25">
      <c r="A11" s="3">
        <v>43891</v>
      </c>
      <c r="B11" s="2" t="s">
        <v>165</v>
      </c>
      <c r="C11" s="2">
        <v>3.5242269999999999E-2</v>
      </c>
    </row>
    <row r="12" spans="1:4" ht="22.5" customHeight="1" x14ac:dyDescent="0.25">
      <c r="A12" s="3">
        <v>43922</v>
      </c>
      <c r="B12" s="2" t="s">
        <v>168</v>
      </c>
      <c r="C12" s="2">
        <v>-0.27059506</v>
      </c>
    </row>
    <row r="13" spans="1:4" ht="22.5" customHeight="1" x14ac:dyDescent="0.25">
      <c r="A13" s="3">
        <v>43922</v>
      </c>
      <c r="B13" s="2" t="s">
        <v>7</v>
      </c>
      <c r="C13" s="2">
        <v>0.47599065000000002</v>
      </c>
    </row>
    <row r="14" spans="1:4" ht="22.5" customHeight="1" x14ac:dyDescent="0.25">
      <c r="A14" s="3">
        <v>43922</v>
      </c>
      <c r="B14" s="2" t="s">
        <v>170</v>
      </c>
      <c r="C14" s="2">
        <v>-0.15796729000000001</v>
      </c>
    </row>
    <row r="15" spans="1:4" ht="22.5" customHeight="1" x14ac:dyDescent="0.25">
      <c r="A15" s="3">
        <v>43922</v>
      </c>
      <c r="B15" s="2" t="s">
        <v>174</v>
      </c>
      <c r="C15" s="2">
        <v>-1.9126520000000001E-2</v>
      </c>
    </row>
    <row r="16" spans="1:4" ht="22.5" customHeight="1" x14ac:dyDescent="0.25">
      <c r="A16" s="3">
        <v>43922</v>
      </c>
      <c r="B16" s="2" t="s">
        <v>165</v>
      </c>
      <c r="C16" s="2">
        <v>-4.226796E-2</v>
      </c>
    </row>
    <row r="17" spans="1:3" ht="22.5" customHeight="1" x14ac:dyDescent="0.25">
      <c r="A17" s="3">
        <v>43952</v>
      </c>
      <c r="B17" s="2" t="s">
        <v>168</v>
      </c>
      <c r="C17" s="2">
        <v>-0.71086749000000005</v>
      </c>
    </row>
    <row r="18" spans="1:3" ht="22.5" customHeight="1" x14ac:dyDescent="0.25">
      <c r="A18" s="3">
        <v>43952</v>
      </c>
      <c r="B18" s="2" t="s">
        <v>7</v>
      </c>
      <c r="C18" s="2">
        <v>9.1240799999999997E-2</v>
      </c>
    </row>
    <row r="19" spans="1:3" ht="22.5" customHeight="1" x14ac:dyDescent="0.25">
      <c r="A19" s="3">
        <v>43952</v>
      </c>
      <c r="B19" s="2" t="s">
        <v>170</v>
      </c>
      <c r="C19" s="2">
        <v>4.0907909999999999E-2</v>
      </c>
    </row>
    <row r="20" spans="1:3" ht="22.5" customHeight="1" x14ac:dyDescent="0.25">
      <c r="A20" s="3">
        <v>43952</v>
      </c>
      <c r="B20" s="2" t="s">
        <v>174</v>
      </c>
      <c r="C20" s="2">
        <v>-6.4489999999998903E-5</v>
      </c>
    </row>
    <row r="21" spans="1:3" ht="22.5" customHeight="1" x14ac:dyDescent="0.25">
      <c r="A21" s="3">
        <v>43952</v>
      </c>
      <c r="B21" s="2" t="s">
        <v>165</v>
      </c>
      <c r="C21" s="2">
        <v>-1.242156E-2</v>
      </c>
    </row>
    <row r="22" spans="1:3" ht="22.5" customHeight="1" x14ac:dyDescent="0.25">
      <c r="A22" s="3">
        <v>43983</v>
      </c>
      <c r="B22" s="2" t="s">
        <v>168</v>
      </c>
      <c r="C22" s="2">
        <v>-0.12354432</v>
      </c>
    </row>
    <row r="23" spans="1:3" ht="22.5" customHeight="1" x14ac:dyDescent="0.25">
      <c r="A23" s="3">
        <v>43983</v>
      </c>
      <c r="B23" s="2" t="s">
        <v>7</v>
      </c>
      <c r="C23" s="2">
        <v>9.4013869999999999E-2</v>
      </c>
    </row>
    <row r="24" spans="1:3" ht="22.5" customHeight="1" x14ac:dyDescent="0.25">
      <c r="A24" s="3">
        <v>43983</v>
      </c>
      <c r="B24" s="2" t="s">
        <v>170</v>
      </c>
      <c r="C24" s="2">
        <v>7.1623640000000002E-2</v>
      </c>
    </row>
    <row r="25" spans="1:3" ht="22.5" customHeight="1" x14ac:dyDescent="0.25">
      <c r="A25" s="3">
        <v>43983</v>
      </c>
      <c r="B25" s="2" t="s">
        <v>174</v>
      </c>
      <c r="C25" s="2">
        <v>-2.0468130000000001E-2</v>
      </c>
    </row>
    <row r="26" spans="1:3" ht="22.5" customHeight="1" x14ac:dyDescent="0.25">
      <c r="A26" s="3">
        <v>43983</v>
      </c>
      <c r="B26" s="2" t="s">
        <v>165</v>
      </c>
      <c r="C26" s="2">
        <v>-1.5952E-3</v>
      </c>
    </row>
    <row r="27" spans="1:3" ht="22.5" customHeight="1" x14ac:dyDescent="0.25">
      <c r="A27" s="3">
        <v>44013</v>
      </c>
      <c r="B27" s="2" t="s">
        <v>168</v>
      </c>
      <c r="C27" s="2">
        <v>0.33993821000000002</v>
      </c>
    </row>
    <row r="28" spans="1:3" ht="22.5" customHeight="1" x14ac:dyDescent="0.25">
      <c r="A28" s="3">
        <v>44013</v>
      </c>
      <c r="B28" s="2" t="s">
        <v>7</v>
      </c>
      <c r="C28" s="2">
        <v>-2.5939730000000001E-2</v>
      </c>
    </row>
    <row r="29" spans="1:3" ht="22.5" customHeight="1" x14ac:dyDescent="0.25">
      <c r="A29" s="3">
        <v>44013</v>
      </c>
      <c r="B29" s="2" t="s">
        <v>170</v>
      </c>
      <c r="C29" s="2">
        <v>5.8231860000000003E-2</v>
      </c>
    </row>
    <row r="30" spans="1:3" ht="22.5" customHeight="1" x14ac:dyDescent="0.25">
      <c r="A30" s="3">
        <v>44013</v>
      </c>
      <c r="B30" s="2" t="s">
        <v>174</v>
      </c>
      <c r="C30" s="2">
        <v>-5.8974369999999998E-2</v>
      </c>
    </row>
    <row r="31" spans="1:3" ht="22.5" customHeight="1" x14ac:dyDescent="0.25">
      <c r="A31" s="3">
        <v>44013</v>
      </c>
      <c r="B31" s="2" t="s">
        <v>165</v>
      </c>
      <c r="C31" s="2">
        <v>-9.7669700000000102E-3</v>
      </c>
    </row>
    <row r="32" spans="1:3" ht="22.5" customHeight="1" x14ac:dyDescent="0.25">
      <c r="A32" s="3">
        <v>44044</v>
      </c>
      <c r="B32" s="2" t="s">
        <v>168</v>
      </c>
      <c r="C32" s="2">
        <v>0.21148141000000001</v>
      </c>
    </row>
    <row r="33" spans="1:3" ht="22.5" customHeight="1" x14ac:dyDescent="0.25">
      <c r="A33" s="3">
        <v>44044</v>
      </c>
      <c r="B33" s="2" t="s">
        <v>7</v>
      </c>
      <c r="C33" s="2">
        <v>6.7945969999999994E-2</v>
      </c>
    </row>
    <row r="34" spans="1:3" ht="22.5" customHeight="1" x14ac:dyDescent="0.25">
      <c r="A34" s="3">
        <v>44044</v>
      </c>
      <c r="B34" s="2" t="s">
        <v>170</v>
      </c>
      <c r="C34" s="2">
        <v>8.4143170000000003E-2</v>
      </c>
    </row>
    <row r="35" spans="1:3" ht="22.5" customHeight="1" x14ac:dyDescent="0.25">
      <c r="A35" s="3">
        <v>44044</v>
      </c>
      <c r="B35" s="2" t="s">
        <v>174</v>
      </c>
      <c r="C35" s="2">
        <v>3.4506490000000001E-2</v>
      </c>
    </row>
    <row r="36" spans="1:3" ht="22.5" customHeight="1" x14ac:dyDescent="0.25">
      <c r="A36" s="3">
        <v>44044</v>
      </c>
      <c r="B36" s="2" t="s">
        <v>165</v>
      </c>
      <c r="C36" s="2">
        <v>-0.16478480000000001</v>
      </c>
    </row>
    <row r="37" spans="1:3" ht="22.5" customHeight="1" x14ac:dyDescent="0.25">
      <c r="A37" s="3">
        <v>44075</v>
      </c>
      <c r="B37" s="2" t="s">
        <v>168</v>
      </c>
      <c r="C37" s="2">
        <v>0.11379209999999999</v>
      </c>
    </row>
    <row r="38" spans="1:3" ht="22.5" customHeight="1" x14ac:dyDescent="0.25">
      <c r="A38" s="3">
        <v>44075</v>
      </c>
      <c r="B38" s="2" t="s">
        <v>7</v>
      </c>
      <c r="C38" s="2">
        <v>0.29714172</v>
      </c>
    </row>
    <row r="39" spans="1:3" ht="22.5" customHeight="1" x14ac:dyDescent="0.25">
      <c r="A39" s="3">
        <v>44075</v>
      </c>
      <c r="B39" s="2" t="s">
        <v>170</v>
      </c>
      <c r="C39" s="2">
        <v>3.3761720000000002E-2</v>
      </c>
    </row>
    <row r="40" spans="1:3" ht="22.5" customHeight="1" x14ac:dyDescent="0.25">
      <c r="A40" s="3">
        <v>44075</v>
      </c>
      <c r="B40" s="2" t="s">
        <v>174</v>
      </c>
      <c r="C40" s="2">
        <v>2.0678889999999998E-2</v>
      </c>
    </row>
    <row r="41" spans="1:3" ht="22.5" customHeight="1" x14ac:dyDescent="0.25">
      <c r="A41" s="3">
        <v>44075</v>
      </c>
      <c r="B41" s="2" t="s">
        <v>165</v>
      </c>
      <c r="C41" s="2">
        <v>-1.581606E-2</v>
      </c>
    </row>
    <row r="42" spans="1:3" ht="22.5" customHeight="1" x14ac:dyDescent="0.25">
      <c r="A42" s="3">
        <v>44105</v>
      </c>
      <c r="B42" s="2" t="s">
        <v>168</v>
      </c>
      <c r="C42" s="2">
        <v>0.22320085000000001</v>
      </c>
    </row>
    <row r="43" spans="1:3" ht="22.5" customHeight="1" x14ac:dyDescent="0.25">
      <c r="A43" s="3">
        <v>44105</v>
      </c>
      <c r="B43" s="2" t="s">
        <v>7</v>
      </c>
      <c r="C43" s="2">
        <v>0.45361083000000002</v>
      </c>
    </row>
    <row r="44" spans="1:3" ht="22.5" customHeight="1" x14ac:dyDescent="0.25">
      <c r="A44" s="3">
        <v>44105</v>
      </c>
      <c r="B44" s="2" t="s">
        <v>170</v>
      </c>
      <c r="C44" s="2">
        <v>9.8413870000000001E-2</v>
      </c>
    </row>
    <row r="45" spans="1:3" ht="22.5" customHeight="1" x14ac:dyDescent="0.25">
      <c r="A45" s="3">
        <v>44105</v>
      </c>
      <c r="B45" s="2" t="s">
        <v>174</v>
      </c>
      <c r="C45" s="2">
        <v>8.8483930000000002E-2</v>
      </c>
    </row>
    <row r="46" spans="1:3" ht="22.5" customHeight="1" x14ac:dyDescent="0.25">
      <c r="A46" s="3">
        <v>44105</v>
      </c>
      <c r="B46" s="2" t="s">
        <v>165</v>
      </c>
      <c r="C46" s="2">
        <v>7.1669289999999997E-2</v>
      </c>
    </row>
    <row r="47" spans="1:3" ht="22.5" customHeight="1" x14ac:dyDescent="0.25">
      <c r="A47" s="3">
        <v>44136</v>
      </c>
      <c r="B47" s="2" t="s">
        <v>168</v>
      </c>
      <c r="C47" s="2">
        <v>0.10578982000000001</v>
      </c>
    </row>
    <row r="48" spans="1:3" ht="22.5" customHeight="1" x14ac:dyDescent="0.25">
      <c r="A48" s="3">
        <v>44136</v>
      </c>
      <c r="B48" s="2" t="s">
        <v>7</v>
      </c>
      <c r="C48" s="2">
        <v>0.44324598999999998</v>
      </c>
    </row>
    <row r="49" spans="1:3" ht="22.5" customHeight="1" x14ac:dyDescent="0.25">
      <c r="A49" s="3">
        <v>44136</v>
      </c>
      <c r="B49" s="2" t="s">
        <v>170</v>
      </c>
      <c r="C49" s="2">
        <v>0.12463125999999999</v>
      </c>
    </row>
    <row r="50" spans="1:3" ht="22.5" customHeight="1" x14ac:dyDescent="0.25">
      <c r="A50" s="3">
        <v>44136</v>
      </c>
      <c r="B50" s="2" t="s">
        <v>174</v>
      </c>
      <c r="C50" s="2">
        <v>5.3679850000000001E-2</v>
      </c>
    </row>
    <row r="51" spans="1:3" ht="22.5" customHeight="1" x14ac:dyDescent="0.25">
      <c r="A51" s="3">
        <v>44136</v>
      </c>
      <c r="B51" s="2" t="s">
        <v>165</v>
      </c>
      <c r="C51" s="2">
        <v>8.6480280000000007E-2</v>
      </c>
    </row>
    <row r="52" spans="1:3" ht="22.5" customHeight="1" x14ac:dyDescent="0.25">
      <c r="A52" s="3">
        <v>44166</v>
      </c>
      <c r="B52" s="2" t="s">
        <v>168</v>
      </c>
      <c r="C52" s="2">
        <v>0.48177977999999999</v>
      </c>
    </row>
    <row r="53" spans="1:3" ht="22.5" customHeight="1" x14ac:dyDescent="0.25">
      <c r="A53" s="3">
        <v>44166</v>
      </c>
      <c r="B53" s="2" t="s">
        <v>7</v>
      </c>
      <c r="C53" s="2">
        <v>0.41594342000000001</v>
      </c>
    </row>
    <row r="54" spans="1:3" ht="22.5" customHeight="1" x14ac:dyDescent="0.25">
      <c r="A54" s="3">
        <v>44166</v>
      </c>
      <c r="B54" s="2" t="s">
        <v>170</v>
      </c>
      <c r="C54" s="2">
        <v>6.4801360000000002E-2</v>
      </c>
    </row>
    <row r="55" spans="1:3" ht="22.5" customHeight="1" x14ac:dyDescent="0.25">
      <c r="A55" s="3">
        <v>44166</v>
      </c>
      <c r="B55" s="2" t="s">
        <v>174</v>
      </c>
      <c r="C55" s="2">
        <v>4.2242499999999997E-3</v>
      </c>
    </row>
    <row r="56" spans="1:3" ht="22.5" customHeight="1" x14ac:dyDescent="0.25">
      <c r="A56" s="3">
        <v>44166</v>
      </c>
      <c r="B56" s="2" t="s">
        <v>165</v>
      </c>
      <c r="C56" s="2">
        <v>9.0608110000000006E-2</v>
      </c>
    </row>
    <row r="57" spans="1:3" ht="22.5" customHeight="1" x14ac:dyDescent="0.25">
      <c r="A57" s="3">
        <v>44197</v>
      </c>
      <c r="B57" s="2" t="s">
        <v>168</v>
      </c>
      <c r="C57" s="2">
        <v>0.12596249000000001</v>
      </c>
    </row>
    <row r="58" spans="1:3" ht="22.5" customHeight="1" x14ac:dyDescent="0.25">
      <c r="A58" s="3">
        <v>44197</v>
      </c>
      <c r="B58" s="2" t="s">
        <v>7</v>
      </c>
      <c r="C58" s="2">
        <v>0.32055865</v>
      </c>
    </row>
    <row r="59" spans="1:3" ht="22.5" customHeight="1" x14ac:dyDescent="0.25">
      <c r="A59" s="3">
        <v>44197</v>
      </c>
      <c r="B59" s="2" t="s">
        <v>170</v>
      </c>
      <c r="C59" s="2">
        <v>8.2416329999999996E-2</v>
      </c>
    </row>
    <row r="60" spans="1:3" ht="22.5" customHeight="1" x14ac:dyDescent="0.25">
      <c r="A60" s="3">
        <v>44197</v>
      </c>
      <c r="B60" s="2" t="s">
        <v>174</v>
      </c>
      <c r="C60" s="2">
        <v>0.11340509999999999</v>
      </c>
    </row>
    <row r="61" spans="1:3" ht="22.5" customHeight="1" x14ac:dyDescent="0.25">
      <c r="A61" s="3">
        <v>44197</v>
      </c>
      <c r="B61" s="2" t="s">
        <v>165</v>
      </c>
      <c r="C61" s="2">
        <v>0.13225054999999999</v>
      </c>
    </row>
    <row r="62" spans="1:3" ht="22.5" customHeight="1" x14ac:dyDescent="0.25">
      <c r="A62" s="3">
        <v>44228</v>
      </c>
      <c r="B62" s="2" t="s">
        <v>168</v>
      </c>
      <c r="C62" s="2">
        <v>7.3768180000000003E-2</v>
      </c>
    </row>
    <row r="63" spans="1:3" ht="22.5" customHeight="1" x14ac:dyDescent="0.25">
      <c r="A63" s="3">
        <v>44228</v>
      </c>
      <c r="B63" s="2" t="s">
        <v>7</v>
      </c>
      <c r="C63" s="2">
        <v>0.11786849000000001</v>
      </c>
    </row>
    <row r="64" spans="1:3" ht="22.5" customHeight="1" x14ac:dyDescent="0.25">
      <c r="A64" s="3">
        <v>44228</v>
      </c>
      <c r="B64" s="2" t="s">
        <v>170</v>
      </c>
      <c r="C64" s="2">
        <v>9.5108990000000004E-2</v>
      </c>
    </row>
    <row r="65" spans="1:3" ht="22.5" customHeight="1" x14ac:dyDescent="0.25">
      <c r="A65" s="3">
        <v>44228</v>
      </c>
      <c r="B65" s="2" t="s">
        <v>174</v>
      </c>
      <c r="C65" s="2">
        <v>2.1964560000000001E-2</v>
      </c>
    </row>
    <row r="66" spans="1:3" ht="22.5" customHeight="1" x14ac:dyDescent="0.25">
      <c r="A66" s="3">
        <v>44228</v>
      </c>
      <c r="B66" s="2" t="s">
        <v>165</v>
      </c>
      <c r="C66" s="2">
        <v>0.16656736</v>
      </c>
    </row>
    <row r="67" spans="1:3" ht="22.5" customHeight="1" x14ac:dyDescent="0.25">
      <c r="A67" s="3">
        <v>44256</v>
      </c>
      <c r="B67" s="2" t="s">
        <v>168</v>
      </c>
      <c r="C67" s="2">
        <v>0.77715071000000002</v>
      </c>
    </row>
    <row r="68" spans="1:3" ht="22.5" customHeight="1" x14ac:dyDescent="0.25">
      <c r="A68" s="3">
        <v>44256</v>
      </c>
      <c r="B68" s="2" t="s">
        <v>7</v>
      </c>
      <c r="C68" s="2">
        <v>2.5099119999999999E-2</v>
      </c>
    </row>
    <row r="69" spans="1:3" ht="22.5" customHeight="1" x14ac:dyDescent="0.25">
      <c r="A69" s="3">
        <v>44256</v>
      </c>
      <c r="B69" s="2" t="s">
        <v>170</v>
      </c>
      <c r="C69" s="2">
        <v>6.5212809999999996E-2</v>
      </c>
    </row>
    <row r="70" spans="1:3" ht="22.5" customHeight="1" x14ac:dyDescent="0.25">
      <c r="A70" s="3">
        <v>44256</v>
      </c>
      <c r="B70" s="2" t="s">
        <v>174</v>
      </c>
      <c r="C70" s="2">
        <v>4.9800280000000002E-2</v>
      </c>
    </row>
    <row r="71" spans="1:3" ht="22.5" customHeight="1" x14ac:dyDescent="0.25">
      <c r="A71" s="3">
        <v>44256</v>
      </c>
      <c r="B71" s="2" t="s">
        <v>165</v>
      </c>
      <c r="C71" s="2">
        <v>8.0755099999999993E-3</v>
      </c>
    </row>
    <row r="72" spans="1:3" ht="22.5" customHeight="1" x14ac:dyDescent="0.25">
      <c r="A72" s="3">
        <v>44287</v>
      </c>
      <c r="B72" s="2" t="s">
        <v>168</v>
      </c>
      <c r="C72" s="2">
        <v>0.44225245000000002</v>
      </c>
    </row>
    <row r="73" spans="1:3" ht="22.5" customHeight="1" x14ac:dyDescent="0.25">
      <c r="A73" s="3">
        <v>44287</v>
      </c>
      <c r="B73" s="2" t="s">
        <v>7</v>
      </c>
      <c r="C73" s="2">
        <v>7.6027540000000005E-2</v>
      </c>
    </row>
    <row r="74" spans="1:3" ht="22.5" customHeight="1" x14ac:dyDescent="0.25">
      <c r="A74" s="3">
        <v>44287</v>
      </c>
      <c r="B74" s="2" t="s">
        <v>170</v>
      </c>
      <c r="C74" s="2">
        <v>6.167313E-2</v>
      </c>
    </row>
    <row r="75" spans="1:3" ht="22.5" customHeight="1" x14ac:dyDescent="0.25">
      <c r="A75" s="3">
        <v>44287</v>
      </c>
      <c r="B75" s="2" t="s">
        <v>174</v>
      </c>
      <c r="C75" s="2">
        <v>2.6926829999999999E-2</v>
      </c>
    </row>
    <row r="76" spans="1:3" ht="22.5" customHeight="1" x14ac:dyDescent="0.25">
      <c r="A76" s="3">
        <v>44287</v>
      </c>
      <c r="B76" s="2" t="s">
        <v>165</v>
      </c>
      <c r="C76" s="2">
        <v>-1.123585E-2</v>
      </c>
    </row>
    <row r="77" spans="1:3" ht="22.5" customHeight="1" x14ac:dyDescent="0.25">
      <c r="A77" s="3">
        <v>44317</v>
      </c>
      <c r="B77" s="2" t="s">
        <v>168</v>
      </c>
      <c r="C77" s="2">
        <v>0.15368125999999999</v>
      </c>
    </row>
    <row r="78" spans="1:3" ht="22.5" customHeight="1" x14ac:dyDescent="0.25">
      <c r="A78" s="3">
        <v>44317</v>
      </c>
      <c r="B78" s="2" t="s">
        <v>7</v>
      </c>
      <c r="C78" s="2">
        <v>0.10064586</v>
      </c>
    </row>
    <row r="79" spans="1:3" ht="22.5" customHeight="1" x14ac:dyDescent="0.25">
      <c r="A79" s="3">
        <v>44317</v>
      </c>
      <c r="B79" s="2" t="s">
        <v>170</v>
      </c>
      <c r="C79" s="2">
        <v>9.3952019999999997E-2</v>
      </c>
    </row>
    <row r="80" spans="1:3" ht="22.5" customHeight="1" x14ac:dyDescent="0.25">
      <c r="A80" s="3">
        <v>44317</v>
      </c>
      <c r="B80" s="2" t="s">
        <v>174</v>
      </c>
      <c r="C80" s="2">
        <v>0.12014311</v>
      </c>
    </row>
    <row r="81" spans="1:3" ht="22.5" customHeight="1" x14ac:dyDescent="0.25">
      <c r="A81" s="3">
        <v>44317</v>
      </c>
      <c r="B81" s="2" t="s">
        <v>165</v>
      </c>
      <c r="C81" s="2">
        <v>-2.6215680000000002E-2</v>
      </c>
    </row>
    <row r="82" spans="1:3" ht="22.5" customHeight="1" x14ac:dyDescent="0.25">
      <c r="A82" s="3">
        <v>44348</v>
      </c>
      <c r="B82" s="2" t="s">
        <v>168</v>
      </c>
      <c r="C82" s="2">
        <v>0.50999508000000005</v>
      </c>
    </row>
    <row r="83" spans="1:3" ht="22.5" customHeight="1" x14ac:dyDescent="0.25">
      <c r="A83" s="3">
        <v>44348</v>
      </c>
      <c r="B83" s="2" t="s">
        <v>7</v>
      </c>
      <c r="C83" s="2">
        <v>8.6385809999999993E-2</v>
      </c>
    </row>
    <row r="84" spans="1:3" ht="22.5" customHeight="1" x14ac:dyDescent="0.25">
      <c r="A84" s="3">
        <v>44348</v>
      </c>
      <c r="B84" s="2" t="s">
        <v>170</v>
      </c>
      <c r="C84" s="2">
        <v>9.5143329999999998E-2</v>
      </c>
    </row>
    <row r="85" spans="1:3" ht="22.5" customHeight="1" x14ac:dyDescent="0.25">
      <c r="A85" s="3">
        <v>44348</v>
      </c>
      <c r="B85" s="2" t="s">
        <v>174</v>
      </c>
      <c r="C85" s="2">
        <v>7.2357320000000003E-2</v>
      </c>
    </row>
    <row r="86" spans="1:3" ht="22.5" customHeight="1" x14ac:dyDescent="0.25">
      <c r="A86" s="3">
        <v>44348</v>
      </c>
      <c r="B86" s="2" t="s">
        <v>165</v>
      </c>
      <c r="C86" s="2">
        <v>6.2769439999999996E-2</v>
      </c>
    </row>
    <row r="87" spans="1:3" ht="22.5" customHeight="1" x14ac:dyDescent="0.25">
      <c r="A87" s="3">
        <v>44378</v>
      </c>
      <c r="B87" s="2" t="s">
        <v>168</v>
      </c>
      <c r="C87" s="2">
        <v>0.34946107999999998</v>
      </c>
    </row>
    <row r="88" spans="1:3" ht="22.5" customHeight="1" x14ac:dyDescent="0.25">
      <c r="A88" s="3">
        <v>44378</v>
      </c>
      <c r="B88" s="2" t="s">
        <v>7</v>
      </c>
      <c r="C88" s="2">
        <v>0.10149278</v>
      </c>
    </row>
    <row r="89" spans="1:3" ht="22.5" customHeight="1" x14ac:dyDescent="0.25">
      <c r="A89" s="3">
        <v>44378</v>
      </c>
      <c r="B89" s="2" t="s">
        <v>170</v>
      </c>
      <c r="C89" s="2">
        <v>6.9841410000000007E-2</v>
      </c>
    </row>
    <row r="90" spans="1:3" ht="22.5" customHeight="1" x14ac:dyDescent="0.25">
      <c r="A90" s="3">
        <v>44378</v>
      </c>
      <c r="B90" s="2" t="s">
        <v>174</v>
      </c>
      <c r="C90" s="2">
        <v>9.4852850000000002E-2</v>
      </c>
    </row>
    <row r="91" spans="1:3" ht="22.5" customHeight="1" x14ac:dyDescent="0.25">
      <c r="A91" s="3">
        <v>44378</v>
      </c>
      <c r="B91" s="2" t="s">
        <v>165</v>
      </c>
      <c r="C91" s="2">
        <v>0.10799033</v>
      </c>
    </row>
    <row r="92" spans="1:3" ht="22.5" customHeight="1" x14ac:dyDescent="0.25">
      <c r="A92" s="3">
        <v>44409</v>
      </c>
      <c r="B92" s="2" t="s">
        <v>168</v>
      </c>
      <c r="C92" s="2">
        <v>0.35794282999999999</v>
      </c>
    </row>
    <row r="93" spans="1:3" ht="22.5" customHeight="1" x14ac:dyDescent="0.25">
      <c r="A93" s="3">
        <v>44409</v>
      </c>
      <c r="B93" s="2" t="s">
        <v>7</v>
      </c>
      <c r="C93" s="2">
        <v>0.21254185</v>
      </c>
    </row>
    <row r="94" spans="1:3" ht="22.5" customHeight="1" x14ac:dyDescent="0.25">
      <c r="A94" s="3">
        <v>44409</v>
      </c>
      <c r="B94" s="2" t="s">
        <v>170</v>
      </c>
      <c r="C94" s="2">
        <v>0.14100639000000001</v>
      </c>
    </row>
    <row r="95" spans="1:3" ht="22.5" customHeight="1" x14ac:dyDescent="0.25">
      <c r="A95" s="3">
        <v>44409</v>
      </c>
      <c r="B95" s="2" t="s">
        <v>174</v>
      </c>
      <c r="C95" s="2">
        <v>5.6707109999999998E-2</v>
      </c>
    </row>
    <row r="96" spans="1:3" ht="22.5" customHeight="1" x14ac:dyDescent="0.25">
      <c r="A96" s="3">
        <v>44409</v>
      </c>
      <c r="B96" s="2" t="s">
        <v>165</v>
      </c>
      <c r="C96" s="2">
        <v>0.12637232000000001</v>
      </c>
    </row>
    <row r="97" spans="1:3" ht="22.5" customHeight="1" x14ac:dyDescent="0.25">
      <c r="A97" s="3">
        <v>44440</v>
      </c>
      <c r="B97" s="2" t="s">
        <v>168</v>
      </c>
      <c r="C97" s="2">
        <v>0.54614211999999995</v>
      </c>
    </row>
    <row r="98" spans="1:3" ht="22.5" customHeight="1" x14ac:dyDescent="0.25">
      <c r="A98" s="3">
        <v>44440</v>
      </c>
      <c r="B98" s="2" t="s">
        <v>7</v>
      </c>
      <c r="C98" s="2">
        <v>0.26550705000000002</v>
      </c>
    </row>
    <row r="99" spans="1:3" ht="22.5" customHeight="1" x14ac:dyDescent="0.25">
      <c r="A99" s="3">
        <v>44440</v>
      </c>
      <c r="B99" s="2" t="s">
        <v>170</v>
      </c>
      <c r="C99" s="2">
        <v>0.13451379999999999</v>
      </c>
    </row>
    <row r="100" spans="1:3" ht="22.5" customHeight="1" x14ac:dyDescent="0.25">
      <c r="A100" s="3">
        <v>44440</v>
      </c>
      <c r="B100" s="2" t="s">
        <v>174</v>
      </c>
      <c r="C100" s="2">
        <v>8.0004729999999996E-2</v>
      </c>
    </row>
    <row r="101" spans="1:3" ht="22.5" customHeight="1" x14ac:dyDescent="0.25">
      <c r="A101" s="3">
        <v>44440</v>
      </c>
      <c r="B101" s="2" t="s">
        <v>165</v>
      </c>
      <c r="C101" s="2">
        <v>0.11061253</v>
      </c>
    </row>
    <row r="102" spans="1:3" ht="22.5" customHeight="1" x14ac:dyDescent="0.25">
      <c r="A102" s="3">
        <v>44470</v>
      </c>
      <c r="B102" s="2" t="s">
        <v>168</v>
      </c>
      <c r="C102" s="2">
        <v>0.57345447999999999</v>
      </c>
    </row>
    <row r="103" spans="1:3" ht="22.5" customHeight="1" x14ac:dyDescent="0.25">
      <c r="A103" s="3">
        <v>44470</v>
      </c>
      <c r="B103" s="2" t="s">
        <v>7</v>
      </c>
      <c r="C103" s="2">
        <v>0.28817365</v>
      </c>
    </row>
    <row r="104" spans="1:3" ht="22.5" customHeight="1" x14ac:dyDescent="0.25">
      <c r="A104" s="3">
        <v>44470</v>
      </c>
      <c r="B104" s="2" t="s">
        <v>170</v>
      </c>
      <c r="C104" s="2">
        <v>0.11673333</v>
      </c>
    </row>
    <row r="105" spans="1:3" ht="22.5" customHeight="1" x14ac:dyDescent="0.25">
      <c r="A105" s="3">
        <v>44470</v>
      </c>
      <c r="B105" s="2" t="s">
        <v>174</v>
      </c>
      <c r="C105" s="2">
        <v>7.9341439999999999E-2</v>
      </c>
    </row>
    <row r="106" spans="1:3" ht="22.5" customHeight="1" x14ac:dyDescent="0.25">
      <c r="A106" s="3">
        <v>44470</v>
      </c>
      <c r="B106" s="2" t="s">
        <v>165</v>
      </c>
      <c r="C106" s="2">
        <v>0.14148090999999999</v>
      </c>
    </row>
    <row r="107" spans="1:3" ht="22.5" customHeight="1" x14ac:dyDescent="0.25">
      <c r="A107" s="3">
        <v>44501</v>
      </c>
      <c r="B107" s="2" t="s">
        <v>168</v>
      </c>
      <c r="C107" s="2">
        <v>0.59594555999999999</v>
      </c>
    </row>
    <row r="108" spans="1:3" ht="22.5" customHeight="1" x14ac:dyDescent="0.25">
      <c r="A108" s="3">
        <v>44501</v>
      </c>
      <c r="B108" s="2" t="s">
        <v>7</v>
      </c>
      <c r="C108" s="2">
        <v>8.341846E-2</v>
      </c>
    </row>
    <row r="109" spans="1:3" ht="22.5" customHeight="1" x14ac:dyDescent="0.25">
      <c r="A109" s="3">
        <v>44501</v>
      </c>
      <c r="B109" s="2" t="s">
        <v>170</v>
      </c>
      <c r="C109" s="2">
        <v>0.17264925</v>
      </c>
    </row>
    <row r="110" spans="1:3" ht="22.5" customHeight="1" x14ac:dyDescent="0.25">
      <c r="A110" s="3">
        <v>44501</v>
      </c>
      <c r="B110" s="2" t="s">
        <v>174</v>
      </c>
      <c r="C110" s="2">
        <v>0.17429238999999999</v>
      </c>
    </row>
    <row r="111" spans="1:3" ht="22.5" customHeight="1" x14ac:dyDescent="0.25">
      <c r="A111" s="3">
        <v>44501</v>
      </c>
      <c r="B111" s="2" t="s">
        <v>165</v>
      </c>
      <c r="C111" s="2">
        <v>0.14903915000000001</v>
      </c>
    </row>
    <row r="112" spans="1:3" ht="22.5" customHeight="1" x14ac:dyDescent="0.25">
      <c r="A112" s="3">
        <v>44531</v>
      </c>
      <c r="B112" s="2" t="s">
        <v>168</v>
      </c>
      <c r="C112" s="2">
        <v>0.41988800999999998</v>
      </c>
    </row>
    <row r="113" spans="1:3" ht="22.5" customHeight="1" x14ac:dyDescent="0.25">
      <c r="A113" s="3">
        <v>44531</v>
      </c>
      <c r="B113" s="2" t="s">
        <v>7</v>
      </c>
      <c r="C113" s="2">
        <v>7.2627250000000004E-2</v>
      </c>
    </row>
    <row r="114" spans="1:3" ht="22.5" customHeight="1" x14ac:dyDescent="0.25">
      <c r="A114" s="3">
        <v>44531</v>
      </c>
      <c r="B114" s="2" t="s">
        <v>170</v>
      </c>
      <c r="C114" s="2">
        <v>0.15985893000000001</v>
      </c>
    </row>
    <row r="115" spans="1:3" ht="22.5" customHeight="1" x14ac:dyDescent="0.25">
      <c r="A115" s="3">
        <v>44531</v>
      </c>
      <c r="B115" s="2" t="s">
        <v>174</v>
      </c>
      <c r="C115" s="2">
        <v>-5.4728760000000001E-2</v>
      </c>
    </row>
    <row r="116" spans="1:3" ht="22.5" customHeight="1" x14ac:dyDescent="0.25">
      <c r="A116" s="3">
        <v>44531</v>
      </c>
      <c r="B116" s="2" t="s">
        <v>165</v>
      </c>
      <c r="C116" s="2">
        <v>0.18026744</v>
      </c>
    </row>
    <row r="117" spans="1:3" ht="22.5" customHeight="1" x14ac:dyDescent="0.25">
      <c r="A117" s="3">
        <v>44562</v>
      </c>
      <c r="B117" s="2" t="s">
        <v>168</v>
      </c>
      <c r="C117" s="2">
        <v>-0.23867099</v>
      </c>
    </row>
    <row r="118" spans="1:3" ht="22.5" customHeight="1" x14ac:dyDescent="0.25">
      <c r="A118" s="3">
        <v>44562</v>
      </c>
      <c r="B118" s="2" t="s">
        <v>7</v>
      </c>
      <c r="C118" s="2">
        <v>0.20028113</v>
      </c>
    </row>
    <row r="119" spans="1:3" ht="22.5" customHeight="1" x14ac:dyDescent="0.25">
      <c r="A119" s="3">
        <v>44562</v>
      </c>
      <c r="B119" s="2" t="s">
        <v>170</v>
      </c>
      <c r="C119" s="2">
        <v>0.14293248</v>
      </c>
    </row>
    <row r="120" spans="1:3" ht="22.5" customHeight="1" x14ac:dyDescent="0.25">
      <c r="A120" s="3">
        <v>44562</v>
      </c>
      <c r="B120" s="2" t="s">
        <v>174</v>
      </c>
      <c r="C120" s="2">
        <v>0.22782173</v>
      </c>
    </row>
    <row r="121" spans="1:3" ht="22.5" customHeight="1" x14ac:dyDescent="0.25">
      <c r="A121" s="3">
        <v>44562</v>
      </c>
      <c r="B121" s="2" t="s">
        <v>165</v>
      </c>
      <c r="C121" s="2">
        <v>0.24318824999999999</v>
      </c>
    </row>
    <row r="122" spans="1:3" ht="22.5" customHeight="1" x14ac:dyDescent="0.25">
      <c r="A122" s="3">
        <v>44593</v>
      </c>
      <c r="B122" s="2" t="s">
        <v>168</v>
      </c>
      <c r="C122" s="2">
        <v>-1.631488E-2</v>
      </c>
    </row>
    <row r="123" spans="1:3" ht="22.5" customHeight="1" x14ac:dyDescent="0.25">
      <c r="A123" s="3">
        <v>44593</v>
      </c>
      <c r="B123" s="2" t="s">
        <v>7</v>
      </c>
      <c r="C123" s="2">
        <v>0.248081</v>
      </c>
    </row>
    <row r="124" spans="1:3" ht="22.5" customHeight="1" x14ac:dyDescent="0.25">
      <c r="A124" s="3">
        <v>44593</v>
      </c>
      <c r="B124" s="2" t="s">
        <v>170</v>
      </c>
      <c r="C124" s="2">
        <v>0.22354748999999999</v>
      </c>
    </row>
    <row r="125" spans="1:3" ht="22.5" customHeight="1" x14ac:dyDescent="0.25">
      <c r="A125" s="3">
        <v>44593</v>
      </c>
      <c r="B125" s="2" t="s">
        <v>174</v>
      </c>
      <c r="C125" s="2">
        <v>6.7458729999999995E-2</v>
      </c>
    </row>
    <row r="126" spans="1:3" ht="22.5" customHeight="1" x14ac:dyDescent="0.25">
      <c r="A126" s="3">
        <v>44593</v>
      </c>
      <c r="B126" s="2" t="s">
        <v>165</v>
      </c>
      <c r="C126" s="2">
        <v>0.46694039999999998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8E6F-B4CD-4DA8-A812-CD347CE46231}">
  <sheetPr filterMode="1"/>
  <dimension ref="A1:F9176"/>
  <sheetViews>
    <sheetView workbookViewId="0">
      <selection activeCell="E8810" activeCellId="1" sqref="B8810:B8819 E8810:E8819"/>
    </sheetView>
  </sheetViews>
  <sheetFormatPr defaultColWidth="16.25" defaultRowHeight="22.5" customHeight="1" x14ac:dyDescent="0.25"/>
  <cols>
    <col min="1" max="1" width="16.25" style="2"/>
    <col min="2" max="2" width="58.75" style="2" bestFit="1" customWidth="1"/>
    <col min="3" max="16384" width="16.25" style="2"/>
  </cols>
  <sheetData>
    <row r="1" spans="1:6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.5" hidden="1" customHeight="1" x14ac:dyDescent="0.25">
      <c r="A2" s="3">
        <v>43862</v>
      </c>
      <c r="B2" s="2" t="s">
        <v>6</v>
      </c>
      <c r="C2" s="2">
        <v>1.02</v>
      </c>
      <c r="D2" s="1">
        <v>0.45290000000000002</v>
      </c>
      <c r="E2" s="2">
        <v>4.6195799999999999E-3</v>
      </c>
      <c r="F2" s="2" t="s">
        <v>7</v>
      </c>
    </row>
    <row r="3" spans="1:6" ht="22.5" hidden="1" customHeight="1" x14ac:dyDescent="0.25">
      <c r="A3" s="3">
        <v>43862</v>
      </c>
      <c r="B3" s="2" t="s">
        <v>8</v>
      </c>
      <c r="C3" s="2">
        <v>-4.87</v>
      </c>
      <c r="D3" s="2">
        <v>1.18E-2</v>
      </c>
      <c r="E3" s="2">
        <v>-5.7465999999999995E-4</v>
      </c>
      <c r="F3" s="2" t="s">
        <v>7</v>
      </c>
    </row>
    <row r="4" spans="1:6" ht="22.5" hidden="1" customHeight="1" x14ac:dyDescent="0.25">
      <c r="A4" s="3">
        <v>43862</v>
      </c>
      <c r="B4" s="2" t="s">
        <v>9</v>
      </c>
      <c r="C4" s="2">
        <v>0.66</v>
      </c>
      <c r="D4" s="2">
        <v>4.7600000000000003E-2</v>
      </c>
      <c r="E4" s="2">
        <v>3.1416000000000001E-4</v>
      </c>
      <c r="F4" s="2" t="s">
        <v>7</v>
      </c>
    </row>
    <row r="5" spans="1:6" ht="22.5" hidden="1" customHeight="1" x14ac:dyDescent="0.25">
      <c r="A5" s="3">
        <v>43862</v>
      </c>
      <c r="B5" s="2" t="s">
        <v>10</v>
      </c>
      <c r="C5" s="2">
        <v>8.86</v>
      </c>
      <c r="D5" s="2">
        <v>1.4500000000000001E-2</v>
      </c>
      <c r="E5" s="2">
        <v>1.2846999999999999E-3</v>
      </c>
      <c r="F5" s="2" t="s">
        <v>7</v>
      </c>
    </row>
    <row r="6" spans="1:6" ht="22.5" hidden="1" customHeight="1" x14ac:dyDescent="0.25">
      <c r="A6" s="3">
        <v>43862</v>
      </c>
      <c r="B6" s="2" t="s">
        <v>11</v>
      </c>
      <c r="C6" s="2">
        <v>-4.4400000000000004</v>
      </c>
      <c r="D6" s="2">
        <v>0.13739999999999999</v>
      </c>
      <c r="E6" s="2">
        <v>-6.1005599999999997E-3</v>
      </c>
      <c r="F6" s="2" t="s">
        <v>7</v>
      </c>
    </row>
    <row r="7" spans="1:6" ht="22.5" hidden="1" customHeight="1" x14ac:dyDescent="0.25">
      <c r="A7" s="3">
        <v>43862</v>
      </c>
      <c r="B7" s="2" t="s">
        <v>12</v>
      </c>
      <c r="C7" s="2">
        <v>1.53</v>
      </c>
      <c r="D7" s="2">
        <v>1.03E-2</v>
      </c>
      <c r="E7" s="2">
        <v>1.5758999999999999E-4</v>
      </c>
      <c r="F7" s="2" t="s">
        <v>7</v>
      </c>
    </row>
    <row r="8" spans="1:6" ht="22.5" hidden="1" customHeight="1" x14ac:dyDescent="0.25">
      <c r="A8" s="3">
        <v>43862</v>
      </c>
      <c r="B8" s="2" t="s">
        <v>13</v>
      </c>
      <c r="C8" s="2">
        <v>-0.75</v>
      </c>
      <c r="D8" s="2">
        <v>3.3E-3</v>
      </c>
      <c r="E8" s="2">
        <v>-2.4749999999999999E-5</v>
      </c>
      <c r="F8" s="2" t="s">
        <v>7</v>
      </c>
    </row>
    <row r="9" spans="1:6" ht="22.5" hidden="1" customHeight="1" x14ac:dyDescent="0.25">
      <c r="A9" s="3">
        <v>43862</v>
      </c>
      <c r="B9" s="2" t="s">
        <v>14</v>
      </c>
      <c r="C9" s="2">
        <v>0.1</v>
      </c>
      <c r="D9" s="2">
        <v>0.1482</v>
      </c>
      <c r="E9" s="2">
        <v>1.482E-4</v>
      </c>
      <c r="F9" s="2" t="s">
        <v>7</v>
      </c>
    </row>
    <row r="10" spans="1:6" ht="22.5" hidden="1" customHeight="1" x14ac:dyDescent="0.25">
      <c r="A10" s="3">
        <v>43862</v>
      </c>
      <c r="B10" s="2" t="s">
        <v>15</v>
      </c>
      <c r="C10" s="2">
        <v>0.24</v>
      </c>
      <c r="D10" s="2">
        <v>6.8999999999999999E-3</v>
      </c>
      <c r="E10" s="2">
        <v>1.6560000000000001E-5</v>
      </c>
      <c r="F10" s="2" t="s">
        <v>7</v>
      </c>
    </row>
    <row r="11" spans="1:6" ht="22.5" hidden="1" customHeight="1" x14ac:dyDescent="0.25">
      <c r="A11" s="3">
        <v>43862</v>
      </c>
      <c r="B11" s="2" t="s">
        <v>16</v>
      </c>
      <c r="C11" s="2">
        <v>1.74</v>
      </c>
      <c r="D11" s="2">
        <v>9.4999999999999998E-3</v>
      </c>
      <c r="E11" s="2">
        <v>1.6530000000000001E-4</v>
      </c>
      <c r="F11" s="2" t="s">
        <v>7</v>
      </c>
    </row>
    <row r="12" spans="1:6" ht="22.5" hidden="1" customHeight="1" x14ac:dyDescent="0.25">
      <c r="A12" s="3">
        <v>43862</v>
      </c>
      <c r="B12" s="2" t="s">
        <v>17</v>
      </c>
      <c r="C12" s="2">
        <v>-0.21</v>
      </c>
      <c r="D12" s="2">
        <v>4.5199999999999997E-2</v>
      </c>
      <c r="E12" s="2">
        <v>-9.4920000000000006E-5</v>
      </c>
      <c r="F12" s="2" t="s">
        <v>7</v>
      </c>
    </row>
    <row r="13" spans="1:6" ht="22.5" hidden="1" customHeight="1" x14ac:dyDescent="0.25">
      <c r="A13" s="3">
        <v>43862</v>
      </c>
      <c r="B13" s="2" t="s">
        <v>18</v>
      </c>
      <c r="C13" s="2">
        <v>3.84</v>
      </c>
      <c r="D13" s="2">
        <v>9.1800000000000007E-2</v>
      </c>
      <c r="E13" s="2">
        <v>3.5251200000000001E-3</v>
      </c>
      <c r="F13" s="2" t="s">
        <v>7</v>
      </c>
    </row>
    <row r="14" spans="1:6" ht="22.5" hidden="1" customHeight="1" x14ac:dyDescent="0.25">
      <c r="A14" s="3">
        <v>43862</v>
      </c>
      <c r="B14" s="2" t="s">
        <v>19</v>
      </c>
      <c r="C14" s="2">
        <v>0.3</v>
      </c>
      <c r="D14" s="2">
        <v>0.11840000000000001</v>
      </c>
      <c r="E14" s="2">
        <v>3.5520000000000001E-4</v>
      </c>
      <c r="F14" s="2" t="s">
        <v>7</v>
      </c>
    </row>
    <row r="15" spans="1:6" ht="22.5" hidden="1" customHeight="1" x14ac:dyDescent="0.25">
      <c r="A15" s="3">
        <v>43862</v>
      </c>
      <c r="B15" s="2" t="s">
        <v>20</v>
      </c>
      <c r="C15" s="2">
        <v>0.17</v>
      </c>
      <c r="D15" s="2">
        <v>2.5600000000000001E-2</v>
      </c>
      <c r="E15" s="2">
        <v>4.3519999999999997E-5</v>
      </c>
      <c r="F15" s="2" t="s">
        <v>7</v>
      </c>
    </row>
    <row r="16" spans="1:6" ht="22.5" hidden="1" customHeight="1" x14ac:dyDescent="0.25">
      <c r="A16" s="3">
        <v>43862</v>
      </c>
      <c r="B16" s="2" t="s">
        <v>21</v>
      </c>
      <c r="C16" s="2">
        <v>1.48</v>
      </c>
      <c r="D16" s="2">
        <v>2.2700000000000001E-2</v>
      </c>
      <c r="E16" s="2">
        <v>3.3596E-4</v>
      </c>
      <c r="F16" s="2" t="s">
        <v>7</v>
      </c>
    </row>
    <row r="17" spans="1:6" ht="22.5" hidden="1" customHeight="1" x14ac:dyDescent="0.25">
      <c r="A17" s="3">
        <v>43862</v>
      </c>
      <c r="B17" s="2" t="s">
        <v>22</v>
      </c>
      <c r="C17" s="2">
        <v>5.23</v>
      </c>
      <c r="D17" s="2">
        <v>0.14549999999999999</v>
      </c>
      <c r="E17" s="2">
        <v>7.6096499999999999E-3</v>
      </c>
      <c r="F17" s="2" t="s">
        <v>7</v>
      </c>
    </row>
    <row r="18" spans="1:6" ht="22.5" hidden="1" customHeight="1" x14ac:dyDescent="0.25">
      <c r="A18" s="3">
        <v>43862</v>
      </c>
      <c r="B18" s="2" t="s">
        <v>23</v>
      </c>
      <c r="C18" s="2">
        <v>0.4</v>
      </c>
      <c r="D18" s="2">
        <v>1.34E-2</v>
      </c>
      <c r="E18" s="2">
        <v>5.3600000000000002E-5</v>
      </c>
      <c r="F18" s="2" t="s">
        <v>7</v>
      </c>
    </row>
    <row r="19" spans="1:6" ht="22.5" hidden="1" customHeight="1" x14ac:dyDescent="0.25">
      <c r="A19" s="3">
        <v>43862</v>
      </c>
      <c r="B19" s="2" t="s">
        <v>24</v>
      </c>
      <c r="C19" s="2">
        <v>13.66</v>
      </c>
      <c r="D19" s="2">
        <v>6.4000000000000003E-3</v>
      </c>
      <c r="E19" s="2">
        <v>8.7423999999999998E-4</v>
      </c>
      <c r="F19" s="2" t="s">
        <v>7</v>
      </c>
    </row>
    <row r="20" spans="1:6" ht="22.5" hidden="1" customHeight="1" x14ac:dyDescent="0.25">
      <c r="A20" s="3">
        <v>43862</v>
      </c>
      <c r="B20" s="2" t="s">
        <v>25</v>
      </c>
      <c r="C20" s="2">
        <v>15.85</v>
      </c>
      <c r="D20" s="2">
        <v>2.5999999999999999E-3</v>
      </c>
      <c r="E20" s="2">
        <v>4.1209999999999999E-4</v>
      </c>
      <c r="F20" s="2" t="s">
        <v>7</v>
      </c>
    </row>
    <row r="21" spans="1:6" ht="22.5" hidden="1" customHeight="1" x14ac:dyDescent="0.25">
      <c r="A21" s="3">
        <v>43862</v>
      </c>
      <c r="B21" s="2" t="s">
        <v>26</v>
      </c>
      <c r="C21" s="2">
        <v>-18.260000000000002</v>
      </c>
      <c r="D21" s="2">
        <v>1.41E-2</v>
      </c>
      <c r="E21" s="2">
        <v>-2.5746599999999999E-3</v>
      </c>
      <c r="F21" s="2" t="s">
        <v>7</v>
      </c>
    </row>
    <row r="22" spans="1:6" ht="22.5" hidden="1" customHeight="1" x14ac:dyDescent="0.25">
      <c r="A22" s="3">
        <v>43862</v>
      </c>
      <c r="B22" s="2" t="s">
        <v>27</v>
      </c>
      <c r="C22" s="2">
        <v>28.96</v>
      </c>
      <c r="D22" s="2">
        <v>0.17349999999999999</v>
      </c>
      <c r="E22" s="2">
        <v>5.0245600000000001E-2</v>
      </c>
      <c r="F22" s="2" t="s">
        <v>7</v>
      </c>
    </row>
    <row r="23" spans="1:6" ht="22.5" hidden="1" customHeight="1" x14ac:dyDescent="0.25">
      <c r="A23" s="3">
        <v>43862</v>
      </c>
      <c r="B23" s="2" t="s">
        <v>28</v>
      </c>
      <c r="C23" s="2">
        <v>-8.64</v>
      </c>
      <c r="D23" s="2">
        <v>0.1</v>
      </c>
      <c r="E23" s="2">
        <v>-8.6400000000000001E-3</v>
      </c>
      <c r="F23" s="2" t="s">
        <v>7</v>
      </c>
    </row>
    <row r="24" spans="1:6" ht="22.5" hidden="1" customHeight="1" x14ac:dyDescent="0.25">
      <c r="A24" s="3">
        <v>43862</v>
      </c>
      <c r="B24" s="2" t="s">
        <v>29</v>
      </c>
      <c r="C24" s="2">
        <v>16.46</v>
      </c>
      <c r="D24" s="2">
        <v>4.2700000000000002E-2</v>
      </c>
      <c r="E24" s="2">
        <v>7.0284199999999996E-3</v>
      </c>
      <c r="F24" s="2" t="s">
        <v>7</v>
      </c>
    </row>
    <row r="25" spans="1:6" ht="22.5" hidden="1" customHeight="1" x14ac:dyDescent="0.25">
      <c r="A25" s="3">
        <v>43862</v>
      </c>
      <c r="B25" s="2" t="s">
        <v>30</v>
      </c>
      <c r="C25" s="2">
        <v>0.52</v>
      </c>
      <c r="D25" s="2">
        <v>8.8999999999999996E-2</v>
      </c>
      <c r="E25" s="2">
        <v>4.6279999999999997E-4</v>
      </c>
      <c r="F25" s="2" t="s">
        <v>7</v>
      </c>
    </row>
    <row r="26" spans="1:6" ht="22.5" hidden="1" customHeight="1" x14ac:dyDescent="0.25">
      <c r="A26" s="3">
        <v>43862</v>
      </c>
      <c r="B26" s="2" t="s">
        <v>31</v>
      </c>
      <c r="C26" s="2">
        <v>4.32</v>
      </c>
      <c r="D26" s="2">
        <v>9.0200000000000002E-2</v>
      </c>
      <c r="E26" s="2">
        <v>3.8966399999999998E-3</v>
      </c>
      <c r="F26" s="2" t="s">
        <v>7</v>
      </c>
    </row>
    <row r="27" spans="1:6" ht="22.5" hidden="1" customHeight="1" x14ac:dyDescent="0.25">
      <c r="A27" s="3">
        <v>43862</v>
      </c>
      <c r="B27" s="2" t="s">
        <v>32</v>
      </c>
      <c r="C27" s="2">
        <v>-1.1499999999999999</v>
      </c>
      <c r="D27" s="2">
        <v>1.67E-2</v>
      </c>
      <c r="E27" s="2">
        <v>-1.9205000000000001E-4</v>
      </c>
      <c r="F27" s="2" t="s">
        <v>7</v>
      </c>
    </row>
    <row r="28" spans="1:6" ht="22.5" hidden="1" customHeight="1" x14ac:dyDescent="0.25">
      <c r="A28" s="3">
        <v>43862</v>
      </c>
      <c r="B28" s="2" t="s">
        <v>33</v>
      </c>
      <c r="C28" s="2">
        <v>1.48</v>
      </c>
      <c r="D28" s="2">
        <v>0.1835</v>
      </c>
      <c r="E28" s="2">
        <v>2.7158E-3</v>
      </c>
      <c r="F28" s="2" t="s">
        <v>7</v>
      </c>
    </row>
    <row r="29" spans="1:6" ht="22.5" hidden="1" customHeight="1" x14ac:dyDescent="0.25">
      <c r="A29" s="3">
        <v>43862</v>
      </c>
      <c r="B29" s="2" t="s">
        <v>34</v>
      </c>
      <c r="C29" s="2">
        <v>0.42</v>
      </c>
      <c r="D29" s="2">
        <v>0.1343</v>
      </c>
      <c r="E29" s="2">
        <v>5.6406000000000002E-4</v>
      </c>
      <c r="F29" s="2" t="s">
        <v>7</v>
      </c>
    </row>
    <row r="30" spans="1:6" ht="22.5" hidden="1" customHeight="1" x14ac:dyDescent="0.25">
      <c r="A30" s="3">
        <v>43862</v>
      </c>
      <c r="B30" s="2" t="s">
        <v>35</v>
      </c>
      <c r="C30" s="2">
        <v>0</v>
      </c>
      <c r="D30" s="2">
        <v>0.1061</v>
      </c>
      <c r="E30" s="2">
        <v>0</v>
      </c>
      <c r="F30" s="2" t="s">
        <v>7</v>
      </c>
    </row>
    <row r="31" spans="1:6" ht="22.5" hidden="1" customHeight="1" x14ac:dyDescent="0.25">
      <c r="A31" s="3">
        <v>43862</v>
      </c>
      <c r="B31" s="2" t="s">
        <v>36</v>
      </c>
      <c r="C31" s="2">
        <v>-2.86</v>
      </c>
      <c r="D31" s="2">
        <v>1.6999999999999999E-3</v>
      </c>
      <c r="E31" s="2">
        <v>-4.8619999999999999E-5</v>
      </c>
      <c r="F31" s="2" t="s">
        <v>7</v>
      </c>
    </row>
    <row r="32" spans="1:6" ht="22.5" hidden="1" customHeight="1" x14ac:dyDescent="0.25">
      <c r="A32" s="3">
        <v>43862</v>
      </c>
      <c r="B32" s="2" t="s">
        <v>37</v>
      </c>
      <c r="C32" s="2">
        <v>5.5</v>
      </c>
      <c r="D32" s="2">
        <v>7.9600000000000004E-2</v>
      </c>
      <c r="E32" s="2">
        <v>4.3779999999999999E-3</v>
      </c>
      <c r="F32" s="2" t="s">
        <v>7</v>
      </c>
    </row>
    <row r="33" spans="1:6" ht="22.5" hidden="1" customHeight="1" x14ac:dyDescent="0.25">
      <c r="A33" s="3">
        <v>43862</v>
      </c>
      <c r="B33" s="2" t="s">
        <v>38</v>
      </c>
      <c r="C33" s="2">
        <v>-1.73</v>
      </c>
      <c r="D33" s="2">
        <v>8.0999999999999996E-3</v>
      </c>
      <c r="E33" s="2">
        <v>-1.4013E-4</v>
      </c>
      <c r="F33" s="2" t="s">
        <v>7</v>
      </c>
    </row>
    <row r="34" spans="1:6" ht="22.5" hidden="1" customHeight="1" x14ac:dyDescent="0.25">
      <c r="A34" s="3">
        <v>43862</v>
      </c>
      <c r="B34" s="2" t="s">
        <v>39</v>
      </c>
      <c r="C34" s="2">
        <v>6.56</v>
      </c>
      <c r="D34" s="2">
        <v>1.44E-2</v>
      </c>
      <c r="E34" s="2">
        <v>9.4463999999999995E-4</v>
      </c>
      <c r="F34" s="2" t="s">
        <v>7</v>
      </c>
    </row>
    <row r="35" spans="1:6" ht="22.5" hidden="1" customHeight="1" x14ac:dyDescent="0.25">
      <c r="A35" s="3">
        <v>43862</v>
      </c>
      <c r="B35" s="2" t="s">
        <v>40</v>
      </c>
      <c r="C35" s="2">
        <v>11.91</v>
      </c>
      <c r="D35" s="2">
        <v>3.0000000000000001E-3</v>
      </c>
      <c r="E35" s="2">
        <v>3.5730000000000001E-4</v>
      </c>
      <c r="F35" s="2" t="s">
        <v>7</v>
      </c>
    </row>
    <row r="36" spans="1:6" ht="22.5" hidden="1" customHeight="1" x14ac:dyDescent="0.25">
      <c r="A36" s="3">
        <v>43862</v>
      </c>
      <c r="B36" s="2" t="s">
        <v>41</v>
      </c>
      <c r="C36" s="2">
        <v>5.36</v>
      </c>
      <c r="D36" s="2">
        <v>1.2800000000000001E-2</v>
      </c>
      <c r="E36" s="2">
        <v>6.8608000000000004E-4</v>
      </c>
      <c r="F36" s="2" t="s">
        <v>7</v>
      </c>
    </row>
    <row r="37" spans="1:6" ht="22.5" hidden="1" customHeight="1" x14ac:dyDescent="0.25">
      <c r="A37" s="3">
        <v>43862</v>
      </c>
      <c r="B37" s="2" t="s">
        <v>42</v>
      </c>
      <c r="C37" s="2">
        <v>0.52</v>
      </c>
      <c r="D37" s="2">
        <v>3.8399999999999997E-2</v>
      </c>
      <c r="E37" s="2">
        <v>1.9968000000000001E-4</v>
      </c>
      <c r="F37" s="2" t="s">
        <v>7</v>
      </c>
    </row>
    <row r="38" spans="1:6" ht="22.5" hidden="1" customHeight="1" x14ac:dyDescent="0.25">
      <c r="A38" s="3">
        <v>43862</v>
      </c>
      <c r="B38" s="2" t="s">
        <v>43</v>
      </c>
      <c r="C38" s="2">
        <v>4.24</v>
      </c>
      <c r="D38" s="2">
        <v>2.41E-2</v>
      </c>
      <c r="E38" s="2">
        <v>1.02184E-3</v>
      </c>
      <c r="F38" s="2" t="s">
        <v>7</v>
      </c>
    </row>
    <row r="39" spans="1:6" ht="22.5" hidden="1" customHeight="1" x14ac:dyDescent="0.25">
      <c r="A39" s="3">
        <v>43862</v>
      </c>
      <c r="B39" s="2" t="s">
        <v>44</v>
      </c>
      <c r="C39" s="2">
        <v>2.06</v>
      </c>
      <c r="D39" s="2">
        <v>1.9099999999999999E-2</v>
      </c>
      <c r="E39" s="2">
        <v>3.9345999999999999E-4</v>
      </c>
      <c r="F39" s="2" t="s">
        <v>7</v>
      </c>
    </row>
    <row r="40" spans="1:6" ht="22.5" hidden="1" customHeight="1" x14ac:dyDescent="0.25">
      <c r="A40" s="3">
        <v>43862</v>
      </c>
      <c r="B40" s="2" t="s">
        <v>45</v>
      </c>
      <c r="C40" s="2">
        <v>-2.75</v>
      </c>
      <c r="D40" s="2">
        <v>1.6899999999999998E-2</v>
      </c>
      <c r="E40" s="2">
        <v>-4.6474999999999999E-4</v>
      </c>
      <c r="F40" s="2" t="s">
        <v>7</v>
      </c>
    </row>
    <row r="41" spans="1:6" ht="22.5" hidden="1" customHeight="1" x14ac:dyDescent="0.25">
      <c r="A41" s="3">
        <v>43862</v>
      </c>
      <c r="B41" s="2" t="s">
        <v>46</v>
      </c>
      <c r="C41" s="2">
        <v>-19.260000000000002</v>
      </c>
      <c r="D41" s="2">
        <v>1.6999999999999999E-3</v>
      </c>
      <c r="E41" s="2">
        <v>-3.2741999999999998E-4</v>
      </c>
      <c r="F41" s="2" t="s">
        <v>7</v>
      </c>
    </row>
    <row r="42" spans="1:6" ht="22.5" hidden="1" customHeight="1" x14ac:dyDescent="0.25">
      <c r="A42" s="3">
        <v>43862</v>
      </c>
      <c r="B42" s="2" t="s">
        <v>47</v>
      </c>
      <c r="C42" s="2">
        <v>-7.27</v>
      </c>
      <c r="D42" s="2">
        <v>9.2299999999999993E-2</v>
      </c>
      <c r="E42" s="2">
        <v>-6.7102100000000003E-3</v>
      </c>
      <c r="F42" s="2" t="s">
        <v>7</v>
      </c>
    </row>
    <row r="43" spans="1:6" ht="22.5" hidden="1" customHeight="1" x14ac:dyDescent="0.25">
      <c r="A43" s="3">
        <v>43862</v>
      </c>
      <c r="B43" s="2" t="s">
        <v>48</v>
      </c>
      <c r="C43" s="2">
        <v>10.1</v>
      </c>
      <c r="D43" s="2">
        <v>3.5999999999999999E-3</v>
      </c>
      <c r="E43" s="2">
        <v>3.636E-4</v>
      </c>
      <c r="F43" s="2" t="s">
        <v>7</v>
      </c>
    </row>
    <row r="44" spans="1:6" ht="22.5" hidden="1" customHeight="1" x14ac:dyDescent="0.25">
      <c r="A44" s="3">
        <v>43862</v>
      </c>
      <c r="B44" s="2" t="s">
        <v>49</v>
      </c>
      <c r="C44" s="2">
        <v>3.15</v>
      </c>
      <c r="D44" s="2">
        <v>0.14760000000000001</v>
      </c>
      <c r="E44" s="2">
        <v>4.6493999999999997E-3</v>
      </c>
      <c r="F44" s="2" t="s">
        <v>7</v>
      </c>
    </row>
    <row r="45" spans="1:6" ht="22.5" hidden="1" customHeight="1" x14ac:dyDescent="0.25">
      <c r="A45" s="3">
        <v>43862</v>
      </c>
      <c r="B45" s="2" t="s">
        <v>50</v>
      </c>
      <c r="C45" s="2">
        <v>0.56999999999999995</v>
      </c>
      <c r="D45" s="2">
        <v>4.1000000000000003E-3</v>
      </c>
      <c r="E45" s="2">
        <v>2.3370000000000002E-5</v>
      </c>
      <c r="F45" s="2" t="s">
        <v>7</v>
      </c>
    </row>
    <row r="46" spans="1:6" ht="22.5" hidden="1" customHeight="1" x14ac:dyDescent="0.25">
      <c r="A46" s="3">
        <v>43862</v>
      </c>
      <c r="B46" s="2" t="s">
        <v>51</v>
      </c>
      <c r="C46" s="2">
        <v>1.96</v>
      </c>
      <c r="D46" s="2">
        <v>4.7999999999999996E-3</v>
      </c>
      <c r="E46" s="2">
        <v>9.4079999999999994E-5</v>
      </c>
      <c r="F46" s="2" t="s">
        <v>7</v>
      </c>
    </row>
    <row r="47" spans="1:6" ht="22.5" hidden="1" customHeight="1" x14ac:dyDescent="0.25">
      <c r="A47" s="3">
        <v>43862</v>
      </c>
      <c r="B47" s="2" t="s">
        <v>52</v>
      </c>
      <c r="C47" s="2">
        <v>-24.6</v>
      </c>
      <c r="D47" s="2">
        <v>2.7099999999999999E-2</v>
      </c>
      <c r="E47" s="2">
        <v>-6.6666E-3</v>
      </c>
      <c r="F47" s="2" t="s">
        <v>7</v>
      </c>
    </row>
    <row r="48" spans="1:6" ht="22.5" hidden="1" customHeight="1" x14ac:dyDescent="0.25">
      <c r="A48" s="3">
        <v>43862</v>
      </c>
      <c r="B48" s="2" t="s">
        <v>53</v>
      </c>
      <c r="C48" s="2">
        <v>4.87</v>
      </c>
      <c r="D48" s="2">
        <v>0.13539999999999999</v>
      </c>
      <c r="E48" s="2">
        <v>6.5939800000000002E-3</v>
      </c>
      <c r="F48" s="2" t="s">
        <v>7</v>
      </c>
    </row>
    <row r="49" spans="1:6" ht="22.5" hidden="1" customHeight="1" x14ac:dyDescent="0.25">
      <c r="A49" s="3">
        <v>43862</v>
      </c>
      <c r="B49" s="2" t="s">
        <v>54</v>
      </c>
      <c r="C49" s="2">
        <v>-4.37</v>
      </c>
      <c r="D49" s="2">
        <v>7.5999999999999998E-2</v>
      </c>
      <c r="E49" s="2">
        <v>-3.3211999999999998E-3</v>
      </c>
      <c r="F49" s="2" t="s">
        <v>7</v>
      </c>
    </row>
    <row r="50" spans="1:6" ht="22.5" hidden="1" customHeight="1" x14ac:dyDescent="0.25">
      <c r="A50" s="3">
        <v>43862</v>
      </c>
      <c r="B50" s="2" t="s">
        <v>55</v>
      </c>
      <c r="C50" s="2">
        <v>2.37</v>
      </c>
      <c r="D50" s="2">
        <v>4.82E-2</v>
      </c>
      <c r="E50" s="2">
        <v>1.1423399999999999E-3</v>
      </c>
      <c r="F50" s="2" t="s">
        <v>7</v>
      </c>
    </row>
    <row r="51" spans="1:6" ht="22.5" hidden="1" customHeight="1" x14ac:dyDescent="0.25">
      <c r="A51" s="3">
        <v>43862</v>
      </c>
      <c r="B51" s="2" t="s">
        <v>56</v>
      </c>
      <c r="C51" s="2">
        <v>10.25</v>
      </c>
      <c r="D51" s="2">
        <v>7.4999999999999997E-3</v>
      </c>
      <c r="E51" s="2">
        <v>7.6875000000000001E-4</v>
      </c>
      <c r="F51" s="2" t="s">
        <v>7</v>
      </c>
    </row>
    <row r="52" spans="1:6" ht="22.5" hidden="1" customHeight="1" x14ac:dyDescent="0.25">
      <c r="A52" s="3">
        <v>43862</v>
      </c>
      <c r="B52" s="2" t="s">
        <v>57</v>
      </c>
      <c r="C52" s="2">
        <v>-6.73</v>
      </c>
      <c r="D52" s="2">
        <v>2.75E-2</v>
      </c>
      <c r="E52" s="2">
        <v>-1.85075E-3</v>
      </c>
      <c r="F52" s="2" t="s">
        <v>7</v>
      </c>
    </row>
    <row r="53" spans="1:6" ht="22.5" hidden="1" customHeight="1" x14ac:dyDescent="0.25">
      <c r="A53" s="3">
        <v>43862</v>
      </c>
      <c r="B53" s="2" t="s">
        <v>58</v>
      </c>
      <c r="C53" s="2">
        <v>-5.46</v>
      </c>
      <c r="D53" s="2">
        <v>1.46E-2</v>
      </c>
      <c r="E53" s="2">
        <v>-7.9715999999999999E-4</v>
      </c>
      <c r="F53" s="2" t="s">
        <v>7</v>
      </c>
    </row>
    <row r="54" spans="1:6" ht="22.5" hidden="1" customHeight="1" x14ac:dyDescent="0.25">
      <c r="A54" s="3">
        <v>43862</v>
      </c>
      <c r="B54" s="2" t="s">
        <v>59</v>
      </c>
      <c r="C54" s="2">
        <v>-0.56000000000000005</v>
      </c>
      <c r="D54" s="2">
        <v>1.9699999999999999E-2</v>
      </c>
      <c r="E54" s="2">
        <v>-1.1032E-4</v>
      </c>
      <c r="F54" s="2" t="s">
        <v>7</v>
      </c>
    </row>
    <row r="55" spans="1:6" ht="22.5" hidden="1" customHeight="1" x14ac:dyDescent="0.25">
      <c r="A55" s="3">
        <v>43862</v>
      </c>
      <c r="B55" s="2" t="s">
        <v>60</v>
      </c>
      <c r="C55" s="2">
        <v>-1.73</v>
      </c>
      <c r="D55" s="2">
        <v>2.87E-2</v>
      </c>
      <c r="E55" s="2">
        <v>-4.9651000000000003E-4</v>
      </c>
      <c r="F55" s="2" t="s">
        <v>7</v>
      </c>
    </row>
    <row r="56" spans="1:6" ht="22.5" hidden="1" customHeight="1" x14ac:dyDescent="0.25">
      <c r="A56" s="3">
        <v>43862</v>
      </c>
      <c r="B56" s="2" t="s">
        <v>61</v>
      </c>
      <c r="C56" s="2">
        <v>-3.51</v>
      </c>
      <c r="D56" s="2">
        <v>7.3400000000000007E-2</v>
      </c>
      <c r="E56" s="2">
        <v>-2.5763399999999999E-3</v>
      </c>
      <c r="F56" s="2" t="s">
        <v>7</v>
      </c>
    </row>
    <row r="57" spans="1:6" ht="22.5" hidden="1" customHeight="1" x14ac:dyDescent="0.25">
      <c r="A57" s="3">
        <v>43862</v>
      </c>
      <c r="B57" s="2" t="s">
        <v>62</v>
      </c>
      <c r="C57" s="2">
        <v>4.88</v>
      </c>
      <c r="D57" s="2">
        <v>8.4500000000000006E-2</v>
      </c>
      <c r="E57" s="2">
        <v>4.1235999999999998E-3</v>
      </c>
      <c r="F57" s="2" t="s">
        <v>7</v>
      </c>
    </row>
    <row r="58" spans="1:6" ht="22.5" hidden="1" customHeight="1" x14ac:dyDescent="0.25">
      <c r="A58" s="3">
        <v>43862</v>
      </c>
      <c r="B58" s="2" t="s">
        <v>63</v>
      </c>
      <c r="C58" s="2">
        <v>-9.43</v>
      </c>
      <c r="D58" s="2">
        <v>7.1000000000000004E-3</v>
      </c>
      <c r="E58" s="2">
        <v>-6.6952999999999999E-4</v>
      </c>
      <c r="F58" s="2" t="s">
        <v>7</v>
      </c>
    </row>
    <row r="59" spans="1:6" ht="22.5" hidden="1" customHeight="1" x14ac:dyDescent="0.25">
      <c r="A59" s="3">
        <v>43862</v>
      </c>
      <c r="B59" s="2" t="s">
        <v>64</v>
      </c>
      <c r="C59" s="2">
        <v>-2.4700000000000002</v>
      </c>
      <c r="D59" s="2">
        <v>5.0000000000000001E-3</v>
      </c>
      <c r="E59" s="2">
        <v>-1.2349999999999999E-4</v>
      </c>
      <c r="F59" s="2" t="s">
        <v>7</v>
      </c>
    </row>
    <row r="60" spans="1:6" ht="22.5" hidden="1" customHeight="1" x14ac:dyDescent="0.25">
      <c r="A60" s="3">
        <v>43862</v>
      </c>
      <c r="B60" s="2" t="s">
        <v>65</v>
      </c>
      <c r="C60" s="2">
        <v>-0.53</v>
      </c>
      <c r="D60" s="2">
        <v>1.8200000000000001E-2</v>
      </c>
      <c r="E60" s="2">
        <v>-9.6459999999999995E-5</v>
      </c>
      <c r="F60" s="2" t="s">
        <v>7</v>
      </c>
    </row>
    <row r="61" spans="1:6" ht="22.5" hidden="1" customHeight="1" x14ac:dyDescent="0.25">
      <c r="A61" s="3">
        <v>43862</v>
      </c>
      <c r="B61" s="2" t="s">
        <v>66</v>
      </c>
      <c r="C61" s="2">
        <v>-1.78</v>
      </c>
      <c r="D61" s="2">
        <v>0.33539999999999998</v>
      </c>
      <c r="E61" s="2">
        <v>-5.9701199999999998E-3</v>
      </c>
      <c r="F61" s="2" t="s">
        <v>7</v>
      </c>
    </row>
    <row r="62" spans="1:6" ht="22.5" hidden="1" customHeight="1" x14ac:dyDescent="0.25">
      <c r="A62" s="3">
        <v>43862</v>
      </c>
      <c r="B62" s="2" t="s">
        <v>67</v>
      </c>
      <c r="C62" s="2">
        <v>-1.71</v>
      </c>
      <c r="D62" s="2">
        <v>3.2000000000000002E-3</v>
      </c>
      <c r="E62" s="2">
        <v>-5.4719999999999998E-5</v>
      </c>
      <c r="F62" s="2" t="s">
        <v>7</v>
      </c>
    </row>
    <row r="63" spans="1:6" ht="22.5" hidden="1" customHeight="1" x14ac:dyDescent="0.25">
      <c r="A63" s="3">
        <v>43862</v>
      </c>
      <c r="B63" s="2" t="s">
        <v>68</v>
      </c>
      <c r="C63" s="2">
        <v>-2.25</v>
      </c>
      <c r="D63" s="2">
        <v>1.0500000000000001E-2</v>
      </c>
      <c r="E63" s="2">
        <v>-2.3625E-4</v>
      </c>
      <c r="F63" s="2" t="s">
        <v>7</v>
      </c>
    </row>
    <row r="64" spans="1:6" ht="22.5" hidden="1" customHeight="1" x14ac:dyDescent="0.25">
      <c r="A64" s="3">
        <v>43862</v>
      </c>
      <c r="B64" s="2" t="s">
        <v>69</v>
      </c>
      <c r="C64" s="2">
        <v>-6.76</v>
      </c>
      <c r="D64" s="2">
        <v>0.44429999999999997</v>
      </c>
      <c r="E64" s="2">
        <v>-3.0034680000000001E-2</v>
      </c>
      <c r="F64" s="2" t="s">
        <v>7</v>
      </c>
    </row>
    <row r="65" spans="1:6" ht="22.5" hidden="1" customHeight="1" x14ac:dyDescent="0.25">
      <c r="A65" s="3">
        <v>43862</v>
      </c>
      <c r="B65" s="2" t="s">
        <v>70</v>
      </c>
      <c r="C65" s="2">
        <v>-11.72</v>
      </c>
      <c r="D65" s="2">
        <v>3.0599999999999999E-2</v>
      </c>
      <c r="E65" s="2">
        <v>-3.58632E-3</v>
      </c>
      <c r="F65" s="2" t="s">
        <v>7</v>
      </c>
    </row>
    <row r="66" spans="1:6" ht="22.5" hidden="1" customHeight="1" x14ac:dyDescent="0.25">
      <c r="A66" s="3">
        <v>43862</v>
      </c>
      <c r="B66" s="2" t="s">
        <v>71</v>
      </c>
      <c r="C66" s="2">
        <v>-7.69</v>
      </c>
      <c r="D66" s="2">
        <v>0.3039</v>
      </c>
      <c r="E66" s="2">
        <v>-2.3369910000000001E-2</v>
      </c>
      <c r="F66" s="2" t="s">
        <v>7</v>
      </c>
    </row>
    <row r="67" spans="1:6" ht="22.5" hidden="1" customHeight="1" x14ac:dyDescent="0.25">
      <c r="A67" s="3">
        <v>43862</v>
      </c>
      <c r="B67" s="2" t="s">
        <v>72</v>
      </c>
      <c r="C67" s="2">
        <v>-8.61</v>
      </c>
      <c r="D67" s="2">
        <v>0.35260000000000002</v>
      </c>
      <c r="E67" s="2">
        <v>-3.0358860000000001E-2</v>
      </c>
      <c r="F67" s="2" t="s">
        <v>7</v>
      </c>
    </row>
    <row r="68" spans="1:6" ht="22.5" hidden="1" customHeight="1" x14ac:dyDescent="0.25">
      <c r="A68" s="3">
        <v>43862</v>
      </c>
      <c r="B68" s="2" t="s">
        <v>73</v>
      </c>
      <c r="C68" s="2">
        <v>-7.58</v>
      </c>
      <c r="D68" s="2">
        <v>0.16309999999999999</v>
      </c>
      <c r="E68" s="2">
        <v>-1.2362980000000001E-2</v>
      </c>
      <c r="F68" s="2" t="s">
        <v>7</v>
      </c>
    </row>
    <row r="69" spans="1:6" ht="22.5" hidden="1" customHeight="1" x14ac:dyDescent="0.25">
      <c r="A69" s="3">
        <v>43862</v>
      </c>
      <c r="B69" s="2" t="s">
        <v>74</v>
      </c>
      <c r="C69" s="2">
        <v>-6.18</v>
      </c>
      <c r="D69" s="2">
        <v>9.2999999999999992E-3</v>
      </c>
      <c r="E69" s="2">
        <v>-5.7474000000000002E-4</v>
      </c>
      <c r="F69" s="2" t="s">
        <v>7</v>
      </c>
    </row>
    <row r="70" spans="1:6" ht="22.5" hidden="1" customHeight="1" x14ac:dyDescent="0.25">
      <c r="A70" s="3">
        <v>43862</v>
      </c>
      <c r="B70" s="2" t="s">
        <v>75</v>
      </c>
      <c r="C70" s="2">
        <v>-4.45</v>
      </c>
      <c r="D70" s="2">
        <v>6.7199999999999996E-2</v>
      </c>
      <c r="E70" s="2">
        <v>-2.9903999999999998E-3</v>
      </c>
      <c r="F70" s="2" t="s">
        <v>7</v>
      </c>
    </row>
    <row r="71" spans="1:6" ht="22.5" hidden="1" customHeight="1" x14ac:dyDescent="0.25">
      <c r="A71" s="3">
        <v>43862</v>
      </c>
      <c r="B71" s="2" t="s">
        <v>76</v>
      </c>
      <c r="C71" s="2">
        <v>-1.23</v>
      </c>
      <c r="D71" s="2">
        <v>0.1348</v>
      </c>
      <c r="E71" s="2">
        <v>-1.6580399999999999E-3</v>
      </c>
      <c r="F71" s="2" t="s">
        <v>7</v>
      </c>
    </row>
    <row r="72" spans="1:6" ht="22.5" hidden="1" customHeight="1" x14ac:dyDescent="0.25">
      <c r="A72" s="3">
        <v>43862</v>
      </c>
      <c r="B72" s="2" t="s">
        <v>77</v>
      </c>
      <c r="C72" s="2">
        <v>-2.37</v>
      </c>
      <c r="D72" s="2">
        <v>9.7799999999999998E-2</v>
      </c>
      <c r="E72" s="2">
        <v>-2.3178600000000001E-3</v>
      </c>
      <c r="F72" s="2" t="s">
        <v>7</v>
      </c>
    </row>
    <row r="73" spans="1:6" ht="22.5" hidden="1" customHeight="1" x14ac:dyDescent="0.25">
      <c r="A73" s="3">
        <v>43862</v>
      </c>
      <c r="B73" s="2" t="s">
        <v>78</v>
      </c>
      <c r="C73" s="2">
        <v>-4.4800000000000004</v>
      </c>
      <c r="D73" s="2">
        <v>0.24629999999999999</v>
      </c>
      <c r="E73" s="2">
        <v>-1.1034240000000001E-2</v>
      </c>
      <c r="F73" s="2" t="s">
        <v>7</v>
      </c>
    </row>
    <row r="74" spans="1:6" ht="22.5" hidden="1" customHeight="1" x14ac:dyDescent="0.25">
      <c r="A74" s="3">
        <v>43862</v>
      </c>
      <c r="B74" s="2" t="s">
        <v>79</v>
      </c>
      <c r="C74" s="2">
        <v>-5.09</v>
      </c>
      <c r="D74" s="2">
        <v>9.1999999999999998E-3</v>
      </c>
      <c r="E74" s="2">
        <v>-4.6828000000000001E-4</v>
      </c>
      <c r="F74" s="2" t="s">
        <v>7</v>
      </c>
    </row>
    <row r="75" spans="1:6" ht="22.5" hidden="1" customHeight="1" x14ac:dyDescent="0.25">
      <c r="A75" s="3">
        <v>43862</v>
      </c>
      <c r="B75" s="2" t="s">
        <v>80</v>
      </c>
      <c r="C75" s="2">
        <v>-0.33</v>
      </c>
      <c r="D75" s="2">
        <v>3.3500000000000002E-2</v>
      </c>
      <c r="E75" s="2">
        <v>-1.1055E-4</v>
      </c>
      <c r="F75" s="2" t="s">
        <v>7</v>
      </c>
    </row>
    <row r="76" spans="1:6" ht="22.5" hidden="1" customHeight="1" x14ac:dyDescent="0.25">
      <c r="A76" s="3">
        <v>43862</v>
      </c>
      <c r="B76" s="2" t="s">
        <v>81</v>
      </c>
      <c r="C76" s="2">
        <v>-1.43</v>
      </c>
      <c r="D76" s="2">
        <v>0.30669999999999997</v>
      </c>
      <c r="E76" s="2">
        <v>-4.3858100000000004E-3</v>
      </c>
      <c r="F76" s="2" t="s">
        <v>7</v>
      </c>
    </row>
    <row r="77" spans="1:6" ht="22.5" hidden="1" customHeight="1" x14ac:dyDescent="0.25">
      <c r="A77" s="3">
        <v>43862</v>
      </c>
      <c r="B77" s="2" t="s">
        <v>82</v>
      </c>
      <c r="C77" s="2">
        <v>-4.0199999999999996</v>
      </c>
      <c r="D77" s="2">
        <v>4.2999999999999997E-2</v>
      </c>
      <c r="E77" s="2">
        <v>-1.7286000000000001E-3</v>
      </c>
      <c r="F77" s="2" t="s">
        <v>7</v>
      </c>
    </row>
    <row r="78" spans="1:6" ht="22.5" hidden="1" customHeight="1" x14ac:dyDescent="0.25">
      <c r="A78" s="3">
        <v>43862</v>
      </c>
      <c r="B78" s="2" t="s">
        <v>83</v>
      </c>
      <c r="C78" s="2">
        <v>0.05</v>
      </c>
      <c r="D78" s="2">
        <v>6.9999999999999999E-4</v>
      </c>
      <c r="E78" s="2">
        <v>3.4999999999999998E-7</v>
      </c>
      <c r="F78" s="2" t="s">
        <v>7</v>
      </c>
    </row>
    <row r="79" spans="1:6" ht="22.5" hidden="1" customHeight="1" x14ac:dyDescent="0.25">
      <c r="A79" s="3">
        <v>43862</v>
      </c>
      <c r="B79" s="2" t="s">
        <v>84</v>
      </c>
      <c r="C79" s="2">
        <v>0.12</v>
      </c>
      <c r="D79" s="2">
        <v>2.1100000000000001E-2</v>
      </c>
      <c r="E79" s="2">
        <v>2.5320000000000002E-5</v>
      </c>
      <c r="F79" s="2" t="s">
        <v>7</v>
      </c>
    </row>
    <row r="80" spans="1:6" ht="22.5" hidden="1" customHeight="1" x14ac:dyDescent="0.25">
      <c r="A80" s="3">
        <v>43862</v>
      </c>
      <c r="B80" s="2" t="s">
        <v>85</v>
      </c>
      <c r="C80" s="2">
        <v>-0.28999999999999998</v>
      </c>
      <c r="D80" s="2">
        <v>6.0000000000000001E-3</v>
      </c>
      <c r="E80" s="2">
        <v>-1.7399999999999999E-5</v>
      </c>
      <c r="F80" s="2" t="s">
        <v>7</v>
      </c>
    </row>
    <row r="81" spans="1:6" ht="22.5" hidden="1" customHeight="1" x14ac:dyDescent="0.25">
      <c r="A81" s="3">
        <v>43862</v>
      </c>
      <c r="B81" s="2" t="s">
        <v>86</v>
      </c>
      <c r="C81" s="2">
        <v>-1.98</v>
      </c>
      <c r="D81" s="2">
        <v>2.63E-2</v>
      </c>
      <c r="E81" s="2">
        <v>-5.2074E-4</v>
      </c>
      <c r="F81" s="2" t="s">
        <v>7</v>
      </c>
    </row>
    <row r="82" spans="1:6" ht="22.5" hidden="1" customHeight="1" x14ac:dyDescent="0.25">
      <c r="A82" s="3">
        <v>43862</v>
      </c>
      <c r="B82" s="2" t="s">
        <v>87</v>
      </c>
      <c r="C82" s="2">
        <v>3.9</v>
      </c>
      <c r="D82" s="2">
        <v>1E-3</v>
      </c>
      <c r="E82" s="2">
        <v>3.8999999999999999E-5</v>
      </c>
      <c r="F82" s="2" t="s">
        <v>7</v>
      </c>
    </row>
    <row r="83" spans="1:6" ht="22.5" hidden="1" customHeight="1" x14ac:dyDescent="0.25">
      <c r="A83" s="3">
        <v>43862</v>
      </c>
      <c r="B83" s="2" t="s">
        <v>88</v>
      </c>
      <c r="C83" s="2">
        <v>-2.37</v>
      </c>
      <c r="D83" s="2">
        <v>7.0000000000000001E-3</v>
      </c>
      <c r="E83" s="2">
        <v>-1.6589999999999999E-4</v>
      </c>
      <c r="F83" s="2" t="s">
        <v>7</v>
      </c>
    </row>
    <row r="84" spans="1:6" ht="22.5" hidden="1" customHeight="1" x14ac:dyDescent="0.25">
      <c r="A84" s="3">
        <v>43862</v>
      </c>
      <c r="B84" s="2" t="s">
        <v>89</v>
      </c>
      <c r="C84" s="2">
        <v>-0.51</v>
      </c>
      <c r="D84" s="2">
        <v>1.7299999999999999E-2</v>
      </c>
      <c r="E84" s="2">
        <v>-8.8230000000000001E-5</v>
      </c>
      <c r="F84" s="2" t="s">
        <v>7</v>
      </c>
    </row>
    <row r="85" spans="1:6" ht="22.5" hidden="1" customHeight="1" x14ac:dyDescent="0.25">
      <c r="A85" s="3">
        <v>43862</v>
      </c>
      <c r="B85" s="2" t="s">
        <v>90</v>
      </c>
      <c r="C85" s="2">
        <v>1.23</v>
      </c>
      <c r="D85" s="2">
        <v>1.4E-3</v>
      </c>
      <c r="E85" s="2">
        <v>1.7220000000000001E-5</v>
      </c>
      <c r="F85" s="2" t="s">
        <v>7</v>
      </c>
    </row>
    <row r="86" spans="1:6" ht="22.5" hidden="1" customHeight="1" x14ac:dyDescent="0.25">
      <c r="A86" s="3">
        <v>43862</v>
      </c>
      <c r="B86" s="2" t="s">
        <v>91</v>
      </c>
      <c r="C86" s="2">
        <v>6.57</v>
      </c>
      <c r="D86" s="2">
        <v>2.3099999999999999E-2</v>
      </c>
      <c r="E86" s="2">
        <v>1.51767E-3</v>
      </c>
      <c r="F86" s="2" t="s">
        <v>7</v>
      </c>
    </row>
    <row r="87" spans="1:6" ht="22.5" hidden="1" customHeight="1" x14ac:dyDescent="0.25">
      <c r="A87" s="3">
        <v>43862</v>
      </c>
      <c r="B87" s="2" t="s">
        <v>92</v>
      </c>
      <c r="C87" s="2">
        <v>2.4</v>
      </c>
      <c r="D87" s="2">
        <v>5.4000000000000003E-3</v>
      </c>
      <c r="E87" s="2">
        <v>1.2960000000000001E-4</v>
      </c>
      <c r="F87" s="2" t="s">
        <v>7</v>
      </c>
    </row>
    <row r="88" spans="1:6" ht="22.5" hidden="1" customHeight="1" x14ac:dyDescent="0.25">
      <c r="A88" s="3">
        <v>43862</v>
      </c>
      <c r="B88" s="2" t="s">
        <v>93</v>
      </c>
      <c r="C88" s="2">
        <v>0.47</v>
      </c>
      <c r="D88" s="2">
        <v>1.1999999999999999E-3</v>
      </c>
      <c r="E88" s="2">
        <v>5.6400000000000002E-6</v>
      </c>
      <c r="F88" s="2" t="s">
        <v>7</v>
      </c>
    </row>
    <row r="89" spans="1:6" ht="22.5" hidden="1" customHeight="1" x14ac:dyDescent="0.25">
      <c r="A89" s="3">
        <v>43862</v>
      </c>
      <c r="B89" s="2" t="s">
        <v>94</v>
      </c>
      <c r="C89" s="2">
        <v>-2.4700000000000002</v>
      </c>
      <c r="D89" s="2">
        <v>8.9999999999999998E-4</v>
      </c>
      <c r="E89" s="2">
        <v>-2.2229999999999999E-5</v>
      </c>
      <c r="F89" s="2" t="s">
        <v>7</v>
      </c>
    </row>
    <row r="90" spans="1:6" ht="22.5" hidden="1" customHeight="1" x14ac:dyDescent="0.25">
      <c r="A90" s="3">
        <v>43862</v>
      </c>
      <c r="B90" s="2" t="s">
        <v>95</v>
      </c>
      <c r="C90" s="2">
        <v>-0.01</v>
      </c>
      <c r="D90" s="2">
        <v>1.7000000000000001E-2</v>
      </c>
      <c r="E90" s="2">
        <v>-1.7E-6</v>
      </c>
      <c r="F90" s="2" t="s">
        <v>7</v>
      </c>
    </row>
    <row r="91" spans="1:6" ht="22.5" hidden="1" customHeight="1" x14ac:dyDescent="0.25">
      <c r="A91" s="3">
        <v>43862</v>
      </c>
      <c r="B91" s="2" t="s">
        <v>96</v>
      </c>
      <c r="C91" s="2">
        <v>-0.94</v>
      </c>
      <c r="D91" s="2">
        <v>4.8500000000000001E-2</v>
      </c>
      <c r="E91" s="2">
        <v>-4.5590000000000002E-4</v>
      </c>
      <c r="F91" s="2" t="s">
        <v>7</v>
      </c>
    </row>
    <row r="92" spans="1:6" ht="22.5" hidden="1" customHeight="1" x14ac:dyDescent="0.25">
      <c r="A92" s="3">
        <v>43862</v>
      </c>
      <c r="B92" s="2" t="s">
        <v>97</v>
      </c>
      <c r="C92" s="2">
        <v>-0.16</v>
      </c>
      <c r="D92" s="2">
        <v>1.0999999999999999E-2</v>
      </c>
      <c r="E92" s="2">
        <v>-1.7600000000000001E-5</v>
      </c>
      <c r="F92" s="2" t="s">
        <v>7</v>
      </c>
    </row>
    <row r="93" spans="1:6" ht="22.5" hidden="1" customHeight="1" x14ac:dyDescent="0.25">
      <c r="A93" s="3">
        <v>43862</v>
      </c>
      <c r="B93" s="2" t="s">
        <v>98</v>
      </c>
      <c r="C93" s="2">
        <v>-1.28</v>
      </c>
      <c r="D93" s="2">
        <v>8.2000000000000007E-3</v>
      </c>
      <c r="E93" s="2">
        <v>-1.0496E-4</v>
      </c>
      <c r="F93" s="2" t="s">
        <v>7</v>
      </c>
    </row>
    <row r="94" spans="1:6" ht="22.5" hidden="1" customHeight="1" x14ac:dyDescent="0.25">
      <c r="A94" s="3">
        <v>43862</v>
      </c>
      <c r="B94" s="2" t="s">
        <v>99</v>
      </c>
      <c r="C94" s="2">
        <v>7.05</v>
      </c>
      <c r="D94" s="2">
        <v>3.7000000000000002E-3</v>
      </c>
      <c r="E94" s="2">
        <v>2.6085000000000002E-4</v>
      </c>
      <c r="F94" s="2" t="s">
        <v>7</v>
      </c>
    </row>
    <row r="95" spans="1:6" ht="22.5" hidden="1" customHeight="1" x14ac:dyDescent="0.25">
      <c r="A95" s="3">
        <v>43862</v>
      </c>
      <c r="B95" s="2" t="s">
        <v>100</v>
      </c>
      <c r="C95" s="2">
        <v>0.02</v>
      </c>
      <c r="D95" s="2">
        <v>6.9999999999999999E-4</v>
      </c>
      <c r="E95" s="2">
        <v>1.4000000000000001E-7</v>
      </c>
      <c r="F95" s="2" t="s">
        <v>7</v>
      </c>
    </row>
    <row r="96" spans="1:6" ht="22.5" hidden="1" customHeight="1" x14ac:dyDescent="0.25">
      <c r="A96" s="3">
        <v>43862</v>
      </c>
      <c r="B96" s="2" t="s">
        <v>101</v>
      </c>
      <c r="C96" s="2">
        <v>0.91</v>
      </c>
      <c r="D96" s="2">
        <v>9.69E-2</v>
      </c>
      <c r="E96" s="2">
        <v>8.8179000000000003E-4</v>
      </c>
      <c r="F96" s="2" t="s">
        <v>7</v>
      </c>
    </row>
    <row r="97" spans="1:6" ht="22.5" hidden="1" customHeight="1" x14ac:dyDescent="0.25">
      <c r="A97" s="3">
        <v>43862</v>
      </c>
      <c r="B97" s="2" t="s">
        <v>102</v>
      </c>
      <c r="C97" s="2">
        <v>0.93</v>
      </c>
      <c r="D97" s="2">
        <v>4.3200000000000002E-2</v>
      </c>
      <c r="E97" s="2">
        <v>4.0175999999999998E-4</v>
      </c>
      <c r="F97" s="2" t="s">
        <v>7</v>
      </c>
    </row>
    <row r="98" spans="1:6" ht="22.5" hidden="1" customHeight="1" x14ac:dyDescent="0.25">
      <c r="A98" s="3">
        <v>43862</v>
      </c>
      <c r="B98" s="2" t="s">
        <v>103</v>
      </c>
      <c r="C98" s="2">
        <v>0.83</v>
      </c>
      <c r="D98" s="2">
        <v>0.29470000000000002</v>
      </c>
      <c r="E98" s="2">
        <v>2.4460100000000002E-3</v>
      </c>
      <c r="F98" s="2" t="s">
        <v>7</v>
      </c>
    </row>
    <row r="99" spans="1:6" ht="22.5" hidden="1" customHeight="1" x14ac:dyDescent="0.25">
      <c r="A99" s="3">
        <v>43862</v>
      </c>
      <c r="B99" s="2" t="s">
        <v>104</v>
      </c>
      <c r="C99" s="2">
        <v>0.32</v>
      </c>
      <c r="D99" s="2">
        <v>5.3499999999999999E-2</v>
      </c>
      <c r="E99" s="2">
        <v>1.7119999999999999E-4</v>
      </c>
      <c r="F99" s="2" t="s">
        <v>7</v>
      </c>
    </row>
    <row r="100" spans="1:6" ht="22.5" hidden="1" customHeight="1" x14ac:dyDescent="0.25">
      <c r="A100" s="3">
        <v>43862</v>
      </c>
      <c r="B100" s="2" t="s">
        <v>105</v>
      </c>
      <c r="C100" s="2">
        <v>2.96</v>
      </c>
      <c r="D100" s="2">
        <v>8.6999999999999994E-3</v>
      </c>
      <c r="E100" s="2">
        <v>2.5752000000000001E-4</v>
      </c>
      <c r="F100" s="2" t="s">
        <v>7</v>
      </c>
    </row>
    <row r="101" spans="1:6" ht="22.5" hidden="1" customHeight="1" x14ac:dyDescent="0.25">
      <c r="A101" s="3">
        <v>43862</v>
      </c>
      <c r="B101" s="2" t="s">
        <v>106</v>
      </c>
      <c r="C101" s="2">
        <v>2.5</v>
      </c>
      <c r="D101" s="2">
        <v>8.6999999999999994E-3</v>
      </c>
      <c r="E101" s="2">
        <v>2.175E-4</v>
      </c>
      <c r="F101" s="2" t="s">
        <v>7</v>
      </c>
    </row>
    <row r="102" spans="1:6" ht="22.5" hidden="1" customHeight="1" x14ac:dyDescent="0.25">
      <c r="A102" s="3">
        <v>43862</v>
      </c>
      <c r="B102" s="2" t="s">
        <v>107</v>
      </c>
      <c r="C102" s="2">
        <v>0.42</v>
      </c>
      <c r="D102" s="2">
        <v>0.1145</v>
      </c>
      <c r="E102" s="2">
        <v>4.8089999999999998E-4</v>
      </c>
      <c r="F102" s="2" t="s">
        <v>7</v>
      </c>
    </row>
    <row r="103" spans="1:6" ht="22.5" hidden="1" customHeight="1" x14ac:dyDescent="0.25">
      <c r="A103" s="3">
        <v>43862</v>
      </c>
      <c r="B103" s="2" t="s">
        <v>108</v>
      </c>
      <c r="C103" s="2">
        <v>0.36</v>
      </c>
      <c r="D103" s="2">
        <v>8.0000000000000002E-3</v>
      </c>
      <c r="E103" s="2">
        <v>2.8799999999999999E-5</v>
      </c>
      <c r="F103" s="2" t="s">
        <v>7</v>
      </c>
    </row>
    <row r="104" spans="1:6" ht="22.5" hidden="1" customHeight="1" x14ac:dyDescent="0.25">
      <c r="A104" s="3">
        <v>43862</v>
      </c>
      <c r="B104" s="2" t="s">
        <v>109</v>
      </c>
      <c r="C104" s="2">
        <v>-0.37</v>
      </c>
      <c r="D104" s="2">
        <v>0.32819999999999999</v>
      </c>
      <c r="E104" s="2">
        <v>-1.21434E-3</v>
      </c>
      <c r="F104" s="2" t="s">
        <v>7</v>
      </c>
    </row>
    <row r="105" spans="1:6" ht="22.5" hidden="1" customHeight="1" x14ac:dyDescent="0.25">
      <c r="A105" s="3">
        <v>43862</v>
      </c>
      <c r="B105" s="2" t="s">
        <v>110</v>
      </c>
      <c r="C105" s="2">
        <v>0.56999999999999995</v>
      </c>
      <c r="D105" s="2">
        <v>0.5635</v>
      </c>
      <c r="E105" s="2">
        <v>3.2119499999999999E-3</v>
      </c>
      <c r="F105" s="2" t="s">
        <v>7</v>
      </c>
    </row>
    <row r="106" spans="1:6" ht="22.5" hidden="1" customHeight="1" x14ac:dyDescent="0.25">
      <c r="A106" s="3">
        <v>43862</v>
      </c>
      <c r="B106" s="2" t="s">
        <v>111</v>
      </c>
      <c r="C106" s="2">
        <v>-1.08</v>
      </c>
      <c r="D106" s="2">
        <v>0.2253</v>
      </c>
      <c r="E106" s="2">
        <v>-2.4332400000000001E-3</v>
      </c>
      <c r="F106" s="2" t="s">
        <v>7</v>
      </c>
    </row>
    <row r="107" spans="1:6" ht="22.5" hidden="1" customHeight="1" x14ac:dyDescent="0.25">
      <c r="A107" s="3">
        <v>43862</v>
      </c>
      <c r="B107" s="2" t="s">
        <v>112</v>
      </c>
      <c r="C107" s="2">
        <v>-0.67</v>
      </c>
      <c r="D107" s="2">
        <v>0.61339999999999995</v>
      </c>
      <c r="E107" s="2">
        <v>-4.1097800000000004E-3</v>
      </c>
      <c r="F107" s="2" t="s">
        <v>7</v>
      </c>
    </row>
    <row r="108" spans="1:6" ht="22.5" hidden="1" customHeight="1" x14ac:dyDescent="0.25">
      <c r="A108" s="3">
        <v>43862</v>
      </c>
      <c r="B108" s="2" t="s">
        <v>113</v>
      </c>
      <c r="C108" s="2">
        <v>-0.37</v>
      </c>
      <c r="D108" s="2">
        <v>1.95E-2</v>
      </c>
      <c r="E108" s="2">
        <v>-7.2150000000000005E-5</v>
      </c>
      <c r="F108" s="2" t="s">
        <v>7</v>
      </c>
    </row>
    <row r="109" spans="1:6" ht="22.5" hidden="1" customHeight="1" x14ac:dyDescent="0.25">
      <c r="A109" s="3">
        <v>43862</v>
      </c>
      <c r="B109" s="2" t="s">
        <v>114</v>
      </c>
      <c r="C109" s="2">
        <v>0.56000000000000005</v>
      </c>
      <c r="D109" s="2">
        <v>0.1787</v>
      </c>
      <c r="E109" s="2">
        <v>1.0007200000000001E-3</v>
      </c>
      <c r="F109" s="2" t="s">
        <v>7</v>
      </c>
    </row>
    <row r="110" spans="1:6" ht="22.5" hidden="1" customHeight="1" x14ac:dyDescent="0.25">
      <c r="A110" s="3">
        <v>43862</v>
      </c>
      <c r="B110" s="2" t="s">
        <v>115</v>
      </c>
      <c r="C110" s="2">
        <v>0.53</v>
      </c>
      <c r="D110" s="2">
        <v>0.49759999999999999</v>
      </c>
      <c r="E110" s="2">
        <v>2.6372800000000001E-3</v>
      </c>
      <c r="F110" s="2" t="s">
        <v>7</v>
      </c>
    </row>
    <row r="111" spans="1:6" ht="22.5" hidden="1" customHeight="1" x14ac:dyDescent="0.25">
      <c r="A111" s="3">
        <v>43862</v>
      </c>
      <c r="B111" s="2" t="s">
        <v>116</v>
      </c>
      <c r="C111" s="2">
        <v>-0.02</v>
      </c>
      <c r="D111" s="2">
        <v>0.14960000000000001</v>
      </c>
      <c r="E111" s="2">
        <v>-2.9920000000000002E-5</v>
      </c>
      <c r="F111" s="2" t="s">
        <v>7</v>
      </c>
    </row>
    <row r="112" spans="1:6" ht="22.5" hidden="1" customHeight="1" x14ac:dyDescent="0.25">
      <c r="A112" s="3">
        <v>43862</v>
      </c>
      <c r="B112" s="2" t="s">
        <v>117</v>
      </c>
      <c r="C112" s="2">
        <v>2.4300000000000002</v>
      </c>
      <c r="D112" s="2">
        <v>5.0799999999999998E-2</v>
      </c>
      <c r="E112" s="2">
        <v>1.2344400000000001E-3</v>
      </c>
      <c r="F112" s="2" t="s">
        <v>7</v>
      </c>
    </row>
    <row r="113" spans="1:6" ht="22.5" hidden="1" customHeight="1" x14ac:dyDescent="0.25">
      <c r="A113" s="3">
        <v>43862</v>
      </c>
      <c r="B113" s="2" t="s">
        <v>118</v>
      </c>
      <c r="C113" s="2">
        <v>-0.3</v>
      </c>
      <c r="D113" s="2">
        <v>6.1199999999999997E-2</v>
      </c>
      <c r="E113" s="2">
        <v>-1.8359999999999999E-4</v>
      </c>
      <c r="F113" s="2" t="s">
        <v>7</v>
      </c>
    </row>
    <row r="114" spans="1:6" ht="22.5" hidden="1" customHeight="1" x14ac:dyDescent="0.25">
      <c r="A114" s="3">
        <v>43862</v>
      </c>
      <c r="B114" s="2" t="s">
        <v>119</v>
      </c>
      <c r="C114" s="2">
        <v>0.95</v>
      </c>
      <c r="D114" s="2">
        <v>1.0500000000000001E-2</v>
      </c>
      <c r="E114" s="2">
        <v>9.9749999999999999E-5</v>
      </c>
      <c r="F114" s="2" t="s">
        <v>7</v>
      </c>
    </row>
    <row r="115" spans="1:6" ht="22.5" hidden="1" customHeight="1" x14ac:dyDescent="0.25">
      <c r="A115" s="3">
        <v>43862</v>
      </c>
      <c r="B115" s="2" t="s">
        <v>120</v>
      </c>
      <c r="C115" s="2">
        <v>0.7</v>
      </c>
      <c r="D115" s="2">
        <v>0.43319999999999997</v>
      </c>
      <c r="E115" s="2">
        <v>3.0324000000000002E-3</v>
      </c>
      <c r="F115" s="2" t="s">
        <v>7</v>
      </c>
    </row>
    <row r="116" spans="1:6" ht="22.5" hidden="1" customHeight="1" x14ac:dyDescent="0.25">
      <c r="A116" s="3">
        <v>43862</v>
      </c>
      <c r="B116" s="2" t="s">
        <v>121</v>
      </c>
      <c r="C116" s="2">
        <v>0.87</v>
      </c>
      <c r="D116" s="2">
        <v>0.79620000000000002</v>
      </c>
      <c r="E116" s="2">
        <v>6.9269400000000004E-3</v>
      </c>
      <c r="F116" s="2" t="s">
        <v>7</v>
      </c>
    </row>
    <row r="117" spans="1:6" ht="22.5" hidden="1" customHeight="1" x14ac:dyDescent="0.25">
      <c r="A117" s="3">
        <v>43862</v>
      </c>
      <c r="B117" s="2" t="s">
        <v>122</v>
      </c>
      <c r="C117" s="2">
        <v>-0.95</v>
      </c>
      <c r="D117" s="2">
        <v>8.4699999999999998E-2</v>
      </c>
      <c r="E117" s="2">
        <v>-8.0464999999999996E-4</v>
      </c>
      <c r="F117" s="2" t="s">
        <v>7</v>
      </c>
    </row>
    <row r="118" spans="1:6" ht="22.5" hidden="1" customHeight="1" x14ac:dyDescent="0.25">
      <c r="A118" s="3">
        <v>43862</v>
      </c>
      <c r="B118" s="2" t="s">
        <v>123</v>
      </c>
      <c r="C118" s="2">
        <v>0.4</v>
      </c>
      <c r="D118" s="2">
        <v>9.4600000000000004E-2</v>
      </c>
      <c r="E118" s="2">
        <v>3.7839999999999998E-4</v>
      </c>
      <c r="F118" s="2" t="s">
        <v>7</v>
      </c>
    </row>
    <row r="119" spans="1:6" ht="22.5" hidden="1" customHeight="1" x14ac:dyDescent="0.25">
      <c r="A119" s="3">
        <v>43862</v>
      </c>
      <c r="B119" s="2" t="s">
        <v>124</v>
      </c>
      <c r="C119" s="2">
        <v>-0.46</v>
      </c>
      <c r="D119" s="2">
        <v>0.1368</v>
      </c>
      <c r="E119" s="2">
        <v>-6.2927999999999997E-4</v>
      </c>
      <c r="F119" s="2" t="s">
        <v>7</v>
      </c>
    </row>
    <row r="120" spans="1:6" ht="22.5" hidden="1" customHeight="1" x14ac:dyDescent="0.25">
      <c r="A120" s="3">
        <v>43862</v>
      </c>
      <c r="B120" s="2" t="s">
        <v>125</v>
      </c>
      <c r="C120" s="2">
        <v>-1.71</v>
      </c>
      <c r="D120" s="2">
        <v>2.98E-2</v>
      </c>
      <c r="E120" s="2">
        <v>-5.0958000000000004E-4</v>
      </c>
      <c r="F120" s="2" t="s">
        <v>7</v>
      </c>
    </row>
    <row r="121" spans="1:6" ht="22.5" hidden="1" customHeight="1" x14ac:dyDescent="0.25">
      <c r="A121" s="3">
        <v>43862</v>
      </c>
      <c r="B121" s="2" t="s">
        <v>126</v>
      </c>
      <c r="C121" s="2">
        <v>2.8</v>
      </c>
      <c r="D121" s="2">
        <v>0.17399999999999999</v>
      </c>
      <c r="E121" s="2">
        <v>4.8719999999999996E-3</v>
      </c>
      <c r="F121" s="2" t="s">
        <v>7</v>
      </c>
    </row>
    <row r="122" spans="1:6" ht="22.5" hidden="1" customHeight="1" x14ac:dyDescent="0.25">
      <c r="A122" s="3">
        <v>43862</v>
      </c>
      <c r="B122" s="2" t="s">
        <v>127</v>
      </c>
      <c r="C122" s="2">
        <v>-1.41</v>
      </c>
      <c r="D122" s="2">
        <v>6.1100000000000002E-2</v>
      </c>
      <c r="E122" s="2">
        <v>-8.6151000000000001E-4</v>
      </c>
      <c r="F122" s="2" t="s">
        <v>7</v>
      </c>
    </row>
    <row r="123" spans="1:6" ht="22.5" hidden="1" customHeight="1" x14ac:dyDescent="0.25">
      <c r="A123" s="3">
        <v>43862</v>
      </c>
      <c r="B123" s="2" t="s">
        <v>128</v>
      </c>
      <c r="C123" s="2">
        <v>-0.14000000000000001</v>
      </c>
      <c r="D123" s="2">
        <v>9.1600000000000001E-2</v>
      </c>
      <c r="E123" s="2">
        <v>-1.2824000000000001E-4</v>
      </c>
      <c r="F123" s="2" t="s">
        <v>7</v>
      </c>
    </row>
    <row r="124" spans="1:6" ht="22.5" hidden="1" customHeight="1" x14ac:dyDescent="0.25">
      <c r="A124" s="3">
        <v>43862</v>
      </c>
      <c r="B124" s="2" t="s">
        <v>129</v>
      </c>
      <c r="C124" s="2">
        <v>-0.71</v>
      </c>
      <c r="D124" s="2">
        <v>0.12939999999999999</v>
      </c>
      <c r="E124" s="2">
        <v>-9.1874000000000003E-4</v>
      </c>
      <c r="F124" s="2" t="s">
        <v>7</v>
      </c>
    </row>
    <row r="125" spans="1:6" ht="22.5" hidden="1" customHeight="1" x14ac:dyDescent="0.25">
      <c r="A125" s="3">
        <v>43862</v>
      </c>
      <c r="B125" s="2" t="s">
        <v>130</v>
      </c>
      <c r="C125" s="2">
        <v>-0.09</v>
      </c>
      <c r="D125" s="2">
        <v>1.35E-2</v>
      </c>
      <c r="E125" s="2">
        <v>-1.2150000000000001E-5</v>
      </c>
      <c r="F125" s="2" t="s">
        <v>7</v>
      </c>
    </row>
    <row r="126" spans="1:6" ht="22.5" hidden="1" customHeight="1" x14ac:dyDescent="0.25">
      <c r="A126" s="3">
        <v>43862</v>
      </c>
      <c r="B126" s="2" t="s">
        <v>131</v>
      </c>
      <c r="C126" s="2">
        <v>8.7799999999999994</v>
      </c>
      <c r="D126" s="2">
        <v>5.5199999999999999E-2</v>
      </c>
      <c r="E126" s="2">
        <v>4.8465599999999998E-3</v>
      </c>
      <c r="F126" s="2" t="s">
        <v>7</v>
      </c>
    </row>
    <row r="127" spans="1:6" ht="22.5" hidden="1" customHeight="1" x14ac:dyDescent="0.25">
      <c r="A127" s="3">
        <v>43862</v>
      </c>
      <c r="B127" s="2" t="s">
        <v>132</v>
      </c>
      <c r="C127" s="2">
        <v>-0.59</v>
      </c>
      <c r="D127" s="2">
        <v>0.28170000000000001</v>
      </c>
      <c r="E127" s="2">
        <v>-1.6620300000000001E-3</v>
      </c>
      <c r="F127" s="2" t="s">
        <v>7</v>
      </c>
    </row>
    <row r="128" spans="1:6" ht="22.5" hidden="1" customHeight="1" x14ac:dyDescent="0.25">
      <c r="A128" s="3">
        <v>43862</v>
      </c>
      <c r="B128" s="2" t="s">
        <v>133</v>
      </c>
      <c r="C128" s="2">
        <v>2.21</v>
      </c>
      <c r="D128" s="2">
        <v>8.0999999999999996E-3</v>
      </c>
      <c r="E128" s="2">
        <v>1.7901000000000001E-4</v>
      </c>
      <c r="F128" s="2" t="s">
        <v>7</v>
      </c>
    </row>
    <row r="129" spans="1:6" ht="22.5" hidden="1" customHeight="1" x14ac:dyDescent="0.25">
      <c r="A129" s="3">
        <v>43862</v>
      </c>
      <c r="B129" s="2" t="s">
        <v>134</v>
      </c>
      <c r="C129" s="2">
        <v>0.44</v>
      </c>
      <c r="D129" s="2">
        <v>0.50090000000000001</v>
      </c>
      <c r="E129" s="2">
        <v>2.20396E-3</v>
      </c>
      <c r="F129" s="2" t="s">
        <v>7</v>
      </c>
    </row>
    <row r="130" spans="1:6" ht="22.5" hidden="1" customHeight="1" x14ac:dyDescent="0.25">
      <c r="A130" s="3">
        <v>43862</v>
      </c>
      <c r="B130" s="2" t="s">
        <v>135</v>
      </c>
      <c r="C130" s="2">
        <v>-0.89</v>
      </c>
      <c r="D130" s="2">
        <v>0.40760000000000002</v>
      </c>
      <c r="E130" s="2">
        <v>-3.6276400000000001E-3</v>
      </c>
      <c r="F130" s="2" t="s">
        <v>7</v>
      </c>
    </row>
    <row r="131" spans="1:6" ht="22.5" hidden="1" customHeight="1" x14ac:dyDescent="0.25">
      <c r="A131" s="3">
        <v>43862</v>
      </c>
      <c r="B131" s="2" t="s">
        <v>136</v>
      </c>
      <c r="C131" s="2">
        <v>-0.11</v>
      </c>
      <c r="D131" s="2">
        <v>3.6600000000000001E-2</v>
      </c>
      <c r="E131" s="2">
        <v>-4.0259999999999997E-5</v>
      </c>
      <c r="F131" s="2" t="s">
        <v>7</v>
      </c>
    </row>
    <row r="132" spans="1:6" ht="22.5" hidden="1" customHeight="1" x14ac:dyDescent="0.25">
      <c r="A132" s="3">
        <v>43862</v>
      </c>
      <c r="B132" s="2" t="s">
        <v>137</v>
      </c>
      <c r="C132" s="2">
        <v>0.11</v>
      </c>
      <c r="D132" s="2">
        <v>6.9500000000000006E-2</v>
      </c>
      <c r="E132" s="2">
        <v>7.6450000000000002E-5</v>
      </c>
      <c r="F132" s="2" t="s">
        <v>7</v>
      </c>
    </row>
    <row r="133" spans="1:6" ht="22.5" hidden="1" customHeight="1" x14ac:dyDescent="0.25">
      <c r="A133" s="3">
        <v>43862</v>
      </c>
      <c r="B133" s="2" t="s">
        <v>138</v>
      </c>
      <c r="C133" s="2">
        <v>-0.85</v>
      </c>
      <c r="D133" s="2">
        <v>4.9000000000000002E-2</v>
      </c>
      <c r="E133" s="2">
        <v>-4.1649999999999999E-4</v>
      </c>
      <c r="F133" s="2" t="s">
        <v>7</v>
      </c>
    </row>
    <row r="134" spans="1:6" ht="22.5" hidden="1" customHeight="1" x14ac:dyDescent="0.25">
      <c r="A134" s="3">
        <v>43862</v>
      </c>
      <c r="B134" s="2" t="s">
        <v>139</v>
      </c>
      <c r="C134" s="2">
        <v>7.0000000000000007E-2</v>
      </c>
      <c r="D134" s="2">
        <v>2.5700000000000001E-2</v>
      </c>
      <c r="E134" s="2">
        <v>1.7989999999999999E-5</v>
      </c>
      <c r="F134" s="2" t="s">
        <v>7</v>
      </c>
    </row>
    <row r="135" spans="1:6" ht="22.5" hidden="1" customHeight="1" x14ac:dyDescent="0.25">
      <c r="A135" s="3">
        <v>43862</v>
      </c>
      <c r="B135" s="2" t="s">
        <v>140</v>
      </c>
      <c r="C135" s="2">
        <v>0.95</v>
      </c>
      <c r="D135" s="2">
        <v>2.0999999999999999E-3</v>
      </c>
      <c r="E135" s="2">
        <v>1.995E-5</v>
      </c>
      <c r="F135" s="2" t="s">
        <v>7</v>
      </c>
    </row>
    <row r="136" spans="1:6" ht="22.5" hidden="1" customHeight="1" x14ac:dyDescent="0.25">
      <c r="A136" s="3">
        <v>43862</v>
      </c>
      <c r="B136" s="2" t="s">
        <v>141</v>
      </c>
      <c r="C136" s="2">
        <v>0.12</v>
      </c>
      <c r="D136" s="2">
        <v>1.9300000000000001E-2</v>
      </c>
      <c r="E136" s="2">
        <v>2.3159999999999998E-5</v>
      </c>
      <c r="F136" s="2" t="s">
        <v>7</v>
      </c>
    </row>
    <row r="137" spans="1:6" ht="22.5" hidden="1" customHeight="1" x14ac:dyDescent="0.25">
      <c r="A137" s="3">
        <v>43862</v>
      </c>
      <c r="B137" s="2" t="s">
        <v>142</v>
      </c>
      <c r="C137" s="2">
        <v>1.66</v>
      </c>
      <c r="D137" s="2">
        <v>3.8999999999999998E-3</v>
      </c>
      <c r="E137" s="2">
        <v>6.4739999999999993E-5</v>
      </c>
      <c r="F137" s="2" t="s">
        <v>7</v>
      </c>
    </row>
    <row r="138" spans="1:6" ht="22.5" hidden="1" customHeight="1" x14ac:dyDescent="0.25">
      <c r="A138" s="3">
        <v>43862</v>
      </c>
      <c r="B138" s="2" t="s">
        <v>143</v>
      </c>
      <c r="C138" s="2">
        <v>0.7</v>
      </c>
      <c r="D138" s="2">
        <v>3.7199999999999997E-2</v>
      </c>
      <c r="E138" s="2">
        <v>2.6039999999999999E-4</v>
      </c>
      <c r="F138" s="2" t="s">
        <v>7</v>
      </c>
    </row>
    <row r="139" spans="1:6" ht="22.5" hidden="1" customHeight="1" x14ac:dyDescent="0.25">
      <c r="A139" s="3">
        <v>43862</v>
      </c>
      <c r="B139" s="2" t="s">
        <v>144</v>
      </c>
      <c r="C139" s="2">
        <v>1.0900000000000001</v>
      </c>
      <c r="D139" s="2">
        <v>1.4E-3</v>
      </c>
      <c r="E139" s="2">
        <v>1.526E-5</v>
      </c>
      <c r="F139" s="2" t="s">
        <v>7</v>
      </c>
    </row>
    <row r="140" spans="1:6" ht="22.5" hidden="1" customHeight="1" x14ac:dyDescent="0.25">
      <c r="A140" s="3">
        <v>43862</v>
      </c>
      <c r="B140" s="2" t="s">
        <v>145</v>
      </c>
      <c r="C140" s="2">
        <v>-0.35</v>
      </c>
      <c r="D140" s="2">
        <v>1.6000000000000001E-3</v>
      </c>
      <c r="E140" s="2">
        <v>-5.5999999999999997E-6</v>
      </c>
      <c r="F140" s="2" t="s">
        <v>7</v>
      </c>
    </row>
    <row r="141" spans="1:6" ht="22.5" hidden="1" customHeight="1" x14ac:dyDescent="0.25">
      <c r="A141" s="3">
        <v>43862</v>
      </c>
      <c r="B141" s="2" t="s">
        <v>146</v>
      </c>
      <c r="C141" s="2">
        <v>0.56000000000000005</v>
      </c>
      <c r="D141" s="2">
        <v>3.1699999999999999E-2</v>
      </c>
      <c r="E141" s="2">
        <v>1.7751999999999999E-4</v>
      </c>
      <c r="F141" s="2" t="s">
        <v>7</v>
      </c>
    </row>
    <row r="142" spans="1:6" ht="22.5" hidden="1" customHeight="1" x14ac:dyDescent="0.25">
      <c r="A142" s="3">
        <v>43862</v>
      </c>
      <c r="B142" s="2" t="s">
        <v>147</v>
      </c>
      <c r="C142" s="2">
        <v>1.46</v>
      </c>
      <c r="D142" s="2">
        <v>2.52E-2</v>
      </c>
      <c r="E142" s="2">
        <v>3.6791999999999999E-4</v>
      </c>
      <c r="F142" s="2" t="s">
        <v>7</v>
      </c>
    </row>
    <row r="143" spans="1:6" ht="22.5" hidden="1" customHeight="1" x14ac:dyDescent="0.25">
      <c r="A143" s="3">
        <v>43862</v>
      </c>
      <c r="B143" s="2" t="s">
        <v>148</v>
      </c>
      <c r="C143" s="2">
        <v>-0.26</v>
      </c>
      <c r="D143" s="2">
        <v>2.2200000000000001E-2</v>
      </c>
      <c r="E143" s="2">
        <v>-5.7720000000000003E-5</v>
      </c>
      <c r="F143" s="2" t="s">
        <v>7</v>
      </c>
    </row>
    <row r="144" spans="1:6" ht="22.5" hidden="1" customHeight="1" x14ac:dyDescent="0.25">
      <c r="A144" s="3">
        <v>43862</v>
      </c>
      <c r="B144" s="2" t="s">
        <v>149</v>
      </c>
      <c r="C144" s="2">
        <v>1</v>
      </c>
      <c r="D144" s="2">
        <v>2.3999999999999998E-3</v>
      </c>
      <c r="E144" s="2">
        <v>2.4000000000000001E-5</v>
      </c>
      <c r="F144" s="2" t="s">
        <v>7</v>
      </c>
    </row>
    <row r="145" spans="1:6" ht="22.5" hidden="1" customHeight="1" x14ac:dyDescent="0.25">
      <c r="A145" s="3">
        <v>43862</v>
      </c>
      <c r="B145" s="2" t="s">
        <v>150</v>
      </c>
      <c r="C145" s="2">
        <v>0.14000000000000001</v>
      </c>
      <c r="D145" s="2">
        <v>0.11070000000000001</v>
      </c>
      <c r="E145" s="2">
        <v>1.5498000000000001E-4</v>
      </c>
      <c r="F145" s="2" t="s">
        <v>7</v>
      </c>
    </row>
    <row r="146" spans="1:6" ht="22.5" hidden="1" customHeight="1" x14ac:dyDescent="0.25">
      <c r="A146" s="3">
        <v>43862</v>
      </c>
      <c r="B146" s="2" t="s">
        <v>151</v>
      </c>
      <c r="C146" s="2">
        <v>0.85</v>
      </c>
      <c r="D146" s="2">
        <v>0.1089</v>
      </c>
      <c r="E146" s="2">
        <v>9.2564999999999998E-4</v>
      </c>
      <c r="F146" s="2" t="s">
        <v>7</v>
      </c>
    </row>
    <row r="147" spans="1:6" ht="22.5" hidden="1" customHeight="1" x14ac:dyDescent="0.25">
      <c r="A147" s="3">
        <v>43862</v>
      </c>
      <c r="B147" s="2" t="s">
        <v>152</v>
      </c>
      <c r="C147" s="2">
        <v>0.95</v>
      </c>
      <c r="D147" s="2">
        <v>3.0999999999999999E-3</v>
      </c>
      <c r="E147" s="2">
        <v>2.9450000000000001E-5</v>
      </c>
      <c r="F147" s="2" t="s">
        <v>7</v>
      </c>
    </row>
    <row r="148" spans="1:6" ht="22.5" hidden="1" customHeight="1" x14ac:dyDescent="0.25">
      <c r="A148" s="3">
        <v>43862</v>
      </c>
      <c r="B148" s="2" t="s">
        <v>153</v>
      </c>
      <c r="C148" s="2">
        <v>-1.37</v>
      </c>
      <c r="D148" s="2">
        <v>8.9999999999999998E-4</v>
      </c>
      <c r="E148" s="2">
        <v>-1.2330000000000001E-5</v>
      </c>
      <c r="F148" s="2" t="s">
        <v>7</v>
      </c>
    </row>
    <row r="149" spans="1:6" ht="22.5" hidden="1" customHeight="1" x14ac:dyDescent="0.25">
      <c r="A149" s="3">
        <v>43862</v>
      </c>
      <c r="B149" s="2" t="s">
        <v>154</v>
      </c>
      <c r="C149" s="2">
        <v>0.42</v>
      </c>
      <c r="D149" s="2">
        <v>1.1000000000000001E-3</v>
      </c>
      <c r="E149" s="2">
        <v>4.6199999999999998E-6</v>
      </c>
      <c r="F149" s="2" t="s">
        <v>7</v>
      </c>
    </row>
    <row r="150" spans="1:6" ht="22.5" hidden="1" customHeight="1" x14ac:dyDescent="0.25">
      <c r="A150" s="3">
        <v>43862</v>
      </c>
      <c r="B150" s="2" t="s">
        <v>155</v>
      </c>
      <c r="C150" s="2">
        <v>-2.3199999999999998</v>
      </c>
      <c r="D150" s="2">
        <v>5.7999999999999996E-3</v>
      </c>
      <c r="E150" s="2">
        <v>-1.3456000000000001E-4</v>
      </c>
      <c r="F150" s="2" t="s">
        <v>7</v>
      </c>
    </row>
    <row r="151" spans="1:6" ht="22.5" hidden="1" customHeight="1" x14ac:dyDescent="0.25">
      <c r="A151" s="3">
        <v>43862</v>
      </c>
      <c r="B151" s="2" t="s">
        <v>156</v>
      </c>
      <c r="C151" s="2">
        <v>-0.83</v>
      </c>
      <c r="D151" s="2">
        <v>4.4299999999999999E-2</v>
      </c>
      <c r="E151" s="2">
        <v>-3.6769E-4</v>
      </c>
      <c r="F151" s="2" t="s">
        <v>7</v>
      </c>
    </row>
    <row r="152" spans="1:6" ht="22.5" hidden="1" customHeight="1" x14ac:dyDescent="0.25">
      <c r="A152" s="3">
        <v>43862</v>
      </c>
      <c r="B152" s="2" t="s">
        <v>157</v>
      </c>
      <c r="C152" s="2">
        <v>0.53</v>
      </c>
      <c r="D152" s="2">
        <v>1.7000000000000001E-2</v>
      </c>
      <c r="E152" s="2">
        <v>9.0099999999999995E-5</v>
      </c>
      <c r="F152" s="2" t="s">
        <v>7</v>
      </c>
    </row>
    <row r="153" spans="1:6" ht="22.5" hidden="1" customHeight="1" x14ac:dyDescent="0.25">
      <c r="A153" s="3">
        <v>43862</v>
      </c>
      <c r="B153" s="2" t="s">
        <v>158</v>
      </c>
      <c r="C153" s="2">
        <v>0.04</v>
      </c>
      <c r="D153" s="2">
        <v>9.9000000000000008E-3</v>
      </c>
      <c r="E153" s="2">
        <v>3.9600000000000002E-6</v>
      </c>
      <c r="F153" s="2" t="s">
        <v>7</v>
      </c>
    </row>
    <row r="154" spans="1:6" ht="22.5" hidden="1" customHeight="1" x14ac:dyDescent="0.25">
      <c r="A154" s="3">
        <v>43862</v>
      </c>
      <c r="B154" s="2" t="s">
        <v>159</v>
      </c>
      <c r="C154" s="2">
        <v>1</v>
      </c>
      <c r="D154" s="2">
        <v>5.2499999999999998E-2</v>
      </c>
      <c r="E154" s="2">
        <v>5.2499999999999997E-4</v>
      </c>
      <c r="F154" s="2" t="s">
        <v>7</v>
      </c>
    </row>
    <row r="155" spans="1:6" ht="22.5" hidden="1" customHeight="1" x14ac:dyDescent="0.25">
      <c r="A155" s="3">
        <v>43862</v>
      </c>
      <c r="B155" s="2" t="s">
        <v>160</v>
      </c>
      <c r="C155" s="2">
        <v>0.66</v>
      </c>
      <c r="D155" s="2">
        <v>3.7799</v>
      </c>
      <c r="E155" s="2">
        <v>2.4947339999999998E-2</v>
      </c>
      <c r="F155" s="2" t="s">
        <v>7</v>
      </c>
    </row>
    <row r="156" spans="1:6" ht="22.5" hidden="1" customHeight="1" x14ac:dyDescent="0.25">
      <c r="A156" s="3">
        <v>43862</v>
      </c>
      <c r="B156" s="2" t="s">
        <v>161</v>
      </c>
      <c r="C156" s="2">
        <v>-0.25</v>
      </c>
      <c r="D156" s="2">
        <v>1.6407</v>
      </c>
      <c r="E156" s="2">
        <v>-4.1017500000000004E-3</v>
      </c>
      <c r="F156" s="2" t="s">
        <v>7</v>
      </c>
    </row>
    <row r="157" spans="1:6" ht="22.5" hidden="1" customHeight="1" x14ac:dyDescent="0.25">
      <c r="A157" s="3">
        <v>43862</v>
      </c>
      <c r="B157" s="2" t="s">
        <v>134</v>
      </c>
      <c r="C157" s="2">
        <v>0.34</v>
      </c>
      <c r="D157" s="2">
        <v>0.1244</v>
      </c>
      <c r="E157" s="2">
        <v>4.2296E-4</v>
      </c>
      <c r="F157" s="2" t="s">
        <v>7</v>
      </c>
    </row>
    <row r="158" spans="1:6" ht="22.5" hidden="1" customHeight="1" x14ac:dyDescent="0.25">
      <c r="A158" s="3">
        <v>43862</v>
      </c>
      <c r="B158" s="2" t="s">
        <v>162</v>
      </c>
      <c r="C158" s="2">
        <v>1.82</v>
      </c>
      <c r="D158" s="2">
        <v>4.1500000000000002E-2</v>
      </c>
      <c r="E158" s="2">
        <v>7.5529999999999998E-4</v>
      </c>
      <c r="F158" s="2" t="s">
        <v>7</v>
      </c>
    </row>
    <row r="159" spans="1:6" ht="22.5" hidden="1" customHeight="1" x14ac:dyDescent="0.25">
      <c r="A159" s="3">
        <v>43862</v>
      </c>
      <c r="B159" s="2" t="s">
        <v>135</v>
      </c>
      <c r="C159" s="2">
        <v>0.19</v>
      </c>
      <c r="D159" s="2">
        <v>0.2949</v>
      </c>
      <c r="E159" s="2">
        <v>5.6030999999999995E-4</v>
      </c>
      <c r="F159" s="2" t="s">
        <v>7</v>
      </c>
    </row>
    <row r="160" spans="1:6" ht="22.5" hidden="1" customHeight="1" x14ac:dyDescent="0.25">
      <c r="A160" s="3">
        <v>43862</v>
      </c>
      <c r="B160" s="2" t="s">
        <v>136</v>
      </c>
      <c r="C160" s="2">
        <v>-1.28</v>
      </c>
      <c r="D160" s="2">
        <v>4.4999999999999997E-3</v>
      </c>
      <c r="E160" s="2">
        <v>-5.7599999999999997E-5</v>
      </c>
      <c r="F160" s="2" t="s">
        <v>7</v>
      </c>
    </row>
    <row r="161" spans="1:6" ht="22.5" hidden="1" customHeight="1" x14ac:dyDescent="0.25">
      <c r="A161" s="3">
        <v>43862</v>
      </c>
      <c r="B161" s="2" t="s">
        <v>137</v>
      </c>
      <c r="C161" s="2">
        <v>1.31</v>
      </c>
      <c r="D161" s="2">
        <v>8.3999999999999995E-3</v>
      </c>
      <c r="E161" s="2">
        <v>1.1004E-4</v>
      </c>
      <c r="F161" s="2" t="s">
        <v>7</v>
      </c>
    </row>
    <row r="162" spans="1:6" ht="22.5" hidden="1" customHeight="1" x14ac:dyDescent="0.25">
      <c r="A162" s="3">
        <v>43862</v>
      </c>
      <c r="B162" s="2" t="s">
        <v>163</v>
      </c>
      <c r="C162" s="2">
        <v>-0.95</v>
      </c>
      <c r="D162" s="2">
        <v>4.4000000000000003E-3</v>
      </c>
      <c r="E162" s="2">
        <v>-4.18E-5</v>
      </c>
      <c r="F162" s="2" t="s">
        <v>7</v>
      </c>
    </row>
    <row r="163" spans="1:6" ht="22.5" hidden="1" customHeight="1" x14ac:dyDescent="0.25">
      <c r="A163" s="3">
        <v>43862</v>
      </c>
      <c r="B163" s="2" t="s">
        <v>34</v>
      </c>
      <c r="C163" s="2">
        <v>-0.05</v>
      </c>
      <c r="D163" s="2">
        <v>5.1799999999999999E-2</v>
      </c>
      <c r="E163" s="2">
        <v>-2.5899999999999999E-5</v>
      </c>
      <c r="F163" s="2" t="s">
        <v>7</v>
      </c>
    </row>
    <row r="164" spans="1:6" ht="22.5" hidden="1" customHeight="1" x14ac:dyDescent="0.25">
      <c r="A164" s="3">
        <v>43862</v>
      </c>
      <c r="B164" s="2" t="s">
        <v>164</v>
      </c>
      <c r="C164" s="2">
        <v>0.19</v>
      </c>
      <c r="D164" s="2">
        <v>3.8361000000000001</v>
      </c>
      <c r="E164" s="2">
        <v>7.2885900000000002E-3</v>
      </c>
      <c r="F164" s="2" t="s">
        <v>165</v>
      </c>
    </row>
    <row r="165" spans="1:6" ht="22.5" hidden="1" customHeight="1" x14ac:dyDescent="0.25">
      <c r="A165" s="3">
        <v>43862</v>
      </c>
      <c r="B165" s="2" t="s">
        <v>166</v>
      </c>
      <c r="C165" s="2">
        <v>0.14000000000000001</v>
      </c>
      <c r="D165" s="2">
        <v>2.3889999999999998</v>
      </c>
      <c r="E165" s="2">
        <v>3.3446000000000001E-3</v>
      </c>
      <c r="F165" s="2" t="s">
        <v>165</v>
      </c>
    </row>
    <row r="166" spans="1:6" ht="22.5" hidden="1" customHeight="1" x14ac:dyDescent="0.25">
      <c r="A166" s="3">
        <v>44256</v>
      </c>
      <c r="B166" s="2" t="s">
        <v>284</v>
      </c>
      <c r="C166" s="2">
        <v>11.18</v>
      </c>
      <c r="D166" s="2">
        <v>5.0397999999999996</v>
      </c>
      <c r="E166" s="2">
        <v>0.56344963999999997</v>
      </c>
      <c r="F166" s="2" t="s">
        <v>168</v>
      </c>
    </row>
    <row r="167" spans="1:6" ht="22.5" hidden="1" customHeight="1" x14ac:dyDescent="0.25">
      <c r="A167" s="3">
        <v>43862</v>
      </c>
      <c r="B167" s="2" t="s">
        <v>169</v>
      </c>
      <c r="C167" s="2">
        <v>-0.54</v>
      </c>
      <c r="D167" s="2">
        <v>9.7999999999999997E-3</v>
      </c>
      <c r="E167" s="2">
        <v>-5.2920000000000002E-5</v>
      </c>
      <c r="F167" s="2" t="s">
        <v>170</v>
      </c>
    </row>
    <row r="168" spans="1:6" ht="22.5" hidden="1" customHeight="1" x14ac:dyDescent="0.25">
      <c r="A168" s="3">
        <v>43862</v>
      </c>
      <c r="B168" s="2" t="s">
        <v>171</v>
      </c>
      <c r="C168" s="2">
        <v>-0.94</v>
      </c>
      <c r="D168" s="2">
        <v>1.46E-2</v>
      </c>
      <c r="E168" s="2">
        <v>-1.3724000000000001E-4</v>
      </c>
      <c r="F168" s="2" t="s">
        <v>170</v>
      </c>
    </row>
    <row r="169" spans="1:6" ht="22.5" hidden="1" customHeight="1" x14ac:dyDescent="0.25">
      <c r="A169" s="3">
        <v>43862</v>
      </c>
      <c r="B169" s="2" t="s">
        <v>172</v>
      </c>
      <c r="C169" s="2">
        <v>-1.38</v>
      </c>
      <c r="D169" s="2">
        <v>3.7000000000000002E-3</v>
      </c>
      <c r="E169" s="2">
        <v>-5.1060000000000002E-5</v>
      </c>
      <c r="F169" s="2" t="s">
        <v>170</v>
      </c>
    </row>
    <row r="170" spans="1:6" ht="22.5" hidden="1" customHeight="1" x14ac:dyDescent="0.25">
      <c r="A170" s="3">
        <v>43862</v>
      </c>
      <c r="B170" s="2" t="s">
        <v>173</v>
      </c>
      <c r="C170" s="2">
        <v>0.45</v>
      </c>
      <c r="D170" s="2">
        <v>0.2485</v>
      </c>
      <c r="E170" s="2">
        <v>1.1182500000000001E-3</v>
      </c>
      <c r="F170" s="2" t="s">
        <v>174</v>
      </c>
    </row>
    <row r="171" spans="1:6" ht="22.5" hidden="1" customHeight="1" x14ac:dyDescent="0.25">
      <c r="A171" s="3">
        <v>43862</v>
      </c>
      <c r="B171" s="2" t="s">
        <v>175</v>
      </c>
      <c r="C171" s="2">
        <v>-1.1499999999999999</v>
      </c>
      <c r="D171" s="2">
        <v>0.22090000000000001</v>
      </c>
      <c r="E171" s="2">
        <v>-2.5403499999999998E-3</v>
      </c>
      <c r="F171" s="2" t="s">
        <v>174</v>
      </c>
    </row>
    <row r="172" spans="1:6" ht="22.5" hidden="1" customHeight="1" x14ac:dyDescent="0.25">
      <c r="A172" s="3">
        <v>43862</v>
      </c>
      <c r="B172" s="2" t="s">
        <v>176</v>
      </c>
      <c r="C172" s="2">
        <v>0.72</v>
      </c>
      <c r="D172" s="2">
        <v>1.37E-2</v>
      </c>
      <c r="E172" s="2">
        <v>9.8640000000000004E-5</v>
      </c>
      <c r="F172" s="2" t="s">
        <v>170</v>
      </c>
    </row>
    <row r="173" spans="1:6" ht="22.5" hidden="1" customHeight="1" x14ac:dyDescent="0.25">
      <c r="A173" s="3">
        <v>43862</v>
      </c>
      <c r="B173" s="2" t="s">
        <v>177</v>
      </c>
      <c r="C173" s="2">
        <v>1.55</v>
      </c>
      <c r="D173" s="2">
        <v>1.9900000000000001E-2</v>
      </c>
      <c r="E173" s="2">
        <v>3.0844999999999999E-4</v>
      </c>
      <c r="F173" s="2" t="s">
        <v>170</v>
      </c>
    </row>
    <row r="174" spans="1:6" ht="22.5" hidden="1" customHeight="1" x14ac:dyDescent="0.25">
      <c r="A174" s="3">
        <v>43862</v>
      </c>
      <c r="B174" s="2" t="s">
        <v>178</v>
      </c>
      <c r="C174" s="2">
        <v>1.63</v>
      </c>
      <c r="D174" s="2">
        <v>1.7100000000000001E-2</v>
      </c>
      <c r="E174" s="2">
        <v>2.7872999999999998E-4</v>
      </c>
      <c r="F174" s="2" t="s">
        <v>170</v>
      </c>
    </row>
    <row r="175" spans="1:6" ht="22.5" hidden="1" customHeight="1" x14ac:dyDescent="0.25">
      <c r="A175" s="3">
        <v>43862</v>
      </c>
      <c r="B175" s="2" t="s">
        <v>179</v>
      </c>
      <c r="C175" s="2">
        <v>0.6</v>
      </c>
      <c r="D175" s="2">
        <v>3.7199999999999997E-2</v>
      </c>
      <c r="E175" s="2">
        <v>2.232E-4</v>
      </c>
      <c r="F175" s="2" t="s">
        <v>170</v>
      </c>
    </row>
    <row r="176" spans="1:6" ht="22.5" hidden="1" customHeight="1" x14ac:dyDescent="0.25">
      <c r="A176" s="3">
        <v>43862</v>
      </c>
      <c r="B176" s="2" t="s">
        <v>180</v>
      </c>
      <c r="C176" s="2">
        <v>0.16</v>
      </c>
      <c r="D176" s="2">
        <v>0.67159999999999997</v>
      </c>
      <c r="E176" s="2">
        <v>1.07456E-3</v>
      </c>
      <c r="F176" s="2" t="s">
        <v>165</v>
      </c>
    </row>
    <row r="177" spans="1:6" ht="22.5" hidden="1" customHeight="1" x14ac:dyDescent="0.25">
      <c r="A177" s="3">
        <v>43862</v>
      </c>
      <c r="B177" s="2" t="s">
        <v>181</v>
      </c>
      <c r="C177" s="2">
        <v>0.41</v>
      </c>
      <c r="D177" s="2">
        <v>1.2E-2</v>
      </c>
      <c r="E177" s="2">
        <v>4.9200000000000003E-5</v>
      </c>
      <c r="F177" s="2" t="s">
        <v>174</v>
      </c>
    </row>
    <row r="178" spans="1:6" ht="22.5" hidden="1" customHeight="1" x14ac:dyDescent="0.25">
      <c r="A178" s="3">
        <v>43862</v>
      </c>
      <c r="B178" s="2" t="s">
        <v>182</v>
      </c>
      <c r="C178" s="2">
        <v>-7.0000000000000007E-2</v>
      </c>
      <c r="D178" s="2">
        <v>3.6900000000000002E-2</v>
      </c>
      <c r="E178" s="2">
        <v>-2.5829999999999998E-5</v>
      </c>
      <c r="F178" s="2" t="s">
        <v>170</v>
      </c>
    </row>
    <row r="179" spans="1:6" ht="22.5" hidden="1" customHeight="1" x14ac:dyDescent="0.25">
      <c r="A179" s="3">
        <v>43862</v>
      </c>
      <c r="B179" s="2" t="s">
        <v>183</v>
      </c>
      <c r="C179" s="2">
        <v>0.91</v>
      </c>
      <c r="D179" s="2">
        <v>4.3E-3</v>
      </c>
      <c r="E179" s="2">
        <v>3.913E-5</v>
      </c>
      <c r="F179" s="2" t="s">
        <v>174</v>
      </c>
    </row>
    <row r="180" spans="1:6" ht="22.5" hidden="1" customHeight="1" x14ac:dyDescent="0.25">
      <c r="A180" s="3">
        <v>43862</v>
      </c>
      <c r="B180" s="2" t="s">
        <v>184</v>
      </c>
      <c r="C180" s="2">
        <v>-0.37</v>
      </c>
      <c r="D180" s="2">
        <v>6.3299999999999995E-2</v>
      </c>
      <c r="E180" s="2">
        <v>-2.3421E-4</v>
      </c>
      <c r="F180" s="2" t="s">
        <v>174</v>
      </c>
    </row>
    <row r="181" spans="1:6" ht="22.5" hidden="1" customHeight="1" x14ac:dyDescent="0.25">
      <c r="A181" s="3">
        <v>43862</v>
      </c>
      <c r="B181" s="2" t="s">
        <v>185</v>
      </c>
      <c r="C181" s="2">
        <v>-0.7</v>
      </c>
      <c r="D181" s="2">
        <v>0.14960000000000001</v>
      </c>
      <c r="E181" s="2">
        <v>-1.0472000000000001E-3</v>
      </c>
      <c r="F181" s="2" t="s">
        <v>174</v>
      </c>
    </row>
    <row r="182" spans="1:6" ht="22.5" hidden="1" customHeight="1" x14ac:dyDescent="0.25">
      <c r="A182" s="3">
        <v>43862</v>
      </c>
      <c r="B182" s="2" t="s">
        <v>186</v>
      </c>
      <c r="C182" s="2">
        <v>0.5</v>
      </c>
      <c r="D182" s="2">
        <v>0.2228</v>
      </c>
      <c r="E182" s="2">
        <v>1.114E-3</v>
      </c>
      <c r="F182" s="2" t="s">
        <v>174</v>
      </c>
    </row>
    <row r="183" spans="1:6" ht="22.5" hidden="1" customHeight="1" x14ac:dyDescent="0.25">
      <c r="A183" s="3">
        <v>43862</v>
      </c>
      <c r="B183" s="2" t="s">
        <v>187</v>
      </c>
      <c r="C183" s="2">
        <v>-1.28</v>
      </c>
      <c r="D183" s="2">
        <v>6.1600000000000002E-2</v>
      </c>
      <c r="E183" s="2">
        <v>-7.8848000000000004E-4</v>
      </c>
      <c r="F183" s="2" t="s">
        <v>174</v>
      </c>
    </row>
    <row r="184" spans="1:6" ht="22.5" hidden="1" customHeight="1" x14ac:dyDescent="0.25">
      <c r="A184" s="3">
        <v>43862</v>
      </c>
      <c r="B184" s="2" t="s">
        <v>188</v>
      </c>
      <c r="C184" s="2">
        <v>-0.49</v>
      </c>
      <c r="D184" s="2">
        <v>2.6100000000000002E-2</v>
      </c>
      <c r="E184" s="2">
        <v>-1.2789E-4</v>
      </c>
      <c r="F184" s="2" t="s">
        <v>174</v>
      </c>
    </row>
    <row r="185" spans="1:6" ht="22.5" hidden="1" customHeight="1" x14ac:dyDescent="0.25">
      <c r="A185" s="3">
        <v>43862</v>
      </c>
      <c r="B185" s="2" t="s">
        <v>189</v>
      </c>
      <c r="C185" s="2">
        <v>-2.5499999999999998</v>
      </c>
      <c r="D185" s="2">
        <v>3.5999999999999999E-3</v>
      </c>
      <c r="E185" s="2">
        <v>-9.1799999999999995E-5</v>
      </c>
      <c r="F185" s="2" t="s">
        <v>174</v>
      </c>
    </row>
    <row r="186" spans="1:6" ht="22.5" hidden="1" customHeight="1" x14ac:dyDescent="0.25">
      <c r="A186" s="3">
        <v>43862</v>
      </c>
      <c r="B186" s="2" t="s">
        <v>190</v>
      </c>
      <c r="C186" s="2">
        <v>-1.94</v>
      </c>
      <c r="D186" s="2">
        <v>5.3E-3</v>
      </c>
      <c r="E186" s="2">
        <v>-1.0281999999999999E-4</v>
      </c>
      <c r="F186" s="2" t="s">
        <v>174</v>
      </c>
    </row>
    <row r="187" spans="1:6" ht="22.5" hidden="1" customHeight="1" x14ac:dyDescent="0.25">
      <c r="A187" s="3">
        <v>43862</v>
      </c>
      <c r="B187" s="2" t="s">
        <v>191</v>
      </c>
      <c r="C187" s="2">
        <v>-1.98</v>
      </c>
      <c r="D187" s="2">
        <v>2.7699999999999999E-2</v>
      </c>
      <c r="E187" s="2">
        <v>-5.4845999999999996E-4</v>
      </c>
      <c r="F187" s="2" t="s">
        <v>174</v>
      </c>
    </row>
    <row r="188" spans="1:6" ht="22.5" hidden="1" customHeight="1" x14ac:dyDescent="0.25">
      <c r="A188" s="3">
        <v>43862</v>
      </c>
      <c r="B188" s="2" t="s">
        <v>192</v>
      </c>
      <c r="C188" s="2">
        <v>-2.54</v>
      </c>
      <c r="D188" s="2">
        <v>5.1999999999999998E-3</v>
      </c>
      <c r="E188" s="2">
        <v>-1.3208E-4</v>
      </c>
      <c r="F188" s="2" t="s">
        <v>174</v>
      </c>
    </row>
    <row r="189" spans="1:6" ht="22.5" hidden="1" customHeight="1" x14ac:dyDescent="0.25">
      <c r="A189" s="3">
        <v>43862</v>
      </c>
      <c r="B189" s="2" t="s">
        <v>193</v>
      </c>
      <c r="C189" s="2">
        <v>-0.16</v>
      </c>
      <c r="D189" s="2">
        <v>0.16769999999999999</v>
      </c>
      <c r="E189" s="2">
        <v>-2.6832000000000001E-4</v>
      </c>
      <c r="F189" s="2" t="s">
        <v>174</v>
      </c>
    </row>
    <row r="190" spans="1:6" ht="22.5" hidden="1" customHeight="1" x14ac:dyDescent="0.25">
      <c r="A190" s="3">
        <v>43862</v>
      </c>
      <c r="B190" s="2" t="s">
        <v>194</v>
      </c>
      <c r="C190" s="2">
        <v>1.64</v>
      </c>
      <c r="D190" s="2">
        <v>3.3999999999999998E-3</v>
      </c>
      <c r="E190" s="2">
        <v>5.5760000000000001E-5</v>
      </c>
      <c r="F190" s="2" t="s">
        <v>174</v>
      </c>
    </row>
    <row r="191" spans="1:6" ht="22.5" hidden="1" customHeight="1" x14ac:dyDescent="0.25">
      <c r="A191" s="3">
        <v>44501</v>
      </c>
      <c r="B191" s="2" t="s">
        <v>284</v>
      </c>
      <c r="C191" s="2">
        <v>6.62</v>
      </c>
      <c r="D191" s="2">
        <v>6.1204000000000001</v>
      </c>
      <c r="E191" s="2">
        <v>0.40517048</v>
      </c>
      <c r="F191" s="2" t="s">
        <v>168</v>
      </c>
    </row>
    <row r="192" spans="1:6" ht="22.5" hidden="1" customHeight="1" x14ac:dyDescent="0.25">
      <c r="A192" s="3">
        <v>44287</v>
      </c>
      <c r="B192" s="2" t="s">
        <v>284</v>
      </c>
      <c r="C192" s="2">
        <v>5.49</v>
      </c>
      <c r="D192" s="2">
        <v>5.5490000000000004</v>
      </c>
      <c r="E192" s="2">
        <v>0.30464010000000002</v>
      </c>
      <c r="F192" s="2" t="s">
        <v>168</v>
      </c>
    </row>
    <row r="193" spans="1:6" ht="22.5" hidden="1" customHeight="1" x14ac:dyDescent="0.25">
      <c r="A193" s="3">
        <v>44409</v>
      </c>
      <c r="B193" s="2" t="s">
        <v>197</v>
      </c>
      <c r="C193" s="2">
        <v>5</v>
      </c>
      <c r="D193" s="2">
        <v>4.6105</v>
      </c>
      <c r="E193" s="2">
        <v>0.23052500000000001</v>
      </c>
      <c r="F193" s="2" t="s">
        <v>168</v>
      </c>
    </row>
    <row r="194" spans="1:6" ht="22.5" hidden="1" customHeight="1" x14ac:dyDescent="0.25">
      <c r="A194" s="3">
        <v>43862</v>
      </c>
      <c r="B194" s="2" t="s">
        <v>198</v>
      </c>
      <c r="C194" s="2">
        <v>-0.92</v>
      </c>
      <c r="D194" s="2">
        <v>0.373</v>
      </c>
      <c r="E194" s="2">
        <v>-3.4315999999999999E-3</v>
      </c>
      <c r="F194" s="2" t="s">
        <v>170</v>
      </c>
    </row>
    <row r="195" spans="1:6" ht="22.5" hidden="1" customHeight="1" x14ac:dyDescent="0.25">
      <c r="A195" s="3">
        <v>43862</v>
      </c>
      <c r="B195" s="2" t="s">
        <v>199</v>
      </c>
      <c r="C195" s="2">
        <v>0.99</v>
      </c>
      <c r="D195" s="2">
        <v>0.4924</v>
      </c>
      <c r="E195" s="2">
        <v>4.8747599999999997E-3</v>
      </c>
      <c r="F195" s="2" t="s">
        <v>170</v>
      </c>
    </row>
    <row r="196" spans="1:6" ht="22.5" hidden="1" customHeight="1" x14ac:dyDescent="0.25">
      <c r="A196" s="3">
        <v>43862</v>
      </c>
      <c r="B196" s="2" t="s">
        <v>200</v>
      </c>
      <c r="C196" s="2">
        <v>-0.44</v>
      </c>
      <c r="D196" s="2">
        <v>0.20810000000000001</v>
      </c>
      <c r="E196" s="2">
        <v>-9.1564000000000001E-4</v>
      </c>
      <c r="F196" s="2" t="s">
        <v>170</v>
      </c>
    </row>
    <row r="197" spans="1:6" ht="22.5" hidden="1" customHeight="1" x14ac:dyDescent="0.25">
      <c r="A197" s="3">
        <v>43862</v>
      </c>
      <c r="B197" s="2" t="s">
        <v>201</v>
      </c>
      <c r="C197" s="2">
        <v>-1.55</v>
      </c>
      <c r="D197" s="2">
        <v>2.8299999999999999E-2</v>
      </c>
      <c r="E197" s="2">
        <v>-4.3865000000000001E-4</v>
      </c>
      <c r="F197" s="2" t="s">
        <v>170</v>
      </c>
    </row>
    <row r="198" spans="1:6" ht="22.5" hidden="1" customHeight="1" x14ac:dyDescent="0.25">
      <c r="A198" s="3">
        <v>43862</v>
      </c>
      <c r="B198" s="2" t="s">
        <v>202</v>
      </c>
      <c r="C198" s="2">
        <v>-0.32</v>
      </c>
      <c r="D198" s="2">
        <v>1.4200000000000001E-2</v>
      </c>
      <c r="E198" s="2">
        <v>-4.5439999999999999E-5</v>
      </c>
      <c r="F198" s="2" t="s">
        <v>170</v>
      </c>
    </row>
    <row r="199" spans="1:6" ht="22.5" hidden="1" customHeight="1" x14ac:dyDescent="0.25">
      <c r="A199" s="3">
        <v>43862</v>
      </c>
      <c r="B199" s="2" t="s">
        <v>203</v>
      </c>
      <c r="C199" s="2">
        <v>0.06</v>
      </c>
      <c r="D199" s="2">
        <v>8.2799999999999999E-2</v>
      </c>
      <c r="E199" s="2">
        <v>4.9679999999999999E-5</v>
      </c>
      <c r="F199" s="2" t="s">
        <v>170</v>
      </c>
    </row>
    <row r="200" spans="1:6" ht="22.5" hidden="1" customHeight="1" x14ac:dyDescent="0.25">
      <c r="A200" s="3">
        <v>43862</v>
      </c>
      <c r="B200" s="2" t="s">
        <v>204</v>
      </c>
      <c r="C200" s="2">
        <v>-0.95</v>
      </c>
      <c r="D200" s="2">
        <v>6.3E-2</v>
      </c>
      <c r="E200" s="2">
        <v>-5.9849999999999997E-4</v>
      </c>
      <c r="F200" s="2" t="s">
        <v>174</v>
      </c>
    </row>
    <row r="201" spans="1:6" ht="22.5" hidden="1" customHeight="1" x14ac:dyDescent="0.25">
      <c r="A201" s="3">
        <v>43862</v>
      </c>
      <c r="B201" s="2" t="s">
        <v>205</v>
      </c>
      <c r="C201" s="2">
        <v>-0.14000000000000001</v>
      </c>
      <c r="D201" s="2">
        <v>9.4600000000000004E-2</v>
      </c>
      <c r="E201" s="2">
        <v>-1.3244E-4</v>
      </c>
      <c r="F201" s="2" t="s">
        <v>174</v>
      </c>
    </row>
    <row r="202" spans="1:6" ht="22.5" hidden="1" customHeight="1" x14ac:dyDescent="0.25">
      <c r="A202" s="3">
        <v>43862</v>
      </c>
      <c r="B202" s="2" t="s">
        <v>206</v>
      </c>
      <c r="C202" s="2">
        <v>0.75</v>
      </c>
      <c r="D202" s="2">
        <v>0.1575</v>
      </c>
      <c r="E202" s="2">
        <v>1.18125E-3</v>
      </c>
      <c r="F202" s="2" t="s">
        <v>174</v>
      </c>
    </row>
    <row r="203" spans="1:6" ht="22.5" hidden="1" customHeight="1" x14ac:dyDescent="0.25">
      <c r="A203" s="3">
        <v>43862</v>
      </c>
      <c r="B203" s="2" t="s">
        <v>207</v>
      </c>
      <c r="C203" s="2">
        <v>-0.27</v>
      </c>
      <c r="D203" s="2">
        <v>4.9099999999999998E-2</v>
      </c>
      <c r="E203" s="2">
        <v>-1.3257000000000001E-4</v>
      </c>
      <c r="F203" s="2" t="s">
        <v>174</v>
      </c>
    </row>
    <row r="204" spans="1:6" ht="22.5" hidden="1" customHeight="1" x14ac:dyDescent="0.25">
      <c r="A204" s="3">
        <v>43862</v>
      </c>
      <c r="B204" s="2" t="s">
        <v>208</v>
      </c>
      <c r="C204" s="2">
        <v>0.19</v>
      </c>
      <c r="D204" s="2">
        <v>8.6E-3</v>
      </c>
      <c r="E204" s="2">
        <v>1.6339999999999999E-5</v>
      </c>
      <c r="F204" s="2" t="s">
        <v>174</v>
      </c>
    </row>
    <row r="205" spans="1:6" ht="22.5" hidden="1" customHeight="1" x14ac:dyDescent="0.25">
      <c r="A205" s="3">
        <v>43862</v>
      </c>
      <c r="B205" s="2" t="s">
        <v>209</v>
      </c>
      <c r="C205" s="2">
        <v>-2.61</v>
      </c>
      <c r="D205" s="2">
        <v>5.5999999999999999E-3</v>
      </c>
      <c r="E205" s="2">
        <v>-1.4616E-4</v>
      </c>
      <c r="F205" s="2" t="s">
        <v>174</v>
      </c>
    </row>
    <row r="206" spans="1:6" ht="22.5" hidden="1" customHeight="1" x14ac:dyDescent="0.25">
      <c r="A206" s="3">
        <v>43862</v>
      </c>
      <c r="B206" s="2" t="s">
        <v>210</v>
      </c>
      <c r="C206" s="2">
        <v>0.86</v>
      </c>
      <c r="D206" s="2">
        <v>1.4200000000000001E-2</v>
      </c>
      <c r="E206" s="2">
        <v>1.2212E-4</v>
      </c>
      <c r="F206" s="2" t="s">
        <v>170</v>
      </c>
    </row>
    <row r="207" spans="1:6" ht="22.5" hidden="1" customHeight="1" x14ac:dyDescent="0.25">
      <c r="A207" s="3">
        <v>43862</v>
      </c>
      <c r="B207" s="2" t="s">
        <v>211</v>
      </c>
      <c r="C207" s="2">
        <v>-0.15</v>
      </c>
      <c r="D207" s="2">
        <v>0.18240000000000001</v>
      </c>
      <c r="E207" s="2">
        <v>-2.7359999999999998E-4</v>
      </c>
      <c r="F207" s="2" t="s">
        <v>174</v>
      </c>
    </row>
    <row r="208" spans="1:6" ht="22.5" hidden="1" customHeight="1" x14ac:dyDescent="0.25">
      <c r="A208" s="3">
        <v>43862</v>
      </c>
      <c r="B208" s="2" t="s">
        <v>212</v>
      </c>
      <c r="C208" s="2">
        <v>-0.18</v>
      </c>
      <c r="D208" s="2">
        <v>4.5999999999999999E-3</v>
      </c>
      <c r="E208" s="2">
        <v>-8.2800000000000003E-6</v>
      </c>
      <c r="F208" s="2" t="s">
        <v>174</v>
      </c>
    </row>
    <row r="209" spans="1:6" ht="22.5" hidden="1" customHeight="1" x14ac:dyDescent="0.25">
      <c r="A209" s="3">
        <v>43862</v>
      </c>
      <c r="B209" s="2" t="s">
        <v>213</v>
      </c>
      <c r="C209" s="2">
        <v>0.85</v>
      </c>
      <c r="D209" s="2">
        <v>0.34139999999999998</v>
      </c>
      <c r="E209" s="2">
        <v>2.9018999999999998E-3</v>
      </c>
      <c r="F209" s="2" t="s">
        <v>170</v>
      </c>
    </row>
    <row r="210" spans="1:6" ht="22.5" hidden="1" customHeight="1" x14ac:dyDescent="0.25">
      <c r="A210" s="3">
        <v>43862</v>
      </c>
      <c r="B210" s="2" t="s">
        <v>214</v>
      </c>
      <c r="C210" s="2">
        <v>-0.51</v>
      </c>
      <c r="D210" s="2">
        <v>0.10340000000000001</v>
      </c>
      <c r="E210" s="2">
        <v>-5.2733999999999995E-4</v>
      </c>
      <c r="F210" s="2" t="s">
        <v>170</v>
      </c>
    </row>
    <row r="211" spans="1:6" ht="22.5" hidden="1" customHeight="1" x14ac:dyDescent="0.25">
      <c r="A211" s="3">
        <v>43862</v>
      </c>
      <c r="B211" s="2" t="s">
        <v>215</v>
      </c>
      <c r="C211" s="2">
        <v>0.09</v>
      </c>
      <c r="D211" s="2">
        <v>0.24690000000000001</v>
      </c>
      <c r="E211" s="2">
        <v>2.2221E-4</v>
      </c>
      <c r="F211" s="2" t="s">
        <v>170</v>
      </c>
    </row>
    <row r="212" spans="1:6" ht="22.5" hidden="1" customHeight="1" x14ac:dyDescent="0.25">
      <c r="A212" s="3">
        <v>43862</v>
      </c>
      <c r="B212" s="2" t="s">
        <v>216</v>
      </c>
      <c r="C212" s="2">
        <v>-1.27</v>
      </c>
      <c r="D212" s="2">
        <v>1.52E-2</v>
      </c>
      <c r="E212" s="2">
        <v>-1.9304000000000001E-4</v>
      </c>
      <c r="F212" s="2" t="s">
        <v>170</v>
      </c>
    </row>
    <row r="213" spans="1:6" ht="22.5" hidden="1" customHeight="1" x14ac:dyDescent="0.25">
      <c r="A213" s="3">
        <v>43862</v>
      </c>
      <c r="B213" s="2" t="s">
        <v>217</v>
      </c>
      <c r="C213" s="2">
        <v>-0.49</v>
      </c>
      <c r="D213" s="2">
        <v>0.16719999999999999</v>
      </c>
      <c r="E213" s="2">
        <v>-8.1928000000000003E-4</v>
      </c>
      <c r="F213" s="2" t="s">
        <v>170</v>
      </c>
    </row>
    <row r="214" spans="1:6" ht="22.5" hidden="1" customHeight="1" x14ac:dyDescent="0.25">
      <c r="A214" s="3">
        <v>43862</v>
      </c>
      <c r="B214" s="2" t="s">
        <v>218</v>
      </c>
      <c r="C214" s="2">
        <v>-0.21</v>
      </c>
      <c r="D214" s="2">
        <v>7.1000000000000004E-3</v>
      </c>
      <c r="E214" s="2">
        <v>-1.491E-5</v>
      </c>
      <c r="F214" s="2" t="s">
        <v>170</v>
      </c>
    </row>
    <row r="215" spans="1:6" ht="22.5" hidden="1" customHeight="1" x14ac:dyDescent="0.25">
      <c r="A215" s="3">
        <v>43862</v>
      </c>
      <c r="B215" s="2" t="s">
        <v>219</v>
      </c>
      <c r="C215" s="2">
        <v>1.74</v>
      </c>
      <c r="D215" s="2">
        <v>0.43890000000000001</v>
      </c>
      <c r="E215" s="2">
        <v>7.6368599999999997E-3</v>
      </c>
      <c r="F215" s="2" t="s">
        <v>170</v>
      </c>
    </row>
    <row r="216" spans="1:6" ht="22.5" hidden="1" customHeight="1" x14ac:dyDescent="0.25">
      <c r="A216" s="3">
        <v>43862</v>
      </c>
      <c r="B216" s="2" t="s">
        <v>220</v>
      </c>
      <c r="C216" s="2">
        <v>0</v>
      </c>
      <c r="D216" s="2">
        <v>1.15E-2</v>
      </c>
      <c r="E216" s="2">
        <v>0</v>
      </c>
      <c r="F216" s="2" t="s">
        <v>170</v>
      </c>
    </row>
    <row r="217" spans="1:6" ht="22.5" hidden="1" customHeight="1" x14ac:dyDescent="0.25">
      <c r="A217" s="3">
        <v>43862</v>
      </c>
      <c r="B217" s="2" t="s">
        <v>221</v>
      </c>
      <c r="C217" s="2">
        <v>1.1200000000000001</v>
      </c>
      <c r="D217" s="2">
        <v>3.3999999999999998E-3</v>
      </c>
      <c r="E217" s="2">
        <v>3.8080000000000001E-5</v>
      </c>
      <c r="F217" s="2" t="s">
        <v>170</v>
      </c>
    </row>
    <row r="218" spans="1:6" ht="22.5" hidden="1" customHeight="1" x14ac:dyDescent="0.25">
      <c r="A218" s="3">
        <v>43862</v>
      </c>
      <c r="B218" s="2" t="s">
        <v>222</v>
      </c>
      <c r="C218" s="2">
        <v>-0.9</v>
      </c>
      <c r="D218" s="2">
        <v>0.30180000000000001</v>
      </c>
      <c r="E218" s="2">
        <v>-2.7162000000000002E-3</v>
      </c>
      <c r="F218" s="2" t="s">
        <v>170</v>
      </c>
    </row>
    <row r="219" spans="1:6" ht="22.5" hidden="1" customHeight="1" x14ac:dyDescent="0.25">
      <c r="A219" s="3">
        <v>43862</v>
      </c>
      <c r="B219" s="2" t="s">
        <v>223</v>
      </c>
      <c r="C219" s="2">
        <v>0.19</v>
      </c>
      <c r="D219" s="2">
        <v>1.6799999999999999E-2</v>
      </c>
      <c r="E219" s="2">
        <v>3.1919999999999999E-5</v>
      </c>
      <c r="F219" s="2" t="s">
        <v>165</v>
      </c>
    </row>
    <row r="220" spans="1:6" ht="22.5" hidden="1" customHeight="1" x14ac:dyDescent="0.25">
      <c r="A220" s="3">
        <v>43862</v>
      </c>
      <c r="B220" s="2" t="s">
        <v>224</v>
      </c>
      <c r="C220" s="2">
        <v>-4.01</v>
      </c>
      <c r="D220" s="2">
        <v>2.3999999999999998E-3</v>
      </c>
      <c r="E220" s="2">
        <v>-9.624E-5</v>
      </c>
      <c r="F220" s="2" t="s">
        <v>165</v>
      </c>
    </row>
    <row r="221" spans="1:6" ht="22.5" hidden="1" customHeight="1" x14ac:dyDescent="0.25">
      <c r="A221" s="3">
        <v>43862</v>
      </c>
      <c r="B221" s="2" t="s">
        <v>225</v>
      </c>
      <c r="C221" s="2">
        <v>1.32</v>
      </c>
      <c r="D221" s="2">
        <v>4.4999999999999997E-3</v>
      </c>
      <c r="E221" s="2">
        <v>5.94E-5</v>
      </c>
      <c r="F221" s="2" t="s">
        <v>165</v>
      </c>
    </row>
    <row r="222" spans="1:6" ht="22.5" hidden="1" customHeight="1" x14ac:dyDescent="0.25">
      <c r="A222" s="3">
        <v>43862</v>
      </c>
      <c r="B222" s="2" t="s">
        <v>226</v>
      </c>
      <c r="C222" s="2">
        <v>0.59</v>
      </c>
      <c r="D222" s="2">
        <v>4.7300000000000002E-2</v>
      </c>
      <c r="E222" s="2">
        <v>2.7907000000000002E-4</v>
      </c>
      <c r="F222" s="2" t="s">
        <v>165</v>
      </c>
    </row>
    <row r="223" spans="1:6" ht="22.5" hidden="1" customHeight="1" x14ac:dyDescent="0.25">
      <c r="A223" s="3">
        <v>43862</v>
      </c>
      <c r="B223" s="2" t="s">
        <v>227</v>
      </c>
      <c r="C223" s="2">
        <v>-0.25</v>
      </c>
      <c r="D223" s="2">
        <v>6.59E-2</v>
      </c>
      <c r="E223" s="2">
        <v>-1.6474999999999999E-4</v>
      </c>
      <c r="F223" s="2" t="s">
        <v>165</v>
      </c>
    </row>
    <row r="224" spans="1:6" ht="22.5" hidden="1" customHeight="1" x14ac:dyDescent="0.25">
      <c r="A224" s="3">
        <v>43862</v>
      </c>
      <c r="B224" s="2" t="s">
        <v>228</v>
      </c>
      <c r="C224" s="2">
        <v>-0.21</v>
      </c>
      <c r="D224" s="2">
        <v>0.1759</v>
      </c>
      <c r="E224" s="2">
        <v>-3.6938999999999999E-4</v>
      </c>
      <c r="F224" s="2" t="s">
        <v>165</v>
      </c>
    </row>
    <row r="225" spans="1:6" ht="22.5" hidden="1" customHeight="1" x14ac:dyDescent="0.25">
      <c r="A225" s="3">
        <v>43862</v>
      </c>
      <c r="B225" s="2" t="s">
        <v>229</v>
      </c>
      <c r="C225" s="2">
        <v>-1.02</v>
      </c>
      <c r="D225" s="2">
        <v>0.29620000000000002</v>
      </c>
      <c r="E225" s="2">
        <v>-3.0212400000000001E-3</v>
      </c>
      <c r="F225" s="2" t="s">
        <v>174</v>
      </c>
    </row>
    <row r="226" spans="1:6" ht="22.5" hidden="1" customHeight="1" x14ac:dyDescent="0.25">
      <c r="A226" s="3">
        <v>43862</v>
      </c>
      <c r="B226" s="2" t="s">
        <v>230</v>
      </c>
      <c r="C226" s="2">
        <v>-2.12</v>
      </c>
      <c r="D226" s="2">
        <v>2.35E-2</v>
      </c>
      <c r="E226" s="2">
        <v>-4.9819999999999997E-4</v>
      </c>
      <c r="F226" s="2" t="s">
        <v>174</v>
      </c>
    </row>
    <row r="227" spans="1:6" ht="22.5" hidden="1" customHeight="1" x14ac:dyDescent="0.25">
      <c r="A227" s="3">
        <v>43862</v>
      </c>
      <c r="B227" s="2" t="s">
        <v>231</v>
      </c>
      <c r="C227" s="2">
        <v>-1.37</v>
      </c>
      <c r="D227" s="2">
        <v>0.17460000000000001</v>
      </c>
      <c r="E227" s="2">
        <v>-2.3920199999999999E-3</v>
      </c>
      <c r="F227" s="2" t="s">
        <v>174</v>
      </c>
    </row>
    <row r="228" spans="1:6" ht="22.5" hidden="1" customHeight="1" x14ac:dyDescent="0.25">
      <c r="A228" s="3">
        <v>43862</v>
      </c>
      <c r="B228" s="2" t="s">
        <v>232</v>
      </c>
      <c r="C228" s="2">
        <v>-0.39</v>
      </c>
      <c r="D228" s="2">
        <v>5.5999999999999999E-3</v>
      </c>
      <c r="E228" s="2">
        <v>-2.1840000000000001E-5</v>
      </c>
      <c r="F228" s="2" t="s">
        <v>174</v>
      </c>
    </row>
    <row r="229" spans="1:6" ht="22.5" hidden="1" customHeight="1" x14ac:dyDescent="0.25">
      <c r="A229" s="3">
        <v>43862</v>
      </c>
      <c r="B229" s="2" t="s">
        <v>233</v>
      </c>
      <c r="C229" s="2">
        <v>-1.55</v>
      </c>
      <c r="D229" s="2">
        <v>0.58320000000000005</v>
      </c>
      <c r="E229" s="2">
        <v>-9.0396000000000001E-3</v>
      </c>
      <c r="F229" s="2" t="s">
        <v>174</v>
      </c>
    </row>
    <row r="230" spans="1:6" ht="22.5" hidden="1" customHeight="1" x14ac:dyDescent="0.25">
      <c r="A230" s="3">
        <v>43862</v>
      </c>
      <c r="B230" s="2" t="s">
        <v>234</v>
      </c>
      <c r="C230" s="2">
        <v>-1.17</v>
      </c>
      <c r="D230" s="2">
        <v>0.32840000000000003</v>
      </c>
      <c r="E230" s="2">
        <v>-3.84228E-3</v>
      </c>
      <c r="F230" s="2" t="s">
        <v>174</v>
      </c>
    </row>
    <row r="231" spans="1:6" ht="22.5" hidden="1" customHeight="1" x14ac:dyDescent="0.25">
      <c r="A231" s="3">
        <v>43862</v>
      </c>
      <c r="B231" s="2" t="s">
        <v>235</v>
      </c>
      <c r="C231" s="2">
        <v>-1.56</v>
      </c>
      <c r="D231" s="2">
        <v>2.7699999999999999E-2</v>
      </c>
      <c r="E231" s="2">
        <v>-4.3211999999999998E-4</v>
      </c>
      <c r="F231" s="2" t="s">
        <v>174</v>
      </c>
    </row>
    <row r="232" spans="1:6" ht="22.5" hidden="1" customHeight="1" x14ac:dyDescent="0.25">
      <c r="A232" s="3">
        <v>43862</v>
      </c>
      <c r="B232" s="2" t="s">
        <v>236</v>
      </c>
      <c r="C232" s="2">
        <v>-1.55</v>
      </c>
      <c r="D232" s="2">
        <v>8.0000000000000002E-3</v>
      </c>
      <c r="E232" s="2">
        <v>-1.2400000000000001E-4</v>
      </c>
      <c r="F232" s="2" t="s">
        <v>174</v>
      </c>
    </row>
    <row r="233" spans="1:6" ht="22.5" hidden="1" customHeight="1" x14ac:dyDescent="0.25">
      <c r="A233" s="3">
        <v>43862</v>
      </c>
      <c r="B233" s="2" t="s">
        <v>237</v>
      </c>
      <c r="C233" s="2">
        <v>-0.53</v>
      </c>
      <c r="D233" s="2">
        <v>0.30740000000000001</v>
      </c>
      <c r="E233" s="2">
        <v>-1.62922E-3</v>
      </c>
      <c r="F233" s="2" t="s">
        <v>174</v>
      </c>
    </row>
    <row r="234" spans="1:6" ht="22.5" hidden="1" customHeight="1" x14ac:dyDescent="0.25">
      <c r="A234" s="3">
        <v>43862</v>
      </c>
      <c r="B234" s="2" t="s">
        <v>238</v>
      </c>
      <c r="C234" s="2">
        <v>-0.64</v>
      </c>
      <c r="D234" s="2">
        <v>0.54369999999999996</v>
      </c>
      <c r="E234" s="2">
        <v>-3.4796800000000002E-3</v>
      </c>
      <c r="F234" s="2" t="s">
        <v>174</v>
      </c>
    </row>
    <row r="235" spans="1:6" ht="22.5" hidden="1" customHeight="1" x14ac:dyDescent="0.25">
      <c r="A235" s="3">
        <v>43862</v>
      </c>
      <c r="B235" s="2" t="s">
        <v>239</v>
      </c>
      <c r="C235" s="2">
        <v>-1.37</v>
      </c>
      <c r="D235" s="2">
        <v>0.11360000000000001</v>
      </c>
      <c r="E235" s="2">
        <v>-1.5563199999999999E-3</v>
      </c>
      <c r="F235" s="2" t="s">
        <v>174</v>
      </c>
    </row>
    <row r="236" spans="1:6" ht="22.5" hidden="1" customHeight="1" x14ac:dyDescent="0.25">
      <c r="A236" s="3">
        <v>43862</v>
      </c>
      <c r="B236" s="2" t="s">
        <v>240</v>
      </c>
      <c r="C236" s="2">
        <v>-0.73</v>
      </c>
      <c r="D236" s="2">
        <v>6.8099999999999994E-2</v>
      </c>
      <c r="E236" s="2">
        <v>-4.9713000000000003E-4</v>
      </c>
      <c r="F236" s="2" t="s">
        <v>174</v>
      </c>
    </row>
    <row r="237" spans="1:6" ht="22.5" hidden="1" customHeight="1" x14ac:dyDescent="0.25">
      <c r="A237" s="3">
        <v>43862</v>
      </c>
      <c r="B237" s="2" t="s">
        <v>241</v>
      </c>
      <c r="C237" s="2">
        <v>0.26</v>
      </c>
      <c r="D237" s="2">
        <v>8.4199999999999997E-2</v>
      </c>
      <c r="E237" s="2">
        <v>2.1892E-4</v>
      </c>
      <c r="F237" s="2" t="s">
        <v>174</v>
      </c>
    </row>
    <row r="238" spans="1:6" ht="22.5" hidden="1" customHeight="1" x14ac:dyDescent="0.25">
      <c r="A238" s="3">
        <v>43862</v>
      </c>
      <c r="B238" s="2" t="s">
        <v>242</v>
      </c>
      <c r="C238" s="2">
        <v>-0.74</v>
      </c>
      <c r="D238" s="2">
        <v>7.8E-2</v>
      </c>
      <c r="E238" s="2">
        <v>-5.7720000000000004E-4</v>
      </c>
      <c r="F238" s="2" t="s">
        <v>174</v>
      </c>
    </row>
    <row r="239" spans="1:6" ht="22.5" hidden="1" customHeight="1" x14ac:dyDescent="0.25">
      <c r="A239" s="3">
        <v>43862</v>
      </c>
      <c r="B239" s="2" t="s">
        <v>243</v>
      </c>
      <c r="C239" s="2">
        <v>-2.08</v>
      </c>
      <c r="D239" s="2">
        <v>8.9999999999999993E-3</v>
      </c>
      <c r="E239" s="2">
        <v>-1.872E-4</v>
      </c>
      <c r="F239" s="2" t="s">
        <v>174</v>
      </c>
    </row>
    <row r="240" spans="1:6" ht="22.5" hidden="1" customHeight="1" x14ac:dyDescent="0.25">
      <c r="A240" s="3">
        <v>43862</v>
      </c>
      <c r="B240" s="2" t="s">
        <v>244</v>
      </c>
      <c r="C240" s="2">
        <v>-2.98</v>
      </c>
      <c r="D240" s="2">
        <v>5.5399999999999998E-2</v>
      </c>
      <c r="E240" s="2">
        <v>-1.6509199999999999E-3</v>
      </c>
      <c r="F240" s="2" t="s">
        <v>174</v>
      </c>
    </row>
    <row r="241" spans="1:6" ht="22.5" hidden="1" customHeight="1" x14ac:dyDescent="0.25">
      <c r="A241" s="3">
        <v>43862</v>
      </c>
      <c r="B241" s="2" t="s">
        <v>245</v>
      </c>
      <c r="C241" s="2">
        <v>-1.23</v>
      </c>
      <c r="D241" s="2">
        <v>5.6599999999999998E-2</v>
      </c>
      <c r="E241" s="2">
        <v>-6.9618000000000002E-4</v>
      </c>
      <c r="F241" s="2" t="s">
        <v>174</v>
      </c>
    </row>
    <row r="242" spans="1:6" ht="22.5" hidden="1" customHeight="1" x14ac:dyDescent="0.25">
      <c r="A242" s="3">
        <v>43862</v>
      </c>
      <c r="B242" s="2" t="s">
        <v>246</v>
      </c>
      <c r="C242" s="2">
        <v>-1.06</v>
      </c>
      <c r="D242" s="2">
        <v>0.19889999999999999</v>
      </c>
      <c r="E242" s="2">
        <v>-2.1083400000000002E-3</v>
      </c>
      <c r="F242" s="2" t="s">
        <v>174</v>
      </c>
    </row>
    <row r="243" spans="1:6" ht="22.5" hidden="1" customHeight="1" x14ac:dyDescent="0.25">
      <c r="A243" s="3">
        <v>43862</v>
      </c>
      <c r="B243" s="2" t="s">
        <v>247</v>
      </c>
      <c r="C243" s="2">
        <v>0.41</v>
      </c>
      <c r="D243" s="2">
        <v>0.14069999999999999</v>
      </c>
      <c r="E243" s="2">
        <v>5.7687000000000005E-4</v>
      </c>
      <c r="F243" s="2" t="s">
        <v>174</v>
      </c>
    </row>
    <row r="244" spans="1:6" ht="22.5" hidden="1" customHeight="1" x14ac:dyDescent="0.25">
      <c r="A244" s="3">
        <v>43862</v>
      </c>
      <c r="B244" s="2" t="s">
        <v>248</v>
      </c>
      <c r="C244" s="2">
        <v>-0.83</v>
      </c>
      <c r="D244" s="2">
        <v>0.156</v>
      </c>
      <c r="E244" s="2">
        <v>-1.2948E-3</v>
      </c>
      <c r="F244" s="2" t="s">
        <v>174</v>
      </c>
    </row>
    <row r="245" spans="1:6" ht="22.5" hidden="1" customHeight="1" x14ac:dyDescent="0.25">
      <c r="A245" s="3">
        <v>43862</v>
      </c>
      <c r="B245" s="2" t="s">
        <v>249</v>
      </c>
      <c r="C245" s="2">
        <v>-1.49</v>
      </c>
      <c r="D245" s="2">
        <v>0.28089999999999998</v>
      </c>
      <c r="E245" s="2">
        <v>-4.1854099999999997E-3</v>
      </c>
      <c r="F245" s="2" t="s">
        <v>174</v>
      </c>
    </row>
    <row r="246" spans="1:6" ht="22.5" hidden="1" customHeight="1" x14ac:dyDescent="0.25">
      <c r="A246" s="3">
        <v>43862</v>
      </c>
      <c r="B246" s="2" t="s">
        <v>250</v>
      </c>
      <c r="C246" s="2">
        <v>-0.87</v>
      </c>
      <c r="D246" s="2">
        <v>2.75E-2</v>
      </c>
      <c r="E246" s="2">
        <v>-2.3924999999999999E-4</v>
      </c>
      <c r="F246" s="2" t="s">
        <v>174</v>
      </c>
    </row>
    <row r="247" spans="1:6" ht="22.5" hidden="1" customHeight="1" x14ac:dyDescent="0.25">
      <c r="A247" s="3">
        <v>43862</v>
      </c>
      <c r="B247" s="2" t="s">
        <v>251</v>
      </c>
      <c r="C247" s="2">
        <v>-0.82</v>
      </c>
      <c r="D247" s="2">
        <v>6.3399999999999998E-2</v>
      </c>
      <c r="E247" s="2">
        <v>-5.1988000000000002E-4</v>
      </c>
      <c r="F247" s="2" t="s">
        <v>174</v>
      </c>
    </row>
    <row r="248" spans="1:6" ht="22.5" hidden="1" customHeight="1" x14ac:dyDescent="0.25">
      <c r="A248" s="3">
        <v>43862</v>
      </c>
      <c r="B248" s="2" t="s">
        <v>252</v>
      </c>
      <c r="C248" s="2">
        <v>-1.23</v>
      </c>
      <c r="D248" s="2">
        <v>9.7999999999999997E-3</v>
      </c>
      <c r="E248" s="2">
        <v>-1.2053999999999999E-4</v>
      </c>
      <c r="F248" s="2" t="s">
        <v>174</v>
      </c>
    </row>
    <row r="249" spans="1:6" ht="22.5" hidden="1" customHeight="1" x14ac:dyDescent="0.25">
      <c r="A249" s="3">
        <v>43862</v>
      </c>
      <c r="B249" s="2" t="s">
        <v>253</v>
      </c>
      <c r="C249" s="2">
        <v>0.21</v>
      </c>
      <c r="D249" s="2">
        <v>0.4526</v>
      </c>
      <c r="E249" s="2">
        <v>9.5045999999999998E-4</v>
      </c>
      <c r="F249" s="2" t="s">
        <v>174</v>
      </c>
    </row>
    <row r="250" spans="1:6" ht="22.5" hidden="1" customHeight="1" x14ac:dyDescent="0.25">
      <c r="A250" s="3">
        <v>43862</v>
      </c>
      <c r="B250" s="2" t="s">
        <v>254</v>
      </c>
      <c r="C250" s="2">
        <v>-1.1499999999999999</v>
      </c>
      <c r="D250" s="2">
        <v>0.20169999999999999</v>
      </c>
      <c r="E250" s="2">
        <v>-2.3195500000000001E-3</v>
      </c>
      <c r="F250" s="2" t="s">
        <v>174</v>
      </c>
    </row>
    <row r="251" spans="1:6" ht="22.5" hidden="1" customHeight="1" x14ac:dyDescent="0.25">
      <c r="A251" s="3">
        <v>43862</v>
      </c>
      <c r="B251" s="2" t="s">
        <v>255</v>
      </c>
      <c r="C251" s="2">
        <v>-1.52</v>
      </c>
      <c r="D251" s="2">
        <v>1.84E-2</v>
      </c>
      <c r="E251" s="2">
        <v>-2.7967999999999998E-4</v>
      </c>
      <c r="F251" s="2" t="s">
        <v>170</v>
      </c>
    </row>
    <row r="252" spans="1:6" ht="22.5" hidden="1" customHeight="1" x14ac:dyDescent="0.25">
      <c r="A252" s="3">
        <v>43862</v>
      </c>
      <c r="B252" s="2" t="s">
        <v>256</v>
      </c>
      <c r="C252" s="2">
        <v>0.97</v>
      </c>
      <c r="D252" s="2">
        <v>0.12670000000000001</v>
      </c>
      <c r="E252" s="2">
        <v>1.2289899999999999E-3</v>
      </c>
      <c r="F252" s="2" t="s">
        <v>170</v>
      </c>
    </row>
    <row r="253" spans="1:6" ht="22.5" hidden="1" customHeight="1" x14ac:dyDescent="0.25">
      <c r="A253" s="3">
        <v>43862</v>
      </c>
      <c r="B253" s="2" t="s">
        <v>257</v>
      </c>
      <c r="C253" s="2">
        <v>0.62</v>
      </c>
      <c r="D253" s="2">
        <v>4.9799999999999997E-2</v>
      </c>
      <c r="E253" s="2">
        <v>3.0875999999999999E-4</v>
      </c>
      <c r="F253" s="2" t="s">
        <v>170</v>
      </c>
    </row>
    <row r="254" spans="1:6" ht="22.5" hidden="1" customHeight="1" x14ac:dyDescent="0.25">
      <c r="A254" s="3">
        <v>43862</v>
      </c>
      <c r="B254" s="2" t="s">
        <v>258</v>
      </c>
      <c r="C254" s="2">
        <v>-0.46</v>
      </c>
      <c r="D254" s="2">
        <v>4.5100000000000001E-2</v>
      </c>
      <c r="E254" s="2">
        <v>-2.0746E-4</v>
      </c>
      <c r="F254" s="2" t="s">
        <v>174</v>
      </c>
    </row>
    <row r="255" spans="1:6" ht="22.5" hidden="1" customHeight="1" x14ac:dyDescent="0.25">
      <c r="A255" s="3">
        <v>43862</v>
      </c>
      <c r="B255" s="2" t="s">
        <v>259</v>
      </c>
      <c r="C255" s="2">
        <v>0.41</v>
      </c>
      <c r="D255" s="2">
        <v>9.7999999999999997E-3</v>
      </c>
      <c r="E255" s="2">
        <v>4.0179999999999998E-5</v>
      </c>
      <c r="F255" s="2" t="s">
        <v>174</v>
      </c>
    </row>
    <row r="256" spans="1:6" ht="22.5" hidden="1" customHeight="1" x14ac:dyDescent="0.25">
      <c r="A256" s="3">
        <v>44378</v>
      </c>
      <c r="B256" s="2" t="s">
        <v>197</v>
      </c>
      <c r="C256" s="2">
        <v>4.79</v>
      </c>
      <c r="D256" s="2">
        <v>4.4316000000000004</v>
      </c>
      <c r="E256" s="2">
        <v>0.21227364000000001</v>
      </c>
      <c r="F256" s="2" t="s">
        <v>168</v>
      </c>
    </row>
    <row r="257" spans="1:6" ht="22.5" hidden="1" customHeight="1" x14ac:dyDescent="0.25">
      <c r="A257" s="3">
        <v>44531</v>
      </c>
      <c r="B257" s="2" t="s">
        <v>284</v>
      </c>
      <c r="C257" s="2">
        <v>3.28</v>
      </c>
      <c r="D257" s="2">
        <v>6.4476000000000004</v>
      </c>
      <c r="E257" s="2">
        <v>0.21148127999999999</v>
      </c>
      <c r="F257" s="2" t="s">
        <v>168</v>
      </c>
    </row>
    <row r="258" spans="1:6" ht="22.5" hidden="1" customHeight="1" x14ac:dyDescent="0.25">
      <c r="A258" s="3">
        <v>44013</v>
      </c>
      <c r="B258" s="2" t="s">
        <v>284</v>
      </c>
      <c r="C258" s="2">
        <v>4.47</v>
      </c>
      <c r="D258" s="2">
        <v>4.3996000000000004</v>
      </c>
      <c r="E258" s="2">
        <v>0.19666212</v>
      </c>
      <c r="F258" s="2" t="s">
        <v>168</v>
      </c>
    </row>
    <row r="259" spans="1:6" ht="22.5" hidden="1" customHeight="1" x14ac:dyDescent="0.25">
      <c r="A259" s="3">
        <v>44470</v>
      </c>
      <c r="B259" s="2" t="s">
        <v>197</v>
      </c>
      <c r="C259" s="2">
        <v>3.91</v>
      </c>
      <c r="D259" s="2">
        <v>4.9166999999999996</v>
      </c>
      <c r="E259" s="2">
        <v>0.19224297000000001</v>
      </c>
      <c r="F259" s="2" t="s">
        <v>168</v>
      </c>
    </row>
    <row r="260" spans="1:6" ht="22.5" hidden="1" customHeight="1" x14ac:dyDescent="0.25">
      <c r="A260" s="3">
        <v>44166</v>
      </c>
      <c r="B260" s="2" t="s">
        <v>197</v>
      </c>
      <c r="C260" s="2">
        <v>4.08</v>
      </c>
      <c r="D260" s="2">
        <v>4.2493999999999996</v>
      </c>
      <c r="E260" s="2">
        <v>0.17337552000000001</v>
      </c>
      <c r="F260" s="2" t="s">
        <v>168</v>
      </c>
    </row>
    <row r="261" spans="1:6" ht="22.5" hidden="1" customHeight="1" x14ac:dyDescent="0.25">
      <c r="A261" s="3">
        <v>44440</v>
      </c>
      <c r="B261" s="2" t="s">
        <v>197</v>
      </c>
      <c r="C261" s="2">
        <v>3.61</v>
      </c>
      <c r="D261" s="2">
        <v>4.7990000000000004</v>
      </c>
      <c r="E261" s="2">
        <v>0.17324390000000001</v>
      </c>
      <c r="F261" s="2" t="s">
        <v>168</v>
      </c>
    </row>
    <row r="262" spans="1:6" ht="22.5" hidden="1" customHeight="1" x14ac:dyDescent="0.25">
      <c r="A262" s="3">
        <v>44228</v>
      </c>
      <c r="B262" s="2" t="s">
        <v>284</v>
      </c>
      <c r="C262" s="2">
        <v>3.52</v>
      </c>
      <c r="D262" s="2">
        <v>4.8914999999999997</v>
      </c>
      <c r="E262" s="2">
        <v>0.17218079999999999</v>
      </c>
      <c r="F262" s="2" t="s">
        <v>168</v>
      </c>
    </row>
    <row r="263" spans="1:6" ht="22.5" hidden="1" customHeight="1" x14ac:dyDescent="0.25">
      <c r="A263" s="3">
        <v>43862</v>
      </c>
      <c r="B263" s="2" t="s">
        <v>267</v>
      </c>
      <c r="C263" s="2">
        <v>1.1399999999999999</v>
      </c>
      <c r="D263" s="2">
        <v>0.13320000000000001</v>
      </c>
      <c r="E263" s="2">
        <v>1.51848E-3</v>
      </c>
      <c r="F263" s="2" t="s">
        <v>165</v>
      </c>
    </row>
    <row r="264" spans="1:6" ht="22.5" hidden="1" customHeight="1" x14ac:dyDescent="0.25">
      <c r="A264" s="3">
        <v>43862</v>
      </c>
      <c r="B264" s="2" t="s">
        <v>268</v>
      </c>
      <c r="C264" s="2">
        <v>0.08</v>
      </c>
      <c r="D264" s="2">
        <v>0.22439999999999999</v>
      </c>
      <c r="E264" s="2">
        <v>1.7951999999999999E-4</v>
      </c>
      <c r="F264" s="2" t="s">
        <v>165</v>
      </c>
    </row>
    <row r="265" spans="1:6" ht="22.5" hidden="1" customHeight="1" x14ac:dyDescent="0.25">
      <c r="A265" s="3">
        <v>43862</v>
      </c>
      <c r="B265" s="2" t="s">
        <v>269</v>
      </c>
      <c r="C265" s="2">
        <v>2.29</v>
      </c>
      <c r="D265" s="2">
        <v>6.88E-2</v>
      </c>
      <c r="E265" s="2">
        <v>1.57552E-3</v>
      </c>
      <c r="F265" s="2" t="s">
        <v>165</v>
      </c>
    </row>
    <row r="266" spans="1:6" ht="22.5" hidden="1" customHeight="1" x14ac:dyDescent="0.25">
      <c r="A266" s="3">
        <v>43862</v>
      </c>
      <c r="B266" s="2" t="s">
        <v>270</v>
      </c>
      <c r="C266" s="2">
        <v>0.92</v>
      </c>
      <c r="D266" s="2">
        <v>2.9161999999999999</v>
      </c>
      <c r="E266" s="2">
        <v>2.6829039999999998E-2</v>
      </c>
      <c r="F266" s="2" t="s">
        <v>170</v>
      </c>
    </row>
    <row r="267" spans="1:6" ht="22.5" hidden="1" customHeight="1" x14ac:dyDescent="0.25">
      <c r="A267" s="3">
        <v>44440</v>
      </c>
      <c r="B267" s="2" t="s">
        <v>284</v>
      </c>
      <c r="C267" s="2">
        <v>2.85</v>
      </c>
      <c r="D267" s="2">
        <v>5.9802</v>
      </c>
      <c r="E267" s="2">
        <v>0.1704357</v>
      </c>
      <c r="F267" s="2" t="s">
        <v>168</v>
      </c>
    </row>
    <row r="268" spans="1:6" ht="22.5" hidden="1" customHeight="1" x14ac:dyDescent="0.25">
      <c r="A268" s="3">
        <v>43862</v>
      </c>
      <c r="B268" s="2" t="s">
        <v>272</v>
      </c>
      <c r="C268" s="2">
        <v>1.56</v>
      </c>
      <c r="D268" s="2">
        <v>0.84830000000000005</v>
      </c>
      <c r="E268" s="2">
        <v>1.3233480000000001E-2</v>
      </c>
      <c r="F268" s="2" t="s">
        <v>165</v>
      </c>
    </row>
    <row r="269" spans="1:6" ht="22.5" hidden="1" customHeight="1" x14ac:dyDescent="0.25">
      <c r="A269" s="3">
        <v>44348</v>
      </c>
      <c r="B269" s="2" t="s">
        <v>284</v>
      </c>
      <c r="C269" s="2">
        <v>2.86</v>
      </c>
      <c r="D269" s="2">
        <v>5.8094999999999999</v>
      </c>
      <c r="E269" s="2">
        <v>0.16615170000000001</v>
      </c>
      <c r="F269" s="2" t="s">
        <v>168</v>
      </c>
    </row>
    <row r="270" spans="1:6" ht="22.5" hidden="1" customHeight="1" x14ac:dyDescent="0.25">
      <c r="A270" s="3">
        <v>43862</v>
      </c>
      <c r="B270" s="2" t="s">
        <v>274</v>
      </c>
      <c r="C270" s="2">
        <v>0.96</v>
      </c>
      <c r="D270" s="2">
        <v>0.12740000000000001</v>
      </c>
      <c r="E270" s="2">
        <v>1.2230400000000001E-3</v>
      </c>
      <c r="F270" s="2" t="s">
        <v>170</v>
      </c>
    </row>
    <row r="271" spans="1:6" ht="22.5" hidden="1" customHeight="1" x14ac:dyDescent="0.25">
      <c r="A271" s="3">
        <v>43862</v>
      </c>
      <c r="B271" s="2" t="s">
        <v>275</v>
      </c>
      <c r="C271" s="2">
        <v>-0.12</v>
      </c>
      <c r="D271" s="2">
        <v>0.1731</v>
      </c>
      <c r="E271" s="2">
        <v>-2.0772E-4</v>
      </c>
      <c r="F271" s="2" t="s">
        <v>170</v>
      </c>
    </row>
    <row r="272" spans="1:6" ht="22.5" hidden="1" customHeight="1" x14ac:dyDescent="0.25">
      <c r="A272" s="3">
        <v>43862</v>
      </c>
      <c r="B272" s="2" t="s">
        <v>276</v>
      </c>
      <c r="C272" s="2">
        <v>0.15</v>
      </c>
      <c r="D272" s="2">
        <v>0.1978</v>
      </c>
      <c r="E272" s="2">
        <v>2.967E-4</v>
      </c>
      <c r="F272" s="2" t="s">
        <v>170</v>
      </c>
    </row>
    <row r="273" spans="1:6" ht="22.5" hidden="1" customHeight="1" x14ac:dyDescent="0.25">
      <c r="A273" s="3">
        <v>43862</v>
      </c>
      <c r="B273" s="2" t="s">
        <v>277</v>
      </c>
      <c r="C273" s="2">
        <v>-0.03</v>
      </c>
      <c r="D273" s="2">
        <v>1.6821999999999999</v>
      </c>
      <c r="E273" s="2">
        <v>-5.0465999999999998E-4</v>
      </c>
      <c r="F273" s="2" t="s">
        <v>165</v>
      </c>
    </row>
    <row r="274" spans="1:6" ht="22.5" hidden="1" customHeight="1" x14ac:dyDescent="0.25">
      <c r="A274" s="3">
        <v>43862</v>
      </c>
      <c r="B274" s="2" t="s">
        <v>278</v>
      </c>
      <c r="C274" s="2">
        <v>0.17</v>
      </c>
      <c r="D274" s="2">
        <v>7.0599999999999996E-2</v>
      </c>
      <c r="E274" s="2">
        <v>1.2002000000000001E-4</v>
      </c>
      <c r="F274" s="2" t="s">
        <v>165</v>
      </c>
    </row>
    <row r="275" spans="1:6" ht="22.5" hidden="1" customHeight="1" x14ac:dyDescent="0.25">
      <c r="A275" s="3">
        <v>44348</v>
      </c>
      <c r="B275" s="2" t="s">
        <v>197</v>
      </c>
      <c r="C275" s="2">
        <v>3.85</v>
      </c>
      <c r="D275" s="2">
        <v>4.3022</v>
      </c>
      <c r="E275" s="2">
        <v>0.1656347</v>
      </c>
      <c r="F275" s="2" t="s">
        <v>168</v>
      </c>
    </row>
    <row r="276" spans="1:6" ht="22.5" hidden="1" customHeight="1" x14ac:dyDescent="0.25">
      <c r="A276" s="3">
        <v>43862</v>
      </c>
      <c r="B276" s="2" t="s">
        <v>280</v>
      </c>
      <c r="C276" s="2">
        <v>-1.01</v>
      </c>
      <c r="D276" s="2">
        <v>1.8935</v>
      </c>
      <c r="E276" s="2">
        <v>-1.9124349999999998E-2</v>
      </c>
      <c r="F276" s="2" t="s">
        <v>170</v>
      </c>
    </row>
    <row r="277" spans="1:6" ht="22.5" hidden="1" customHeight="1" x14ac:dyDescent="0.25">
      <c r="A277" s="3">
        <v>43862</v>
      </c>
      <c r="B277" s="2" t="s">
        <v>281</v>
      </c>
      <c r="C277" s="2">
        <v>0.36</v>
      </c>
      <c r="D277" s="2">
        <v>1.6400000000000001E-2</v>
      </c>
      <c r="E277" s="2">
        <v>5.9039999999999997E-5</v>
      </c>
      <c r="F277" s="2" t="s">
        <v>165</v>
      </c>
    </row>
    <row r="278" spans="1:6" ht="22.5" hidden="1" customHeight="1" x14ac:dyDescent="0.25">
      <c r="A278" s="3">
        <v>43862</v>
      </c>
      <c r="B278" s="2" t="s">
        <v>282</v>
      </c>
      <c r="C278" s="2">
        <v>-3.37</v>
      </c>
      <c r="D278" s="2">
        <v>2.2800000000000001E-2</v>
      </c>
      <c r="E278" s="2">
        <v>-7.6836000000000005E-4</v>
      </c>
      <c r="F278" s="2" t="s">
        <v>165</v>
      </c>
    </row>
    <row r="279" spans="1:6" ht="22.5" hidden="1" customHeight="1" x14ac:dyDescent="0.25">
      <c r="A279" s="3">
        <v>43862</v>
      </c>
      <c r="B279" s="2" t="s">
        <v>283</v>
      </c>
      <c r="C279" s="2">
        <v>0.95</v>
      </c>
      <c r="D279" s="2">
        <v>0.57210000000000005</v>
      </c>
      <c r="E279" s="2">
        <v>5.43495E-3</v>
      </c>
      <c r="F279" s="2" t="s">
        <v>170</v>
      </c>
    </row>
    <row r="280" spans="1:6" ht="22.5" hidden="1" customHeight="1" x14ac:dyDescent="0.25">
      <c r="A280" s="3">
        <v>44470</v>
      </c>
      <c r="B280" s="2" t="s">
        <v>265</v>
      </c>
      <c r="C280" s="2">
        <v>34.35</v>
      </c>
      <c r="D280" s="2">
        <v>0.48020000000000002</v>
      </c>
      <c r="E280" s="2">
        <v>0.1649487</v>
      </c>
      <c r="F280" s="2" t="s">
        <v>168</v>
      </c>
    </row>
    <row r="281" spans="1:6" ht="22.5" hidden="1" customHeight="1" x14ac:dyDescent="0.25">
      <c r="A281" s="3">
        <v>44075</v>
      </c>
      <c r="B281" s="2" t="s">
        <v>284</v>
      </c>
      <c r="C281" s="2">
        <v>3.19</v>
      </c>
      <c r="D281" s="2">
        <v>4.6912000000000003</v>
      </c>
      <c r="E281" s="2">
        <v>0.14964928</v>
      </c>
      <c r="F281" s="2" t="s">
        <v>168</v>
      </c>
    </row>
    <row r="282" spans="1:6" ht="22.5" hidden="1" customHeight="1" x14ac:dyDescent="0.25">
      <c r="A282" s="3">
        <v>44197</v>
      </c>
      <c r="B282" s="2" t="s">
        <v>197</v>
      </c>
      <c r="C282" s="2">
        <v>3.14</v>
      </c>
      <c r="D282" s="2">
        <v>4.3754999999999997</v>
      </c>
      <c r="E282" s="2">
        <v>0.1373907</v>
      </c>
      <c r="F282" s="2" t="s">
        <v>168</v>
      </c>
    </row>
    <row r="283" spans="1:6" ht="22.5" hidden="1" customHeight="1" x14ac:dyDescent="0.25">
      <c r="A283" s="3">
        <v>44166</v>
      </c>
      <c r="B283" s="2" t="s">
        <v>265</v>
      </c>
      <c r="C283" s="2">
        <v>28.31</v>
      </c>
      <c r="D283" s="2">
        <v>0.48010000000000003</v>
      </c>
      <c r="E283" s="2">
        <v>0.13591631000000001</v>
      </c>
      <c r="F283" s="2" t="s">
        <v>168</v>
      </c>
    </row>
    <row r="284" spans="1:6" ht="22.5" hidden="1" customHeight="1" x14ac:dyDescent="0.25">
      <c r="A284" s="3">
        <v>44105</v>
      </c>
      <c r="B284" s="2" t="s">
        <v>265</v>
      </c>
      <c r="C284" s="2">
        <v>39.9</v>
      </c>
      <c r="D284" s="2">
        <v>0.33739999999999998</v>
      </c>
      <c r="E284" s="2">
        <v>0.13462260000000001</v>
      </c>
      <c r="F284" s="2" t="s">
        <v>168</v>
      </c>
    </row>
    <row r="285" spans="1:6" ht="22.5" hidden="1" customHeight="1" x14ac:dyDescent="0.25">
      <c r="A285" s="3">
        <v>44409</v>
      </c>
      <c r="B285" s="2" t="s">
        <v>284</v>
      </c>
      <c r="C285" s="2">
        <v>2.0499999999999998</v>
      </c>
      <c r="D285" s="2">
        <v>5.9132999999999996</v>
      </c>
      <c r="E285" s="2">
        <v>0.12122265</v>
      </c>
      <c r="F285" s="2" t="s">
        <v>168</v>
      </c>
    </row>
    <row r="286" spans="1:6" ht="22.5" hidden="1" customHeight="1" x14ac:dyDescent="0.25">
      <c r="A286" s="3">
        <v>44044</v>
      </c>
      <c r="B286" s="2" t="s">
        <v>284</v>
      </c>
      <c r="C286" s="2">
        <v>2.63</v>
      </c>
      <c r="D286" s="2">
        <v>4.5812999999999997</v>
      </c>
      <c r="E286" s="2">
        <v>0.12048819</v>
      </c>
      <c r="F286" s="2" t="s">
        <v>168</v>
      </c>
    </row>
    <row r="287" spans="1:6" ht="22.5" hidden="1" customHeight="1" x14ac:dyDescent="0.25">
      <c r="A287" s="3">
        <v>44378</v>
      </c>
      <c r="B287" s="2" t="s">
        <v>265</v>
      </c>
      <c r="C287" s="2">
        <v>35.64</v>
      </c>
      <c r="D287" s="2">
        <v>0.31730000000000003</v>
      </c>
      <c r="E287" s="2">
        <v>0.11308572</v>
      </c>
      <c r="F287" s="2" t="s">
        <v>168</v>
      </c>
    </row>
    <row r="288" spans="1:6" ht="22.5" hidden="1" customHeight="1" x14ac:dyDescent="0.25">
      <c r="A288" s="3">
        <v>44470</v>
      </c>
      <c r="B288" s="2" t="s">
        <v>284</v>
      </c>
      <c r="C288" s="2">
        <v>1.85</v>
      </c>
      <c r="D288" s="2">
        <v>6.08</v>
      </c>
      <c r="E288" s="2">
        <v>0.11248</v>
      </c>
      <c r="F288" s="2" t="s">
        <v>168</v>
      </c>
    </row>
    <row r="289" spans="1:6" ht="22.5" hidden="1" customHeight="1" x14ac:dyDescent="0.25">
      <c r="A289" s="3">
        <v>44256</v>
      </c>
      <c r="B289" s="2" t="s">
        <v>285</v>
      </c>
      <c r="C289" s="2">
        <v>16.38</v>
      </c>
      <c r="D289" s="2">
        <v>0.66279999999999994</v>
      </c>
      <c r="E289" s="2">
        <v>0.10856664000000001</v>
      </c>
      <c r="F289" s="2" t="s">
        <v>168</v>
      </c>
    </row>
    <row r="290" spans="1:6" ht="22.5" hidden="1" customHeight="1" x14ac:dyDescent="0.25">
      <c r="A290" s="3">
        <v>44440</v>
      </c>
      <c r="B290" s="2" t="s">
        <v>265</v>
      </c>
      <c r="C290" s="2">
        <v>28.76</v>
      </c>
      <c r="D290" s="2">
        <v>0.37730000000000002</v>
      </c>
      <c r="E290" s="2">
        <v>0.10851147999999999</v>
      </c>
      <c r="F290" s="2" t="s">
        <v>168</v>
      </c>
    </row>
    <row r="291" spans="1:6" ht="22.5" hidden="1" customHeight="1" x14ac:dyDescent="0.25">
      <c r="A291" s="3">
        <v>44166</v>
      </c>
      <c r="B291" s="2" t="s">
        <v>284</v>
      </c>
      <c r="C291" s="2">
        <v>2.19</v>
      </c>
      <c r="D291" s="2">
        <v>4.8303000000000003</v>
      </c>
      <c r="E291" s="2">
        <v>0.10578356999999999</v>
      </c>
      <c r="F291" s="2" t="s">
        <v>168</v>
      </c>
    </row>
    <row r="292" spans="1:6" ht="22.5" hidden="1" customHeight="1" x14ac:dyDescent="0.25">
      <c r="A292" s="3">
        <v>44317</v>
      </c>
      <c r="B292" s="2" t="s">
        <v>197</v>
      </c>
      <c r="C292" s="2">
        <v>2.31</v>
      </c>
      <c r="D292" s="2">
        <v>4.2247000000000003</v>
      </c>
      <c r="E292" s="2">
        <v>9.7590570000000001E-2</v>
      </c>
      <c r="F292" s="2" t="s">
        <v>168</v>
      </c>
    </row>
    <row r="293" spans="1:6" ht="22.5" hidden="1" customHeight="1" x14ac:dyDescent="0.25">
      <c r="A293" s="3">
        <v>43922</v>
      </c>
      <c r="B293" s="2" t="s">
        <v>265</v>
      </c>
      <c r="C293" s="2">
        <v>14.83</v>
      </c>
      <c r="D293" s="2">
        <v>0.54830000000000001</v>
      </c>
      <c r="E293" s="2">
        <v>8.1312889999999999E-2</v>
      </c>
      <c r="F293" s="2" t="s">
        <v>168</v>
      </c>
    </row>
    <row r="294" spans="1:6" ht="22.5" hidden="1" customHeight="1" x14ac:dyDescent="0.25">
      <c r="A294" s="3">
        <v>44348</v>
      </c>
      <c r="B294" s="2" t="s">
        <v>285</v>
      </c>
      <c r="C294" s="2">
        <v>9.1199999999999992</v>
      </c>
      <c r="D294" s="2">
        <v>0.78129999999999999</v>
      </c>
      <c r="E294" s="2">
        <v>7.1254559999999995E-2</v>
      </c>
      <c r="F294" s="2" t="s">
        <v>168</v>
      </c>
    </row>
    <row r="295" spans="1:6" ht="22.5" hidden="1" customHeight="1" x14ac:dyDescent="0.25">
      <c r="A295" s="3">
        <v>44044</v>
      </c>
      <c r="B295" s="2" t="s">
        <v>197</v>
      </c>
      <c r="C295" s="2">
        <v>1.61</v>
      </c>
      <c r="D295" s="2">
        <v>4.2824</v>
      </c>
      <c r="E295" s="2">
        <v>6.8946640000000003E-2</v>
      </c>
      <c r="F295" s="2" t="s">
        <v>168</v>
      </c>
    </row>
    <row r="296" spans="1:6" ht="22.5" hidden="1" customHeight="1" x14ac:dyDescent="0.25">
      <c r="A296" s="3">
        <v>44501</v>
      </c>
      <c r="B296" s="2" t="s">
        <v>285</v>
      </c>
      <c r="C296" s="2">
        <v>7.08</v>
      </c>
      <c r="D296" s="2">
        <v>0.89090000000000003</v>
      </c>
      <c r="E296" s="2">
        <v>6.3075720000000002E-2</v>
      </c>
      <c r="F296" s="2" t="s">
        <v>168</v>
      </c>
    </row>
    <row r="297" spans="1:6" ht="22.5" hidden="1" customHeight="1" x14ac:dyDescent="0.25">
      <c r="A297" s="3">
        <v>44531</v>
      </c>
      <c r="B297" s="2" t="s">
        <v>265</v>
      </c>
      <c r="C297" s="2">
        <v>10.07</v>
      </c>
      <c r="D297" s="2">
        <v>0.59019999999999995</v>
      </c>
      <c r="E297" s="2">
        <v>5.9433140000000002E-2</v>
      </c>
      <c r="F297" s="2" t="s">
        <v>168</v>
      </c>
    </row>
    <row r="298" spans="1:6" ht="22.5" hidden="1" customHeight="1" x14ac:dyDescent="0.25">
      <c r="A298" s="3">
        <v>43862</v>
      </c>
      <c r="B298" s="2" t="s">
        <v>302</v>
      </c>
      <c r="C298" s="2">
        <v>-0.4</v>
      </c>
      <c r="D298" s="2">
        <v>0.31109999999999999</v>
      </c>
      <c r="E298" s="2">
        <v>-1.2444000000000001E-3</v>
      </c>
      <c r="F298" s="2" t="s">
        <v>170</v>
      </c>
    </row>
    <row r="299" spans="1:6" ht="22.5" hidden="1" customHeight="1" x14ac:dyDescent="0.25">
      <c r="A299" s="3">
        <v>43862</v>
      </c>
      <c r="B299" s="2" t="s">
        <v>303</v>
      </c>
      <c r="C299" s="2">
        <v>0.04</v>
      </c>
      <c r="D299" s="2">
        <v>0.55100000000000005</v>
      </c>
      <c r="E299" s="2">
        <v>2.2039999999999999E-4</v>
      </c>
      <c r="F299" s="2" t="s">
        <v>165</v>
      </c>
    </row>
    <row r="300" spans="1:6" ht="22.5" hidden="1" customHeight="1" x14ac:dyDescent="0.25">
      <c r="A300" s="3">
        <v>43862</v>
      </c>
      <c r="B300" s="2" t="s">
        <v>304</v>
      </c>
      <c r="C300" s="2">
        <v>1.1299999999999999</v>
      </c>
      <c r="D300" s="2">
        <v>0.52049999999999996</v>
      </c>
      <c r="E300" s="2">
        <v>5.8816500000000004E-3</v>
      </c>
      <c r="F300" s="2" t="s">
        <v>165</v>
      </c>
    </row>
    <row r="301" spans="1:6" ht="22.5" hidden="1" customHeight="1" x14ac:dyDescent="0.25">
      <c r="A301" s="3">
        <v>43862</v>
      </c>
      <c r="B301" s="2" t="s">
        <v>305</v>
      </c>
      <c r="C301" s="2">
        <v>0.33</v>
      </c>
      <c r="D301" s="2">
        <v>1.8800000000000001E-2</v>
      </c>
      <c r="E301" s="2">
        <v>6.2039999999999996E-5</v>
      </c>
      <c r="F301" s="2" t="s">
        <v>170</v>
      </c>
    </row>
    <row r="302" spans="1:6" ht="22.5" hidden="1" customHeight="1" x14ac:dyDescent="0.25">
      <c r="A302" s="3">
        <v>43862</v>
      </c>
      <c r="B302" s="2" t="s">
        <v>306</v>
      </c>
      <c r="C302" s="2">
        <v>-0.06</v>
      </c>
      <c r="D302" s="2">
        <v>4.9200000000000001E-2</v>
      </c>
      <c r="E302" s="2">
        <v>-2.9519999999999999E-5</v>
      </c>
      <c r="F302" s="2" t="s">
        <v>165</v>
      </c>
    </row>
    <row r="303" spans="1:6" ht="22.5" hidden="1" customHeight="1" x14ac:dyDescent="0.25">
      <c r="A303" s="3">
        <v>43862</v>
      </c>
      <c r="B303" s="2" t="s">
        <v>307</v>
      </c>
      <c r="C303" s="2">
        <v>0.45</v>
      </c>
      <c r="D303" s="2">
        <v>0.10920000000000001</v>
      </c>
      <c r="E303" s="2">
        <v>4.9140000000000002E-4</v>
      </c>
      <c r="F303" s="2" t="s">
        <v>165</v>
      </c>
    </row>
    <row r="304" spans="1:6" ht="22.5" hidden="1" customHeight="1" x14ac:dyDescent="0.25">
      <c r="A304" s="3">
        <v>43862</v>
      </c>
      <c r="B304" s="2" t="s">
        <v>308</v>
      </c>
      <c r="C304" s="2">
        <v>0.44</v>
      </c>
      <c r="D304" s="2">
        <v>0.38279999999999997</v>
      </c>
      <c r="E304" s="2">
        <v>1.68432E-3</v>
      </c>
      <c r="F304" s="2" t="s">
        <v>165</v>
      </c>
    </row>
    <row r="305" spans="1:6" ht="22.5" hidden="1" customHeight="1" x14ac:dyDescent="0.25">
      <c r="A305" s="3">
        <v>43862</v>
      </c>
      <c r="B305" s="2" t="s">
        <v>309</v>
      </c>
      <c r="C305" s="2">
        <v>0.22</v>
      </c>
      <c r="D305" s="2">
        <v>0.1346</v>
      </c>
      <c r="E305" s="2">
        <v>2.9611999999999998E-4</v>
      </c>
      <c r="F305" s="2" t="s">
        <v>165</v>
      </c>
    </row>
    <row r="306" spans="1:6" ht="22.5" hidden="1" customHeight="1" x14ac:dyDescent="0.25">
      <c r="A306" s="3">
        <v>44501</v>
      </c>
      <c r="B306" s="2" t="s">
        <v>195</v>
      </c>
      <c r="C306" s="2">
        <v>4.34</v>
      </c>
      <c r="D306" s="2">
        <v>1.3204</v>
      </c>
      <c r="E306" s="2">
        <v>5.730536E-2</v>
      </c>
      <c r="F306" s="2" t="s">
        <v>168</v>
      </c>
    </row>
    <row r="307" spans="1:6" ht="22.5" hidden="1" customHeight="1" x14ac:dyDescent="0.25">
      <c r="A307" s="3">
        <v>43862</v>
      </c>
      <c r="B307" s="2" t="s">
        <v>311</v>
      </c>
      <c r="C307" s="2">
        <v>-0.06</v>
      </c>
      <c r="D307" s="2">
        <v>0.62649999999999995</v>
      </c>
      <c r="E307" s="2">
        <v>-3.7589999999999998E-4</v>
      </c>
      <c r="F307" s="2" t="s">
        <v>174</v>
      </c>
    </row>
    <row r="308" spans="1:6" ht="22.5" hidden="1" customHeight="1" x14ac:dyDescent="0.25">
      <c r="A308" s="3">
        <v>43862</v>
      </c>
      <c r="B308" s="2" t="s">
        <v>312</v>
      </c>
      <c r="C308" s="2">
        <v>0.03</v>
      </c>
      <c r="D308" s="2">
        <v>0.21959999999999999</v>
      </c>
      <c r="E308" s="2">
        <v>6.5879999999999999E-5</v>
      </c>
      <c r="F308" s="2" t="s">
        <v>174</v>
      </c>
    </row>
    <row r="309" spans="1:6" ht="22.5" hidden="1" customHeight="1" x14ac:dyDescent="0.25">
      <c r="A309" s="3">
        <v>43862</v>
      </c>
      <c r="B309" s="2" t="s">
        <v>313</v>
      </c>
      <c r="C309" s="2">
        <v>-0.45</v>
      </c>
      <c r="D309" s="2">
        <v>0.1356</v>
      </c>
      <c r="E309" s="2">
        <v>-6.1019999999999998E-4</v>
      </c>
      <c r="F309" s="2" t="s">
        <v>174</v>
      </c>
    </row>
    <row r="310" spans="1:6" ht="22.5" hidden="1" customHeight="1" x14ac:dyDescent="0.25">
      <c r="A310" s="3">
        <v>43862</v>
      </c>
      <c r="B310" s="2" t="s">
        <v>314</v>
      </c>
      <c r="C310" s="2">
        <v>-1.3</v>
      </c>
      <c r="D310" s="2">
        <v>0.38219999999999998</v>
      </c>
      <c r="E310" s="2">
        <v>-4.9686000000000001E-3</v>
      </c>
      <c r="F310" s="2" t="s">
        <v>174</v>
      </c>
    </row>
    <row r="311" spans="1:6" ht="22.5" hidden="1" customHeight="1" x14ac:dyDescent="0.25">
      <c r="A311" s="3">
        <v>43862</v>
      </c>
      <c r="B311" s="2" t="s">
        <v>315</v>
      </c>
      <c r="C311" s="2">
        <v>-0.82</v>
      </c>
      <c r="D311" s="2">
        <v>0.26229999999999998</v>
      </c>
      <c r="E311" s="2">
        <v>-2.1508600000000001E-3</v>
      </c>
      <c r="F311" s="2" t="s">
        <v>174</v>
      </c>
    </row>
    <row r="312" spans="1:6" ht="22.5" hidden="1" customHeight="1" x14ac:dyDescent="0.25">
      <c r="A312" s="3">
        <v>43862</v>
      </c>
      <c r="B312" s="2" t="s">
        <v>316</v>
      </c>
      <c r="C312" s="2">
        <v>-0.28000000000000003</v>
      </c>
      <c r="D312" s="2">
        <v>4.1000000000000003E-3</v>
      </c>
      <c r="E312" s="2">
        <v>-1.148E-5</v>
      </c>
      <c r="F312" s="2" t="s">
        <v>174</v>
      </c>
    </row>
    <row r="313" spans="1:6" ht="22.5" hidden="1" customHeight="1" x14ac:dyDescent="0.25">
      <c r="A313" s="3">
        <v>43862</v>
      </c>
      <c r="B313" s="2" t="s">
        <v>317</v>
      </c>
      <c r="C313" s="2">
        <v>-5.0599999999999996</v>
      </c>
      <c r="D313" s="2">
        <v>1.0323</v>
      </c>
      <c r="E313" s="2">
        <v>-5.2234379999999997E-2</v>
      </c>
      <c r="F313" s="2" t="s">
        <v>174</v>
      </c>
    </row>
    <row r="314" spans="1:6" ht="22.5" hidden="1" customHeight="1" x14ac:dyDescent="0.25">
      <c r="A314" s="3">
        <v>43862</v>
      </c>
      <c r="B314" s="2" t="s">
        <v>318</v>
      </c>
      <c r="C314" s="2">
        <v>-0.23</v>
      </c>
      <c r="D314" s="2">
        <v>0.45450000000000002</v>
      </c>
      <c r="E314" s="2">
        <v>-1.04535E-3</v>
      </c>
      <c r="F314" s="2" t="s">
        <v>174</v>
      </c>
    </row>
    <row r="315" spans="1:6" ht="22.5" hidden="1" customHeight="1" x14ac:dyDescent="0.25">
      <c r="A315" s="3">
        <v>43862</v>
      </c>
      <c r="B315" s="2" t="s">
        <v>319</v>
      </c>
      <c r="C315" s="2">
        <v>-0.55000000000000004</v>
      </c>
      <c r="D315" s="2">
        <v>0.1111</v>
      </c>
      <c r="E315" s="2">
        <v>-6.1105000000000003E-4</v>
      </c>
      <c r="F315" s="2" t="s">
        <v>174</v>
      </c>
    </row>
    <row r="316" spans="1:6" ht="22.5" hidden="1" customHeight="1" x14ac:dyDescent="0.25">
      <c r="A316" s="3">
        <v>43862</v>
      </c>
      <c r="B316" s="2" t="s">
        <v>320</v>
      </c>
      <c r="C316" s="2">
        <v>-0.13</v>
      </c>
      <c r="D316" s="2">
        <v>0.29039999999999999</v>
      </c>
      <c r="E316" s="2">
        <v>-3.7752E-4</v>
      </c>
      <c r="F316" s="2" t="s">
        <v>174</v>
      </c>
    </row>
    <row r="317" spans="1:6" ht="22.5" hidden="1" customHeight="1" x14ac:dyDescent="0.25">
      <c r="A317" s="3">
        <v>43862</v>
      </c>
      <c r="B317" s="2" t="s">
        <v>321</v>
      </c>
      <c r="C317" s="2">
        <v>-0.41</v>
      </c>
      <c r="D317" s="2">
        <v>0.20910000000000001</v>
      </c>
      <c r="E317" s="2">
        <v>-8.5731000000000002E-4</v>
      </c>
      <c r="F317" s="2" t="s">
        <v>174</v>
      </c>
    </row>
    <row r="318" spans="1:6" ht="22.5" hidden="1" customHeight="1" x14ac:dyDescent="0.25">
      <c r="A318" s="3">
        <v>43862</v>
      </c>
      <c r="B318" s="2" t="s">
        <v>322</v>
      </c>
      <c r="C318" s="2">
        <v>-2.02</v>
      </c>
      <c r="D318" s="2">
        <v>0.17019999999999999</v>
      </c>
      <c r="E318" s="2">
        <v>-3.4380399999999998E-3</v>
      </c>
      <c r="F318" s="2" t="s">
        <v>174</v>
      </c>
    </row>
    <row r="319" spans="1:6" ht="22.5" hidden="1" customHeight="1" x14ac:dyDescent="0.25">
      <c r="A319" s="3">
        <v>43862</v>
      </c>
      <c r="B319" s="2" t="s">
        <v>323</v>
      </c>
      <c r="C319" s="2">
        <v>1.62</v>
      </c>
      <c r="D319" s="2">
        <v>1.15E-2</v>
      </c>
      <c r="E319" s="2">
        <v>1.863E-4</v>
      </c>
      <c r="F319" s="2" t="s">
        <v>165</v>
      </c>
    </row>
    <row r="320" spans="1:6" ht="22.5" hidden="1" customHeight="1" x14ac:dyDescent="0.25">
      <c r="A320" s="3">
        <v>43862</v>
      </c>
      <c r="B320" s="2" t="s">
        <v>324</v>
      </c>
      <c r="C320" s="2">
        <v>0.15</v>
      </c>
      <c r="D320" s="2">
        <v>0.39600000000000002</v>
      </c>
      <c r="E320" s="2">
        <v>5.9400000000000002E-4</v>
      </c>
      <c r="F320" s="2" t="s">
        <v>165</v>
      </c>
    </row>
    <row r="321" spans="1:6" ht="22.5" hidden="1" customHeight="1" x14ac:dyDescent="0.25">
      <c r="A321" s="3">
        <v>43862</v>
      </c>
      <c r="B321" s="2" t="s">
        <v>325</v>
      </c>
      <c r="C321" s="2">
        <v>0.49</v>
      </c>
      <c r="D321" s="2">
        <v>3.1699000000000002</v>
      </c>
      <c r="E321" s="2">
        <v>1.5532509999999999E-2</v>
      </c>
      <c r="F321" s="2" t="s">
        <v>165</v>
      </c>
    </row>
    <row r="322" spans="1:6" ht="22.5" hidden="1" customHeight="1" x14ac:dyDescent="0.25">
      <c r="A322" s="3">
        <v>43862</v>
      </c>
      <c r="B322" s="2" t="s">
        <v>326</v>
      </c>
      <c r="C322" s="2">
        <v>-0.03</v>
      </c>
      <c r="D322" s="2">
        <v>1.0824</v>
      </c>
      <c r="E322" s="2">
        <v>-3.2472000000000002E-4</v>
      </c>
      <c r="F322" s="2" t="s">
        <v>165</v>
      </c>
    </row>
    <row r="323" spans="1:6" ht="22.5" hidden="1" customHeight="1" x14ac:dyDescent="0.25">
      <c r="A323" s="3">
        <v>43862</v>
      </c>
      <c r="B323" s="2" t="s">
        <v>327</v>
      </c>
      <c r="C323" s="2">
        <v>0.14000000000000001</v>
      </c>
      <c r="D323" s="2">
        <v>6.0600000000000001E-2</v>
      </c>
      <c r="E323" s="2">
        <v>8.4839999999999994E-5</v>
      </c>
      <c r="F323" s="2" t="s">
        <v>165</v>
      </c>
    </row>
    <row r="324" spans="1:6" ht="22.5" hidden="1" customHeight="1" x14ac:dyDescent="0.25">
      <c r="A324" s="3">
        <v>43862</v>
      </c>
      <c r="B324" s="2" t="s">
        <v>328</v>
      </c>
      <c r="C324" s="2">
        <v>0.86</v>
      </c>
      <c r="D324" s="2">
        <v>1.84E-2</v>
      </c>
      <c r="E324" s="2">
        <v>1.5824E-4</v>
      </c>
      <c r="F324" s="2" t="s">
        <v>165</v>
      </c>
    </row>
    <row r="325" spans="1:6" ht="22.5" hidden="1" customHeight="1" x14ac:dyDescent="0.25">
      <c r="A325" s="3">
        <v>43862</v>
      </c>
      <c r="B325" s="2" t="s">
        <v>329</v>
      </c>
      <c r="C325" s="2">
        <v>0.38</v>
      </c>
      <c r="D325" s="2">
        <v>9.8500000000000004E-2</v>
      </c>
      <c r="E325" s="2">
        <v>3.7429999999999999E-4</v>
      </c>
      <c r="F325" s="2" t="s">
        <v>165</v>
      </c>
    </row>
    <row r="326" spans="1:6" ht="22.5" hidden="1" customHeight="1" x14ac:dyDescent="0.25">
      <c r="A326" s="3">
        <v>43862</v>
      </c>
      <c r="B326" s="2" t="s">
        <v>330</v>
      </c>
      <c r="C326" s="2">
        <v>0.01</v>
      </c>
      <c r="D326" s="2">
        <v>1.8019000000000001</v>
      </c>
      <c r="E326" s="2">
        <v>1.8018999999999999E-4</v>
      </c>
      <c r="F326" s="2" t="s">
        <v>165</v>
      </c>
    </row>
    <row r="327" spans="1:6" ht="22.5" hidden="1" customHeight="1" x14ac:dyDescent="0.25">
      <c r="A327" s="3">
        <v>43862</v>
      </c>
      <c r="B327" s="2" t="s">
        <v>331</v>
      </c>
      <c r="C327" s="2">
        <v>0.14000000000000001</v>
      </c>
      <c r="D327" s="2">
        <v>5.8700000000000002E-2</v>
      </c>
      <c r="E327" s="2">
        <v>8.2180000000000003E-5</v>
      </c>
      <c r="F327" s="2" t="s">
        <v>165</v>
      </c>
    </row>
    <row r="328" spans="1:6" ht="22.5" hidden="1" customHeight="1" x14ac:dyDescent="0.25">
      <c r="A328" s="3">
        <v>43862</v>
      </c>
      <c r="B328" s="2" t="s">
        <v>332</v>
      </c>
      <c r="C328" s="2">
        <v>-0.19</v>
      </c>
      <c r="D328" s="2">
        <v>0.1114</v>
      </c>
      <c r="E328" s="2">
        <v>-2.1165999999999999E-4</v>
      </c>
      <c r="F328" s="2" t="s">
        <v>165</v>
      </c>
    </row>
    <row r="329" spans="1:6" ht="22.5" hidden="1" customHeight="1" x14ac:dyDescent="0.25">
      <c r="A329" s="3">
        <v>43862</v>
      </c>
      <c r="B329" s="2" t="s">
        <v>333</v>
      </c>
      <c r="C329" s="2">
        <v>0.6</v>
      </c>
      <c r="D329" s="2">
        <v>8.3299999999999999E-2</v>
      </c>
      <c r="E329" s="2">
        <v>4.9980000000000001E-4</v>
      </c>
      <c r="F329" s="2" t="s">
        <v>165</v>
      </c>
    </row>
    <row r="330" spans="1:6" ht="22.5" hidden="1" customHeight="1" x14ac:dyDescent="0.25">
      <c r="A330" s="3">
        <v>43862</v>
      </c>
      <c r="B330" s="2" t="s">
        <v>334</v>
      </c>
      <c r="C330" s="2">
        <v>-0.75</v>
      </c>
      <c r="D330" s="2">
        <v>1.9199999999999998E-2</v>
      </c>
      <c r="E330" s="2">
        <v>-1.44E-4</v>
      </c>
      <c r="F330" s="2" t="s">
        <v>170</v>
      </c>
    </row>
    <row r="331" spans="1:6" ht="22.5" hidden="1" customHeight="1" x14ac:dyDescent="0.25">
      <c r="A331" s="3">
        <v>43862</v>
      </c>
      <c r="B331" s="2" t="s">
        <v>335</v>
      </c>
      <c r="C331" s="2">
        <v>0.32</v>
      </c>
      <c r="D331" s="2">
        <v>0.30270000000000002</v>
      </c>
      <c r="E331" s="2">
        <v>9.6864E-4</v>
      </c>
      <c r="F331" s="2" t="s">
        <v>165</v>
      </c>
    </row>
    <row r="332" spans="1:6" ht="22.5" hidden="1" customHeight="1" x14ac:dyDescent="0.25">
      <c r="A332" s="3">
        <v>43862</v>
      </c>
      <c r="B332" s="2" t="s">
        <v>336</v>
      </c>
      <c r="C332" s="2">
        <v>-0.51</v>
      </c>
      <c r="D332" s="2">
        <v>9.5299999999999996E-2</v>
      </c>
      <c r="E332" s="2">
        <v>-4.8602999999999998E-4</v>
      </c>
      <c r="F332" s="2" t="s">
        <v>170</v>
      </c>
    </row>
    <row r="333" spans="1:6" ht="22.5" hidden="1" customHeight="1" x14ac:dyDescent="0.25">
      <c r="A333" s="3">
        <v>43862</v>
      </c>
      <c r="B333" s="2" t="s">
        <v>337</v>
      </c>
      <c r="C333" s="2">
        <v>0.05</v>
      </c>
      <c r="D333" s="2">
        <v>0.34420000000000001</v>
      </c>
      <c r="E333" s="2">
        <v>1.7210000000000001E-4</v>
      </c>
      <c r="F333" s="2" t="s">
        <v>174</v>
      </c>
    </row>
    <row r="334" spans="1:6" ht="22.5" hidden="1" customHeight="1" x14ac:dyDescent="0.25">
      <c r="A334" s="3">
        <v>43862</v>
      </c>
      <c r="B334" s="2" t="s">
        <v>338</v>
      </c>
      <c r="C334" s="2">
        <v>-0.17</v>
      </c>
      <c r="D334" s="2">
        <v>0.22969999999999999</v>
      </c>
      <c r="E334" s="2">
        <v>-3.9049000000000001E-4</v>
      </c>
      <c r="F334" s="2" t="s">
        <v>174</v>
      </c>
    </row>
    <row r="335" spans="1:6" ht="22.5" hidden="1" customHeight="1" x14ac:dyDescent="0.25">
      <c r="A335" s="3">
        <v>43862</v>
      </c>
      <c r="B335" s="2" t="s">
        <v>339</v>
      </c>
      <c r="C335" s="2">
        <v>1.93</v>
      </c>
      <c r="D335" s="2">
        <v>4.4200000000000003E-2</v>
      </c>
      <c r="E335" s="2">
        <v>8.5305999999999999E-4</v>
      </c>
      <c r="F335" s="2" t="s">
        <v>165</v>
      </c>
    </row>
    <row r="336" spans="1:6" ht="22.5" hidden="1" customHeight="1" x14ac:dyDescent="0.25">
      <c r="A336" s="3">
        <v>44136</v>
      </c>
      <c r="B336" s="2" t="s">
        <v>284</v>
      </c>
      <c r="C336" s="2">
        <v>1.17</v>
      </c>
      <c r="D336" s="2">
        <v>4.8135000000000003</v>
      </c>
      <c r="E336" s="2">
        <v>5.6317949999999999E-2</v>
      </c>
      <c r="F336" s="2" t="s">
        <v>168</v>
      </c>
    </row>
    <row r="337" spans="1:6" ht="22.5" hidden="1" customHeight="1" x14ac:dyDescent="0.25">
      <c r="A337" s="3">
        <v>43862</v>
      </c>
      <c r="B337" s="2" t="s">
        <v>341</v>
      </c>
      <c r="C337" s="2">
        <v>2.66</v>
      </c>
      <c r="D337" s="2">
        <v>1.1299999999999999E-2</v>
      </c>
      <c r="E337" s="2">
        <v>3.0058E-4</v>
      </c>
      <c r="F337" s="2" t="s">
        <v>174</v>
      </c>
    </row>
    <row r="338" spans="1:6" ht="22.5" hidden="1" customHeight="1" x14ac:dyDescent="0.25">
      <c r="A338" s="3">
        <v>43862</v>
      </c>
      <c r="B338" s="2" t="s">
        <v>342</v>
      </c>
      <c r="C338" s="2">
        <v>1.32</v>
      </c>
      <c r="D338" s="2">
        <v>0.59589999999999999</v>
      </c>
      <c r="E338" s="2">
        <v>7.8658800000000004E-3</v>
      </c>
      <c r="F338" s="2" t="s">
        <v>165</v>
      </c>
    </row>
    <row r="339" spans="1:6" ht="22.5" hidden="1" customHeight="1" x14ac:dyDescent="0.25">
      <c r="A339" s="3">
        <v>43862</v>
      </c>
      <c r="B339" s="2" t="s">
        <v>343</v>
      </c>
      <c r="C339" s="2">
        <v>2.68</v>
      </c>
      <c r="D339" s="2">
        <v>0.48759999999999998</v>
      </c>
      <c r="E339" s="2">
        <v>1.306768E-2</v>
      </c>
      <c r="F339" s="2" t="s">
        <v>165</v>
      </c>
    </row>
    <row r="340" spans="1:6" ht="22.5" hidden="1" customHeight="1" x14ac:dyDescent="0.25">
      <c r="A340" s="3">
        <v>43862</v>
      </c>
      <c r="B340" s="2" t="s">
        <v>344</v>
      </c>
      <c r="C340" s="2">
        <v>-0.3</v>
      </c>
      <c r="D340" s="2">
        <v>0.14899999999999999</v>
      </c>
      <c r="E340" s="2">
        <v>-4.4700000000000002E-4</v>
      </c>
      <c r="F340" s="2" t="s">
        <v>165</v>
      </c>
    </row>
    <row r="341" spans="1:6" ht="22.5" hidden="1" customHeight="1" x14ac:dyDescent="0.25">
      <c r="A341" s="3">
        <v>43862</v>
      </c>
      <c r="B341" s="2" t="s">
        <v>345</v>
      </c>
      <c r="C341" s="2">
        <v>-0.83</v>
      </c>
      <c r="D341" s="2">
        <v>0.55400000000000005</v>
      </c>
      <c r="E341" s="2">
        <v>-4.5982000000000002E-3</v>
      </c>
      <c r="F341" s="2" t="s">
        <v>165</v>
      </c>
    </row>
    <row r="342" spans="1:6" ht="22.5" hidden="1" customHeight="1" x14ac:dyDescent="0.25">
      <c r="A342" s="3">
        <v>43862</v>
      </c>
      <c r="B342" s="2" t="s">
        <v>346</v>
      </c>
      <c r="C342" s="2">
        <v>-0.23</v>
      </c>
      <c r="D342" s="2">
        <v>0.5534</v>
      </c>
      <c r="E342" s="2">
        <v>-1.27282E-3</v>
      </c>
      <c r="F342" s="2" t="s">
        <v>174</v>
      </c>
    </row>
    <row r="343" spans="1:6" ht="22.5" hidden="1" customHeight="1" x14ac:dyDescent="0.25">
      <c r="A343" s="3">
        <v>43862</v>
      </c>
      <c r="B343" s="2" t="s">
        <v>347</v>
      </c>
      <c r="C343" s="2">
        <v>6.31</v>
      </c>
      <c r="D343" s="2">
        <v>0.19439999999999999</v>
      </c>
      <c r="E343" s="2">
        <v>1.2266640000000001E-2</v>
      </c>
      <c r="F343" s="2" t="s">
        <v>165</v>
      </c>
    </row>
    <row r="344" spans="1:6" ht="22.5" hidden="1" customHeight="1" x14ac:dyDescent="0.25">
      <c r="A344" s="3">
        <v>43862</v>
      </c>
      <c r="B344" s="2" t="s">
        <v>348</v>
      </c>
      <c r="C344" s="2">
        <v>5.96</v>
      </c>
      <c r="D344" s="2">
        <v>0.32790000000000002</v>
      </c>
      <c r="E344" s="2">
        <v>1.9542839999999999E-2</v>
      </c>
      <c r="F344" s="2" t="s">
        <v>165</v>
      </c>
    </row>
    <row r="345" spans="1:6" ht="22.5" hidden="1" customHeight="1" x14ac:dyDescent="0.25">
      <c r="A345" s="3">
        <v>43862</v>
      </c>
      <c r="B345" s="2" t="s">
        <v>349</v>
      </c>
      <c r="C345" s="2">
        <v>6.19</v>
      </c>
      <c r="D345" s="2">
        <v>1.5143</v>
      </c>
      <c r="E345" s="2">
        <v>9.3735170000000007E-2</v>
      </c>
      <c r="F345" s="2" t="s">
        <v>165</v>
      </c>
    </row>
    <row r="346" spans="1:6" ht="22.5" hidden="1" customHeight="1" x14ac:dyDescent="0.25">
      <c r="A346" s="3">
        <v>43862</v>
      </c>
      <c r="B346" s="2" t="s">
        <v>350</v>
      </c>
      <c r="C346" s="2">
        <v>5.62</v>
      </c>
      <c r="D346" s="2">
        <v>0.37730000000000002</v>
      </c>
      <c r="E346" s="2">
        <v>2.1204259999999999E-2</v>
      </c>
      <c r="F346" s="2" t="s">
        <v>165</v>
      </c>
    </row>
    <row r="347" spans="1:6" ht="22.5" hidden="1" customHeight="1" x14ac:dyDescent="0.25">
      <c r="A347" s="3">
        <v>43862</v>
      </c>
      <c r="B347" s="2" t="s">
        <v>351</v>
      </c>
      <c r="C347" s="2">
        <v>2.66</v>
      </c>
      <c r="D347" s="2">
        <v>1.8683000000000001</v>
      </c>
      <c r="E347" s="2">
        <v>4.9696780000000003E-2</v>
      </c>
      <c r="F347" s="2" t="s">
        <v>165</v>
      </c>
    </row>
    <row r="348" spans="1:6" ht="22.5" hidden="1" customHeight="1" x14ac:dyDescent="0.25">
      <c r="A348" s="3">
        <v>43862</v>
      </c>
      <c r="B348" s="2" t="s">
        <v>352</v>
      </c>
      <c r="C348" s="2">
        <v>1.34</v>
      </c>
      <c r="D348" s="2">
        <v>0.30590000000000001</v>
      </c>
      <c r="E348" s="2">
        <v>4.0990599999999999E-3</v>
      </c>
      <c r="F348" s="2" t="s">
        <v>165</v>
      </c>
    </row>
    <row r="349" spans="1:6" ht="22.5" hidden="1" customHeight="1" x14ac:dyDescent="0.25">
      <c r="A349" s="3">
        <v>43862</v>
      </c>
      <c r="B349" s="2" t="s">
        <v>353</v>
      </c>
      <c r="C349" s="2">
        <v>5.53</v>
      </c>
      <c r="D349" s="2">
        <v>4.2200000000000001E-2</v>
      </c>
      <c r="E349" s="2">
        <v>2.33366E-3</v>
      </c>
      <c r="F349" s="2" t="s">
        <v>165</v>
      </c>
    </row>
    <row r="350" spans="1:6" ht="22.5" hidden="1" customHeight="1" x14ac:dyDescent="0.25">
      <c r="A350" s="3">
        <v>43862</v>
      </c>
      <c r="B350" s="2" t="s">
        <v>354</v>
      </c>
      <c r="C350" s="2">
        <v>1.49</v>
      </c>
      <c r="D350" s="2">
        <v>3.2099999999999997E-2</v>
      </c>
      <c r="E350" s="2">
        <v>4.7828999999999998E-4</v>
      </c>
      <c r="F350" s="2" t="s">
        <v>165</v>
      </c>
    </row>
    <row r="351" spans="1:6" ht="22.5" hidden="1" customHeight="1" x14ac:dyDescent="0.25">
      <c r="A351" s="3">
        <v>43862</v>
      </c>
      <c r="B351" s="2" t="s">
        <v>355</v>
      </c>
      <c r="C351" s="2">
        <v>0</v>
      </c>
      <c r="D351" s="2">
        <v>2.9600000000000001E-2</v>
      </c>
      <c r="E351" s="2">
        <v>0</v>
      </c>
      <c r="F351" s="2" t="s">
        <v>174</v>
      </c>
    </row>
    <row r="352" spans="1:6" ht="22.5" hidden="1" customHeight="1" x14ac:dyDescent="0.25">
      <c r="A352" s="3">
        <v>43862</v>
      </c>
      <c r="B352" s="2" t="s">
        <v>356</v>
      </c>
      <c r="C352" s="2">
        <v>0</v>
      </c>
      <c r="D352" s="2">
        <v>2.87E-2</v>
      </c>
      <c r="E352" s="2">
        <v>0</v>
      </c>
      <c r="F352" s="2" t="s">
        <v>174</v>
      </c>
    </row>
    <row r="353" spans="1:6" ht="22.5" hidden="1" customHeight="1" x14ac:dyDescent="0.25">
      <c r="A353" s="3">
        <v>43862</v>
      </c>
      <c r="B353" s="2" t="s">
        <v>357</v>
      </c>
      <c r="C353" s="2">
        <v>-0.47</v>
      </c>
      <c r="D353" s="2">
        <v>0.38719999999999999</v>
      </c>
      <c r="E353" s="2">
        <v>-1.8198400000000001E-3</v>
      </c>
      <c r="F353" s="2" t="s">
        <v>174</v>
      </c>
    </row>
    <row r="354" spans="1:6" ht="22.5" hidden="1" customHeight="1" x14ac:dyDescent="0.25">
      <c r="A354" s="3">
        <v>43862</v>
      </c>
      <c r="B354" s="2" t="s">
        <v>358</v>
      </c>
      <c r="C354" s="2">
        <v>-0.2</v>
      </c>
      <c r="D354" s="2">
        <v>9.8900000000000002E-2</v>
      </c>
      <c r="E354" s="2">
        <v>-1.9780000000000001E-4</v>
      </c>
      <c r="F354" s="2" t="s">
        <v>174</v>
      </c>
    </row>
    <row r="355" spans="1:6" ht="22.5" hidden="1" customHeight="1" x14ac:dyDescent="0.25">
      <c r="A355" s="3">
        <v>43862</v>
      </c>
      <c r="B355" s="2" t="s">
        <v>359</v>
      </c>
      <c r="C355" s="2">
        <v>-1.1100000000000001</v>
      </c>
      <c r="D355" s="2">
        <v>5.3199999999999997E-2</v>
      </c>
      <c r="E355" s="2">
        <v>-5.9051999999999998E-4</v>
      </c>
      <c r="F355" s="2" t="s">
        <v>174</v>
      </c>
    </row>
    <row r="356" spans="1:6" ht="22.5" hidden="1" customHeight="1" x14ac:dyDescent="0.25">
      <c r="A356" s="3">
        <v>43862</v>
      </c>
      <c r="B356" s="2" t="s">
        <v>360</v>
      </c>
      <c r="C356" s="2">
        <v>0.12</v>
      </c>
      <c r="D356" s="2">
        <v>8.9599999999999999E-2</v>
      </c>
      <c r="E356" s="2">
        <v>1.0752E-4</v>
      </c>
      <c r="F356" s="2" t="s">
        <v>174</v>
      </c>
    </row>
    <row r="357" spans="1:6" ht="22.5" hidden="1" customHeight="1" x14ac:dyDescent="0.25">
      <c r="A357" s="3">
        <v>43862</v>
      </c>
      <c r="B357" s="2" t="s">
        <v>361</v>
      </c>
      <c r="C357" s="2">
        <v>3.07</v>
      </c>
      <c r="D357" s="2">
        <v>7.9699999999999993E-2</v>
      </c>
      <c r="E357" s="2">
        <v>2.4467899999999999E-3</v>
      </c>
      <c r="F357" s="2" t="s">
        <v>165</v>
      </c>
    </row>
    <row r="358" spans="1:6" ht="22.5" hidden="1" customHeight="1" x14ac:dyDescent="0.25">
      <c r="A358" s="3">
        <v>43862</v>
      </c>
      <c r="B358" s="2" t="s">
        <v>362</v>
      </c>
      <c r="C358" s="2">
        <v>3.82</v>
      </c>
      <c r="D358" s="2">
        <v>0.317</v>
      </c>
      <c r="E358" s="2">
        <v>1.2109399999999999E-2</v>
      </c>
      <c r="F358" s="2" t="s">
        <v>165</v>
      </c>
    </row>
    <row r="359" spans="1:6" ht="22.5" hidden="1" customHeight="1" x14ac:dyDescent="0.25">
      <c r="A359" s="3">
        <v>43862</v>
      </c>
      <c r="B359" s="2" t="s">
        <v>363</v>
      </c>
      <c r="C359" s="2">
        <v>0.48</v>
      </c>
      <c r="D359" s="2">
        <v>4.99E-2</v>
      </c>
      <c r="E359" s="2">
        <v>2.3952000000000001E-4</v>
      </c>
      <c r="F359" s="2" t="s">
        <v>165</v>
      </c>
    </row>
    <row r="360" spans="1:6" ht="22.5" hidden="1" customHeight="1" x14ac:dyDescent="0.25">
      <c r="A360" s="3">
        <v>43862</v>
      </c>
      <c r="B360" s="2" t="s">
        <v>364</v>
      </c>
      <c r="C360" s="2">
        <v>2.04</v>
      </c>
      <c r="D360" s="2">
        <v>0.41</v>
      </c>
      <c r="E360" s="2">
        <v>8.3639999999999999E-3</v>
      </c>
      <c r="F360" s="2" t="s">
        <v>165</v>
      </c>
    </row>
    <row r="361" spans="1:6" ht="22.5" hidden="1" customHeight="1" x14ac:dyDescent="0.25">
      <c r="A361" s="3">
        <v>44256</v>
      </c>
      <c r="B361" s="2" t="s">
        <v>195</v>
      </c>
      <c r="C361" s="2">
        <v>4.5999999999999996</v>
      </c>
      <c r="D361" s="2">
        <v>1.1335999999999999</v>
      </c>
      <c r="E361" s="2">
        <v>5.21456E-2</v>
      </c>
      <c r="F361" s="2" t="s">
        <v>168</v>
      </c>
    </row>
    <row r="362" spans="1:6" ht="22.5" hidden="1" customHeight="1" x14ac:dyDescent="0.25">
      <c r="A362" s="3">
        <v>44470</v>
      </c>
      <c r="B362" s="2" t="s">
        <v>195</v>
      </c>
      <c r="C362" s="2">
        <v>3.8</v>
      </c>
      <c r="D362" s="2">
        <v>1.2867999999999999</v>
      </c>
      <c r="E362" s="2">
        <v>4.8898400000000002E-2</v>
      </c>
      <c r="F362" s="2" t="s">
        <v>168</v>
      </c>
    </row>
    <row r="363" spans="1:6" ht="22.5" hidden="1" customHeight="1" x14ac:dyDescent="0.25">
      <c r="A363" s="3">
        <v>44531</v>
      </c>
      <c r="B363" s="2" t="s">
        <v>197</v>
      </c>
      <c r="C363" s="2">
        <v>0.96</v>
      </c>
      <c r="D363" s="2">
        <v>5.0374999999999996</v>
      </c>
      <c r="E363" s="2">
        <v>4.836E-2</v>
      </c>
      <c r="F363" s="2" t="s">
        <v>168</v>
      </c>
    </row>
    <row r="364" spans="1:6" ht="22.5" hidden="1" customHeight="1" x14ac:dyDescent="0.25">
      <c r="A364" s="3">
        <v>43862</v>
      </c>
      <c r="B364" s="2" t="s">
        <v>368</v>
      </c>
      <c r="C364" s="2">
        <v>0</v>
      </c>
      <c r="D364" s="2">
        <v>0.4073</v>
      </c>
      <c r="E364" s="2">
        <v>0</v>
      </c>
      <c r="F364" s="2" t="s">
        <v>165</v>
      </c>
    </row>
    <row r="365" spans="1:6" ht="22.5" hidden="1" customHeight="1" x14ac:dyDescent="0.25">
      <c r="A365" s="3">
        <v>43862</v>
      </c>
      <c r="B365" s="2" t="s">
        <v>369</v>
      </c>
      <c r="C365" s="2">
        <v>0</v>
      </c>
      <c r="D365" s="2">
        <v>0.54510000000000003</v>
      </c>
      <c r="E365" s="2">
        <v>0</v>
      </c>
      <c r="F365" s="2" t="s">
        <v>165</v>
      </c>
    </row>
    <row r="366" spans="1:6" ht="22.5" hidden="1" customHeight="1" x14ac:dyDescent="0.25">
      <c r="A366" s="3">
        <v>43862</v>
      </c>
      <c r="B366" s="2" t="s">
        <v>370</v>
      </c>
      <c r="C366" s="2">
        <v>-0.46</v>
      </c>
      <c r="D366" s="2">
        <v>1.0037</v>
      </c>
      <c r="E366" s="2">
        <v>-4.6170200000000003E-3</v>
      </c>
      <c r="F366" s="2" t="s">
        <v>170</v>
      </c>
    </row>
    <row r="367" spans="1:6" ht="22.5" hidden="1" customHeight="1" x14ac:dyDescent="0.25">
      <c r="A367" s="3">
        <v>43862</v>
      </c>
      <c r="B367" s="2" t="s">
        <v>371</v>
      </c>
      <c r="C367" s="2">
        <v>0</v>
      </c>
      <c r="D367" s="2">
        <v>6.9800000000000001E-2</v>
      </c>
      <c r="E367" s="2">
        <v>0</v>
      </c>
      <c r="F367" s="2" t="s">
        <v>165</v>
      </c>
    </row>
    <row r="368" spans="1:6" ht="22.5" hidden="1" customHeight="1" x14ac:dyDescent="0.25">
      <c r="A368" s="3">
        <v>43862</v>
      </c>
      <c r="B368" s="2" t="s">
        <v>372</v>
      </c>
      <c r="C368" s="2">
        <v>0</v>
      </c>
      <c r="D368" s="2">
        <v>1.7233000000000001</v>
      </c>
      <c r="E368" s="2">
        <v>0</v>
      </c>
      <c r="F368" s="2" t="s">
        <v>165</v>
      </c>
    </row>
    <row r="369" spans="1:6" ht="22.5" hidden="1" customHeight="1" x14ac:dyDescent="0.25">
      <c r="A369" s="3">
        <v>43891</v>
      </c>
      <c r="B369" s="2" t="s">
        <v>6</v>
      </c>
      <c r="C369" s="2">
        <v>1.28</v>
      </c>
      <c r="D369" s="2">
        <v>0.45650000000000002</v>
      </c>
      <c r="E369" s="2">
        <v>5.8431999999999998E-3</v>
      </c>
      <c r="F369" s="2" t="s">
        <v>7</v>
      </c>
    </row>
    <row r="370" spans="1:6" ht="22.5" hidden="1" customHeight="1" x14ac:dyDescent="0.25">
      <c r="A370" s="3">
        <v>43891</v>
      </c>
      <c r="B370" s="2" t="s">
        <v>8</v>
      </c>
      <c r="C370" s="2">
        <v>2.78</v>
      </c>
      <c r="D370" s="2">
        <v>1.1299999999999999E-2</v>
      </c>
      <c r="E370" s="2">
        <v>3.1414000000000002E-4</v>
      </c>
      <c r="F370" s="2" t="s">
        <v>7</v>
      </c>
    </row>
    <row r="371" spans="1:6" ht="22.5" hidden="1" customHeight="1" x14ac:dyDescent="0.25">
      <c r="A371" s="3">
        <v>43891</v>
      </c>
      <c r="B371" s="2" t="s">
        <v>9</v>
      </c>
      <c r="C371" s="2">
        <v>-0.5</v>
      </c>
      <c r="D371" s="2">
        <v>4.7899999999999998E-2</v>
      </c>
      <c r="E371" s="2">
        <v>-2.3949999999999999E-4</v>
      </c>
      <c r="F371" s="2" t="s">
        <v>7</v>
      </c>
    </row>
    <row r="372" spans="1:6" ht="22.5" hidden="1" customHeight="1" x14ac:dyDescent="0.25">
      <c r="A372" s="3">
        <v>43891</v>
      </c>
      <c r="B372" s="2" t="s">
        <v>10</v>
      </c>
      <c r="C372" s="2">
        <v>2.99</v>
      </c>
      <c r="D372" s="2">
        <v>1.5699999999999999E-2</v>
      </c>
      <c r="E372" s="2">
        <v>4.6943000000000001E-4</v>
      </c>
      <c r="F372" s="2" t="s">
        <v>7</v>
      </c>
    </row>
    <row r="373" spans="1:6" ht="22.5" hidden="1" customHeight="1" x14ac:dyDescent="0.25">
      <c r="A373" s="3">
        <v>43891</v>
      </c>
      <c r="B373" s="2" t="s">
        <v>11</v>
      </c>
      <c r="C373" s="2">
        <v>-2.23</v>
      </c>
      <c r="D373" s="2">
        <v>0.13100000000000001</v>
      </c>
      <c r="E373" s="2">
        <v>-2.9212999999999999E-3</v>
      </c>
      <c r="F373" s="2" t="s">
        <v>7</v>
      </c>
    </row>
    <row r="374" spans="1:6" ht="22.5" hidden="1" customHeight="1" x14ac:dyDescent="0.25">
      <c r="A374" s="3">
        <v>43891</v>
      </c>
      <c r="B374" s="2" t="s">
        <v>12</v>
      </c>
      <c r="C374" s="2">
        <v>1.31</v>
      </c>
      <c r="D374" s="2">
        <v>1.04E-2</v>
      </c>
      <c r="E374" s="2">
        <v>1.3624000000000001E-4</v>
      </c>
      <c r="F374" s="2" t="s">
        <v>7</v>
      </c>
    </row>
    <row r="375" spans="1:6" ht="22.5" hidden="1" customHeight="1" x14ac:dyDescent="0.25">
      <c r="A375" s="3">
        <v>43891</v>
      </c>
      <c r="B375" s="2" t="s">
        <v>13</v>
      </c>
      <c r="C375" s="2">
        <v>-2.39</v>
      </c>
      <c r="D375" s="2">
        <v>3.3E-3</v>
      </c>
      <c r="E375" s="2">
        <v>-7.8869999999999995E-5</v>
      </c>
      <c r="F375" s="2" t="s">
        <v>7</v>
      </c>
    </row>
    <row r="376" spans="1:6" ht="22.5" hidden="1" customHeight="1" x14ac:dyDescent="0.25">
      <c r="A376" s="3">
        <v>43891</v>
      </c>
      <c r="B376" s="2" t="s">
        <v>14</v>
      </c>
      <c r="C376" s="2">
        <v>0.08</v>
      </c>
      <c r="D376" s="2">
        <v>0.14799999999999999</v>
      </c>
      <c r="E376" s="2">
        <v>1.184E-4</v>
      </c>
      <c r="F376" s="2" t="s">
        <v>7</v>
      </c>
    </row>
    <row r="377" spans="1:6" ht="22.5" hidden="1" customHeight="1" x14ac:dyDescent="0.25">
      <c r="A377" s="3">
        <v>43891</v>
      </c>
      <c r="B377" s="2" t="s">
        <v>15</v>
      </c>
      <c r="C377" s="2">
        <v>1.47</v>
      </c>
      <c r="D377" s="2">
        <v>6.8999999999999999E-3</v>
      </c>
      <c r="E377" s="2">
        <v>1.0143E-4</v>
      </c>
      <c r="F377" s="2" t="s">
        <v>7</v>
      </c>
    </row>
    <row r="378" spans="1:6" ht="22.5" hidden="1" customHeight="1" x14ac:dyDescent="0.25">
      <c r="A378" s="3">
        <v>43891</v>
      </c>
      <c r="B378" s="2" t="s">
        <v>16</v>
      </c>
      <c r="C378" s="2">
        <v>-0.87</v>
      </c>
      <c r="D378" s="2">
        <v>9.5999999999999992E-3</v>
      </c>
      <c r="E378" s="2">
        <v>-8.352E-5</v>
      </c>
      <c r="F378" s="2" t="s">
        <v>7</v>
      </c>
    </row>
    <row r="379" spans="1:6" ht="22.5" hidden="1" customHeight="1" x14ac:dyDescent="0.25">
      <c r="A379" s="3">
        <v>43891</v>
      </c>
      <c r="B379" s="2" t="s">
        <v>17</v>
      </c>
      <c r="C379" s="2">
        <v>-0.03</v>
      </c>
      <c r="D379" s="2">
        <v>4.4999999999999998E-2</v>
      </c>
      <c r="E379" s="2">
        <v>-1.3499999999999999E-5</v>
      </c>
      <c r="F379" s="2" t="s">
        <v>7</v>
      </c>
    </row>
    <row r="380" spans="1:6" ht="22.5" hidden="1" customHeight="1" x14ac:dyDescent="0.25">
      <c r="A380" s="3">
        <v>43891</v>
      </c>
      <c r="B380" s="2" t="s">
        <v>18</v>
      </c>
      <c r="C380" s="2">
        <v>2.06</v>
      </c>
      <c r="D380" s="2">
        <v>9.5200000000000007E-2</v>
      </c>
      <c r="E380" s="2">
        <v>1.9611199999999998E-3</v>
      </c>
      <c r="F380" s="2" t="s">
        <v>7</v>
      </c>
    </row>
    <row r="381" spans="1:6" ht="22.5" hidden="1" customHeight="1" x14ac:dyDescent="0.25">
      <c r="A381" s="3">
        <v>43891</v>
      </c>
      <c r="B381" s="2" t="s">
        <v>19</v>
      </c>
      <c r="C381" s="2">
        <v>0.74</v>
      </c>
      <c r="D381" s="2">
        <v>0.11849999999999999</v>
      </c>
      <c r="E381" s="2">
        <v>8.7690000000000001E-4</v>
      </c>
      <c r="F381" s="2" t="s">
        <v>7</v>
      </c>
    </row>
    <row r="382" spans="1:6" ht="22.5" hidden="1" customHeight="1" x14ac:dyDescent="0.25">
      <c r="A382" s="3">
        <v>43891</v>
      </c>
      <c r="B382" s="2" t="s">
        <v>20</v>
      </c>
      <c r="C382" s="2">
        <v>-1.1200000000000001</v>
      </c>
      <c r="D382" s="2">
        <v>2.5600000000000001E-2</v>
      </c>
      <c r="E382" s="2">
        <v>-2.8672000000000002E-4</v>
      </c>
      <c r="F382" s="2" t="s">
        <v>7</v>
      </c>
    </row>
    <row r="383" spans="1:6" ht="22.5" hidden="1" customHeight="1" x14ac:dyDescent="0.25">
      <c r="A383" s="3">
        <v>43891</v>
      </c>
      <c r="B383" s="2" t="s">
        <v>21</v>
      </c>
      <c r="C383" s="2">
        <v>14.16</v>
      </c>
      <c r="D383" s="2">
        <v>2.3E-2</v>
      </c>
      <c r="E383" s="2">
        <v>3.2567999999999998E-3</v>
      </c>
      <c r="F383" s="2" t="s">
        <v>7</v>
      </c>
    </row>
    <row r="384" spans="1:6" ht="22.5" hidden="1" customHeight="1" x14ac:dyDescent="0.25">
      <c r="A384" s="3">
        <v>43891</v>
      </c>
      <c r="B384" s="2" t="s">
        <v>22</v>
      </c>
      <c r="C384" s="2">
        <v>-1.02</v>
      </c>
      <c r="D384" s="2">
        <v>0.15279999999999999</v>
      </c>
      <c r="E384" s="2">
        <v>-1.5585600000000001E-3</v>
      </c>
      <c r="F384" s="2" t="s">
        <v>7</v>
      </c>
    </row>
    <row r="385" spans="1:6" ht="22.5" hidden="1" customHeight="1" x14ac:dyDescent="0.25">
      <c r="A385" s="3">
        <v>43891</v>
      </c>
      <c r="B385" s="2" t="s">
        <v>23</v>
      </c>
      <c r="C385" s="2">
        <v>0.71</v>
      </c>
      <c r="D385" s="2">
        <v>1.34E-2</v>
      </c>
      <c r="E385" s="2">
        <v>9.5140000000000001E-5</v>
      </c>
      <c r="F385" s="2" t="s">
        <v>7</v>
      </c>
    </row>
    <row r="386" spans="1:6" ht="22.5" hidden="1" customHeight="1" x14ac:dyDescent="0.25">
      <c r="A386" s="3">
        <v>43891</v>
      </c>
      <c r="B386" s="2" t="s">
        <v>24</v>
      </c>
      <c r="C386" s="2">
        <v>21.83</v>
      </c>
      <c r="D386" s="2">
        <v>7.3000000000000001E-3</v>
      </c>
      <c r="E386" s="2">
        <v>1.59359E-3</v>
      </c>
      <c r="F386" s="2" t="s">
        <v>7</v>
      </c>
    </row>
    <row r="387" spans="1:6" ht="22.5" hidden="1" customHeight="1" x14ac:dyDescent="0.25">
      <c r="A387" s="3">
        <v>43891</v>
      </c>
      <c r="B387" s="2" t="s">
        <v>25</v>
      </c>
      <c r="C387" s="2">
        <v>-3.7</v>
      </c>
      <c r="D387" s="2">
        <v>3.0000000000000001E-3</v>
      </c>
      <c r="E387" s="2">
        <v>-1.11E-4</v>
      </c>
      <c r="F387" s="2" t="s">
        <v>7</v>
      </c>
    </row>
    <row r="388" spans="1:6" ht="22.5" hidden="1" customHeight="1" x14ac:dyDescent="0.25">
      <c r="A388" s="3">
        <v>43891</v>
      </c>
      <c r="B388" s="2" t="s">
        <v>26</v>
      </c>
      <c r="C388" s="2">
        <v>10.5</v>
      </c>
      <c r="D388" s="2">
        <v>1.15E-2</v>
      </c>
      <c r="E388" s="2">
        <v>1.2075E-3</v>
      </c>
      <c r="F388" s="2" t="s">
        <v>7</v>
      </c>
    </row>
    <row r="389" spans="1:6" ht="22.5" hidden="1" customHeight="1" x14ac:dyDescent="0.25">
      <c r="A389" s="3">
        <v>43891</v>
      </c>
      <c r="B389" s="2" t="s">
        <v>27</v>
      </c>
      <c r="C389" s="2">
        <v>4.93</v>
      </c>
      <c r="D389" s="2">
        <v>0.22320000000000001</v>
      </c>
      <c r="E389" s="2">
        <v>1.100376E-2</v>
      </c>
      <c r="F389" s="2" t="s">
        <v>7</v>
      </c>
    </row>
    <row r="390" spans="1:6" ht="22.5" hidden="1" customHeight="1" x14ac:dyDescent="0.25">
      <c r="A390" s="3">
        <v>43891</v>
      </c>
      <c r="B390" s="2" t="s">
        <v>28</v>
      </c>
      <c r="C390" s="2">
        <v>7.92</v>
      </c>
      <c r="D390" s="2">
        <v>9.11E-2</v>
      </c>
      <c r="E390" s="2">
        <v>7.2151200000000002E-3</v>
      </c>
      <c r="F390" s="2" t="s">
        <v>7</v>
      </c>
    </row>
    <row r="391" spans="1:6" ht="22.5" hidden="1" customHeight="1" x14ac:dyDescent="0.25">
      <c r="A391" s="3">
        <v>43891</v>
      </c>
      <c r="B391" s="2" t="s">
        <v>29</v>
      </c>
      <c r="C391" s="2">
        <v>23.92</v>
      </c>
      <c r="D391" s="2">
        <v>4.9599999999999998E-2</v>
      </c>
      <c r="E391" s="2">
        <v>1.1864319999999999E-2</v>
      </c>
      <c r="F391" s="2" t="s">
        <v>7</v>
      </c>
    </row>
    <row r="392" spans="1:6" ht="22.5" hidden="1" customHeight="1" x14ac:dyDescent="0.25">
      <c r="A392" s="3">
        <v>43891</v>
      </c>
      <c r="B392" s="2" t="s">
        <v>30</v>
      </c>
      <c r="C392" s="2">
        <v>0.01</v>
      </c>
      <c r="D392" s="2">
        <v>8.9300000000000004E-2</v>
      </c>
      <c r="E392" s="2">
        <v>8.9299999999999992E-6</v>
      </c>
      <c r="F392" s="2" t="s">
        <v>7</v>
      </c>
    </row>
    <row r="393" spans="1:6" ht="22.5" hidden="1" customHeight="1" x14ac:dyDescent="0.25">
      <c r="A393" s="3">
        <v>43891</v>
      </c>
      <c r="B393" s="2" t="s">
        <v>31</v>
      </c>
      <c r="C393" s="2">
        <v>2.4</v>
      </c>
      <c r="D393" s="2">
        <v>9.3899999999999997E-2</v>
      </c>
      <c r="E393" s="2">
        <v>2.2536000000000001E-3</v>
      </c>
      <c r="F393" s="2" t="s">
        <v>7</v>
      </c>
    </row>
    <row r="394" spans="1:6" ht="22.5" hidden="1" customHeight="1" x14ac:dyDescent="0.25">
      <c r="A394" s="3">
        <v>43891</v>
      </c>
      <c r="B394" s="2" t="s">
        <v>32</v>
      </c>
      <c r="C394" s="2">
        <v>-0.24</v>
      </c>
      <c r="D394" s="2">
        <v>1.6500000000000001E-2</v>
      </c>
      <c r="E394" s="2">
        <v>-3.96E-5</v>
      </c>
      <c r="F394" s="2" t="s">
        <v>7</v>
      </c>
    </row>
    <row r="395" spans="1:6" ht="22.5" hidden="1" customHeight="1" x14ac:dyDescent="0.25">
      <c r="A395" s="3">
        <v>43891</v>
      </c>
      <c r="B395" s="2" t="s">
        <v>33</v>
      </c>
      <c r="C395" s="2">
        <v>0.28999999999999998</v>
      </c>
      <c r="D395" s="2">
        <v>0.1857</v>
      </c>
      <c r="E395" s="2">
        <v>5.3852999999999995E-4</v>
      </c>
      <c r="F395" s="2" t="s">
        <v>7</v>
      </c>
    </row>
    <row r="396" spans="1:6" ht="22.5" hidden="1" customHeight="1" x14ac:dyDescent="0.25">
      <c r="A396" s="3">
        <v>43891</v>
      </c>
      <c r="B396" s="2" t="s">
        <v>34</v>
      </c>
      <c r="C396" s="2">
        <v>0.46</v>
      </c>
      <c r="D396" s="2">
        <v>0.1346</v>
      </c>
      <c r="E396" s="2">
        <v>6.1916E-4</v>
      </c>
      <c r="F396" s="2" t="s">
        <v>7</v>
      </c>
    </row>
    <row r="397" spans="1:6" ht="22.5" hidden="1" customHeight="1" x14ac:dyDescent="0.25">
      <c r="A397" s="3">
        <v>43891</v>
      </c>
      <c r="B397" s="2" t="s">
        <v>35</v>
      </c>
      <c r="C397" s="2">
        <v>0.34</v>
      </c>
      <c r="D397" s="2">
        <v>0.10589999999999999</v>
      </c>
      <c r="E397" s="2">
        <v>3.6005999999999999E-4</v>
      </c>
      <c r="F397" s="2" t="s">
        <v>7</v>
      </c>
    </row>
    <row r="398" spans="1:6" ht="22.5" hidden="1" customHeight="1" x14ac:dyDescent="0.25">
      <c r="A398" s="3">
        <v>43891</v>
      </c>
      <c r="B398" s="2" t="s">
        <v>36</v>
      </c>
      <c r="C398" s="2">
        <v>1.99</v>
      </c>
      <c r="D398" s="2">
        <v>1.6999999999999999E-3</v>
      </c>
      <c r="E398" s="2">
        <v>3.383E-5</v>
      </c>
      <c r="F398" s="2" t="s">
        <v>7</v>
      </c>
    </row>
    <row r="399" spans="1:6" ht="22.5" hidden="1" customHeight="1" x14ac:dyDescent="0.25">
      <c r="A399" s="3">
        <v>43891</v>
      </c>
      <c r="B399" s="2" t="s">
        <v>37</v>
      </c>
      <c r="C399" s="2">
        <v>5.85</v>
      </c>
      <c r="D399" s="2">
        <v>8.3799999999999999E-2</v>
      </c>
      <c r="E399" s="2">
        <v>4.9023000000000001E-3</v>
      </c>
      <c r="F399" s="2" t="s">
        <v>7</v>
      </c>
    </row>
    <row r="400" spans="1:6" ht="22.5" hidden="1" customHeight="1" x14ac:dyDescent="0.25">
      <c r="A400" s="3">
        <v>43891</v>
      </c>
      <c r="B400" s="2" t="s">
        <v>38</v>
      </c>
      <c r="C400" s="2">
        <v>12.14</v>
      </c>
      <c r="D400" s="2">
        <v>8.0000000000000002E-3</v>
      </c>
      <c r="E400" s="2">
        <v>9.7119999999999997E-4</v>
      </c>
      <c r="F400" s="2" t="s">
        <v>7</v>
      </c>
    </row>
    <row r="401" spans="1:6" ht="22.5" hidden="1" customHeight="1" x14ac:dyDescent="0.25">
      <c r="A401" s="3">
        <v>43891</v>
      </c>
      <c r="B401" s="2" t="s">
        <v>39</v>
      </c>
      <c r="C401" s="2">
        <v>0.52</v>
      </c>
      <c r="D401" s="2">
        <v>1.5299999999999999E-2</v>
      </c>
      <c r="E401" s="2">
        <v>7.9560000000000004E-5</v>
      </c>
      <c r="F401" s="2" t="s">
        <v>7</v>
      </c>
    </row>
    <row r="402" spans="1:6" ht="22.5" hidden="1" customHeight="1" x14ac:dyDescent="0.25">
      <c r="A402" s="3">
        <v>43891</v>
      </c>
      <c r="B402" s="2" t="s">
        <v>40</v>
      </c>
      <c r="C402" s="2">
        <v>-6.7</v>
      </c>
      <c r="D402" s="2">
        <v>3.3999999999999998E-3</v>
      </c>
      <c r="E402" s="2">
        <v>-2.2780000000000001E-4</v>
      </c>
      <c r="F402" s="2" t="s">
        <v>7</v>
      </c>
    </row>
    <row r="403" spans="1:6" ht="22.5" hidden="1" customHeight="1" x14ac:dyDescent="0.25">
      <c r="A403" s="3">
        <v>43891</v>
      </c>
      <c r="B403" s="2" t="s">
        <v>41</v>
      </c>
      <c r="C403" s="2">
        <v>2.2599999999999998</v>
      </c>
      <c r="D403" s="2">
        <v>1.34E-2</v>
      </c>
      <c r="E403" s="2">
        <v>3.0284000000000002E-4</v>
      </c>
      <c r="F403" s="2" t="s">
        <v>7</v>
      </c>
    </row>
    <row r="404" spans="1:6" ht="22.5" hidden="1" customHeight="1" x14ac:dyDescent="0.25">
      <c r="A404" s="3">
        <v>43891</v>
      </c>
      <c r="B404" s="2" t="s">
        <v>42</v>
      </c>
      <c r="C404" s="2">
        <v>1.61</v>
      </c>
      <c r="D404" s="2">
        <v>3.8600000000000002E-2</v>
      </c>
      <c r="E404" s="2">
        <v>6.2146E-4</v>
      </c>
      <c r="F404" s="2" t="s">
        <v>7</v>
      </c>
    </row>
    <row r="405" spans="1:6" ht="22.5" hidden="1" customHeight="1" x14ac:dyDescent="0.25">
      <c r="A405" s="3">
        <v>43891</v>
      </c>
      <c r="B405" s="2" t="s">
        <v>43</v>
      </c>
      <c r="C405" s="2">
        <v>4.75</v>
      </c>
      <c r="D405" s="2">
        <v>2.5100000000000001E-2</v>
      </c>
      <c r="E405" s="2">
        <v>1.19225E-3</v>
      </c>
      <c r="F405" s="2" t="s">
        <v>7</v>
      </c>
    </row>
    <row r="406" spans="1:6" ht="22.5" hidden="1" customHeight="1" x14ac:dyDescent="0.25">
      <c r="A406" s="3">
        <v>43891</v>
      </c>
      <c r="B406" s="2" t="s">
        <v>44</v>
      </c>
      <c r="C406" s="2">
        <v>-7.47</v>
      </c>
      <c r="D406" s="2">
        <v>1.95E-2</v>
      </c>
      <c r="E406" s="2">
        <v>-1.4566500000000001E-3</v>
      </c>
      <c r="F406" s="2" t="s">
        <v>7</v>
      </c>
    </row>
    <row r="407" spans="1:6" ht="22.5" hidden="1" customHeight="1" x14ac:dyDescent="0.25">
      <c r="A407" s="3">
        <v>43891</v>
      </c>
      <c r="B407" s="2" t="s">
        <v>45</v>
      </c>
      <c r="C407" s="2">
        <v>0.05</v>
      </c>
      <c r="D407" s="2">
        <v>1.6400000000000001E-2</v>
      </c>
      <c r="E407" s="2">
        <v>8.1999999999999994E-6</v>
      </c>
      <c r="F407" s="2" t="s">
        <v>7</v>
      </c>
    </row>
    <row r="408" spans="1:6" ht="22.5" hidden="1" customHeight="1" x14ac:dyDescent="0.25">
      <c r="A408" s="3">
        <v>43891</v>
      </c>
      <c r="B408" s="2" t="s">
        <v>46</v>
      </c>
      <c r="C408" s="2">
        <v>-8.4700000000000006</v>
      </c>
      <c r="D408" s="2">
        <v>1.2999999999999999E-3</v>
      </c>
      <c r="E408" s="2">
        <v>-1.1011E-4</v>
      </c>
      <c r="F408" s="2" t="s">
        <v>7</v>
      </c>
    </row>
    <row r="409" spans="1:6" ht="22.5" hidden="1" customHeight="1" x14ac:dyDescent="0.25">
      <c r="A409" s="3">
        <v>43891</v>
      </c>
      <c r="B409" s="2" t="s">
        <v>47</v>
      </c>
      <c r="C409" s="2">
        <v>-0.73</v>
      </c>
      <c r="D409" s="2">
        <v>8.5400000000000004E-2</v>
      </c>
      <c r="E409" s="2">
        <v>-6.2341999999999996E-4</v>
      </c>
      <c r="F409" s="2" t="s">
        <v>7</v>
      </c>
    </row>
    <row r="410" spans="1:6" ht="22.5" hidden="1" customHeight="1" x14ac:dyDescent="0.25">
      <c r="A410" s="3">
        <v>43891</v>
      </c>
      <c r="B410" s="2" t="s">
        <v>48</v>
      </c>
      <c r="C410" s="2">
        <v>-3.72</v>
      </c>
      <c r="D410" s="2">
        <v>3.8999999999999998E-3</v>
      </c>
      <c r="E410" s="2">
        <v>-1.4507999999999999E-4</v>
      </c>
      <c r="F410" s="2" t="s">
        <v>7</v>
      </c>
    </row>
    <row r="411" spans="1:6" ht="22.5" hidden="1" customHeight="1" x14ac:dyDescent="0.25">
      <c r="A411" s="3">
        <v>43891</v>
      </c>
      <c r="B411" s="2" t="s">
        <v>49</v>
      </c>
      <c r="C411" s="2">
        <v>3.86</v>
      </c>
      <c r="D411" s="2">
        <v>0.15190000000000001</v>
      </c>
      <c r="E411" s="2">
        <v>5.8633399999999999E-3</v>
      </c>
      <c r="F411" s="2" t="s">
        <v>7</v>
      </c>
    </row>
    <row r="412" spans="1:6" ht="22.5" hidden="1" customHeight="1" x14ac:dyDescent="0.25">
      <c r="A412" s="3">
        <v>43891</v>
      </c>
      <c r="B412" s="2" t="s">
        <v>50</v>
      </c>
      <c r="C412" s="2">
        <v>6.55</v>
      </c>
      <c r="D412" s="2">
        <v>4.1000000000000003E-3</v>
      </c>
      <c r="E412" s="2">
        <v>2.6855E-4</v>
      </c>
      <c r="F412" s="2" t="s">
        <v>7</v>
      </c>
    </row>
    <row r="413" spans="1:6" ht="22.5" hidden="1" customHeight="1" x14ac:dyDescent="0.25">
      <c r="A413" s="3">
        <v>43891</v>
      </c>
      <c r="B413" s="2" t="s">
        <v>51</v>
      </c>
      <c r="C413" s="2">
        <v>-0.44</v>
      </c>
      <c r="D413" s="2">
        <v>4.8999999999999998E-3</v>
      </c>
      <c r="E413" s="2">
        <v>-2.156E-5</v>
      </c>
      <c r="F413" s="2" t="s">
        <v>7</v>
      </c>
    </row>
    <row r="414" spans="1:6" ht="22.5" hidden="1" customHeight="1" x14ac:dyDescent="0.25">
      <c r="A414" s="3">
        <v>43891</v>
      </c>
      <c r="B414" s="2" t="s">
        <v>52</v>
      </c>
      <c r="C414" s="2">
        <v>-10.08</v>
      </c>
      <c r="D414" s="2">
        <v>2.0400000000000001E-2</v>
      </c>
      <c r="E414" s="2">
        <v>-2.0563199999999999E-3</v>
      </c>
      <c r="F414" s="2" t="s">
        <v>7</v>
      </c>
    </row>
    <row r="415" spans="1:6" ht="22.5" hidden="1" customHeight="1" x14ac:dyDescent="0.25">
      <c r="A415" s="3">
        <v>43891</v>
      </c>
      <c r="B415" s="2" t="s">
        <v>53</v>
      </c>
      <c r="C415" s="2">
        <v>-0.91</v>
      </c>
      <c r="D415" s="2">
        <v>0.14169999999999999</v>
      </c>
      <c r="E415" s="2">
        <v>-1.28947E-3</v>
      </c>
      <c r="F415" s="2" t="s">
        <v>7</v>
      </c>
    </row>
    <row r="416" spans="1:6" ht="22.5" hidden="1" customHeight="1" x14ac:dyDescent="0.25">
      <c r="A416" s="3">
        <v>43891</v>
      </c>
      <c r="B416" s="2" t="s">
        <v>54</v>
      </c>
      <c r="C416" s="2">
        <v>0.64</v>
      </c>
      <c r="D416" s="2">
        <v>7.2499999999999995E-2</v>
      </c>
      <c r="E416" s="2">
        <v>4.64E-4</v>
      </c>
      <c r="F416" s="2" t="s">
        <v>7</v>
      </c>
    </row>
    <row r="417" spans="1:6" ht="22.5" hidden="1" customHeight="1" x14ac:dyDescent="0.25">
      <c r="A417" s="3">
        <v>43891</v>
      </c>
      <c r="B417" s="2" t="s">
        <v>55</v>
      </c>
      <c r="C417" s="2">
        <v>12.08</v>
      </c>
      <c r="D417" s="2">
        <v>4.9200000000000001E-2</v>
      </c>
      <c r="E417" s="2">
        <v>5.94336E-3</v>
      </c>
      <c r="F417" s="2" t="s">
        <v>7</v>
      </c>
    </row>
    <row r="418" spans="1:6" ht="22.5" hidden="1" customHeight="1" x14ac:dyDescent="0.25">
      <c r="A418" s="3">
        <v>43891</v>
      </c>
      <c r="B418" s="2" t="s">
        <v>56</v>
      </c>
      <c r="C418" s="2">
        <v>-6.59</v>
      </c>
      <c r="D418" s="2">
        <v>8.3000000000000001E-3</v>
      </c>
      <c r="E418" s="2">
        <v>-5.4697000000000003E-4</v>
      </c>
      <c r="F418" s="2" t="s">
        <v>7</v>
      </c>
    </row>
    <row r="419" spans="1:6" ht="22.5" hidden="1" customHeight="1" x14ac:dyDescent="0.25">
      <c r="A419" s="3">
        <v>43891</v>
      </c>
      <c r="B419" s="2" t="s">
        <v>57</v>
      </c>
      <c r="C419" s="2">
        <v>-0.38</v>
      </c>
      <c r="D419" s="2">
        <v>2.5600000000000001E-2</v>
      </c>
      <c r="E419" s="2">
        <v>-9.7280000000000004E-5</v>
      </c>
      <c r="F419" s="2" t="s">
        <v>7</v>
      </c>
    </row>
    <row r="420" spans="1:6" ht="22.5" hidden="1" customHeight="1" x14ac:dyDescent="0.25">
      <c r="A420" s="3">
        <v>43891</v>
      </c>
      <c r="B420" s="2" t="s">
        <v>58</v>
      </c>
      <c r="C420" s="2">
        <v>3.6</v>
      </c>
      <c r="D420" s="2">
        <v>1.38E-2</v>
      </c>
      <c r="E420" s="2">
        <v>4.9680000000000004E-4</v>
      </c>
      <c r="F420" s="2" t="s">
        <v>7</v>
      </c>
    </row>
    <row r="421" spans="1:6" ht="22.5" hidden="1" customHeight="1" x14ac:dyDescent="0.25">
      <c r="A421" s="3">
        <v>43891</v>
      </c>
      <c r="B421" s="2" t="s">
        <v>59</v>
      </c>
      <c r="C421" s="2">
        <v>-3.58</v>
      </c>
      <c r="D421" s="2">
        <v>1.95E-2</v>
      </c>
      <c r="E421" s="2">
        <v>-6.981E-4</v>
      </c>
      <c r="F421" s="2" t="s">
        <v>7</v>
      </c>
    </row>
    <row r="422" spans="1:6" ht="22.5" hidden="1" customHeight="1" x14ac:dyDescent="0.25">
      <c r="A422" s="3">
        <v>43891</v>
      </c>
      <c r="B422" s="2" t="s">
        <v>60</v>
      </c>
      <c r="C422" s="2">
        <v>1.1299999999999999</v>
      </c>
      <c r="D422" s="2">
        <v>2.81E-2</v>
      </c>
      <c r="E422" s="2">
        <v>3.1753E-4</v>
      </c>
      <c r="F422" s="2" t="s">
        <v>7</v>
      </c>
    </row>
    <row r="423" spans="1:6" ht="22.5" hidden="1" customHeight="1" x14ac:dyDescent="0.25">
      <c r="A423" s="3">
        <v>43891</v>
      </c>
      <c r="B423" s="2" t="s">
        <v>61</v>
      </c>
      <c r="C423" s="2">
        <v>-2.02</v>
      </c>
      <c r="D423" s="2">
        <v>7.0699999999999999E-2</v>
      </c>
      <c r="E423" s="2">
        <v>-1.4281400000000001E-3</v>
      </c>
      <c r="F423" s="2" t="s">
        <v>7</v>
      </c>
    </row>
    <row r="424" spans="1:6" ht="22.5" hidden="1" customHeight="1" x14ac:dyDescent="0.25">
      <c r="A424" s="3">
        <v>43891</v>
      </c>
      <c r="B424" s="2" t="s">
        <v>62</v>
      </c>
      <c r="C424" s="2">
        <v>1.96</v>
      </c>
      <c r="D424" s="2">
        <v>8.8400000000000006E-2</v>
      </c>
      <c r="E424" s="2">
        <v>1.7326399999999999E-3</v>
      </c>
      <c r="F424" s="2" t="s">
        <v>7</v>
      </c>
    </row>
    <row r="425" spans="1:6" ht="22.5" hidden="1" customHeight="1" x14ac:dyDescent="0.25">
      <c r="A425" s="3">
        <v>43891</v>
      </c>
      <c r="B425" s="2" t="s">
        <v>63</v>
      </c>
      <c r="C425" s="2">
        <v>15.87</v>
      </c>
      <c r="D425" s="2">
        <v>6.4000000000000003E-3</v>
      </c>
      <c r="E425" s="2">
        <v>1.0156799999999999E-3</v>
      </c>
      <c r="F425" s="2" t="s">
        <v>7</v>
      </c>
    </row>
    <row r="426" spans="1:6" ht="22.5" hidden="1" customHeight="1" x14ac:dyDescent="0.25">
      <c r="A426" s="3">
        <v>43891</v>
      </c>
      <c r="B426" s="2" t="s">
        <v>64</v>
      </c>
      <c r="C426" s="2">
        <v>1.64</v>
      </c>
      <c r="D426" s="2">
        <v>4.7999999999999996E-3</v>
      </c>
      <c r="E426" s="2">
        <v>7.8720000000000005E-5</v>
      </c>
      <c r="F426" s="2" t="s">
        <v>7</v>
      </c>
    </row>
    <row r="427" spans="1:6" ht="22.5" hidden="1" customHeight="1" x14ac:dyDescent="0.25">
      <c r="A427" s="3">
        <v>43891</v>
      </c>
      <c r="B427" s="2" t="s">
        <v>65</v>
      </c>
      <c r="C427" s="2">
        <v>-1.66</v>
      </c>
      <c r="D427" s="2">
        <v>1.8100000000000002E-2</v>
      </c>
      <c r="E427" s="2">
        <v>-3.0046000000000001E-4</v>
      </c>
      <c r="F427" s="2" t="s">
        <v>7</v>
      </c>
    </row>
    <row r="428" spans="1:6" ht="22.5" hidden="1" customHeight="1" x14ac:dyDescent="0.25">
      <c r="A428" s="3">
        <v>43891</v>
      </c>
      <c r="B428" s="2" t="s">
        <v>66</v>
      </c>
      <c r="C428" s="2">
        <v>-2.75</v>
      </c>
      <c r="D428" s="2">
        <v>0.3286</v>
      </c>
      <c r="E428" s="2">
        <v>-9.0364999999999994E-3</v>
      </c>
      <c r="F428" s="2" t="s">
        <v>7</v>
      </c>
    </row>
    <row r="429" spans="1:6" ht="22.5" hidden="1" customHeight="1" x14ac:dyDescent="0.25">
      <c r="A429" s="3">
        <v>43891</v>
      </c>
      <c r="B429" s="2" t="s">
        <v>67</v>
      </c>
      <c r="C429" s="2">
        <v>-1.28</v>
      </c>
      <c r="D429" s="2">
        <v>3.0999999999999999E-3</v>
      </c>
      <c r="E429" s="2">
        <v>-3.968E-5</v>
      </c>
      <c r="F429" s="2" t="s">
        <v>7</v>
      </c>
    </row>
    <row r="430" spans="1:6" ht="22.5" hidden="1" customHeight="1" x14ac:dyDescent="0.25">
      <c r="A430" s="3">
        <v>43891</v>
      </c>
      <c r="B430" s="2" t="s">
        <v>68</v>
      </c>
      <c r="C430" s="2">
        <v>0.04</v>
      </c>
      <c r="D430" s="2">
        <v>1.03E-2</v>
      </c>
      <c r="E430" s="2">
        <v>4.1200000000000004E-6</v>
      </c>
      <c r="F430" s="2" t="s">
        <v>7</v>
      </c>
    </row>
    <row r="431" spans="1:6" ht="22.5" hidden="1" customHeight="1" x14ac:dyDescent="0.25">
      <c r="A431" s="3">
        <v>43891</v>
      </c>
      <c r="B431" s="2" t="s">
        <v>69</v>
      </c>
      <c r="C431" s="2">
        <v>-2.85</v>
      </c>
      <c r="D431" s="2">
        <v>0.4133</v>
      </c>
      <c r="E431" s="2">
        <v>-1.1779049999999999E-2</v>
      </c>
      <c r="F431" s="2" t="s">
        <v>7</v>
      </c>
    </row>
    <row r="432" spans="1:6" ht="22.5" hidden="1" customHeight="1" x14ac:dyDescent="0.25">
      <c r="A432" s="3">
        <v>43891</v>
      </c>
      <c r="B432" s="2" t="s">
        <v>70</v>
      </c>
      <c r="C432" s="2">
        <v>-5.77</v>
      </c>
      <c r="D432" s="2">
        <v>2.7E-2</v>
      </c>
      <c r="E432" s="2">
        <v>-1.5579000000000001E-3</v>
      </c>
      <c r="F432" s="2" t="s">
        <v>7</v>
      </c>
    </row>
    <row r="433" spans="1:6" ht="22.5" hidden="1" customHeight="1" x14ac:dyDescent="0.25">
      <c r="A433" s="3">
        <v>43891</v>
      </c>
      <c r="B433" s="2" t="s">
        <v>71</v>
      </c>
      <c r="C433" s="2">
        <v>-1.0900000000000001</v>
      </c>
      <c r="D433" s="2">
        <v>0.28000000000000003</v>
      </c>
      <c r="E433" s="2">
        <v>-3.052E-3</v>
      </c>
      <c r="F433" s="2" t="s">
        <v>7</v>
      </c>
    </row>
    <row r="434" spans="1:6" ht="22.5" hidden="1" customHeight="1" x14ac:dyDescent="0.25">
      <c r="A434" s="3">
        <v>43891</v>
      </c>
      <c r="B434" s="2" t="s">
        <v>72</v>
      </c>
      <c r="C434" s="2">
        <v>-4.63</v>
      </c>
      <c r="D434" s="2">
        <v>0.32169999999999999</v>
      </c>
      <c r="E434" s="2">
        <v>-1.489471E-2</v>
      </c>
      <c r="F434" s="2" t="s">
        <v>7</v>
      </c>
    </row>
    <row r="435" spans="1:6" ht="22.5" hidden="1" customHeight="1" x14ac:dyDescent="0.25">
      <c r="A435" s="3">
        <v>43891</v>
      </c>
      <c r="B435" s="2" t="s">
        <v>73</v>
      </c>
      <c r="C435" s="2">
        <v>-0.92</v>
      </c>
      <c r="D435" s="2">
        <v>0.15040000000000001</v>
      </c>
      <c r="E435" s="2">
        <v>-1.38368E-3</v>
      </c>
      <c r="F435" s="2" t="s">
        <v>7</v>
      </c>
    </row>
    <row r="436" spans="1:6" ht="22.5" hidden="1" customHeight="1" x14ac:dyDescent="0.25">
      <c r="A436" s="3">
        <v>43891</v>
      </c>
      <c r="B436" s="2" t="s">
        <v>74</v>
      </c>
      <c r="C436" s="2">
        <v>1.38</v>
      </c>
      <c r="D436" s="2">
        <v>8.6999999999999994E-3</v>
      </c>
      <c r="E436" s="2">
        <v>1.2006E-4</v>
      </c>
      <c r="F436" s="2" t="s">
        <v>7</v>
      </c>
    </row>
    <row r="437" spans="1:6" ht="22.5" hidden="1" customHeight="1" x14ac:dyDescent="0.25">
      <c r="A437" s="3">
        <v>43891</v>
      </c>
      <c r="B437" s="2" t="s">
        <v>75</v>
      </c>
      <c r="C437" s="2">
        <v>-2.21</v>
      </c>
      <c r="D437" s="2">
        <v>6.4100000000000004E-2</v>
      </c>
      <c r="E437" s="2">
        <v>-1.41661E-3</v>
      </c>
      <c r="F437" s="2" t="s">
        <v>7</v>
      </c>
    </row>
    <row r="438" spans="1:6" ht="22.5" hidden="1" customHeight="1" x14ac:dyDescent="0.25">
      <c r="A438" s="3">
        <v>43891</v>
      </c>
      <c r="B438" s="2" t="s">
        <v>76</v>
      </c>
      <c r="C438" s="2">
        <v>-1.22</v>
      </c>
      <c r="D438" s="2">
        <v>0.13289999999999999</v>
      </c>
      <c r="E438" s="2">
        <v>-1.62138E-3</v>
      </c>
      <c r="F438" s="2" t="s">
        <v>7</v>
      </c>
    </row>
    <row r="439" spans="1:6" ht="22.5" hidden="1" customHeight="1" x14ac:dyDescent="0.25">
      <c r="A439" s="3">
        <v>43891</v>
      </c>
      <c r="B439" s="2" t="s">
        <v>77</v>
      </c>
      <c r="C439" s="2">
        <v>0.03</v>
      </c>
      <c r="D439" s="2">
        <v>9.5200000000000007E-2</v>
      </c>
      <c r="E439" s="2">
        <v>2.8560000000000001E-5</v>
      </c>
      <c r="F439" s="2" t="s">
        <v>7</v>
      </c>
    </row>
    <row r="440" spans="1:6" ht="22.5" hidden="1" customHeight="1" x14ac:dyDescent="0.25">
      <c r="A440" s="3">
        <v>43891</v>
      </c>
      <c r="B440" s="2" t="s">
        <v>78</v>
      </c>
      <c r="C440" s="2">
        <v>0.75</v>
      </c>
      <c r="D440" s="2">
        <v>0.23469999999999999</v>
      </c>
      <c r="E440" s="2">
        <v>1.7602500000000001E-3</v>
      </c>
      <c r="F440" s="2" t="s">
        <v>7</v>
      </c>
    </row>
    <row r="441" spans="1:6" ht="22.5" hidden="1" customHeight="1" x14ac:dyDescent="0.25">
      <c r="A441" s="3">
        <v>43891</v>
      </c>
      <c r="B441" s="2" t="s">
        <v>79</v>
      </c>
      <c r="C441" s="2">
        <v>5.69</v>
      </c>
      <c r="D441" s="2">
        <v>8.6999999999999994E-3</v>
      </c>
      <c r="E441" s="2">
        <v>4.9503000000000004E-4</v>
      </c>
      <c r="F441" s="2" t="s">
        <v>7</v>
      </c>
    </row>
    <row r="442" spans="1:6" ht="22.5" hidden="1" customHeight="1" x14ac:dyDescent="0.25">
      <c r="A442" s="3">
        <v>43891</v>
      </c>
      <c r="B442" s="2" t="s">
        <v>80</v>
      </c>
      <c r="C442" s="2">
        <v>-0.84</v>
      </c>
      <c r="D442" s="2">
        <v>3.3399999999999999E-2</v>
      </c>
      <c r="E442" s="2">
        <v>-2.8056000000000001E-4</v>
      </c>
      <c r="F442" s="2" t="s">
        <v>7</v>
      </c>
    </row>
    <row r="443" spans="1:6" ht="22.5" hidden="1" customHeight="1" x14ac:dyDescent="0.25">
      <c r="A443" s="3">
        <v>43891</v>
      </c>
      <c r="B443" s="2" t="s">
        <v>81</v>
      </c>
      <c r="C443" s="2">
        <v>-0.43</v>
      </c>
      <c r="D443" s="2">
        <v>0.30170000000000002</v>
      </c>
      <c r="E443" s="2">
        <v>-1.2973100000000001E-3</v>
      </c>
      <c r="F443" s="2" t="s">
        <v>7</v>
      </c>
    </row>
    <row r="444" spans="1:6" ht="22.5" hidden="1" customHeight="1" x14ac:dyDescent="0.25">
      <c r="A444" s="3">
        <v>43891</v>
      </c>
      <c r="B444" s="2" t="s">
        <v>82</v>
      </c>
      <c r="C444" s="2">
        <v>-1.27</v>
      </c>
      <c r="D444" s="2">
        <v>4.1099999999999998E-2</v>
      </c>
      <c r="E444" s="2">
        <v>-5.2196999999999996E-4</v>
      </c>
      <c r="F444" s="2" t="s">
        <v>7</v>
      </c>
    </row>
    <row r="445" spans="1:6" ht="22.5" hidden="1" customHeight="1" x14ac:dyDescent="0.25">
      <c r="A445" s="3">
        <v>43891</v>
      </c>
      <c r="B445" s="2" t="s">
        <v>83</v>
      </c>
      <c r="C445" s="2">
        <v>0.08</v>
      </c>
      <c r="D445" s="2">
        <v>6.9999999999999999E-4</v>
      </c>
      <c r="E445" s="2">
        <v>5.6000000000000004E-7</v>
      </c>
      <c r="F445" s="2" t="s">
        <v>7</v>
      </c>
    </row>
    <row r="446" spans="1:6" ht="22.5" hidden="1" customHeight="1" x14ac:dyDescent="0.25">
      <c r="A446" s="3">
        <v>43891</v>
      </c>
      <c r="B446" s="2" t="s">
        <v>84</v>
      </c>
      <c r="C446" s="2">
        <v>4.93</v>
      </c>
      <c r="D446" s="2">
        <v>2.1100000000000001E-2</v>
      </c>
      <c r="E446" s="2">
        <v>1.0402300000000001E-3</v>
      </c>
      <c r="F446" s="2" t="s">
        <v>7</v>
      </c>
    </row>
    <row r="447" spans="1:6" ht="22.5" hidden="1" customHeight="1" x14ac:dyDescent="0.25">
      <c r="A447" s="3">
        <v>43891</v>
      </c>
      <c r="B447" s="2" t="s">
        <v>85</v>
      </c>
      <c r="C447" s="2">
        <v>-2.38</v>
      </c>
      <c r="D447" s="2">
        <v>6.0000000000000001E-3</v>
      </c>
      <c r="E447" s="2">
        <v>-1.428E-4</v>
      </c>
      <c r="F447" s="2" t="s">
        <v>7</v>
      </c>
    </row>
    <row r="448" spans="1:6" ht="22.5" hidden="1" customHeight="1" x14ac:dyDescent="0.25">
      <c r="A448" s="3">
        <v>43891</v>
      </c>
      <c r="B448" s="2" t="s">
        <v>86</v>
      </c>
      <c r="C448" s="2">
        <v>0.08</v>
      </c>
      <c r="D448" s="2">
        <v>2.5700000000000001E-2</v>
      </c>
      <c r="E448" s="2">
        <v>2.056E-5</v>
      </c>
      <c r="F448" s="2" t="s">
        <v>7</v>
      </c>
    </row>
    <row r="449" spans="1:6" ht="22.5" hidden="1" customHeight="1" x14ac:dyDescent="0.25">
      <c r="A449" s="3">
        <v>43891</v>
      </c>
      <c r="B449" s="2" t="s">
        <v>87</v>
      </c>
      <c r="C449" s="2">
        <v>0.39</v>
      </c>
      <c r="D449" s="2">
        <v>1E-3</v>
      </c>
      <c r="E449" s="2">
        <v>3.8999999999999999E-6</v>
      </c>
      <c r="F449" s="2" t="s">
        <v>7</v>
      </c>
    </row>
    <row r="450" spans="1:6" ht="22.5" hidden="1" customHeight="1" x14ac:dyDescent="0.25">
      <c r="A450" s="3">
        <v>43891</v>
      </c>
      <c r="B450" s="2" t="s">
        <v>88</v>
      </c>
      <c r="C450" s="2">
        <v>2.1</v>
      </c>
      <c r="D450" s="2">
        <v>6.7999999999999996E-3</v>
      </c>
      <c r="E450" s="2">
        <v>1.428E-4</v>
      </c>
      <c r="F450" s="2" t="s">
        <v>7</v>
      </c>
    </row>
    <row r="451" spans="1:6" ht="22.5" hidden="1" customHeight="1" x14ac:dyDescent="0.25">
      <c r="A451" s="3">
        <v>43891</v>
      </c>
      <c r="B451" s="2" t="s">
        <v>89</v>
      </c>
      <c r="C451" s="2">
        <v>2.16</v>
      </c>
      <c r="D451" s="2">
        <v>1.72E-2</v>
      </c>
      <c r="E451" s="2">
        <v>3.7152000000000002E-4</v>
      </c>
      <c r="F451" s="2" t="s">
        <v>7</v>
      </c>
    </row>
    <row r="452" spans="1:6" ht="22.5" hidden="1" customHeight="1" x14ac:dyDescent="0.25">
      <c r="A452" s="3">
        <v>43891</v>
      </c>
      <c r="B452" s="2" t="s">
        <v>90</v>
      </c>
      <c r="C452" s="2">
        <v>1.62</v>
      </c>
      <c r="D452" s="2">
        <v>1.5E-3</v>
      </c>
      <c r="E452" s="2">
        <v>2.4300000000000001E-5</v>
      </c>
      <c r="F452" s="2" t="s">
        <v>7</v>
      </c>
    </row>
    <row r="453" spans="1:6" ht="22.5" hidden="1" customHeight="1" x14ac:dyDescent="0.25">
      <c r="A453" s="3">
        <v>43891</v>
      </c>
      <c r="B453" s="2" t="s">
        <v>91</v>
      </c>
      <c r="C453" s="2">
        <v>-0.33</v>
      </c>
      <c r="D453" s="2">
        <v>2.46E-2</v>
      </c>
      <c r="E453" s="2">
        <v>-8.1180000000000005E-5</v>
      </c>
      <c r="F453" s="2" t="s">
        <v>7</v>
      </c>
    </row>
    <row r="454" spans="1:6" ht="22.5" hidden="1" customHeight="1" x14ac:dyDescent="0.25">
      <c r="A454" s="3">
        <v>43891</v>
      </c>
      <c r="B454" s="2" t="s">
        <v>92</v>
      </c>
      <c r="C454" s="2">
        <v>-0.46</v>
      </c>
      <c r="D454" s="2">
        <v>5.4999999999999997E-3</v>
      </c>
      <c r="E454" s="2">
        <v>-2.5299999999999998E-5</v>
      </c>
      <c r="F454" s="2" t="s">
        <v>7</v>
      </c>
    </row>
    <row r="455" spans="1:6" ht="22.5" hidden="1" customHeight="1" x14ac:dyDescent="0.25">
      <c r="A455" s="3">
        <v>43891</v>
      </c>
      <c r="B455" s="2" t="s">
        <v>93</v>
      </c>
      <c r="C455" s="2">
        <v>-1.33</v>
      </c>
      <c r="D455" s="2">
        <v>1.1999999999999999E-3</v>
      </c>
      <c r="E455" s="2">
        <v>-1.596E-5</v>
      </c>
      <c r="F455" s="2" t="s">
        <v>7</v>
      </c>
    </row>
    <row r="456" spans="1:6" ht="22.5" hidden="1" customHeight="1" x14ac:dyDescent="0.25">
      <c r="A456" s="3">
        <v>43891</v>
      </c>
      <c r="B456" s="2" t="s">
        <v>94</v>
      </c>
      <c r="C456" s="2">
        <v>4.6900000000000004</v>
      </c>
      <c r="D456" s="2">
        <v>8.9999999999999998E-4</v>
      </c>
      <c r="E456" s="2">
        <v>4.2209999999999997E-5</v>
      </c>
      <c r="F456" s="2" t="s">
        <v>7</v>
      </c>
    </row>
    <row r="457" spans="1:6" ht="22.5" hidden="1" customHeight="1" x14ac:dyDescent="0.25">
      <c r="A457" s="3">
        <v>43891</v>
      </c>
      <c r="B457" s="2" t="s">
        <v>95</v>
      </c>
      <c r="C457" s="2">
        <v>2.27</v>
      </c>
      <c r="D457" s="2">
        <v>1.7000000000000001E-2</v>
      </c>
      <c r="E457" s="2">
        <v>3.859E-4</v>
      </c>
      <c r="F457" s="2" t="s">
        <v>7</v>
      </c>
    </row>
    <row r="458" spans="1:6" ht="22.5" hidden="1" customHeight="1" x14ac:dyDescent="0.25">
      <c r="A458" s="3">
        <v>43891</v>
      </c>
      <c r="B458" s="2" t="s">
        <v>96</v>
      </c>
      <c r="C458" s="2">
        <v>3.02</v>
      </c>
      <c r="D458" s="2">
        <v>4.7899999999999998E-2</v>
      </c>
      <c r="E458" s="2">
        <v>1.44658E-3</v>
      </c>
      <c r="F458" s="2" t="s">
        <v>7</v>
      </c>
    </row>
    <row r="459" spans="1:6" ht="22.5" hidden="1" customHeight="1" x14ac:dyDescent="0.25">
      <c r="A459" s="3">
        <v>43891</v>
      </c>
      <c r="B459" s="2" t="s">
        <v>97</v>
      </c>
      <c r="C459" s="2">
        <v>0.59</v>
      </c>
      <c r="D459" s="2">
        <v>1.0999999999999999E-2</v>
      </c>
      <c r="E459" s="2">
        <v>6.4900000000000005E-5</v>
      </c>
      <c r="F459" s="2" t="s">
        <v>7</v>
      </c>
    </row>
    <row r="460" spans="1:6" ht="22.5" hidden="1" customHeight="1" x14ac:dyDescent="0.25">
      <c r="A460" s="3">
        <v>43891</v>
      </c>
      <c r="B460" s="2" t="s">
        <v>98</v>
      </c>
      <c r="C460" s="2">
        <v>-14.96</v>
      </c>
      <c r="D460" s="2">
        <v>8.0000000000000002E-3</v>
      </c>
      <c r="E460" s="2">
        <v>-1.1968E-3</v>
      </c>
      <c r="F460" s="2" t="s">
        <v>7</v>
      </c>
    </row>
    <row r="461" spans="1:6" ht="22.5" hidden="1" customHeight="1" x14ac:dyDescent="0.25">
      <c r="A461" s="3">
        <v>43891</v>
      </c>
      <c r="B461" s="2" t="s">
        <v>99</v>
      </c>
      <c r="C461" s="2">
        <v>-8.2899999999999991</v>
      </c>
      <c r="D461" s="2">
        <v>3.8999999999999998E-3</v>
      </c>
      <c r="E461" s="2">
        <v>-3.2330999999999999E-4</v>
      </c>
      <c r="F461" s="2" t="s">
        <v>7</v>
      </c>
    </row>
    <row r="462" spans="1:6" ht="22.5" hidden="1" customHeight="1" x14ac:dyDescent="0.25">
      <c r="A462" s="3">
        <v>43891</v>
      </c>
      <c r="B462" s="2" t="s">
        <v>100</v>
      </c>
      <c r="C462" s="2">
        <v>0.85</v>
      </c>
      <c r="D462" s="2">
        <v>6.9999999999999999E-4</v>
      </c>
      <c r="E462" s="2">
        <v>5.9499999999999998E-6</v>
      </c>
      <c r="F462" s="2" t="s">
        <v>7</v>
      </c>
    </row>
    <row r="463" spans="1:6" ht="22.5" hidden="1" customHeight="1" x14ac:dyDescent="0.25">
      <c r="A463" s="3">
        <v>43891</v>
      </c>
      <c r="B463" s="2" t="s">
        <v>101</v>
      </c>
      <c r="C463" s="2">
        <v>1.8</v>
      </c>
      <c r="D463" s="2">
        <v>9.7500000000000003E-2</v>
      </c>
      <c r="E463" s="2">
        <v>1.755E-3</v>
      </c>
      <c r="F463" s="2" t="s">
        <v>7</v>
      </c>
    </row>
    <row r="464" spans="1:6" ht="22.5" hidden="1" customHeight="1" x14ac:dyDescent="0.25">
      <c r="A464" s="3">
        <v>43891</v>
      </c>
      <c r="B464" s="2" t="s">
        <v>102</v>
      </c>
      <c r="C464" s="2">
        <v>2.12</v>
      </c>
      <c r="D464" s="2">
        <v>4.3499999999999997E-2</v>
      </c>
      <c r="E464" s="2">
        <v>9.2219999999999997E-4</v>
      </c>
      <c r="F464" s="2" t="s">
        <v>7</v>
      </c>
    </row>
    <row r="465" spans="1:6" ht="22.5" hidden="1" customHeight="1" x14ac:dyDescent="0.25">
      <c r="A465" s="3">
        <v>43891</v>
      </c>
      <c r="B465" s="2" t="s">
        <v>103</v>
      </c>
      <c r="C465" s="2">
        <v>0.27</v>
      </c>
      <c r="D465" s="2">
        <v>0.29649999999999999</v>
      </c>
      <c r="E465" s="2">
        <v>8.0055000000000002E-4</v>
      </c>
      <c r="F465" s="2" t="s">
        <v>7</v>
      </c>
    </row>
    <row r="466" spans="1:6" ht="22.5" hidden="1" customHeight="1" x14ac:dyDescent="0.25">
      <c r="A466" s="3">
        <v>43891</v>
      </c>
      <c r="B466" s="2" t="s">
        <v>104</v>
      </c>
      <c r="C466" s="2">
        <v>-0.52</v>
      </c>
      <c r="D466" s="2">
        <v>5.3499999999999999E-2</v>
      </c>
      <c r="E466" s="2">
        <v>-2.7819999999999999E-4</v>
      </c>
      <c r="F466" s="2" t="s">
        <v>7</v>
      </c>
    </row>
    <row r="467" spans="1:6" ht="22.5" hidden="1" customHeight="1" x14ac:dyDescent="0.25">
      <c r="A467" s="3">
        <v>43891</v>
      </c>
      <c r="B467" s="2" t="s">
        <v>105</v>
      </c>
      <c r="C467" s="2">
        <v>-0.52</v>
      </c>
      <c r="D467" s="2">
        <v>8.8999999999999999E-3</v>
      </c>
      <c r="E467" s="2">
        <v>-4.6279999999999997E-5</v>
      </c>
      <c r="F467" s="2" t="s">
        <v>7</v>
      </c>
    </row>
    <row r="468" spans="1:6" ht="22.5" hidden="1" customHeight="1" x14ac:dyDescent="0.25">
      <c r="A468" s="3">
        <v>43891</v>
      </c>
      <c r="B468" s="2" t="s">
        <v>106</v>
      </c>
      <c r="C468" s="2">
        <v>3.08</v>
      </c>
      <c r="D468" s="2">
        <v>8.8999999999999999E-3</v>
      </c>
      <c r="E468" s="2">
        <v>2.7411999999999998E-4</v>
      </c>
      <c r="F468" s="2" t="s">
        <v>7</v>
      </c>
    </row>
    <row r="469" spans="1:6" ht="22.5" hidden="1" customHeight="1" x14ac:dyDescent="0.25">
      <c r="A469" s="3">
        <v>43891</v>
      </c>
      <c r="B469" s="2" t="s">
        <v>107</v>
      </c>
      <c r="C469" s="2">
        <v>2.6</v>
      </c>
      <c r="D469" s="2">
        <v>0.1149</v>
      </c>
      <c r="E469" s="2">
        <v>2.9873999999999999E-3</v>
      </c>
      <c r="F469" s="2" t="s">
        <v>7</v>
      </c>
    </row>
    <row r="470" spans="1:6" ht="22.5" hidden="1" customHeight="1" x14ac:dyDescent="0.25">
      <c r="A470" s="3">
        <v>43891</v>
      </c>
      <c r="B470" s="2" t="s">
        <v>108</v>
      </c>
      <c r="C470" s="2">
        <v>-0.53</v>
      </c>
      <c r="D470" s="2">
        <v>8.0000000000000002E-3</v>
      </c>
      <c r="E470" s="2">
        <v>-4.2400000000000001E-5</v>
      </c>
      <c r="F470" s="2" t="s">
        <v>7</v>
      </c>
    </row>
    <row r="471" spans="1:6" ht="22.5" hidden="1" customHeight="1" x14ac:dyDescent="0.25">
      <c r="A471" s="3">
        <v>43891</v>
      </c>
      <c r="B471" s="2" t="s">
        <v>109</v>
      </c>
      <c r="C471" s="2">
        <v>-0.06</v>
      </c>
      <c r="D471" s="2">
        <v>0.32629999999999998</v>
      </c>
      <c r="E471" s="2">
        <v>-1.9578E-4</v>
      </c>
      <c r="F471" s="2" t="s">
        <v>7</v>
      </c>
    </row>
    <row r="472" spans="1:6" ht="22.5" hidden="1" customHeight="1" x14ac:dyDescent="0.25">
      <c r="A472" s="3">
        <v>43891</v>
      </c>
      <c r="B472" s="2" t="s">
        <v>110</v>
      </c>
      <c r="C472" s="2">
        <v>-0.59</v>
      </c>
      <c r="D472" s="2">
        <v>0.5655</v>
      </c>
      <c r="E472" s="2">
        <v>-3.3364499999999999E-3</v>
      </c>
      <c r="F472" s="2" t="s">
        <v>7</v>
      </c>
    </row>
    <row r="473" spans="1:6" ht="22.5" hidden="1" customHeight="1" x14ac:dyDescent="0.25">
      <c r="A473" s="3">
        <v>43891</v>
      </c>
      <c r="B473" s="2" t="s">
        <v>111</v>
      </c>
      <c r="C473" s="2">
        <v>5.0999999999999996</v>
      </c>
      <c r="D473" s="2">
        <v>0.22239999999999999</v>
      </c>
      <c r="E473" s="2">
        <v>1.1342400000000001E-2</v>
      </c>
      <c r="F473" s="2" t="s">
        <v>7</v>
      </c>
    </row>
    <row r="474" spans="1:6" ht="22.5" hidden="1" customHeight="1" x14ac:dyDescent="0.25">
      <c r="A474" s="3">
        <v>43891</v>
      </c>
      <c r="B474" s="2" t="s">
        <v>112</v>
      </c>
      <c r="C474" s="2">
        <v>1.37</v>
      </c>
      <c r="D474" s="2">
        <v>0.60780000000000001</v>
      </c>
      <c r="E474" s="2">
        <v>8.3268600000000002E-3</v>
      </c>
      <c r="F474" s="2" t="s">
        <v>7</v>
      </c>
    </row>
    <row r="475" spans="1:6" ht="22.5" hidden="1" customHeight="1" x14ac:dyDescent="0.25">
      <c r="A475" s="3">
        <v>43891</v>
      </c>
      <c r="B475" s="2" t="s">
        <v>113</v>
      </c>
      <c r="C475" s="2">
        <v>1.49</v>
      </c>
      <c r="D475" s="2">
        <v>1.9400000000000001E-2</v>
      </c>
      <c r="E475" s="2">
        <v>2.8906E-4</v>
      </c>
      <c r="F475" s="2" t="s">
        <v>7</v>
      </c>
    </row>
    <row r="476" spans="1:6" ht="22.5" hidden="1" customHeight="1" x14ac:dyDescent="0.25">
      <c r="A476" s="3">
        <v>43891</v>
      </c>
      <c r="B476" s="2" t="s">
        <v>114</v>
      </c>
      <c r="C476" s="2">
        <v>0.13</v>
      </c>
      <c r="D476" s="2">
        <v>0.1794</v>
      </c>
      <c r="E476" s="2">
        <v>2.3321999999999999E-4</v>
      </c>
      <c r="F476" s="2" t="s">
        <v>7</v>
      </c>
    </row>
    <row r="477" spans="1:6" ht="22.5" hidden="1" customHeight="1" x14ac:dyDescent="0.25">
      <c r="A477" s="3">
        <v>43891</v>
      </c>
      <c r="B477" s="2" t="s">
        <v>115</v>
      </c>
      <c r="C477" s="2">
        <v>0.9</v>
      </c>
      <c r="D477" s="2">
        <v>0.49919999999999998</v>
      </c>
      <c r="E477" s="2">
        <v>4.4927999999999999E-3</v>
      </c>
      <c r="F477" s="2" t="s">
        <v>7</v>
      </c>
    </row>
    <row r="478" spans="1:6" ht="22.5" hidden="1" customHeight="1" x14ac:dyDescent="0.25">
      <c r="A478" s="3">
        <v>43891</v>
      </c>
      <c r="B478" s="2" t="s">
        <v>116</v>
      </c>
      <c r="C478" s="2">
        <v>1.26</v>
      </c>
      <c r="D478" s="2">
        <v>0.1492</v>
      </c>
      <c r="E478" s="2">
        <v>1.87992E-3</v>
      </c>
      <c r="F478" s="2" t="s">
        <v>7</v>
      </c>
    </row>
    <row r="479" spans="1:6" ht="22.5" hidden="1" customHeight="1" x14ac:dyDescent="0.25">
      <c r="A479" s="3">
        <v>43891</v>
      </c>
      <c r="B479" s="2" t="s">
        <v>117</v>
      </c>
      <c r="C479" s="2">
        <v>-0.46</v>
      </c>
      <c r="D479" s="2">
        <v>5.1900000000000002E-2</v>
      </c>
      <c r="E479" s="2">
        <v>-2.3874000000000001E-4</v>
      </c>
      <c r="F479" s="2" t="s">
        <v>7</v>
      </c>
    </row>
    <row r="480" spans="1:6" ht="22.5" hidden="1" customHeight="1" x14ac:dyDescent="0.25">
      <c r="A480" s="3">
        <v>43891</v>
      </c>
      <c r="B480" s="2" t="s">
        <v>118</v>
      </c>
      <c r="C480" s="2">
        <v>0.53</v>
      </c>
      <c r="D480" s="2">
        <v>6.0999999999999999E-2</v>
      </c>
      <c r="E480" s="2">
        <v>3.233E-4</v>
      </c>
      <c r="F480" s="2" t="s">
        <v>7</v>
      </c>
    </row>
    <row r="481" spans="1:6" ht="22.5" hidden="1" customHeight="1" x14ac:dyDescent="0.25">
      <c r="A481" s="3">
        <v>43891</v>
      </c>
      <c r="B481" s="2" t="s">
        <v>119</v>
      </c>
      <c r="C481" s="2">
        <v>-0.98</v>
      </c>
      <c r="D481" s="2">
        <v>1.06E-2</v>
      </c>
      <c r="E481" s="2">
        <v>-1.0388E-4</v>
      </c>
      <c r="F481" s="2" t="s">
        <v>7</v>
      </c>
    </row>
    <row r="482" spans="1:6" ht="22.5" hidden="1" customHeight="1" x14ac:dyDescent="0.25">
      <c r="A482" s="3">
        <v>43891</v>
      </c>
      <c r="B482" s="2" t="s">
        <v>120</v>
      </c>
      <c r="C482" s="2">
        <v>0.44</v>
      </c>
      <c r="D482" s="2">
        <v>0.43519999999999998</v>
      </c>
      <c r="E482" s="2">
        <v>1.9148800000000001E-3</v>
      </c>
      <c r="F482" s="2" t="s">
        <v>7</v>
      </c>
    </row>
    <row r="483" spans="1:6" ht="22.5" hidden="1" customHeight="1" x14ac:dyDescent="0.25">
      <c r="A483" s="3">
        <v>43891</v>
      </c>
      <c r="B483" s="2" t="s">
        <v>121</v>
      </c>
      <c r="C483" s="2">
        <v>-0.23</v>
      </c>
      <c r="D483" s="2">
        <v>0.80120000000000002</v>
      </c>
      <c r="E483" s="2">
        <v>-1.8427599999999999E-3</v>
      </c>
      <c r="F483" s="2" t="s">
        <v>7</v>
      </c>
    </row>
    <row r="484" spans="1:6" ht="22.5" hidden="1" customHeight="1" x14ac:dyDescent="0.25">
      <c r="A484" s="3">
        <v>43891</v>
      </c>
      <c r="B484" s="2" t="s">
        <v>122</v>
      </c>
      <c r="C484" s="2">
        <v>-0.21</v>
      </c>
      <c r="D484" s="2">
        <v>8.3699999999999997E-2</v>
      </c>
      <c r="E484" s="2">
        <v>-1.7577000000000001E-4</v>
      </c>
      <c r="F484" s="2" t="s">
        <v>7</v>
      </c>
    </row>
    <row r="485" spans="1:6" ht="22.5" hidden="1" customHeight="1" x14ac:dyDescent="0.25">
      <c r="A485" s="3">
        <v>43891</v>
      </c>
      <c r="B485" s="2" t="s">
        <v>123</v>
      </c>
      <c r="C485" s="2">
        <v>1.67</v>
      </c>
      <c r="D485" s="2">
        <v>9.4799999999999995E-2</v>
      </c>
      <c r="E485" s="2">
        <v>1.5831599999999999E-3</v>
      </c>
      <c r="F485" s="2" t="s">
        <v>7</v>
      </c>
    </row>
    <row r="486" spans="1:6" ht="22.5" hidden="1" customHeight="1" x14ac:dyDescent="0.25">
      <c r="A486" s="3">
        <v>43891</v>
      </c>
      <c r="B486" s="2" t="s">
        <v>124</v>
      </c>
      <c r="C486" s="2">
        <v>1.04</v>
      </c>
      <c r="D486" s="2">
        <v>0.13589999999999999</v>
      </c>
      <c r="E486" s="2">
        <v>1.41336E-3</v>
      </c>
      <c r="F486" s="2" t="s">
        <v>7</v>
      </c>
    </row>
    <row r="487" spans="1:6" ht="22.5" hidden="1" customHeight="1" x14ac:dyDescent="0.25">
      <c r="A487" s="3">
        <v>43891</v>
      </c>
      <c r="B487" s="2" t="s">
        <v>125</v>
      </c>
      <c r="C487" s="2">
        <v>0.92</v>
      </c>
      <c r="D487" s="2">
        <v>2.92E-2</v>
      </c>
      <c r="E487" s="2">
        <v>2.6864E-4</v>
      </c>
      <c r="F487" s="2" t="s">
        <v>7</v>
      </c>
    </row>
    <row r="488" spans="1:6" ht="22.5" hidden="1" customHeight="1" x14ac:dyDescent="0.25">
      <c r="A488" s="3">
        <v>43891</v>
      </c>
      <c r="B488" s="2" t="s">
        <v>126</v>
      </c>
      <c r="C488" s="2">
        <v>-0.06</v>
      </c>
      <c r="D488" s="2">
        <v>0.17849999999999999</v>
      </c>
      <c r="E488" s="2">
        <v>-1.071E-4</v>
      </c>
      <c r="F488" s="2" t="s">
        <v>7</v>
      </c>
    </row>
    <row r="489" spans="1:6" ht="22.5" hidden="1" customHeight="1" x14ac:dyDescent="0.25">
      <c r="A489" s="3">
        <v>43891</v>
      </c>
      <c r="B489" s="2" t="s">
        <v>127</v>
      </c>
      <c r="C489" s="2">
        <v>-0.31</v>
      </c>
      <c r="D489" s="2">
        <v>6.0199999999999997E-2</v>
      </c>
      <c r="E489" s="2">
        <v>-1.8662E-4</v>
      </c>
      <c r="F489" s="2" t="s">
        <v>7</v>
      </c>
    </row>
    <row r="490" spans="1:6" ht="22.5" hidden="1" customHeight="1" x14ac:dyDescent="0.25">
      <c r="A490" s="3">
        <v>43891</v>
      </c>
      <c r="B490" s="2" t="s">
        <v>128</v>
      </c>
      <c r="C490" s="2">
        <v>0.49</v>
      </c>
      <c r="D490" s="2">
        <v>9.1300000000000006E-2</v>
      </c>
      <c r="E490" s="2">
        <v>4.4736999999999999E-4</v>
      </c>
      <c r="F490" s="2" t="s">
        <v>7</v>
      </c>
    </row>
    <row r="491" spans="1:6" ht="22.5" hidden="1" customHeight="1" x14ac:dyDescent="0.25">
      <c r="A491" s="3">
        <v>43891</v>
      </c>
      <c r="B491" s="2" t="s">
        <v>129</v>
      </c>
      <c r="C491" s="2">
        <v>0.84</v>
      </c>
      <c r="D491" s="2">
        <v>0.12820000000000001</v>
      </c>
      <c r="E491" s="2">
        <v>1.0768799999999999E-3</v>
      </c>
      <c r="F491" s="2" t="s">
        <v>7</v>
      </c>
    </row>
    <row r="492" spans="1:6" ht="22.5" hidden="1" customHeight="1" x14ac:dyDescent="0.25">
      <c r="A492" s="3">
        <v>43891</v>
      </c>
      <c r="B492" s="2" t="s">
        <v>130</v>
      </c>
      <c r="C492" s="2">
        <v>7.0000000000000007E-2</v>
      </c>
      <c r="D492" s="2">
        <v>1.34E-2</v>
      </c>
      <c r="E492" s="2">
        <v>9.38E-6</v>
      </c>
      <c r="F492" s="2" t="s">
        <v>7</v>
      </c>
    </row>
    <row r="493" spans="1:6" ht="22.5" hidden="1" customHeight="1" x14ac:dyDescent="0.25">
      <c r="A493" s="3">
        <v>43891</v>
      </c>
      <c r="B493" s="2" t="s">
        <v>131</v>
      </c>
      <c r="C493" s="2">
        <v>4.22</v>
      </c>
      <c r="D493" s="2">
        <v>0.06</v>
      </c>
      <c r="E493" s="2">
        <v>2.532E-3</v>
      </c>
      <c r="F493" s="2" t="s">
        <v>7</v>
      </c>
    </row>
    <row r="494" spans="1:6" ht="22.5" hidden="1" customHeight="1" x14ac:dyDescent="0.25">
      <c r="A494" s="3">
        <v>43891</v>
      </c>
      <c r="B494" s="2" t="s">
        <v>132</v>
      </c>
      <c r="C494" s="2">
        <v>0.09</v>
      </c>
      <c r="D494" s="2">
        <v>0.27939999999999998</v>
      </c>
      <c r="E494" s="2">
        <v>2.5146000000000001E-4</v>
      </c>
      <c r="F494" s="2" t="s">
        <v>7</v>
      </c>
    </row>
    <row r="495" spans="1:6" ht="22.5" hidden="1" customHeight="1" x14ac:dyDescent="0.25">
      <c r="A495" s="3">
        <v>43891</v>
      </c>
      <c r="B495" s="2" t="s">
        <v>133</v>
      </c>
      <c r="C495" s="2">
        <v>-0.61</v>
      </c>
      <c r="D495" s="2">
        <v>8.3000000000000001E-3</v>
      </c>
      <c r="E495" s="2">
        <v>-5.0630000000000001E-5</v>
      </c>
      <c r="F495" s="2" t="s">
        <v>7</v>
      </c>
    </row>
    <row r="496" spans="1:6" ht="22.5" hidden="1" customHeight="1" x14ac:dyDescent="0.25">
      <c r="A496" s="3">
        <v>43891</v>
      </c>
      <c r="B496" s="2" t="s">
        <v>134</v>
      </c>
      <c r="C496" s="2">
        <v>0.54</v>
      </c>
      <c r="D496" s="2">
        <v>0.502</v>
      </c>
      <c r="E496" s="2">
        <v>2.7108000000000002E-3</v>
      </c>
      <c r="F496" s="2" t="s">
        <v>7</v>
      </c>
    </row>
    <row r="497" spans="1:6" ht="22.5" hidden="1" customHeight="1" x14ac:dyDescent="0.25">
      <c r="A497" s="3">
        <v>43891</v>
      </c>
      <c r="B497" s="2" t="s">
        <v>135</v>
      </c>
      <c r="C497" s="2">
        <v>7.0000000000000007E-2</v>
      </c>
      <c r="D497" s="2">
        <v>0.40310000000000001</v>
      </c>
      <c r="E497" s="2">
        <v>2.8216999999999999E-4</v>
      </c>
      <c r="F497" s="2" t="s">
        <v>7</v>
      </c>
    </row>
    <row r="498" spans="1:6" ht="22.5" hidden="1" customHeight="1" x14ac:dyDescent="0.25">
      <c r="A498" s="3">
        <v>43891</v>
      </c>
      <c r="B498" s="2" t="s">
        <v>136</v>
      </c>
      <c r="C498" s="2">
        <v>0.93</v>
      </c>
      <c r="D498" s="2">
        <v>3.6600000000000001E-2</v>
      </c>
      <c r="E498" s="2">
        <v>3.4037999999999999E-4</v>
      </c>
      <c r="F498" s="2" t="s">
        <v>7</v>
      </c>
    </row>
    <row r="499" spans="1:6" ht="22.5" hidden="1" customHeight="1" x14ac:dyDescent="0.25">
      <c r="A499" s="3">
        <v>43891</v>
      </c>
      <c r="B499" s="2" t="s">
        <v>137</v>
      </c>
      <c r="C499" s="2">
        <v>0.52</v>
      </c>
      <c r="D499" s="2">
        <v>6.9400000000000003E-2</v>
      </c>
      <c r="E499" s="2">
        <v>3.6088E-4</v>
      </c>
      <c r="F499" s="2" t="s">
        <v>7</v>
      </c>
    </row>
    <row r="500" spans="1:6" ht="22.5" hidden="1" customHeight="1" x14ac:dyDescent="0.25">
      <c r="A500" s="3">
        <v>43891</v>
      </c>
      <c r="B500" s="2" t="s">
        <v>138</v>
      </c>
      <c r="C500" s="2">
        <v>0.11</v>
      </c>
      <c r="D500" s="2">
        <v>4.8399999999999999E-2</v>
      </c>
      <c r="E500" s="2">
        <v>5.3239999999999998E-5</v>
      </c>
      <c r="F500" s="2" t="s">
        <v>7</v>
      </c>
    </row>
    <row r="501" spans="1:6" ht="22.5" hidden="1" customHeight="1" x14ac:dyDescent="0.25">
      <c r="A501" s="3">
        <v>43891</v>
      </c>
      <c r="B501" s="2" t="s">
        <v>139</v>
      </c>
      <c r="C501" s="2">
        <v>0.49</v>
      </c>
      <c r="D501" s="2">
        <v>2.5600000000000001E-2</v>
      </c>
      <c r="E501" s="2">
        <v>1.2543999999999999E-4</v>
      </c>
      <c r="F501" s="2" t="s">
        <v>7</v>
      </c>
    </row>
    <row r="502" spans="1:6" ht="22.5" hidden="1" customHeight="1" x14ac:dyDescent="0.25">
      <c r="A502" s="3">
        <v>43891</v>
      </c>
      <c r="B502" s="2" t="s">
        <v>140</v>
      </c>
      <c r="C502" s="2">
        <v>-0.84</v>
      </c>
      <c r="D502" s="2">
        <v>2.0999999999999999E-3</v>
      </c>
      <c r="E502" s="2">
        <v>-1.7640000000000001E-5</v>
      </c>
      <c r="F502" s="2" t="s">
        <v>7</v>
      </c>
    </row>
    <row r="503" spans="1:6" ht="22.5" hidden="1" customHeight="1" x14ac:dyDescent="0.25">
      <c r="A503" s="3">
        <v>43891</v>
      </c>
      <c r="B503" s="2" t="s">
        <v>141</v>
      </c>
      <c r="C503" s="2">
        <v>-0.81</v>
      </c>
      <c r="D503" s="2">
        <v>1.9300000000000001E-2</v>
      </c>
      <c r="E503" s="2">
        <v>-1.5632999999999999E-4</v>
      </c>
      <c r="F503" s="2" t="s">
        <v>7</v>
      </c>
    </row>
    <row r="504" spans="1:6" ht="22.5" hidden="1" customHeight="1" x14ac:dyDescent="0.25">
      <c r="A504" s="3">
        <v>43891</v>
      </c>
      <c r="B504" s="2" t="s">
        <v>142</v>
      </c>
      <c r="C504" s="2">
        <v>5.23</v>
      </c>
      <c r="D504" s="2">
        <v>4.0000000000000001E-3</v>
      </c>
      <c r="E504" s="2">
        <v>2.0919999999999999E-4</v>
      </c>
      <c r="F504" s="2" t="s">
        <v>7</v>
      </c>
    </row>
    <row r="505" spans="1:6" ht="22.5" hidden="1" customHeight="1" x14ac:dyDescent="0.25">
      <c r="A505" s="3">
        <v>43891</v>
      </c>
      <c r="B505" s="2" t="s">
        <v>143</v>
      </c>
      <c r="C505" s="2">
        <v>-0.67</v>
      </c>
      <c r="D505" s="2">
        <v>3.7400000000000003E-2</v>
      </c>
      <c r="E505" s="2">
        <v>-2.5057999999999998E-4</v>
      </c>
      <c r="F505" s="2" t="s">
        <v>7</v>
      </c>
    </row>
    <row r="506" spans="1:6" ht="22.5" hidden="1" customHeight="1" x14ac:dyDescent="0.25">
      <c r="A506" s="3">
        <v>43891</v>
      </c>
      <c r="B506" s="2" t="s">
        <v>144</v>
      </c>
      <c r="C506" s="2">
        <v>-0.14000000000000001</v>
      </c>
      <c r="D506" s="2">
        <v>1.4E-3</v>
      </c>
      <c r="E506" s="2">
        <v>-1.9599999999999999E-6</v>
      </c>
      <c r="F506" s="2" t="s">
        <v>7</v>
      </c>
    </row>
    <row r="507" spans="1:6" ht="22.5" hidden="1" customHeight="1" x14ac:dyDescent="0.25">
      <c r="A507" s="3">
        <v>43891</v>
      </c>
      <c r="B507" s="2" t="s">
        <v>145</v>
      </c>
      <c r="C507" s="2">
        <v>0.41</v>
      </c>
      <c r="D507" s="2">
        <v>1.6000000000000001E-3</v>
      </c>
      <c r="E507" s="2">
        <v>6.5599999999999999E-6</v>
      </c>
      <c r="F507" s="2" t="s">
        <v>7</v>
      </c>
    </row>
    <row r="508" spans="1:6" ht="22.5" hidden="1" customHeight="1" x14ac:dyDescent="0.25">
      <c r="A508" s="3">
        <v>43891</v>
      </c>
      <c r="B508" s="2" t="s">
        <v>146</v>
      </c>
      <c r="C508" s="2">
        <v>0.02</v>
      </c>
      <c r="D508" s="2">
        <v>3.1800000000000002E-2</v>
      </c>
      <c r="E508" s="2">
        <v>6.3600000000000001E-6</v>
      </c>
      <c r="F508" s="2" t="s">
        <v>7</v>
      </c>
    </row>
    <row r="509" spans="1:6" ht="22.5" hidden="1" customHeight="1" x14ac:dyDescent="0.25">
      <c r="A509" s="3">
        <v>43891</v>
      </c>
      <c r="B509" s="2" t="s">
        <v>147</v>
      </c>
      <c r="C509" s="2">
        <v>0.72</v>
      </c>
      <c r="D509" s="2">
        <v>2.5499999999999998E-2</v>
      </c>
      <c r="E509" s="2">
        <v>1.8359999999999999E-4</v>
      </c>
      <c r="F509" s="2" t="s">
        <v>7</v>
      </c>
    </row>
    <row r="510" spans="1:6" ht="22.5" hidden="1" customHeight="1" x14ac:dyDescent="0.25">
      <c r="A510" s="3">
        <v>43891</v>
      </c>
      <c r="B510" s="2" t="s">
        <v>148</v>
      </c>
      <c r="C510" s="2">
        <v>-0.4</v>
      </c>
      <c r="D510" s="2">
        <v>2.2100000000000002E-2</v>
      </c>
      <c r="E510" s="2">
        <v>-8.8399999999999994E-5</v>
      </c>
      <c r="F510" s="2" t="s">
        <v>7</v>
      </c>
    </row>
    <row r="511" spans="1:6" ht="22.5" hidden="1" customHeight="1" x14ac:dyDescent="0.25">
      <c r="A511" s="3">
        <v>43891</v>
      </c>
      <c r="B511" s="2" t="s">
        <v>149</v>
      </c>
      <c r="C511" s="2">
        <v>0.5</v>
      </c>
      <c r="D511" s="2">
        <v>2.5000000000000001E-3</v>
      </c>
      <c r="E511" s="2">
        <v>1.2500000000000001E-5</v>
      </c>
      <c r="F511" s="2" t="s">
        <v>7</v>
      </c>
    </row>
    <row r="512" spans="1:6" ht="22.5" hidden="1" customHeight="1" x14ac:dyDescent="0.25">
      <c r="A512" s="3">
        <v>43891</v>
      </c>
      <c r="B512" s="2" t="s">
        <v>150</v>
      </c>
      <c r="C512" s="2">
        <v>0.3</v>
      </c>
      <c r="D512" s="2">
        <v>0.1106</v>
      </c>
      <c r="E512" s="2">
        <v>3.3179999999999999E-4</v>
      </c>
      <c r="F512" s="2" t="s">
        <v>7</v>
      </c>
    </row>
    <row r="513" spans="1:6" ht="22.5" hidden="1" customHeight="1" x14ac:dyDescent="0.25">
      <c r="A513" s="3">
        <v>43891</v>
      </c>
      <c r="B513" s="2" t="s">
        <v>151</v>
      </c>
      <c r="C513" s="2">
        <v>6.63</v>
      </c>
      <c r="D513" s="2">
        <v>0.10970000000000001</v>
      </c>
      <c r="E513" s="2">
        <v>7.2731100000000002E-3</v>
      </c>
      <c r="F513" s="2" t="s">
        <v>7</v>
      </c>
    </row>
    <row r="514" spans="1:6" ht="22.5" hidden="1" customHeight="1" x14ac:dyDescent="0.25">
      <c r="A514" s="3">
        <v>43891</v>
      </c>
      <c r="B514" s="2" t="s">
        <v>152</v>
      </c>
      <c r="C514" s="2">
        <v>-1.02</v>
      </c>
      <c r="D514" s="2">
        <v>3.0999999999999999E-3</v>
      </c>
      <c r="E514" s="2">
        <v>-3.1619999999999999E-5</v>
      </c>
      <c r="F514" s="2" t="s">
        <v>7</v>
      </c>
    </row>
    <row r="515" spans="1:6" ht="22.5" hidden="1" customHeight="1" x14ac:dyDescent="0.25">
      <c r="A515" s="3">
        <v>43891</v>
      </c>
      <c r="B515" s="2" t="s">
        <v>153</v>
      </c>
      <c r="C515" s="2">
        <v>2.86</v>
      </c>
      <c r="D515" s="2">
        <v>8.9999999999999998E-4</v>
      </c>
      <c r="E515" s="2">
        <v>2.5740000000000001E-5</v>
      </c>
      <c r="F515" s="2" t="s">
        <v>7</v>
      </c>
    </row>
    <row r="516" spans="1:6" ht="22.5" hidden="1" customHeight="1" x14ac:dyDescent="0.25">
      <c r="A516" s="3">
        <v>43891</v>
      </c>
      <c r="B516" s="2" t="s">
        <v>154</v>
      </c>
      <c r="C516" s="2">
        <v>-0.56000000000000005</v>
      </c>
      <c r="D516" s="2">
        <v>1.1000000000000001E-3</v>
      </c>
      <c r="E516" s="2">
        <v>-6.1600000000000003E-6</v>
      </c>
      <c r="F516" s="2" t="s">
        <v>7</v>
      </c>
    </row>
    <row r="517" spans="1:6" ht="22.5" hidden="1" customHeight="1" x14ac:dyDescent="0.25">
      <c r="A517" s="3">
        <v>43891</v>
      </c>
      <c r="B517" s="2" t="s">
        <v>155</v>
      </c>
      <c r="C517" s="2">
        <v>1.02</v>
      </c>
      <c r="D517" s="2">
        <v>5.5999999999999999E-3</v>
      </c>
      <c r="E517" s="2">
        <v>5.7120000000000002E-5</v>
      </c>
      <c r="F517" s="2" t="s">
        <v>7</v>
      </c>
    </row>
    <row r="518" spans="1:6" ht="22.5" hidden="1" customHeight="1" x14ac:dyDescent="0.25">
      <c r="A518" s="3">
        <v>43891</v>
      </c>
      <c r="B518" s="2" t="s">
        <v>156</v>
      </c>
      <c r="C518" s="2">
        <v>0.69</v>
      </c>
      <c r="D518" s="2">
        <v>4.3799999999999999E-2</v>
      </c>
      <c r="E518" s="2">
        <v>3.0222000000000002E-4</v>
      </c>
      <c r="F518" s="2" t="s">
        <v>7</v>
      </c>
    </row>
    <row r="519" spans="1:6" ht="22.5" hidden="1" customHeight="1" x14ac:dyDescent="0.25">
      <c r="A519" s="3">
        <v>43891</v>
      </c>
      <c r="B519" s="2" t="s">
        <v>157</v>
      </c>
      <c r="C519" s="2">
        <v>-1.27</v>
      </c>
      <c r="D519" s="2">
        <v>1.7000000000000001E-2</v>
      </c>
      <c r="E519" s="2">
        <v>-2.1589999999999999E-4</v>
      </c>
      <c r="F519" s="2" t="s">
        <v>7</v>
      </c>
    </row>
    <row r="520" spans="1:6" ht="22.5" hidden="1" customHeight="1" x14ac:dyDescent="0.25">
      <c r="A520" s="3">
        <v>43891</v>
      </c>
      <c r="B520" s="2" t="s">
        <v>158</v>
      </c>
      <c r="C520" s="2">
        <v>0.83</v>
      </c>
      <c r="D520" s="2">
        <v>9.9000000000000008E-3</v>
      </c>
      <c r="E520" s="2">
        <v>8.2169999999999994E-5</v>
      </c>
      <c r="F520" s="2" t="s">
        <v>7</v>
      </c>
    </row>
    <row r="521" spans="1:6" ht="22.5" hidden="1" customHeight="1" x14ac:dyDescent="0.25">
      <c r="A521" s="3">
        <v>43891</v>
      </c>
      <c r="B521" s="2" t="s">
        <v>159</v>
      </c>
      <c r="C521" s="2">
        <v>-0.33</v>
      </c>
      <c r="D521" s="2">
        <v>5.2900000000000003E-2</v>
      </c>
      <c r="E521" s="2">
        <v>-1.7457E-4</v>
      </c>
      <c r="F521" s="2" t="s">
        <v>7</v>
      </c>
    </row>
    <row r="522" spans="1:6" ht="22.5" hidden="1" customHeight="1" x14ac:dyDescent="0.25">
      <c r="A522" s="3">
        <v>43891</v>
      </c>
      <c r="B522" s="2" t="s">
        <v>160</v>
      </c>
      <c r="C522" s="2">
        <v>-0.08</v>
      </c>
      <c r="D522" s="2">
        <v>3.7965</v>
      </c>
      <c r="E522" s="2">
        <v>-3.0371999999999999E-3</v>
      </c>
      <c r="F522" s="2" t="s">
        <v>7</v>
      </c>
    </row>
    <row r="523" spans="1:6" ht="22.5" hidden="1" customHeight="1" x14ac:dyDescent="0.25">
      <c r="A523" s="3">
        <v>43891</v>
      </c>
      <c r="B523" s="2" t="s">
        <v>161</v>
      </c>
      <c r="C523" s="2">
        <v>0.39</v>
      </c>
      <c r="D523" s="2">
        <v>1.633</v>
      </c>
      <c r="E523" s="2">
        <v>6.3686999999999997E-3</v>
      </c>
      <c r="F523" s="2" t="s">
        <v>7</v>
      </c>
    </row>
    <row r="524" spans="1:6" ht="22.5" hidden="1" customHeight="1" x14ac:dyDescent="0.25">
      <c r="A524" s="3">
        <v>43891</v>
      </c>
      <c r="B524" s="2" t="s">
        <v>134</v>
      </c>
      <c r="C524" s="2">
        <v>0.47</v>
      </c>
      <c r="D524" s="2">
        <v>0.1245</v>
      </c>
      <c r="E524" s="2">
        <v>5.8514999999999999E-4</v>
      </c>
      <c r="F524" s="2" t="s">
        <v>7</v>
      </c>
    </row>
    <row r="525" spans="1:6" ht="22.5" hidden="1" customHeight="1" x14ac:dyDescent="0.25">
      <c r="A525" s="3">
        <v>43891</v>
      </c>
      <c r="B525" s="2" t="s">
        <v>162</v>
      </c>
      <c r="C525" s="2">
        <v>0.36</v>
      </c>
      <c r="D525" s="2">
        <v>4.2200000000000001E-2</v>
      </c>
      <c r="E525" s="2">
        <v>1.5192E-4</v>
      </c>
      <c r="F525" s="2" t="s">
        <v>7</v>
      </c>
    </row>
    <row r="526" spans="1:6" ht="22.5" hidden="1" customHeight="1" x14ac:dyDescent="0.25">
      <c r="A526" s="3">
        <v>43891</v>
      </c>
      <c r="B526" s="2" t="s">
        <v>135</v>
      </c>
      <c r="C526" s="2">
        <v>-0.75</v>
      </c>
      <c r="D526" s="2">
        <v>0.2949</v>
      </c>
      <c r="E526" s="2">
        <v>-2.2117500000000002E-3</v>
      </c>
      <c r="F526" s="2" t="s">
        <v>7</v>
      </c>
    </row>
    <row r="527" spans="1:6" ht="22.5" hidden="1" customHeight="1" x14ac:dyDescent="0.25">
      <c r="A527" s="3">
        <v>43891</v>
      </c>
      <c r="B527" s="2" t="s">
        <v>136</v>
      </c>
      <c r="C527" s="2">
        <v>1.44</v>
      </c>
      <c r="D527" s="2">
        <v>4.4999999999999997E-3</v>
      </c>
      <c r="E527" s="2">
        <v>6.4800000000000003E-5</v>
      </c>
      <c r="F527" s="2" t="s">
        <v>7</v>
      </c>
    </row>
    <row r="528" spans="1:6" ht="22.5" hidden="1" customHeight="1" x14ac:dyDescent="0.25">
      <c r="A528" s="3">
        <v>43891</v>
      </c>
      <c r="B528" s="2" t="s">
        <v>137</v>
      </c>
      <c r="C528" s="2">
        <v>-3.22</v>
      </c>
      <c r="D528" s="2">
        <v>8.5000000000000006E-3</v>
      </c>
      <c r="E528" s="2">
        <v>-2.7369999999999998E-4</v>
      </c>
      <c r="F528" s="2" t="s">
        <v>7</v>
      </c>
    </row>
    <row r="529" spans="1:6" ht="22.5" hidden="1" customHeight="1" x14ac:dyDescent="0.25">
      <c r="A529" s="3">
        <v>43891</v>
      </c>
      <c r="B529" s="2" t="s">
        <v>163</v>
      </c>
      <c r="C529" s="2">
        <v>0.06</v>
      </c>
      <c r="D529" s="2">
        <v>4.3E-3</v>
      </c>
      <c r="E529" s="2">
        <v>2.5799999999999999E-6</v>
      </c>
      <c r="F529" s="2" t="s">
        <v>7</v>
      </c>
    </row>
    <row r="530" spans="1:6" ht="22.5" hidden="1" customHeight="1" x14ac:dyDescent="0.25">
      <c r="A530" s="3">
        <v>43891</v>
      </c>
      <c r="B530" s="2" t="s">
        <v>34</v>
      </c>
      <c r="C530" s="2">
        <v>0.33</v>
      </c>
      <c r="D530" s="2">
        <v>5.1700000000000003E-2</v>
      </c>
      <c r="E530" s="2">
        <v>1.7060999999999999E-4</v>
      </c>
      <c r="F530" s="2" t="s">
        <v>7</v>
      </c>
    </row>
    <row r="531" spans="1:6" ht="22.5" hidden="1" customHeight="1" x14ac:dyDescent="0.25">
      <c r="A531" s="3">
        <v>43891</v>
      </c>
      <c r="B531" s="2" t="s">
        <v>164</v>
      </c>
      <c r="C531" s="2">
        <v>0.11</v>
      </c>
      <c r="D531" s="2">
        <v>3.8348</v>
      </c>
      <c r="E531" s="2">
        <v>4.2182799999999996E-3</v>
      </c>
      <c r="F531" s="2" t="s">
        <v>165</v>
      </c>
    </row>
    <row r="532" spans="1:6" ht="22.5" hidden="1" customHeight="1" x14ac:dyDescent="0.25">
      <c r="A532" s="3">
        <v>43891</v>
      </c>
      <c r="B532" s="2" t="s">
        <v>166</v>
      </c>
      <c r="C532" s="2">
        <v>0.03</v>
      </c>
      <c r="D532" s="2">
        <v>2.3875999999999999</v>
      </c>
      <c r="E532" s="2">
        <v>7.1628000000000002E-4</v>
      </c>
      <c r="F532" s="2" t="s">
        <v>165</v>
      </c>
    </row>
    <row r="533" spans="1:6" ht="22.5" hidden="1" customHeight="1" x14ac:dyDescent="0.25">
      <c r="A533" s="3">
        <v>44501</v>
      </c>
      <c r="B533" s="2" t="s">
        <v>197</v>
      </c>
      <c r="C533" s="2">
        <v>0.93</v>
      </c>
      <c r="D533" s="2">
        <v>5.0491000000000001</v>
      </c>
      <c r="E533" s="2">
        <v>4.6956629999999999E-2</v>
      </c>
      <c r="F533" s="2" t="s">
        <v>168</v>
      </c>
    </row>
    <row r="534" spans="1:6" ht="22.5" hidden="1" customHeight="1" x14ac:dyDescent="0.25">
      <c r="A534" s="3">
        <v>43891</v>
      </c>
      <c r="B534" s="2" t="s">
        <v>169</v>
      </c>
      <c r="C534" s="2">
        <v>-0.98</v>
      </c>
      <c r="D534" s="2">
        <v>9.7999999999999997E-3</v>
      </c>
      <c r="E534" s="2">
        <v>-9.6039999999999995E-5</v>
      </c>
      <c r="F534" s="2" t="s">
        <v>170</v>
      </c>
    </row>
    <row r="535" spans="1:6" ht="22.5" hidden="1" customHeight="1" x14ac:dyDescent="0.25">
      <c r="A535" s="3">
        <v>43891</v>
      </c>
      <c r="B535" s="2" t="s">
        <v>171</v>
      </c>
      <c r="C535" s="2">
        <v>0.26</v>
      </c>
      <c r="D535" s="2">
        <v>1.44E-2</v>
      </c>
      <c r="E535" s="2">
        <v>3.7440000000000001E-5</v>
      </c>
      <c r="F535" s="2" t="s">
        <v>170</v>
      </c>
    </row>
    <row r="536" spans="1:6" ht="22.5" hidden="1" customHeight="1" x14ac:dyDescent="0.25">
      <c r="A536" s="3">
        <v>43891</v>
      </c>
      <c r="B536" s="2" t="s">
        <v>172</v>
      </c>
      <c r="C536" s="2">
        <v>-3.55</v>
      </c>
      <c r="D536" s="2">
        <v>3.5999999999999999E-3</v>
      </c>
      <c r="E536" s="2">
        <v>-1.2779999999999999E-4</v>
      </c>
      <c r="F536" s="2" t="s">
        <v>170</v>
      </c>
    </row>
    <row r="537" spans="1:6" ht="22.5" hidden="1" customHeight="1" x14ac:dyDescent="0.25">
      <c r="A537" s="3">
        <v>43891</v>
      </c>
      <c r="B537" s="2" t="s">
        <v>173</v>
      </c>
      <c r="C537" s="2">
        <v>-0.08</v>
      </c>
      <c r="D537" s="2">
        <v>0.24909999999999999</v>
      </c>
      <c r="E537" s="2">
        <v>-1.9928E-4</v>
      </c>
      <c r="F537" s="2" t="s">
        <v>174</v>
      </c>
    </row>
    <row r="538" spans="1:6" ht="22.5" hidden="1" customHeight="1" x14ac:dyDescent="0.25">
      <c r="A538" s="3">
        <v>43891</v>
      </c>
      <c r="B538" s="2" t="s">
        <v>175</v>
      </c>
      <c r="C538" s="2">
        <v>-0.54</v>
      </c>
      <c r="D538" s="2">
        <v>0.21779999999999999</v>
      </c>
      <c r="E538" s="2">
        <v>-1.1761199999999999E-3</v>
      </c>
      <c r="F538" s="2" t="s">
        <v>174</v>
      </c>
    </row>
    <row r="539" spans="1:6" ht="22.5" hidden="1" customHeight="1" x14ac:dyDescent="0.25">
      <c r="A539" s="3">
        <v>43891</v>
      </c>
      <c r="B539" s="2" t="s">
        <v>176</v>
      </c>
      <c r="C539" s="2">
        <v>-2.11</v>
      </c>
      <c r="D539" s="2">
        <v>1.37E-2</v>
      </c>
      <c r="E539" s="2">
        <v>-2.8907E-4</v>
      </c>
      <c r="F539" s="2" t="s">
        <v>170</v>
      </c>
    </row>
    <row r="540" spans="1:6" ht="22.5" hidden="1" customHeight="1" x14ac:dyDescent="0.25">
      <c r="A540" s="3">
        <v>43891</v>
      </c>
      <c r="B540" s="2" t="s">
        <v>177</v>
      </c>
      <c r="C540" s="2">
        <v>-0.73</v>
      </c>
      <c r="D540" s="2">
        <v>2.0199999999999999E-2</v>
      </c>
      <c r="E540" s="2">
        <v>-1.4746E-4</v>
      </c>
      <c r="F540" s="2" t="s">
        <v>170</v>
      </c>
    </row>
    <row r="541" spans="1:6" ht="22.5" hidden="1" customHeight="1" x14ac:dyDescent="0.25">
      <c r="A541" s="3">
        <v>43891</v>
      </c>
      <c r="B541" s="2" t="s">
        <v>178</v>
      </c>
      <c r="C541" s="2">
        <v>-1.4</v>
      </c>
      <c r="D541" s="2">
        <v>1.7399999999999999E-2</v>
      </c>
      <c r="E541" s="2">
        <v>-2.4360000000000001E-4</v>
      </c>
      <c r="F541" s="2" t="s">
        <v>170</v>
      </c>
    </row>
    <row r="542" spans="1:6" ht="22.5" hidden="1" customHeight="1" x14ac:dyDescent="0.25">
      <c r="A542" s="3">
        <v>43891</v>
      </c>
      <c r="B542" s="2" t="s">
        <v>179</v>
      </c>
      <c r="C542" s="2">
        <v>-2.4700000000000002</v>
      </c>
      <c r="D542" s="2">
        <v>3.73E-2</v>
      </c>
      <c r="E542" s="2">
        <v>-9.2130999999999995E-4</v>
      </c>
      <c r="F542" s="2" t="s">
        <v>170</v>
      </c>
    </row>
    <row r="543" spans="1:6" ht="22.5" hidden="1" customHeight="1" x14ac:dyDescent="0.25">
      <c r="A543" s="3">
        <v>43891</v>
      </c>
      <c r="B543" s="2" t="s">
        <v>180</v>
      </c>
      <c r="C543" s="2">
        <v>0.16</v>
      </c>
      <c r="D543" s="2">
        <v>0.67120000000000002</v>
      </c>
      <c r="E543" s="2">
        <v>1.0739199999999999E-3</v>
      </c>
      <c r="F543" s="2" t="s">
        <v>165</v>
      </c>
    </row>
    <row r="544" spans="1:6" ht="22.5" hidden="1" customHeight="1" x14ac:dyDescent="0.25">
      <c r="A544" s="3">
        <v>43891</v>
      </c>
      <c r="B544" s="2" t="s">
        <v>181</v>
      </c>
      <c r="C544" s="2">
        <v>1.64</v>
      </c>
      <c r="D544" s="2">
        <v>1.2E-2</v>
      </c>
      <c r="E544" s="2">
        <v>1.9680000000000001E-4</v>
      </c>
      <c r="F544" s="2" t="s">
        <v>174</v>
      </c>
    </row>
    <row r="545" spans="1:6" ht="22.5" hidden="1" customHeight="1" x14ac:dyDescent="0.25">
      <c r="A545" s="3">
        <v>43891</v>
      </c>
      <c r="B545" s="2" t="s">
        <v>182</v>
      </c>
      <c r="C545" s="2">
        <v>-0.22</v>
      </c>
      <c r="D545" s="2">
        <v>3.6799999999999999E-2</v>
      </c>
      <c r="E545" s="2">
        <v>-8.0959999999999997E-5</v>
      </c>
      <c r="F545" s="2" t="s">
        <v>170</v>
      </c>
    </row>
    <row r="546" spans="1:6" ht="22.5" hidden="1" customHeight="1" x14ac:dyDescent="0.25">
      <c r="A546" s="3">
        <v>43891</v>
      </c>
      <c r="B546" s="2" t="s">
        <v>183</v>
      </c>
      <c r="C546" s="2">
        <v>1.41</v>
      </c>
      <c r="D546" s="2">
        <v>4.4000000000000003E-3</v>
      </c>
      <c r="E546" s="2">
        <v>6.2039999999999996E-5</v>
      </c>
      <c r="F546" s="2" t="s">
        <v>174</v>
      </c>
    </row>
    <row r="547" spans="1:6" ht="22.5" hidden="1" customHeight="1" x14ac:dyDescent="0.25">
      <c r="A547" s="3">
        <v>43891</v>
      </c>
      <c r="B547" s="2" t="s">
        <v>184</v>
      </c>
      <c r="C547" s="2">
        <v>-0.24</v>
      </c>
      <c r="D547" s="2">
        <v>6.2899999999999998E-2</v>
      </c>
      <c r="E547" s="2">
        <v>-1.5096E-4</v>
      </c>
      <c r="F547" s="2" t="s">
        <v>174</v>
      </c>
    </row>
    <row r="548" spans="1:6" ht="22.5" hidden="1" customHeight="1" x14ac:dyDescent="0.25">
      <c r="A548" s="3">
        <v>43891</v>
      </c>
      <c r="B548" s="2" t="s">
        <v>185</v>
      </c>
      <c r="C548" s="2">
        <v>0.99</v>
      </c>
      <c r="D548" s="2">
        <v>0.1482</v>
      </c>
      <c r="E548" s="2">
        <v>1.46718E-3</v>
      </c>
      <c r="F548" s="2" t="s">
        <v>174</v>
      </c>
    </row>
    <row r="549" spans="1:6" ht="22.5" hidden="1" customHeight="1" x14ac:dyDescent="0.25">
      <c r="A549" s="3">
        <v>43891</v>
      </c>
      <c r="B549" s="2" t="s">
        <v>186</v>
      </c>
      <c r="C549" s="2">
        <v>0.64</v>
      </c>
      <c r="D549" s="2">
        <v>0.22339999999999999</v>
      </c>
      <c r="E549" s="2">
        <v>1.42976E-3</v>
      </c>
      <c r="F549" s="2" t="s">
        <v>174</v>
      </c>
    </row>
    <row r="550" spans="1:6" ht="22.5" hidden="1" customHeight="1" x14ac:dyDescent="0.25">
      <c r="A550" s="3">
        <v>43891</v>
      </c>
      <c r="B550" s="2" t="s">
        <v>187</v>
      </c>
      <c r="C550" s="2">
        <v>0.8</v>
      </c>
      <c r="D550" s="2">
        <v>6.0699999999999997E-2</v>
      </c>
      <c r="E550" s="2">
        <v>4.8559999999999999E-4</v>
      </c>
      <c r="F550" s="2" t="s">
        <v>174</v>
      </c>
    </row>
    <row r="551" spans="1:6" ht="22.5" hidden="1" customHeight="1" x14ac:dyDescent="0.25">
      <c r="A551" s="3">
        <v>43891</v>
      </c>
      <c r="B551" s="2" t="s">
        <v>188</v>
      </c>
      <c r="C551" s="2">
        <v>-0.2</v>
      </c>
      <c r="D551" s="2">
        <v>2.5899999999999999E-2</v>
      </c>
      <c r="E551" s="2">
        <v>-5.1799999999999999E-5</v>
      </c>
      <c r="F551" s="2" t="s">
        <v>174</v>
      </c>
    </row>
    <row r="552" spans="1:6" ht="22.5" hidden="1" customHeight="1" x14ac:dyDescent="0.25">
      <c r="A552" s="3">
        <v>43891</v>
      </c>
      <c r="B552" s="2" t="s">
        <v>189</v>
      </c>
      <c r="C552" s="2">
        <v>0.02</v>
      </c>
      <c r="D552" s="2">
        <v>3.5999999999999999E-3</v>
      </c>
      <c r="E552" s="2">
        <v>7.1999999999999999E-7</v>
      </c>
      <c r="F552" s="2" t="s">
        <v>174</v>
      </c>
    </row>
    <row r="553" spans="1:6" ht="22.5" hidden="1" customHeight="1" x14ac:dyDescent="0.25">
      <c r="A553" s="3">
        <v>43891</v>
      </c>
      <c r="B553" s="2" t="s">
        <v>190</v>
      </c>
      <c r="C553" s="2">
        <v>0.22</v>
      </c>
      <c r="D553" s="2">
        <v>5.1999999999999998E-3</v>
      </c>
      <c r="E553" s="2">
        <v>1.1440000000000001E-5</v>
      </c>
      <c r="F553" s="2" t="s">
        <v>174</v>
      </c>
    </row>
    <row r="554" spans="1:6" ht="22.5" hidden="1" customHeight="1" x14ac:dyDescent="0.25">
      <c r="A554" s="3">
        <v>43891</v>
      </c>
      <c r="B554" s="2" t="s">
        <v>191</v>
      </c>
      <c r="C554" s="2">
        <v>1.57</v>
      </c>
      <c r="D554" s="2">
        <v>2.7E-2</v>
      </c>
      <c r="E554" s="2">
        <v>4.239E-4</v>
      </c>
      <c r="F554" s="2" t="s">
        <v>174</v>
      </c>
    </row>
    <row r="555" spans="1:6" ht="22.5" hidden="1" customHeight="1" x14ac:dyDescent="0.25">
      <c r="A555" s="3">
        <v>43891</v>
      </c>
      <c r="B555" s="2" t="s">
        <v>192</v>
      </c>
      <c r="C555" s="2">
        <v>-0.76</v>
      </c>
      <c r="D555" s="2">
        <v>5.1000000000000004E-3</v>
      </c>
      <c r="E555" s="2">
        <v>-3.8760000000000002E-5</v>
      </c>
      <c r="F555" s="2" t="s">
        <v>174</v>
      </c>
    </row>
    <row r="556" spans="1:6" ht="22.5" hidden="1" customHeight="1" x14ac:dyDescent="0.25">
      <c r="A556" s="3">
        <v>43891</v>
      </c>
      <c r="B556" s="2" t="s">
        <v>193</v>
      </c>
      <c r="C556" s="2">
        <v>1.1399999999999999</v>
      </c>
      <c r="D556" s="2">
        <v>0.1671</v>
      </c>
      <c r="E556" s="2">
        <v>1.9049399999999999E-3</v>
      </c>
      <c r="F556" s="2" t="s">
        <v>174</v>
      </c>
    </row>
    <row r="557" spans="1:6" ht="22.5" hidden="1" customHeight="1" x14ac:dyDescent="0.25">
      <c r="A557" s="3">
        <v>43891</v>
      </c>
      <c r="B557" s="2" t="s">
        <v>194</v>
      </c>
      <c r="C557" s="2">
        <v>-0.13</v>
      </c>
      <c r="D557" s="2">
        <v>3.3999999999999998E-3</v>
      </c>
      <c r="E557" s="2">
        <v>-4.42E-6</v>
      </c>
      <c r="F557" s="2" t="s">
        <v>174</v>
      </c>
    </row>
    <row r="558" spans="1:6" ht="22.5" hidden="1" customHeight="1" x14ac:dyDescent="0.25">
      <c r="A558" s="3">
        <v>44409</v>
      </c>
      <c r="B558" s="2" t="s">
        <v>195</v>
      </c>
      <c r="C558" s="2">
        <v>3.79</v>
      </c>
      <c r="D558" s="2">
        <v>1.236</v>
      </c>
      <c r="E558" s="2">
        <v>4.6844400000000001E-2</v>
      </c>
      <c r="F558" s="2" t="s">
        <v>168</v>
      </c>
    </row>
    <row r="559" spans="1:6" ht="22.5" hidden="1" customHeight="1" x14ac:dyDescent="0.25">
      <c r="A559" s="3">
        <v>44378</v>
      </c>
      <c r="B559" s="2" t="s">
        <v>195</v>
      </c>
      <c r="C559" s="2">
        <v>3.89</v>
      </c>
      <c r="D559" s="2">
        <v>1.1984999999999999</v>
      </c>
      <c r="E559" s="2">
        <v>4.6621650000000001E-2</v>
      </c>
      <c r="F559" s="2" t="s">
        <v>168</v>
      </c>
    </row>
    <row r="560" spans="1:6" ht="22.5" hidden="1" customHeight="1" x14ac:dyDescent="0.25">
      <c r="A560" s="3">
        <v>44197</v>
      </c>
      <c r="B560" s="2" t="s">
        <v>284</v>
      </c>
      <c r="C560" s="2">
        <v>0.95</v>
      </c>
      <c r="D560" s="2">
        <v>4.8837000000000002</v>
      </c>
      <c r="E560" s="2">
        <v>4.6395150000000003E-2</v>
      </c>
      <c r="F560" s="2" t="s">
        <v>168</v>
      </c>
    </row>
    <row r="561" spans="1:6" ht="22.5" hidden="1" customHeight="1" x14ac:dyDescent="0.25">
      <c r="A561" s="3">
        <v>43891</v>
      </c>
      <c r="B561" s="2" t="s">
        <v>198</v>
      </c>
      <c r="C561" s="2">
        <v>-0.49</v>
      </c>
      <c r="D561" s="2">
        <v>0.36880000000000002</v>
      </c>
      <c r="E561" s="2">
        <v>-1.80712E-3</v>
      </c>
      <c r="F561" s="2" t="s">
        <v>170</v>
      </c>
    </row>
    <row r="562" spans="1:6" ht="22.5" hidden="1" customHeight="1" x14ac:dyDescent="0.25">
      <c r="A562" s="3">
        <v>43891</v>
      </c>
      <c r="B562" s="2" t="s">
        <v>199</v>
      </c>
      <c r="C562" s="2">
        <v>-1.1299999999999999</v>
      </c>
      <c r="D562" s="2">
        <v>0.49619999999999997</v>
      </c>
      <c r="E562" s="2">
        <v>-5.6070599999999996E-3</v>
      </c>
      <c r="F562" s="2" t="s">
        <v>170</v>
      </c>
    </row>
    <row r="563" spans="1:6" ht="22.5" hidden="1" customHeight="1" x14ac:dyDescent="0.25">
      <c r="A563" s="3">
        <v>43891</v>
      </c>
      <c r="B563" s="2" t="s">
        <v>200</v>
      </c>
      <c r="C563" s="2">
        <v>-0.42</v>
      </c>
      <c r="D563" s="2">
        <v>0.20669999999999999</v>
      </c>
      <c r="E563" s="2">
        <v>-8.6813999999999999E-4</v>
      </c>
      <c r="F563" s="2" t="s">
        <v>170</v>
      </c>
    </row>
    <row r="564" spans="1:6" ht="22.5" hidden="1" customHeight="1" x14ac:dyDescent="0.25">
      <c r="A564" s="3">
        <v>43891</v>
      </c>
      <c r="B564" s="2" t="s">
        <v>201</v>
      </c>
      <c r="C564" s="2">
        <v>-0.89</v>
      </c>
      <c r="D564" s="2">
        <v>2.7799999999999998E-2</v>
      </c>
      <c r="E564" s="2">
        <v>-2.4741999999999999E-4</v>
      </c>
      <c r="F564" s="2" t="s">
        <v>170</v>
      </c>
    </row>
    <row r="565" spans="1:6" ht="22.5" hidden="1" customHeight="1" x14ac:dyDescent="0.25">
      <c r="A565" s="3">
        <v>43891</v>
      </c>
      <c r="B565" s="2" t="s">
        <v>202</v>
      </c>
      <c r="C565" s="2">
        <v>-3.65</v>
      </c>
      <c r="D565" s="2">
        <v>1.41E-2</v>
      </c>
      <c r="E565" s="2">
        <v>-5.1464999999999996E-4</v>
      </c>
      <c r="F565" s="2" t="s">
        <v>170</v>
      </c>
    </row>
    <row r="566" spans="1:6" ht="22.5" hidden="1" customHeight="1" x14ac:dyDescent="0.25">
      <c r="A566" s="3">
        <v>43891</v>
      </c>
      <c r="B566" s="2" t="s">
        <v>203</v>
      </c>
      <c r="C566" s="2">
        <v>-1.08</v>
      </c>
      <c r="D566" s="2">
        <v>8.2699999999999996E-2</v>
      </c>
      <c r="E566" s="2">
        <v>-8.9316000000000005E-4</v>
      </c>
      <c r="F566" s="2" t="s">
        <v>170</v>
      </c>
    </row>
    <row r="567" spans="1:6" ht="22.5" hidden="1" customHeight="1" x14ac:dyDescent="0.25">
      <c r="A567" s="3">
        <v>43891</v>
      </c>
      <c r="B567" s="2" t="s">
        <v>204</v>
      </c>
      <c r="C567" s="2">
        <v>-0.28999999999999998</v>
      </c>
      <c r="D567" s="2">
        <v>6.2300000000000001E-2</v>
      </c>
      <c r="E567" s="2">
        <v>-1.8066999999999999E-4</v>
      </c>
      <c r="F567" s="2" t="s">
        <v>174</v>
      </c>
    </row>
    <row r="568" spans="1:6" ht="22.5" hidden="1" customHeight="1" x14ac:dyDescent="0.25">
      <c r="A568" s="3">
        <v>43891</v>
      </c>
      <c r="B568" s="2" t="s">
        <v>205</v>
      </c>
      <c r="C568" s="2">
        <v>0.34</v>
      </c>
      <c r="D568" s="2">
        <v>9.4200000000000006E-2</v>
      </c>
      <c r="E568" s="2">
        <v>3.2027999999999999E-4</v>
      </c>
      <c r="F568" s="2" t="s">
        <v>174</v>
      </c>
    </row>
    <row r="569" spans="1:6" ht="22.5" hidden="1" customHeight="1" x14ac:dyDescent="0.25">
      <c r="A569" s="3">
        <v>43891</v>
      </c>
      <c r="B569" s="2" t="s">
        <v>206</v>
      </c>
      <c r="C569" s="2">
        <v>-0.31</v>
      </c>
      <c r="D569" s="2">
        <v>0.1583</v>
      </c>
      <c r="E569" s="2">
        <v>-4.9072999999999999E-4</v>
      </c>
      <c r="F569" s="2" t="s">
        <v>174</v>
      </c>
    </row>
    <row r="570" spans="1:6" ht="22.5" hidden="1" customHeight="1" x14ac:dyDescent="0.25">
      <c r="A570" s="3">
        <v>43891</v>
      </c>
      <c r="B570" s="2" t="s">
        <v>207</v>
      </c>
      <c r="C570" s="2">
        <v>0.23</v>
      </c>
      <c r="D570" s="2">
        <v>4.8899999999999999E-2</v>
      </c>
      <c r="E570" s="2">
        <v>1.1247E-4</v>
      </c>
      <c r="F570" s="2" t="s">
        <v>174</v>
      </c>
    </row>
    <row r="571" spans="1:6" ht="22.5" hidden="1" customHeight="1" x14ac:dyDescent="0.25">
      <c r="A571" s="3">
        <v>43891</v>
      </c>
      <c r="B571" s="2" t="s">
        <v>208</v>
      </c>
      <c r="C571" s="2">
        <v>-0.6</v>
      </c>
      <c r="D571" s="2">
        <v>8.6E-3</v>
      </c>
      <c r="E571" s="2">
        <v>-5.1600000000000001E-5</v>
      </c>
      <c r="F571" s="2" t="s">
        <v>174</v>
      </c>
    </row>
    <row r="572" spans="1:6" ht="22.5" hidden="1" customHeight="1" x14ac:dyDescent="0.25">
      <c r="A572" s="3">
        <v>43891</v>
      </c>
      <c r="B572" s="2" t="s">
        <v>209</v>
      </c>
      <c r="C572" s="2">
        <v>3.45</v>
      </c>
      <c r="D572" s="2">
        <v>5.4999999999999997E-3</v>
      </c>
      <c r="E572" s="2">
        <v>1.8975E-4</v>
      </c>
      <c r="F572" s="2" t="s">
        <v>174</v>
      </c>
    </row>
    <row r="573" spans="1:6" ht="22.5" hidden="1" customHeight="1" x14ac:dyDescent="0.25">
      <c r="A573" s="3">
        <v>43891</v>
      </c>
      <c r="B573" s="2" t="s">
        <v>210</v>
      </c>
      <c r="C573" s="2">
        <v>-0.28999999999999998</v>
      </c>
      <c r="D573" s="2">
        <v>1.43E-2</v>
      </c>
      <c r="E573" s="2">
        <v>-4.1470000000000001E-5</v>
      </c>
      <c r="F573" s="2" t="s">
        <v>170</v>
      </c>
    </row>
    <row r="574" spans="1:6" ht="22.5" hidden="1" customHeight="1" x14ac:dyDescent="0.25">
      <c r="A574" s="3">
        <v>43891</v>
      </c>
      <c r="B574" s="2" t="s">
        <v>211</v>
      </c>
      <c r="C574" s="2">
        <v>1.36</v>
      </c>
      <c r="D574" s="2">
        <v>0.1817</v>
      </c>
      <c r="E574" s="2">
        <v>2.4711199999999998E-3</v>
      </c>
      <c r="F574" s="2" t="s">
        <v>174</v>
      </c>
    </row>
    <row r="575" spans="1:6" ht="22.5" hidden="1" customHeight="1" x14ac:dyDescent="0.25">
      <c r="A575" s="3">
        <v>43891</v>
      </c>
      <c r="B575" s="2" t="s">
        <v>212</v>
      </c>
      <c r="C575" s="2">
        <v>-1.22</v>
      </c>
      <c r="D575" s="2">
        <v>4.5999999999999999E-3</v>
      </c>
      <c r="E575" s="2">
        <v>-5.6119999999999998E-5</v>
      </c>
      <c r="F575" s="2" t="s">
        <v>174</v>
      </c>
    </row>
    <row r="576" spans="1:6" ht="22.5" hidden="1" customHeight="1" x14ac:dyDescent="0.25">
      <c r="A576" s="3">
        <v>43891</v>
      </c>
      <c r="B576" s="2" t="s">
        <v>213</v>
      </c>
      <c r="C576" s="2">
        <v>-0.17</v>
      </c>
      <c r="D576" s="2">
        <v>0.34360000000000002</v>
      </c>
      <c r="E576" s="2">
        <v>-5.8412000000000004E-4</v>
      </c>
      <c r="F576" s="2" t="s">
        <v>170</v>
      </c>
    </row>
    <row r="577" spans="1:6" ht="22.5" hidden="1" customHeight="1" x14ac:dyDescent="0.25">
      <c r="A577" s="3">
        <v>43891</v>
      </c>
      <c r="B577" s="2" t="s">
        <v>214</v>
      </c>
      <c r="C577" s="2">
        <v>-0.85</v>
      </c>
      <c r="D577" s="2">
        <v>0.1027</v>
      </c>
      <c r="E577" s="2">
        <v>-8.7295000000000005E-4</v>
      </c>
      <c r="F577" s="2" t="s">
        <v>170</v>
      </c>
    </row>
    <row r="578" spans="1:6" ht="22.5" hidden="1" customHeight="1" x14ac:dyDescent="0.25">
      <c r="A578" s="3">
        <v>43891</v>
      </c>
      <c r="B578" s="2" t="s">
        <v>215</v>
      </c>
      <c r="C578" s="2">
        <v>1.36</v>
      </c>
      <c r="D578" s="2">
        <v>0.24660000000000001</v>
      </c>
      <c r="E578" s="2">
        <v>3.3537599999999999E-3</v>
      </c>
      <c r="F578" s="2" t="s">
        <v>170</v>
      </c>
    </row>
    <row r="579" spans="1:6" ht="22.5" hidden="1" customHeight="1" x14ac:dyDescent="0.25">
      <c r="A579" s="3">
        <v>43891</v>
      </c>
      <c r="B579" s="2" t="s">
        <v>216</v>
      </c>
      <c r="C579" s="2">
        <v>-1.04</v>
      </c>
      <c r="D579" s="2">
        <v>1.4999999999999999E-2</v>
      </c>
      <c r="E579" s="2">
        <v>-1.56E-4</v>
      </c>
      <c r="F579" s="2" t="s">
        <v>170</v>
      </c>
    </row>
    <row r="580" spans="1:6" ht="22.5" hidden="1" customHeight="1" x14ac:dyDescent="0.25">
      <c r="A580" s="3">
        <v>43891</v>
      </c>
      <c r="B580" s="2" t="s">
        <v>217</v>
      </c>
      <c r="C580" s="2">
        <v>1.61</v>
      </c>
      <c r="D580" s="2">
        <v>0.16600000000000001</v>
      </c>
      <c r="E580" s="2">
        <v>2.6725999999999998E-3</v>
      </c>
      <c r="F580" s="2" t="s">
        <v>170</v>
      </c>
    </row>
    <row r="581" spans="1:6" ht="22.5" hidden="1" customHeight="1" x14ac:dyDescent="0.25">
      <c r="A581" s="3">
        <v>43891</v>
      </c>
      <c r="B581" s="2" t="s">
        <v>218</v>
      </c>
      <c r="C581" s="2">
        <v>0.32</v>
      </c>
      <c r="D581" s="2">
        <v>7.1000000000000004E-3</v>
      </c>
      <c r="E581" s="2">
        <v>2.2719999999999999E-5</v>
      </c>
      <c r="F581" s="2" t="s">
        <v>170</v>
      </c>
    </row>
    <row r="582" spans="1:6" ht="22.5" hidden="1" customHeight="1" x14ac:dyDescent="0.25">
      <c r="A582" s="3">
        <v>43891</v>
      </c>
      <c r="B582" s="2" t="s">
        <v>219</v>
      </c>
      <c r="C582" s="2">
        <v>-0.79</v>
      </c>
      <c r="D582" s="2">
        <v>0.4456</v>
      </c>
      <c r="E582" s="2">
        <v>-3.52024E-3</v>
      </c>
      <c r="F582" s="2" t="s">
        <v>170</v>
      </c>
    </row>
    <row r="583" spans="1:6" ht="22.5" hidden="1" customHeight="1" x14ac:dyDescent="0.25">
      <c r="A583" s="3">
        <v>43891</v>
      </c>
      <c r="B583" s="2" t="s">
        <v>220</v>
      </c>
      <c r="C583" s="2">
        <v>0.48</v>
      </c>
      <c r="D583" s="2">
        <v>1.15E-2</v>
      </c>
      <c r="E583" s="2">
        <v>5.52E-5</v>
      </c>
      <c r="F583" s="2" t="s">
        <v>170</v>
      </c>
    </row>
    <row r="584" spans="1:6" ht="22.5" hidden="1" customHeight="1" x14ac:dyDescent="0.25">
      <c r="A584" s="3">
        <v>43891</v>
      </c>
      <c r="B584" s="2" t="s">
        <v>221</v>
      </c>
      <c r="C584" s="2">
        <v>-4.37</v>
      </c>
      <c r="D584" s="2">
        <v>3.5000000000000001E-3</v>
      </c>
      <c r="E584" s="2">
        <v>-1.5295E-4</v>
      </c>
      <c r="F584" s="2" t="s">
        <v>170</v>
      </c>
    </row>
    <row r="585" spans="1:6" ht="22.5" hidden="1" customHeight="1" x14ac:dyDescent="0.25">
      <c r="A585" s="3">
        <v>43891</v>
      </c>
      <c r="B585" s="2" t="s">
        <v>222</v>
      </c>
      <c r="C585" s="2">
        <v>1.34</v>
      </c>
      <c r="D585" s="2">
        <v>0.2984</v>
      </c>
      <c r="E585" s="2">
        <v>3.99856E-3</v>
      </c>
      <c r="F585" s="2" t="s">
        <v>170</v>
      </c>
    </row>
    <row r="586" spans="1:6" ht="22.5" hidden="1" customHeight="1" x14ac:dyDescent="0.25">
      <c r="A586" s="3">
        <v>43891</v>
      </c>
      <c r="B586" s="2" t="s">
        <v>223</v>
      </c>
      <c r="C586" s="2">
        <v>0.32</v>
      </c>
      <c r="D586" s="2">
        <v>1.6799999999999999E-2</v>
      </c>
      <c r="E586" s="2">
        <v>5.376E-5</v>
      </c>
      <c r="F586" s="2" t="s">
        <v>165</v>
      </c>
    </row>
    <row r="587" spans="1:6" ht="22.5" hidden="1" customHeight="1" x14ac:dyDescent="0.25">
      <c r="A587" s="3">
        <v>43891</v>
      </c>
      <c r="B587" s="2" t="s">
        <v>224</v>
      </c>
      <c r="C587" s="2">
        <v>1.28</v>
      </c>
      <c r="D587" s="2">
        <v>2.3E-3</v>
      </c>
      <c r="E587" s="2">
        <v>2.9439999999999999E-5</v>
      </c>
      <c r="F587" s="2" t="s">
        <v>165</v>
      </c>
    </row>
    <row r="588" spans="1:6" ht="22.5" hidden="1" customHeight="1" x14ac:dyDescent="0.25">
      <c r="A588" s="3">
        <v>43891</v>
      </c>
      <c r="B588" s="2" t="s">
        <v>225</v>
      </c>
      <c r="C588" s="2">
        <v>0.08</v>
      </c>
      <c r="D588" s="2">
        <v>4.4999999999999997E-3</v>
      </c>
      <c r="E588" s="2">
        <v>3.5999999999999998E-6</v>
      </c>
      <c r="F588" s="2" t="s">
        <v>165</v>
      </c>
    </row>
    <row r="589" spans="1:6" ht="22.5" hidden="1" customHeight="1" x14ac:dyDescent="0.25">
      <c r="A589" s="3">
        <v>43891</v>
      </c>
      <c r="B589" s="2" t="s">
        <v>226</v>
      </c>
      <c r="C589" s="2">
        <v>1.69</v>
      </c>
      <c r="D589" s="2">
        <v>4.7399999999999998E-2</v>
      </c>
      <c r="E589" s="2">
        <v>8.0106000000000003E-4</v>
      </c>
      <c r="F589" s="2" t="s">
        <v>165</v>
      </c>
    </row>
    <row r="590" spans="1:6" ht="22.5" hidden="1" customHeight="1" x14ac:dyDescent="0.25">
      <c r="A590" s="3">
        <v>43891</v>
      </c>
      <c r="B590" s="2" t="s">
        <v>227</v>
      </c>
      <c r="C590" s="2">
        <v>0.81</v>
      </c>
      <c r="D590" s="2">
        <v>6.5500000000000003E-2</v>
      </c>
      <c r="E590" s="2">
        <v>5.3054999999999997E-4</v>
      </c>
      <c r="F590" s="2" t="s">
        <v>165</v>
      </c>
    </row>
    <row r="591" spans="1:6" ht="22.5" hidden="1" customHeight="1" x14ac:dyDescent="0.25">
      <c r="A591" s="3">
        <v>43891</v>
      </c>
      <c r="B591" s="2" t="s">
        <v>228</v>
      </c>
      <c r="C591" s="2">
        <v>-0.21</v>
      </c>
      <c r="D591" s="2">
        <v>0.17510000000000001</v>
      </c>
      <c r="E591" s="2">
        <v>-3.6770999999999999E-4</v>
      </c>
      <c r="F591" s="2" t="s">
        <v>165</v>
      </c>
    </row>
    <row r="592" spans="1:6" ht="22.5" hidden="1" customHeight="1" x14ac:dyDescent="0.25">
      <c r="A592" s="3">
        <v>43891</v>
      </c>
      <c r="B592" s="2" t="s">
        <v>229</v>
      </c>
      <c r="C592" s="2">
        <v>0.33</v>
      </c>
      <c r="D592" s="2">
        <v>0.29249999999999998</v>
      </c>
      <c r="E592" s="2">
        <v>9.6524999999999996E-4</v>
      </c>
      <c r="F592" s="2" t="s">
        <v>174</v>
      </c>
    </row>
    <row r="593" spans="1:6" ht="22.5" hidden="1" customHeight="1" x14ac:dyDescent="0.25">
      <c r="A593" s="3">
        <v>43891</v>
      </c>
      <c r="B593" s="2" t="s">
        <v>230</v>
      </c>
      <c r="C593" s="2">
        <v>0.48</v>
      </c>
      <c r="D593" s="2">
        <v>2.29E-2</v>
      </c>
      <c r="E593" s="2">
        <v>1.0992E-4</v>
      </c>
      <c r="F593" s="2" t="s">
        <v>174</v>
      </c>
    </row>
    <row r="594" spans="1:6" ht="22.5" hidden="1" customHeight="1" x14ac:dyDescent="0.25">
      <c r="A594" s="3">
        <v>43891</v>
      </c>
      <c r="B594" s="2" t="s">
        <v>231</v>
      </c>
      <c r="C594" s="2">
        <v>-0.6</v>
      </c>
      <c r="D594" s="2">
        <v>0.17180000000000001</v>
      </c>
      <c r="E594" s="2">
        <v>-1.0307999999999999E-3</v>
      </c>
      <c r="F594" s="2" t="s">
        <v>174</v>
      </c>
    </row>
    <row r="595" spans="1:6" ht="22.5" hidden="1" customHeight="1" x14ac:dyDescent="0.25">
      <c r="A595" s="3">
        <v>43891</v>
      </c>
      <c r="B595" s="2" t="s">
        <v>232</v>
      </c>
      <c r="C595" s="2">
        <v>-1.76</v>
      </c>
      <c r="D595" s="2">
        <v>5.4999999999999997E-3</v>
      </c>
      <c r="E595" s="2">
        <v>-9.6799999999999995E-5</v>
      </c>
      <c r="F595" s="2" t="s">
        <v>174</v>
      </c>
    </row>
    <row r="596" spans="1:6" ht="22.5" hidden="1" customHeight="1" x14ac:dyDescent="0.25">
      <c r="A596" s="3">
        <v>43891</v>
      </c>
      <c r="B596" s="2" t="s">
        <v>233</v>
      </c>
      <c r="C596" s="2">
        <v>0.31</v>
      </c>
      <c r="D596" s="2">
        <v>0.57289999999999996</v>
      </c>
      <c r="E596" s="2">
        <v>1.7759900000000001E-3</v>
      </c>
      <c r="F596" s="2" t="s">
        <v>174</v>
      </c>
    </row>
    <row r="597" spans="1:6" ht="22.5" hidden="1" customHeight="1" x14ac:dyDescent="0.25">
      <c r="A597" s="3">
        <v>43891</v>
      </c>
      <c r="B597" s="2" t="s">
        <v>234</v>
      </c>
      <c r="C597" s="2">
        <v>-0.2</v>
      </c>
      <c r="D597" s="2">
        <v>0.32379999999999998</v>
      </c>
      <c r="E597" s="2">
        <v>-6.4760000000000002E-4</v>
      </c>
      <c r="F597" s="2" t="s">
        <v>174</v>
      </c>
    </row>
    <row r="598" spans="1:6" ht="22.5" hidden="1" customHeight="1" x14ac:dyDescent="0.25">
      <c r="A598" s="3">
        <v>43891</v>
      </c>
      <c r="B598" s="2" t="s">
        <v>235</v>
      </c>
      <c r="C598" s="2">
        <v>-0.1</v>
      </c>
      <c r="D598" s="2">
        <v>2.7199999999999998E-2</v>
      </c>
      <c r="E598" s="2">
        <v>-2.72E-5</v>
      </c>
      <c r="F598" s="2" t="s">
        <v>174</v>
      </c>
    </row>
    <row r="599" spans="1:6" ht="22.5" hidden="1" customHeight="1" x14ac:dyDescent="0.25">
      <c r="A599" s="3">
        <v>43891</v>
      </c>
      <c r="B599" s="2" t="s">
        <v>236</v>
      </c>
      <c r="C599" s="2">
        <v>0.37</v>
      </c>
      <c r="D599" s="2">
        <v>7.9000000000000008E-3</v>
      </c>
      <c r="E599" s="2">
        <v>2.923E-5</v>
      </c>
      <c r="F599" s="2" t="s">
        <v>174</v>
      </c>
    </row>
    <row r="600" spans="1:6" ht="22.5" hidden="1" customHeight="1" x14ac:dyDescent="0.25">
      <c r="A600" s="3">
        <v>43891</v>
      </c>
      <c r="B600" s="2" t="s">
        <v>237</v>
      </c>
      <c r="C600" s="2">
        <v>-0.43</v>
      </c>
      <c r="D600" s="2">
        <v>0.30520000000000003</v>
      </c>
      <c r="E600" s="2">
        <v>-1.31236E-3</v>
      </c>
      <c r="F600" s="2" t="s">
        <v>174</v>
      </c>
    </row>
    <row r="601" spans="1:6" ht="22.5" hidden="1" customHeight="1" x14ac:dyDescent="0.25">
      <c r="A601" s="3">
        <v>43891</v>
      </c>
      <c r="B601" s="2" t="s">
        <v>238</v>
      </c>
      <c r="C601" s="2">
        <v>-1.44</v>
      </c>
      <c r="D601" s="2">
        <v>0.53910000000000002</v>
      </c>
      <c r="E601" s="2">
        <v>-7.7630399999999997E-3</v>
      </c>
      <c r="F601" s="2" t="s">
        <v>174</v>
      </c>
    </row>
    <row r="602" spans="1:6" ht="22.5" hidden="1" customHeight="1" x14ac:dyDescent="0.25">
      <c r="A602" s="3">
        <v>43891</v>
      </c>
      <c r="B602" s="2" t="s">
        <v>239</v>
      </c>
      <c r="C602" s="2">
        <v>0.18</v>
      </c>
      <c r="D602" s="2">
        <v>0.1118</v>
      </c>
      <c r="E602" s="2">
        <v>2.0123999999999999E-4</v>
      </c>
      <c r="F602" s="2" t="s">
        <v>174</v>
      </c>
    </row>
    <row r="603" spans="1:6" ht="22.5" hidden="1" customHeight="1" x14ac:dyDescent="0.25">
      <c r="A603" s="3">
        <v>43891</v>
      </c>
      <c r="B603" s="2" t="s">
        <v>240</v>
      </c>
      <c r="C603" s="2">
        <v>-1.32</v>
      </c>
      <c r="D603" s="2">
        <v>6.7500000000000004E-2</v>
      </c>
      <c r="E603" s="2">
        <v>-8.9099999999999997E-4</v>
      </c>
      <c r="F603" s="2" t="s">
        <v>174</v>
      </c>
    </row>
    <row r="604" spans="1:6" ht="22.5" hidden="1" customHeight="1" x14ac:dyDescent="0.25">
      <c r="A604" s="3">
        <v>43891</v>
      </c>
      <c r="B604" s="2" t="s">
        <v>241</v>
      </c>
      <c r="C604" s="2">
        <v>1.25</v>
      </c>
      <c r="D604" s="2">
        <v>8.4199999999999997E-2</v>
      </c>
      <c r="E604" s="2">
        <v>1.0525000000000001E-3</v>
      </c>
      <c r="F604" s="2" t="s">
        <v>174</v>
      </c>
    </row>
    <row r="605" spans="1:6" ht="22.5" hidden="1" customHeight="1" x14ac:dyDescent="0.25">
      <c r="A605" s="3">
        <v>43891</v>
      </c>
      <c r="B605" s="2" t="s">
        <v>242</v>
      </c>
      <c r="C605" s="2">
        <v>0.68</v>
      </c>
      <c r="D605" s="2">
        <v>7.7200000000000005E-2</v>
      </c>
      <c r="E605" s="2">
        <v>5.2495999999999999E-4</v>
      </c>
      <c r="F605" s="2" t="s">
        <v>174</v>
      </c>
    </row>
    <row r="606" spans="1:6" ht="22.5" hidden="1" customHeight="1" x14ac:dyDescent="0.25">
      <c r="A606" s="3">
        <v>43891</v>
      </c>
      <c r="B606" s="2" t="s">
        <v>243</v>
      </c>
      <c r="C606" s="2">
        <v>-1.79</v>
      </c>
      <c r="D606" s="2">
        <v>8.8000000000000005E-3</v>
      </c>
      <c r="E606" s="2">
        <v>-1.5752E-4</v>
      </c>
      <c r="F606" s="2" t="s">
        <v>174</v>
      </c>
    </row>
    <row r="607" spans="1:6" ht="22.5" hidden="1" customHeight="1" x14ac:dyDescent="0.25">
      <c r="A607" s="3">
        <v>43891</v>
      </c>
      <c r="B607" s="2" t="s">
        <v>244</v>
      </c>
      <c r="C607" s="2">
        <v>0.96</v>
      </c>
      <c r="D607" s="2">
        <v>5.3699999999999998E-2</v>
      </c>
      <c r="E607" s="2">
        <v>5.1552E-4</v>
      </c>
      <c r="F607" s="2" t="s">
        <v>174</v>
      </c>
    </row>
    <row r="608" spans="1:6" ht="22.5" hidden="1" customHeight="1" x14ac:dyDescent="0.25">
      <c r="A608" s="3">
        <v>43891</v>
      </c>
      <c r="B608" s="2" t="s">
        <v>245</v>
      </c>
      <c r="C608" s="2">
        <v>-1.71</v>
      </c>
      <c r="D608" s="2">
        <v>5.5800000000000002E-2</v>
      </c>
      <c r="E608" s="2">
        <v>-9.5418E-4</v>
      </c>
      <c r="F608" s="2" t="s">
        <v>174</v>
      </c>
    </row>
    <row r="609" spans="1:6" ht="22.5" hidden="1" customHeight="1" x14ac:dyDescent="0.25">
      <c r="A609" s="3">
        <v>43891</v>
      </c>
      <c r="B609" s="2" t="s">
        <v>246</v>
      </c>
      <c r="C609" s="2">
        <v>-0.87</v>
      </c>
      <c r="D609" s="2">
        <v>0.19639999999999999</v>
      </c>
      <c r="E609" s="2">
        <v>-1.70868E-3</v>
      </c>
      <c r="F609" s="2" t="s">
        <v>174</v>
      </c>
    </row>
    <row r="610" spans="1:6" ht="22.5" hidden="1" customHeight="1" x14ac:dyDescent="0.25">
      <c r="A610" s="3">
        <v>43891</v>
      </c>
      <c r="B610" s="2" t="s">
        <v>247</v>
      </c>
      <c r="C610" s="2">
        <v>-0.83</v>
      </c>
      <c r="D610" s="2">
        <v>0.1409</v>
      </c>
      <c r="E610" s="2">
        <v>-1.1694699999999999E-3</v>
      </c>
      <c r="F610" s="2" t="s">
        <v>174</v>
      </c>
    </row>
    <row r="611" spans="1:6" ht="22.5" hidden="1" customHeight="1" x14ac:dyDescent="0.25">
      <c r="A611" s="3">
        <v>43891</v>
      </c>
      <c r="B611" s="2" t="s">
        <v>248</v>
      </c>
      <c r="C611" s="2">
        <v>-0.28000000000000003</v>
      </c>
      <c r="D611" s="2">
        <v>0.15440000000000001</v>
      </c>
      <c r="E611" s="2">
        <v>-4.3231999999999998E-4</v>
      </c>
      <c r="F611" s="2" t="s">
        <v>174</v>
      </c>
    </row>
    <row r="612" spans="1:6" ht="22.5" hidden="1" customHeight="1" x14ac:dyDescent="0.25">
      <c r="A612" s="3">
        <v>43891</v>
      </c>
      <c r="B612" s="2" t="s">
        <v>249</v>
      </c>
      <c r="C612" s="2">
        <v>-0.1</v>
      </c>
      <c r="D612" s="2">
        <v>0.27610000000000001</v>
      </c>
      <c r="E612" s="2">
        <v>-2.7609999999999999E-4</v>
      </c>
      <c r="F612" s="2" t="s">
        <v>174</v>
      </c>
    </row>
    <row r="613" spans="1:6" ht="22.5" hidden="1" customHeight="1" x14ac:dyDescent="0.25">
      <c r="A613" s="3">
        <v>43891</v>
      </c>
      <c r="B613" s="2" t="s">
        <v>250</v>
      </c>
      <c r="C613" s="2">
        <v>0.53</v>
      </c>
      <c r="D613" s="2">
        <v>2.7300000000000001E-2</v>
      </c>
      <c r="E613" s="2">
        <v>1.4469E-4</v>
      </c>
      <c r="F613" s="2" t="s">
        <v>174</v>
      </c>
    </row>
    <row r="614" spans="1:6" ht="22.5" hidden="1" customHeight="1" x14ac:dyDescent="0.25">
      <c r="A614" s="3">
        <v>43891</v>
      </c>
      <c r="B614" s="2" t="s">
        <v>251</v>
      </c>
      <c r="C614" s="2">
        <v>0.31</v>
      </c>
      <c r="D614" s="2">
        <v>6.2799999999999995E-2</v>
      </c>
      <c r="E614" s="2">
        <v>1.9468E-4</v>
      </c>
      <c r="F614" s="2" t="s">
        <v>174</v>
      </c>
    </row>
    <row r="615" spans="1:6" ht="22.5" hidden="1" customHeight="1" x14ac:dyDescent="0.25">
      <c r="A615" s="3">
        <v>43891</v>
      </c>
      <c r="B615" s="2" t="s">
        <v>252</v>
      </c>
      <c r="C615" s="2">
        <v>-0.5</v>
      </c>
      <c r="D615" s="2">
        <v>9.5999999999999992E-3</v>
      </c>
      <c r="E615" s="2">
        <v>-4.8000000000000001E-5</v>
      </c>
      <c r="F615" s="2" t="s">
        <v>174</v>
      </c>
    </row>
    <row r="616" spans="1:6" ht="22.5" hidden="1" customHeight="1" x14ac:dyDescent="0.25">
      <c r="A616" s="3">
        <v>43891</v>
      </c>
      <c r="B616" s="2" t="s">
        <v>253</v>
      </c>
      <c r="C616" s="2">
        <v>-0.17</v>
      </c>
      <c r="D616" s="2">
        <v>0.45250000000000001</v>
      </c>
      <c r="E616" s="2">
        <v>-7.6924999999999997E-4</v>
      </c>
      <c r="F616" s="2" t="s">
        <v>174</v>
      </c>
    </row>
    <row r="617" spans="1:6" ht="22.5" hidden="1" customHeight="1" x14ac:dyDescent="0.25">
      <c r="A617" s="3">
        <v>43891</v>
      </c>
      <c r="B617" s="2" t="s">
        <v>254</v>
      </c>
      <c r="C617" s="2">
        <v>-0.83</v>
      </c>
      <c r="D617" s="2">
        <v>0.19889999999999999</v>
      </c>
      <c r="E617" s="2">
        <v>-1.65087E-3</v>
      </c>
      <c r="F617" s="2" t="s">
        <v>174</v>
      </c>
    </row>
    <row r="618" spans="1:6" ht="22.5" hidden="1" customHeight="1" x14ac:dyDescent="0.25">
      <c r="A618" s="3">
        <v>43891</v>
      </c>
      <c r="B618" s="2" t="s">
        <v>255</v>
      </c>
      <c r="C618" s="2">
        <v>-0.92</v>
      </c>
      <c r="D618" s="2">
        <v>1.8100000000000002E-2</v>
      </c>
      <c r="E618" s="2">
        <v>-1.6652E-4</v>
      </c>
      <c r="F618" s="2" t="s">
        <v>170</v>
      </c>
    </row>
    <row r="619" spans="1:6" ht="22.5" hidden="1" customHeight="1" x14ac:dyDescent="0.25">
      <c r="A619" s="3">
        <v>43891</v>
      </c>
      <c r="B619" s="2" t="s">
        <v>256</v>
      </c>
      <c r="C619" s="2">
        <v>2.7</v>
      </c>
      <c r="D619" s="2">
        <v>0.12759999999999999</v>
      </c>
      <c r="E619" s="2">
        <v>3.4451999999999998E-3</v>
      </c>
      <c r="F619" s="2" t="s">
        <v>170</v>
      </c>
    </row>
    <row r="620" spans="1:6" ht="22.5" hidden="1" customHeight="1" x14ac:dyDescent="0.25">
      <c r="A620" s="3">
        <v>43891</v>
      </c>
      <c r="B620" s="2" t="s">
        <v>257</v>
      </c>
      <c r="C620" s="2">
        <v>-0.3</v>
      </c>
      <c r="D620" s="2">
        <v>0.05</v>
      </c>
      <c r="E620" s="2">
        <v>-1.4999999999999999E-4</v>
      </c>
      <c r="F620" s="2" t="s">
        <v>170</v>
      </c>
    </row>
    <row r="621" spans="1:6" ht="22.5" hidden="1" customHeight="1" x14ac:dyDescent="0.25">
      <c r="A621" s="3">
        <v>43891</v>
      </c>
      <c r="B621" s="2" t="s">
        <v>258</v>
      </c>
      <c r="C621" s="2">
        <v>0.67</v>
      </c>
      <c r="D621" s="2">
        <v>4.48E-2</v>
      </c>
      <c r="E621" s="2">
        <v>3.0016E-4</v>
      </c>
      <c r="F621" s="2" t="s">
        <v>174</v>
      </c>
    </row>
    <row r="622" spans="1:6" ht="22.5" hidden="1" customHeight="1" x14ac:dyDescent="0.25">
      <c r="A622" s="3">
        <v>43891</v>
      </c>
      <c r="B622" s="2" t="s">
        <v>259</v>
      </c>
      <c r="C622" s="2">
        <v>0.54</v>
      </c>
      <c r="D622" s="2">
        <v>9.9000000000000008E-3</v>
      </c>
      <c r="E622" s="2">
        <v>5.346E-5</v>
      </c>
      <c r="F622" s="2" t="s">
        <v>174</v>
      </c>
    </row>
    <row r="623" spans="1:6" ht="22.5" hidden="1" customHeight="1" x14ac:dyDescent="0.25">
      <c r="A623" s="3">
        <v>44013</v>
      </c>
      <c r="B623" s="2" t="s">
        <v>197</v>
      </c>
      <c r="C623" s="2">
        <v>1.03</v>
      </c>
      <c r="D623" s="2">
        <v>4.2510000000000003</v>
      </c>
      <c r="E623" s="2">
        <v>4.3785299999999999E-2</v>
      </c>
      <c r="F623" s="2" t="s">
        <v>168</v>
      </c>
    </row>
    <row r="624" spans="1:6" ht="22.5" hidden="1" customHeight="1" x14ac:dyDescent="0.25">
      <c r="A624" s="3">
        <v>44348</v>
      </c>
      <c r="B624" s="2" t="s">
        <v>167</v>
      </c>
      <c r="C624" s="2">
        <v>2.4500000000000002</v>
      </c>
      <c r="D624" s="2">
        <v>1.7528999999999999</v>
      </c>
      <c r="E624" s="2">
        <v>4.294605E-2</v>
      </c>
      <c r="F624" s="2" t="s">
        <v>168</v>
      </c>
    </row>
    <row r="625" spans="1:6" ht="22.5" hidden="1" customHeight="1" x14ac:dyDescent="0.25">
      <c r="A625" s="3">
        <v>44531</v>
      </c>
      <c r="B625" s="2" t="s">
        <v>285</v>
      </c>
      <c r="C625" s="2">
        <v>4.54</v>
      </c>
      <c r="D625" s="2">
        <v>0.94320000000000004</v>
      </c>
      <c r="E625" s="2">
        <v>4.2821280000000003E-2</v>
      </c>
      <c r="F625" s="2" t="s">
        <v>168</v>
      </c>
    </row>
    <row r="626" spans="1:6" ht="22.5" hidden="1" customHeight="1" x14ac:dyDescent="0.25">
      <c r="A626" s="3">
        <v>44105</v>
      </c>
      <c r="B626" s="2" t="s">
        <v>284</v>
      </c>
      <c r="C626" s="2">
        <v>0.85</v>
      </c>
      <c r="D626" s="2">
        <v>4.8181000000000003</v>
      </c>
      <c r="E626" s="2">
        <v>4.095385E-2</v>
      </c>
      <c r="F626" s="2" t="s">
        <v>168</v>
      </c>
    </row>
    <row r="627" spans="1:6" ht="22.5" hidden="1" customHeight="1" x14ac:dyDescent="0.25">
      <c r="A627" s="3">
        <v>44440</v>
      </c>
      <c r="B627" s="2" t="s">
        <v>285</v>
      </c>
      <c r="C627" s="2">
        <v>4.55</v>
      </c>
      <c r="D627" s="2">
        <v>0.84619999999999995</v>
      </c>
      <c r="E627" s="2">
        <v>3.8502099999999997E-2</v>
      </c>
      <c r="F627" s="2" t="s">
        <v>168</v>
      </c>
    </row>
    <row r="628" spans="1:6" ht="22.5" hidden="1" customHeight="1" x14ac:dyDescent="0.25">
      <c r="A628" s="3">
        <v>44593</v>
      </c>
      <c r="B628" s="2" t="s">
        <v>271</v>
      </c>
      <c r="C628" s="2">
        <v>1.69</v>
      </c>
      <c r="D628" s="2">
        <v>2.1949000000000001</v>
      </c>
      <c r="E628" s="2">
        <v>3.7093809999999998E-2</v>
      </c>
      <c r="F628" s="2" t="s">
        <v>168</v>
      </c>
    </row>
    <row r="629" spans="1:6" ht="22.5" hidden="1" customHeight="1" x14ac:dyDescent="0.25">
      <c r="A629" s="3">
        <v>44562</v>
      </c>
      <c r="B629" s="2" t="s">
        <v>271</v>
      </c>
      <c r="C629" s="2">
        <v>1.7</v>
      </c>
      <c r="D629" s="2">
        <v>2.1701999999999999</v>
      </c>
      <c r="E629" s="2">
        <v>3.68934E-2</v>
      </c>
      <c r="F629" s="2" t="s">
        <v>168</v>
      </c>
    </row>
    <row r="630" spans="1:6" ht="22.5" hidden="1" customHeight="1" x14ac:dyDescent="0.25">
      <c r="A630" s="3">
        <v>43891</v>
      </c>
      <c r="B630" s="2" t="s">
        <v>267</v>
      </c>
      <c r="C630" s="2">
        <v>1.62</v>
      </c>
      <c r="D630" s="2">
        <v>0.13439999999999999</v>
      </c>
      <c r="E630" s="2">
        <v>2.1772800000000002E-3</v>
      </c>
      <c r="F630" s="2" t="s">
        <v>165</v>
      </c>
    </row>
    <row r="631" spans="1:6" ht="22.5" hidden="1" customHeight="1" x14ac:dyDescent="0.25">
      <c r="A631" s="3">
        <v>43891</v>
      </c>
      <c r="B631" s="2" t="s">
        <v>268</v>
      </c>
      <c r="C631" s="2">
        <v>-1.42</v>
      </c>
      <c r="D631" s="2">
        <v>0.22409999999999999</v>
      </c>
      <c r="E631" s="2">
        <v>-3.1822199999999999E-3</v>
      </c>
      <c r="F631" s="2" t="s">
        <v>165</v>
      </c>
    </row>
    <row r="632" spans="1:6" ht="22.5" hidden="1" customHeight="1" x14ac:dyDescent="0.25">
      <c r="A632" s="3">
        <v>43891</v>
      </c>
      <c r="B632" s="2" t="s">
        <v>269</v>
      </c>
      <c r="C632" s="2">
        <v>0</v>
      </c>
      <c r="D632" s="2">
        <v>7.0199999999999999E-2</v>
      </c>
      <c r="E632" s="2">
        <v>0</v>
      </c>
      <c r="F632" s="2" t="s">
        <v>165</v>
      </c>
    </row>
    <row r="633" spans="1:6" ht="22.5" hidden="1" customHeight="1" x14ac:dyDescent="0.25">
      <c r="A633" s="3">
        <v>43891</v>
      </c>
      <c r="B633" s="2" t="s">
        <v>270</v>
      </c>
      <c r="C633" s="2">
        <v>0.05</v>
      </c>
      <c r="D633" s="2">
        <v>2.9369000000000001</v>
      </c>
      <c r="E633" s="2">
        <v>1.4684500000000001E-3</v>
      </c>
      <c r="F633" s="2" t="s">
        <v>170</v>
      </c>
    </row>
    <row r="634" spans="1:6" ht="22.5" hidden="1" customHeight="1" x14ac:dyDescent="0.25">
      <c r="A634" s="3">
        <v>44228</v>
      </c>
      <c r="B634" s="2" t="s">
        <v>195</v>
      </c>
      <c r="C634" s="2">
        <v>3.18</v>
      </c>
      <c r="D634" s="2">
        <v>1.1042000000000001</v>
      </c>
      <c r="E634" s="2">
        <v>3.5113560000000002E-2</v>
      </c>
      <c r="F634" s="2" t="s">
        <v>168</v>
      </c>
    </row>
    <row r="635" spans="1:6" ht="22.5" hidden="1" customHeight="1" x14ac:dyDescent="0.25">
      <c r="A635" s="3">
        <v>43891</v>
      </c>
      <c r="B635" s="2" t="s">
        <v>272</v>
      </c>
      <c r="C635" s="2">
        <v>-1.46</v>
      </c>
      <c r="D635" s="2">
        <v>0.85950000000000004</v>
      </c>
      <c r="E635" s="2">
        <v>-1.2548699999999999E-2</v>
      </c>
      <c r="F635" s="2" t="s">
        <v>165</v>
      </c>
    </row>
    <row r="636" spans="1:6" ht="22.5" hidden="1" customHeight="1" x14ac:dyDescent="0.25">
      <c r="A636" s="3">
        <v>44378</v>
      </c>
      <c r="B636" s="2" t="s">
        <v>284</v>
      </c>
      <c r="C636" s="2">
        <v>0.5</v>
      </c>
      <c r="D636" s="2">
        <v>5.9265999999999996</v>
      </c>
      <c r="E636" s="2">
        <v>2.9633E-2</v>
      </c>
      <c r="F636" s="2" t="s">
        <v>168</v>
      </c>
    </row>
    <row r="637" spans="1:6" ht="22.5" hidden="1" customHeight="1" x14ac:dyDescent="0.25">
      <c r="A637" s="3">
        <v>43891</v>
      </c>
      <c r="B637" s="2" t="s">
        <v>274</v>
      </c>
      <c r="C637" s="2">
        <v>0.23</v>
      </c>
      <c r="D637" s="2">
        <v>0.1283</v>
      </c>
      <c r="E637" s="2">
        <v>2.9509000000000002E-4</v>
      </c>
      <c r="F637" s="2" t="s">
        <v>170</v>
      </c>
    </row>
    <row r="638" spans="1:6" ht="22.5" hidden="1" customHeight="1" x14ac:dyDescent="0.25">
      <c r="A638" s="3">
        <v>43891</v>
      </c>
      <c r="B638" s="2" t="s">
        <v>275</v>
      </c>
      <c r="C638" s="2">
        <v>0.3</v>
      </c>
      <c r="D638" s="2">
        <v>0.17249999999999999</v>
      </c>
      <c r="E638" s="2">
        <v>5.1749999999999995E-4</v>
      </c>
      <c r="F638" s="2" t="s">
        <v>170</v>
      </c>
    </row>
    <row r="639" spans="1:6" ht="22.5" hidden="1" customHeight="1" x14ac:dyDescent="0.25">
      <c r="A639" s="3">
        <v>43891</v>
      </c>
      <c r="B639" s="2" t="s">
        <v>276</v>
      </c>
      <c r="C639" s="2">
        <v>0.7</v>
      </c>
      <c r="D639" s="2">
        <v>0.1976</v>
      </c>
      <c r="E639" s="2">
        <v>1.3832E-3</v>
      </c>
      <c r="F639" s="2" t="s">
        <v>170</v>
      </c>
    </row>
    <row r="640" spans="1:6" ht="22.5" hidden="1" customHeight="1" x14ac:dyDescent="0.25">
      <c r="A640" s="3">
        <v>43891</v>
      </c>
      <c r="B640" s="2" t="s">
        <v>277</v>
      </c>
      <c r="C640" s="2">
        <v>0.22</v>
      </c>
      <c r="D640" s="2">
        <v>1.6780999999999999</v>
      </c>
      <c r="E640" s="2">
        <v>3.6918200000000002E-3</v>
      </c>
      <c r="F640" s="2" t="s">
        <v>165</v>
      </c>
    </row>
    <row r="641" spans="1:6" ht="22.5" hidden="1" customHeight="1" x14ac:dyDescent="0.25">
      <c r="A641" s="3">
        <v>43891</v>
      </c>
      <c r="B641" s="2" t="s">
        <v>278</v>
      </c>
      <c r="C641" s="2">
        <v>0.04</v>
      </c>
      <c r="D641" s="2">
        <v>7.0499999999999993E-2</v>
      </c>
      <c r="E641" s="2">
        <v>2.8200000000000001E-5</v>
      </c>
      <c r="F641" s="2" t="s">
        <v>165</v>
      </c>
    </row>
    <row r="642" spans="1:6" ht="22.5" hidden="1" customHeight="1" x14ac:dyDescent="0.25">
      <c r="A642" s="3">
        <v>44440</v>
      </c>
      <c r="B642" s="2" t="s">
        <v>195</v>
      </c>
      <c r="C642" s="2">
        <v>2.3199999999999998</v>
      </c>
      <c r="D642" s="2">
        <v>1.2718</v>
      </c>
      <c r="E642" s="2">
        <v>2.9505759999999999E-2</v>
      </c>
      <c r="F642" s="2" t="s">
        <v>168</v>
      </c>
    </row>
    <row r="643" spans="1:6" ht="22.5" hidden="1" customHeight="1" x14ac:dyDescent="0.25">
      <c r="A643" s="3">
        <v>43891</v>
      </c>
      <c r="B643" s="2" t="s">
        <v>280</v>
      </c>
      <c r="C643" s="2">
        <v>0.56000000000000005</v>
      </c>
      <c r="D643" s="2">
        <v>1.8704000000000001</v>
      </c>
      <c r="E643" s="2">
        <v>1.0474239999999999E-2</v>
      </c>
      <c r="F643" s="2" t="s">
        <v>170</v>
      </c>
    </row>
    <row r="644" spans="1:6" ht="22.5" hidden="1" customHeight="1" x14ac:dyDescent="0.25">
      <c r="A644" s="3">
        <v>43891</v>
      </c>
      <c r="B644" s="2" t="s">
        <v>281</v>
      </c>
      <c r="C644" s="2">
        <v>-0.16</v>
      </c>
      <c r="D644" s="2">
        <v>1.6400000000000001E-2</v>
      </c>
      <c r="E644" s="2">
        <v>-2.6239999999999999E-5</v>
      </c>
      <c r="F644" s="2" t="s">
        <v>165</v>
      </c>
    </row>
    <row r="645" spans="1:6" ht="22.5" hidden="1" customHeight="1" x14ac:dyDescent="0.25">
      <c r="A645" s="3">
        <v>43891</v>
      </c>
      <c r="B645" s="2" t="s">
        <v>282</v>
      </c>
      <c r="C645" s="2">
        <v>-1.79</v>
      </c>
      <c r="D645" s="2">
        <v>2.2100000000000002E-2</v>
      </c>
      <c r="E645" s="2">
        <v>-3.9559000000000003E-4</v>
      </c>
      <c r="F645" s="2" t="s">
        <v>165</v>
      </c>
    </row>
    <row r="646" spans="1:6" ht="22.5" hidden="1" customHeight="1" x14ac:dyDescent="0.25">
      <c r="A646" s="3">
        <v>43891</v>
      </c>
      <c r="B646" s="2" t="s">
        <v>283</v>
      </c>
      <c r="C646" s="2">
        <v>0.41</v>
      </c>
      <c r="D646" s="2">
        <v>0.57630000000000003</v>
      </c>
      <c r="E646" s="2">
        <v>2.3628299999999998E-3</v>
      </c>
      <c r="F646" s="2" t="s">
        <v>170</v>
      </c>
    </row>
    <row r="647" spans="1:6" ht="22.5" hidden="1" customHeight="1" x14ac:dyDescent="0.25">
      <c r="A647" s="3">
        <v>44287</v>
      </c>
      <c r="B647" s="2" t="s">
        <v>195</v>
      </c>
      <c r="C647" s="2">
        <v>2.4900000000000002</v>
      </c>
      <c r="D647" s="2">
        <v>1.1744000000000001</v>
      </c>
      <c r="E647" s="2">
        <v>2.9242560000000001E-2</v>
      </c>
      <c r="F647" s="2" t="s">
        <v>168</v>
      </c>
    </row>
    <row r="648" spans="1:6" ht="22.5" hidden="1" customHeight="1" x14ac:dyDescent="0.25">
      <c r="A648" s="3">
        <v>44013</v>
      </c>
      <c r="B648" s="2" t="s">
        <v>285</v>
      </c>
      <c r="C648" s="2">
        <v>4.92</v>
      </c>
      <c r="D648" s="2">
        <v>0.58150000000000002</v>
      </c>
      <c r="E648" s="2">
        <v>2.8609800000000001E-2</v>
      </c>
      <c r="F648" s="2" t="s">
        <v>168</v>
      </c>
    </row>
    <row r="649" spans="1:6" ht="22.5" hidden="1" customHeight="1" x14ac:dyDescent="0.25">
      <c r="A649" s="3">
        <v>44287</v>
      </c>
      <c r="B649" s="2" t="s">
        <v>265</v>
      </c>
      <c r="C649" s="2">
        <v>6.27</v>
      </c>
      <c r="D649" s="2">
        <v>0.45300000000000001</v>
      </c>
      <c r="E649" s="2">
        <v>2.8403100000000001E-2</v>
      </c>
      <c r="F649" s="2" t="s">
        <v>168</v>
      </c>
    </row>
    <row r="650" spans="1:6" ht="22.5" hidden="1" customHeight="1" x14ac:dyDescent="0.25">
      <c r="A650" s="3">
        <v>44470</v>
      </c>
      <c r="B650" s="2" t="s">
        <v>285</v>
      </c>
      <c r="C650" s="2">
        <v>3.2</v>
      </c>
      <c r="D650" s="2">
        <v>0.87460000000000004</v>
      </c>
      <c r="E650" s="2">
        <v>2.79872E-2</v>
      </c>
      <c r="F650" s="2" t="s">
        <v>168</v>
      </c>
    </row>
    <row r="651" spans="1:6" ht="22.5" hidden="1" customHeight="1" x14ac:dyDescent="0.25">
      <c r="A651" s="3">
        <v>44348</v>
      </c>
      <c r="B651" s="2" t="s">
        <v>310</v>
      </c>
      <c r="C651" s="2">
        <v>0.66</v>
      </c>
      <c r="D651" s="2">
        <v>3.9958999999999998</v>
      </c>
      <c r="E651" s="2">
        <v>2.6372940000000001E-2</v>
      </c>
      <c r="F651" s="2" t="s">
        <v>168</v>
      </c>
    </row>
    <row r="652" spans="1:6" ht="22.5" hidden="1" customHeight="1" x14ac:dyDescent="0.25">
      <c r="A652" s="3">
        <v>44256</v>
      </c>
      <c r="B652" s="2" t="s">
        <v>310</v>
      </c>
      <c r="C652" s="2">
        <v>0.66</v>
      </c>
      <c r="D652" s="2">
        <v>3.9914999999999998</v>
      </c>
      <c r="E652" s="2">
        <v>2.63439E-2</v>
      </c>
      <c r="F652" s="2" t="s">
        <v>168</v>
      </c>
    </row>
    <row r="653" spans="1:6" ht="22.5" hidden="1" customHeight="1" x14ac:dyDescent="0.25">
      <c r="A653" s="3">
        <v>44197</v>
      </c>
      <c r="B653" s="2" t="s">
        <v>310</v>
      </c>
      <c r="C653" s="2">
        <v>0.66</v>
      </c>
      <c r="D653" s="2">
        <v>3.9876</v>
      </c>
      <c r="E653" s="2">
        <v>2.631816E-2</v>
      </c>
      <c r="F653" s="2" t="s">
        <v>168</v>
      </c>
    </row>
    <row r="654" spans="1:6" ht="22.5" hidden="1" customHeight="1" x14ac:dyDescent="0.25">
      <c r="A654" s="3">
        <v>44317</v>
      </c>
      <c r="B654" s="2" t="s">
        <v>310</v>
      </c>
      <c r="C654" s="2">
        <v>0.66</v>
      </c>
      <c r="D654" s="2">
        <v>3.9857999999999998</v>
      </c>
      <c r="E654" s="2">
        <v>2.6306280000000001E-2</v>
      </c>
      <c r="F654" s="2" t="s">
        <v>168</v>
      </c>
    </row>
    <row r="655" spans="1:6" ht="22.5" hidden="1" customHeight="1" x14ac:dyDescent="0.25">
      <c r="A655" s="3">
        <v>44197</v>
      </c>
      <c r="B655" s="2" t="s">
        <v>195</v>
      </c>
      <c r="C655" s="2">
        <v>2.42</v>
      </c>
      <c r="D655" s="2">
        <v>1.0867</v>
      </c>
      <c r="E655" s="2">
        <v>2.6298140000000001E-2</v>
      </c>
      <c r="F655" s="2" t="s">
        <v>168</v>
      </c>
    </row>
    <row r="656" spans="1:6" ht="22.5" hidden="1" customHeight="1" x14ac:dyDescent="0.25">
      <c r="A656" s="3">
        <v>44228</v>
      </c>
      <c r="B656" s="2" t="s">
        <v>310</v>
      </c>
      <c r="C656" s="2">
        <v>0.66</v>
      </c>
      <c r="D656" s="2">
        <v>3.9838</v>
      </c>
      <c r="E656" s="2">
        <v>2.629308E-2</v>
      </c>
      <c r="F656" s="2" t="s">
        <v>168</v>
      </c>
    </row>
    <row r="657" spans="1:6" ht="22.5" hidden="1" customHeight="1" x14ac:dyDescent="0.25">
      <c r="A657" s="3">
        <v>44287</v>
      </c>
      <c r="B657" s="2" t="s">
        <v>310</v>
      </c>
      <c r="C657" s="2">
        <v>0.66</v>
      </c>
      <c r="D657" s="2">
        <v>3.9830999999999999</v>
      </c>
      <c r="E657" s="2">
        <v>2.628846E-2</v>
      </c>
      <c r="F657" s="2" t="s">
        <v>168</v>
      </c>
    </row>
    <row r="658" spans="1:6" ht="22.5" hidden="1" customHeight="1" x14ac:dyDescent="0.25">
      <c r="A658" s="3">
        <v>44166</v>
      </c>
      <c r="B658" s="2" t="s">
        <v>285</v>
      </c>
      <c r="C658" s="2">
        <v>4.08</v>
      </c>
      <c r="D658" s="2">
        <v>0.64170000000000005</v>
      </c>
      <c r="E658" s="2">
        <v>2.6181360000000001E-2</v>
      </c>
      <c r="F658" s="2" t="s">
        <v>168</v>
      </c>
    </row>
    <row r="659" spans="1:6" ht="22.5" hidden="1" customHeight="1" x14ac:dyDescent="0.25">
      <c r="A659" s="3">
        <v>44166</v>
      </c>
      <c r="B659" s="2" t="s">
        <v>195</v>
      </c>
      <c r="C659" s="2">
        <v>2.38</v>
      </c>
      <c r="D659" s="2">
        <v>1.0729</v>
      </c>
      <c r="E659" s="2">
        <v>2.5535019999999999E-2</v>
      </c>
      <c r="F659" s="2" t="s">
        <v>168</v>
      </c>
    </row>
    <row r="660" spans="1:6" ht="22.5" hidden="1" customHeight="1" x14ac:dyDescent="0.25">
      <c r="A660" s="3">
        <v>44044</v>
      </c>
      <c r="B660" s="2" t="s">
        <v>310</v>
      </c>
      <c r="C660" s="2">
        <v>0.6</v>
      </c>
      <c r="D660" s="2">
        <v>4.1981000000000002</v>
      </c>
      <c r="E660" s="2">
        <v>2.5188599999999998E-2</v>
      </c>
      <c r="F660" s="2" t="s">
        <v>168</v>
      </c>
    </row>
    <row r="661" spans="1:6" ht="22.5" hidden="1" customHeight="1" x14ac:dyDescent="0.25">
      <c r="A661" s="3">
        <v>44013</v>
      </c>
      <c r="B661" s="2" t="s">
        <v>310</v>
      </c>
      <c r="C661" s="2">
        <v>0.6</v>
      </c>
      <c r="D661" s="2">
        <v>4.1849999999999996</v>
      </c>
      <c r="E661" s="2">
        <v>2.511E-2</v>
      </c>
      <c r="F661" s="2" t="s">
        <v>168</v>
      </c>
    </row>
    <row r="662" spans="1:6" ht="22.5" hidden="1" customHeight="1" x14ac:dyDescent="0.25">
      <c r="A662" s="3">
        <v>44136</v>
      </c>
      <c r="B662" s="2" t="s">
        <v>285</v>
      </c>
      <c r="C662" s="2">
        <v>4.0199999999999996</v>
      </c>
      <c r="D662" s="2">
        <v>0.62270000000000003</v>
      </c>
      <c r="E662" s="2">
        <v>2.5032539999999999E-2</v>
      </c>
      <c r="F662" s="2" t="s">
        <v>168</v>
      </c>
    </row>
    <row r="663" spans="1:6" ht="22.5" hidden="1" customHeight="1" x14ac:dyDescent="0.25">
      <c r="A663" s="3">
        <v>43983</v>
      </c>
      <c r="B663" s="2" t="s">
        <v>310</v>
      </c>
      <c r="C663" s="2">
        <v>0.6</v>
      </c>
      <c r="D663" s="2">
        <v>4.1616</v>
      </c>
      <c r="E663" s="2">
        <v>2.4969600000000002E-2</v>
      </c>
      <c r="F663" s="2" t="s">
        <v>168</v>
      </c>
    </row>
    <row r="664" spans="1:6" ht="22.5" hidden="1" customHeight="1" x14ac:dyDescent="0.25">
      <c r="A664" s="3">
        <v>43952</v>
      </c>
      <c r="B664" s="2" t="s">
        <v>310</v>
      </c>
      <c r="C664" s="2">
        <v>0.6</v>
      </c>
      <c r="D664" s="2">
        <v>4.1136999999999997</v>
      </c>
      <c r="E664" s="2">
        <v>2.4682200000000001E-2</v>
      </c>
      <c r="F664" s="2" t="s">
        <v>168</v>
      </c>
    </row>
    <row r="665" spans="1:6" ht="22.5" hidden="1" customHeight="1" x14ac:dyDescent="0.25">
      <c r="A665" s="3">
        <v>43891</v>
      </c>
      <c r="B665" s="2" t="s">
        <v>302</v>
      </c>
      <c r="C665" s="2">
        <v>-0.59</v>
      </c>
      <c r="D665" s="2">
        <v>0.30919999999999997</v>
      </c>
      <c r="E665" s="2">
        <v>-1.82428E-3</v>
      </c>
      <c r="F665" s="2" t="s">
        <v>170</v>
      </c>
    </row>
    <row r="666" spans="1:6" ht="22.5" hidden="1" customHeight="1" x14ac:dyDescent="0.25">
      <c r="A666" s="3">
        <v>43891</v>
      </c>
      <c r="B666" s="2" t="s">
        <v>303</v>
      </c>
      <c r="C666" s="2">
        <v>0.21</v>
      </c>
      <c r="D666" s="2">
        <v>0.55000000000000004</v>
      </c>
      <c r="E666" s="2">
        <v>1.155E-3</v>
      </c>
      <c r="F666" s="2" t="s">
        <v>165</v>
      </c>
    </row>
    <row r="667" spans="1:6" ht="22.5" hidden="1" customHeight="1" x14ac:dyDescent="0.25">
      <c r="A667" s="3">
        <v>43891</v>
      </c>
      <c r="B667" s="2" t="s">
        <v>304</v>
      </c>
      <c r="C667" s="2">
        <v>-0.19</v>
      </c>
      <c r="D667" s="2">
        <v>0.5252</v>
      </c>
      <c r="E667" s="2">
        <v>-9.9788000000000003E-4</v>
      </c>
      <c r="F667" s="2" t="s">
        <v>165</v>
      </c>
    </row>
    <row r="668" spans="1:6" ht="22.5" hidden="1" customHeight="1" x14ac:dyDescent="0.25">
      <c r="A668" s="3">
        <v>43891</v>
      </c>
      <c r="B668" s="2" t="s">
        <v>305</v>
      </c>
      <c r="C668" s="2">
        <v>0.69</v>
      </c>
      <c r="D668" s="2">
        <v>1.8800000000000001E-2</v>
      </c>
      <c r="E668" s="2">
        <v>1.2972E-4</v>
      </c>
      <c r="F668" s="2" t="s">
        <v>170</v>
      </c>
    </row>
    <row r="669" spans="1:6" ht="22.5" hidden="1" customHeight="1" x14ac:dyDescent="0.25">
      <c r="A669" s="3">
        <v>43891</v>
      </c>
      <c r="B669" s="2" t="s">
        <v>306</v>
      </c>
      <c r="C669" s="2">
        <v>-0.88</v>
      </c>
      <c r="D669" s="2">
        <v>4.9000000000000002E-2</v>
      </c>
      <c r="E669" s="2">
        <v>-4.3120000000000002E-4</v>
      </c>
      <c r="F669" s="2" t="s">
        <v>165</v>
      </c>
    </row>
    <row r="670" spans="1:6" ht="22.5" hidden="1" customHeight="1" x14ac:dyDescent="0.25">
      <c r="A670" s="3">
        <v>43891</v>
      </c>
      <c r="B670" s="2" t="s">
        <v>307</v>
      </c>
      <c r="C670" s="2">
        <v>-0.02</v>
      </c>
      <c r="D670" s="2">
        <v>0.1095</v>
      </c>
      <c r="E670" s="2">
        <v>-2.19E-5</v>
      </c>
      <c r="F670" s="2" t="s">
        <v>165</v>
      </c>
    </row>
    <row r="671" spans="1:6" ht="22.5" hidden="1" customHeight="1" x14ac:dyDescent="0.25">
      <c r="A671" s="3">
        <v>43891</v>
      </c>
      <c r="B671" s="2" t="s">
        <v>308</v>
      </c>
      <c r="C671" s="2">
        <v>0.53</v>
      </c>
      <c r="D671" s="2">
        <v>0.3836</v>
      </c>
      <c r="E671" s="2">
        <v>2.03308E-3</v>
      </c>
      <c r="F671" s="2" t="s">
        <v>165</v>
      </c>
    </row>
    <row r="672" spans="1:6" ht="22.5" hidden="1" customHeight="1" x14ac:dyDescent="0.25">
      <c r="A672" s="3">
        <v>43891</v>
      </c>
      <c r="B672" s="2" t="s">
        <v>309</v>
      </c>
      <c r="C672" s="2">
        <v>0.04</v>
      </c>
      <c r="D672" s="2">
        <v>0.1346</v>
      </c>
      <c r="E672" s="2">
        <v>5.384E-5</v>
      </c>
      <c r="F672" s="2" t="s">
        <v>165</v>
      </c>
    </row>
    <row r="673" spans="1:6" ht="22.5" hidden="1" customHeight="1" x14ac:dyDescent="0.25">
      <c r="A673" s="3">
        <v>43922</v>
      </c>
      <c r="B673" s="2" t="s">
        <v>310</v>
      </c>
      <c r="C673" s="2">
        <v>0.6</v>
      </c>
      <c r="D673" s="2">
        <v>4.0899000000000001</v>
      </c>
      <c r="E673" s="2">
        <v>2.4539399999999999E-2</v>
      </c>
      <c r="F673" s="2" t="s">
        <v>168</v>
      </c>
    </row>
    <row r="674" spans="1:6" ht="22.5" hidden="1" customHeight="1" x14ac:dyDescent="0.25">
      <c r="A674" s="3">
        <v>43891</v>
      </c>
      <c r="B674" s="2" t="s">
        <v>311</v>
      </c>
      <c r="C674" s="2">
        <v>1.01</v>
      </c>
      <c r="D674" s="2">
        <v>0.62470000000000003</v>
      </c>
      <c r="E674" s="2">
        <v>6.3094700000000002E-3</v>
      </c>
      <c r="F674" s="2" t="s">
        <v>174</v>
      </c>
    </row>
    <row r="675" spans="1:6" ht="22.5" hidden="1" customHeight="1" x14ac:dyDescent="0.25">
      <c r="A675" s="3">
        <v>43891</v>
      </c>
      <c r="B675" s="2" t="s">
        <v>312</v>
      </c>
      <c r="C675" s="2">
        <v>0.53</v>
      </c>
      <c r="D675" s="2">
        <v>0.21920000000000001</v>
      </c>
      <c r="E675" s="2">
        <v>1.16176E-3</v>
      </c>
      <c r="F675" s="2" t="s">
        <v>174</v>
      </c>
    </row>
    <row r="676" spans="1:6" ht="22.5" hidden="1" customHeight="1" x14ac:dyDescent="0.25">
      <c r="A676" s="3">
        <v>43891</v>
      </c>
      <c r="B676" s="2" t="s">
        <v>313</v>
      </c>
      <c r="C676" s="2">
        <v>0.5</v>
      </c>
      <c r="D676" s="2">
        <v>0.13469999999999999</v>
      </c>
      <c r="E676" s="2">
        <v>6.7350000000000005E-4</v>
      </c>
      <c r="F676" s="2" t="s">
        <v>174</v>
      </c>
    </row>
    <row r="677" spans="1:6" ht="22.5" hidden="1" customHeight="1" x14ac:dyDescent="0.25">
      <c r="A677" s="3">
        <v>43891</v>
      </c>
      <c r="B677" s="2" t="s">
        <v>314</v>
      </c>
      <c r="C677" s="2">
        <v>4.37</v>
      </c>
      <c r="D677" s="2">
        <v>0.37630000000000002</v>
      </c>
      <c r="E677" s="2">
        <v>1.644431E-2</v>
      </c>
      <c r="F677" s="2" t="s">
        <v>174</v>
      </c>
    </row>
    <row r="678" spans="1:6" ht="22.5" hidden="1" customHeight="1" x14ac:dyDescent="0.25">
      <c r="A678" s="3">
        <v>43891</v>
      </c>
      <c r="B678" s="2" t="s">
        <v>315</v>
      </c>
      <c r="C678" s="2">
        <v>0.65</v>
      </c>
      <c r="D678" s="2">
        <v>0.2596</v>
      </c>
      <c r="E678" s="2">
        <v>1.6873999999999999E-3</v>
      </c>
      <c r="F678" s="2" t="s">
        <v>174</v>
      </c>
    </row>
    <row r="679" spans="1:6" ht="22.5" hidden="1" customHeight="1" x14ac:dyDescent="0.25">
      <c r="A679" s="3">
        <v>43891</v>
      </c>
      <c r="B679" s="2" t="s">
        <v>316</v>
      </c>
      <c r="C679" s="2">
        <v>0.42</v>
      </c>
      <c r="D679" s="2">
        <v>4.1000000000000003E-3</v>
      </c>
      <c r="E679" s="2">
        <v>1.7220000000000001E-5</v>
      </c>
      <c r="F679" s="2" t="s">
        <v>174</v>
      </c>
    </row>
    <row r="680" spans="1:6" ht="22.5" hidden="1" customHeight="1" x14ac:dyDescent="0.25">
      <c r="A680" s="3">
        <v>43891</v>
      </c>
      <c r="B680" s="2" t="s">
        <v>317</v>
      </c>
      <c r="C680" s="2">
        <v>5.0999999999999996</v>
      </c>
      <c r="D680" s="2">
        <v>0.97799999999999998</v>
      </c>
      <c r="E680" s="2">
        <v>4.9877999999999999E-2</v>
      </c>
      <c r="F680" s="2" t="s">
        <v>174</v>
      </c>
    </row>
    <row r="681" spans="1:6" ht="22.5" hidden="1" customHeight="1" x14ac:dyDescent="0.25">
      <c r="A681" s="3">
        <v>43891</v>
      </c>
      <c r="B681" s="2" t="s">
        <v>318</v>
      </c>
      <c r="C681" s="2">
        <v>0.01</v>
      </c>
      <c r="D681" s="2">
        <v>0.45250000000000001</v>
      </c>
      <c r="E681" s="2">
        <v>4.5250000000000002E-5</v>
      </c>
      <c r="F681" s="2" t="s">
        <v>174</v>
      </c>
    </row>
    <row r="682" spans="1:6" ht="22.5" hidden="1" customHeight="1" x14ac:dyDescent="0.25">
      <c r="A682" s="3">
        <v>43891</v>
      </c>
      <c r="B682" s="2" t="s">
        <v>319</v>
      </c>
      <c r="C682" s="2">
        <v>0.93</v>
      </c>
      <c r="D682" s="2">
        <v>0.1103</v>
      </c>
      <c r="E682" s="2">
        <v>1.0257899999999999E-3</v>
      </c>
      <c r="F682" s="2" t="s">
        <v>174</v>
      </c>
    </row>
    <row r="683" spans="1:6" ht="22.5" hidden="1" customHeight="1" x14ac:dyDescent="0.25">
      <c r="A683" s="3">
        <v>43891</v>
      </c>
      <c r="B683" s="2" t="s">
        <v>320</v>
      </c>
      <c r="C683" s="2">
        <v>0.36</v>
      </c>
      <c r="D683" s="2">
        <v>0.28939999999999999</v>
      </c>
      <c r="E683" s="2">
        <v>1.04184E-3</v>
      </c>
      <c r="F683" s="2" t="s">
        <v>174</v>
      </c>
    </row>
    <row r="684" spans="1:6" ht="22.5" hidden="1" customHeight="1" x14ac:dyDescent="0.25">
      <c r="A684" s="3">
        <v>43891</v>
      </c>
      <c r="B684" s="2" t="s">
        <v>321</v>
      </c>
      <c r="C684" s="2">
        <v>0.24</v>
      </c>
      <c r="D684" s="2">
        <v>0.20780000000000001</v>
      </c>
      <c r="E684" s="2">
        <v>4.9872000000000002E-4</v>
      </c>
      <c r="F684" s="2" t="s">
        <v>174</v>
      </c>
    </row>
    <row r="685" spans="1:6" ht="22.5" hidden="1" customHeight="1" x14ac:dyDescent="0.25">
      <c r="A685" s="3">
        <v>43891</v>
      </c>
      <c r="B685" s="2" t="s">
        <v>322</v>
      </c>
      <c r="C685" s="2">
        <v>6.84</v>
      </c>
      <c r="D685" s="2">
        <v>0.16639999999999999</v>
      </c>
      <c r="E685" s="2">
        <v>1.1381759999999999E-2</v>
      </c>
      <c r="F685" s="2" t="s">
        <v>174</v>
      </c>
    </row>
    <row r="686" spans="1:6" ht="22.5" hidden="1" customHeight="1" x14ac:dyDescent="0.25">
      <c r="A686" s="3">
        <v>43891</v>
      </c>
      <c r="B686" s="2" t="s">
        <v>323</v>
      </c>
      <c r="C686" s="2">
        <v>-0.94</v>
      </c>
      <c r="D686" s="2">
        <v>1.17E-2</v>
      </c>
      <c r="E686" s="2">
        <v>-1.0998E-4</v>
      </c>
      <c r="F686" s="2" t="s">
        <v>165</v>
      </c>
    </row>
    <row r="687" spans="1:6" ht="22.5" hidden="1" customHeight="1" x14ac:dyDescent="0.25">
      <c r="A687" s="3">
        <v>43891</v>
      </c>
      <c r="B687" s="2" t="s">
        <v>324</v>
      </c>
      <c r="C687" s="2">
        <v>0.28000000000000003</v>
      </c>
      <c r="D687" s="2">
        <v>0.3957</v>
      </c>
      <c r="E687" s="2">
        <v>1.1079600000000001E-3</v>
      </c>
      <c r="F687" s="2" t="s">
        <v>165</v>
      </c>
    </row>
    <row r="688" spans="1:6" ht="22.5" hidden="1" customHeight="1" x14ac:dyDescent="0.25">
      <c r="A688" s="3">
        <v>43891</v>
      </c>
      <c r="B688" s="2" t="s">
        <v>325</v>
      </c>
      <c r="C688" s="2">
        <v>0.46</v>
      </c>
      <c r="D688" s="2">
        <v>3.1781999999999999</v>
      </c>
      <c r="E688" s="2">
        <v>1.4619719999999999E-2</v>
      </c>
      <c r="F688" s="2" t="s">
        <v>165</v>
      </c>
    </row>
    <row r="689" spans="1:6" ht="22.5" hidden="1" customHeight="1" x14ac:dyDescent="0.25">
      <c r="A689" s="3">
        <v>43891</v>
      </c>
      <c r="B689" s="2" t="s">
        <v>326</v>
      </c>
      <c r="C689" s="2">
        <v>-0.44</v>
      </c>
      <c r="D689" s="2">
        <v>1.0795999999999999</v>
      </c>
      <c r="E689" s="2">
        <v>-4.7502400000000002E-3</v>
      </c>
      <c r="F689" s="2" t="s">
        <v>165</v>
      </c>
    </row>
    <row r="690" spans="1:6" ht="22.5" hidden="1" customHeight="1" x14ac:dyDescent="0.25">
      <c r="A690" s="3">
        <v>43891</v>
      </c>
      <c r="B690" s="2" t="s">
        <v>327</v>
      </c>
      <c r="C690" s="2">
        <v>0.65</v>
      </c>
      <c r="D690" s="2">
        <v>6.0499999999999998E-2</v>
      </c>
      <c r="E690" s="2">
        <v>3.9324999999999999E-4</v>
      </c>
      <c r="F690" s="2" t="s">
        <v>165</v>
      </c>
    </row>
    <row r="691" spans="1:6" ht="22.5" hidden="1" customHeight="1" x14ac:dyDescent="0.25">
      <c r="A691" s="3">
        <v>43891</v>
      </c>
      <c r="B691" s="2" t="s">
        <v>328</v>
      </c>
      <c r="C691" s="2">
        <v>0.05</v>
      </c>
      <c r="D691" s="2">
        <v>1.8499999999999999E-2</v>
      </c>
      <c r="E691" s="2">
        <v>9.2499999999999995E-6</v>
      </c>
      <c r="F691" s="2" t="s">
        <v>165</v>
      </c>
    </row>
    <row r="692" spans="1:6" ht="22.5" hidden="1" customHeight="1" x14ac:dyDescent="0.25">
      <c r="A692" s="3">
        <v>43891</v>
      </c>
      <c r="B692" s="2" t="s">
        <v>329</v>
      </c>
      <c r="C692" s="2">
        <v>0.26</v>
      </c>
      <c r="D692" s="2">
        <v>9.8699999999999996E-2</v>
      </c>
      <c r="E692" s="2">
        <v>2.5661999999999999E-4</v>
      </c>
      <c r="F692" s="2" t="s">
        <v>165</v>
      </c>
    </row>
    <row r="693" spans="1:6" ht="22.5" hidden="1" customHeight="1" x14ac:dyDescent="0.25">
      <c r="A693" s="3">
        <v>43891</v>
      </c>
      <c r="B693" s="2" t="s">
        <v>330</v>
      </c>
      <c r="C693" s="2">
        <v>0</v>
      </c>
      <c r="D693" s="2">
        <v>1.798</v>
      </c>
      <c r="E693" s="2">
        <v>0</v>
      </c>
      <c r="F693" s="2" t="s">
        <v>165</v>
      </c>
    </row>
    <row r="694" spans="1:6" ht="22.5" hidden="1" customHeight="1" x14ac:dyDescent="0.25">
      <c r="A694" s="3">
        <v>43891</v>
      </c>
      <c r="B694" s="2" t="s">
        <v>331</v>
      </c>
      <c r="C694" s="2">
        <v>0.14000000000000001</v>
      </c>
      <c r="D694" s="2">
        <v>5.8599999999999999E-2</v>
      </c>
      <c r="E694" s="2">
        <v>8.2039999999999994E-5</v>
      </c>
      <c r="F694" s="2" t="s">
        <v>165</v>
      </c>
    </row>
    <row r="695" spans="1:6" ht="22.5" hidden="1" customHeight="1" x14ac:dyDescent="0.25">
      <c r="A695" s="3">
        <v>43891</v>
      </c>
      <c r="B695" s="2" t="s">
        <v>332</v>
      </c>
      <c r="C695" s="2">
        <v>-0.67</v>
      </c>
      <c r="D695" s="2">
        <v>0.1109</v>
      </c>
      <c r="E695" s="2">
        <v>-7.4302999999999999E-4</v>
      </c>
      <c r="F695" s="2" t="s">
        <v>165</v>
      </c>
    </row>
    <row r="696" spans="1:6" ht="22.5" hidden="1" customHeight="1" x14ac:dyDescent="0.25">
      <c r="A696" s="3">
        <v>43891</v>
      </c>
      <c r="B696" s="2" t="s">
        <v>333</v>
      </c>
      <c r="C696" s="2">
        <v>0.23</v>
      </c>
      <c r="D696" s="2">
        <v>8.3500000000000005E-2</v>
      </c>
      <c r="E696" s="2">
        <v>1.9205000000000001E-4</v>
      </c>
      <c r="F696" s="2" t="s">
        <v>165</v>
      </c>
    </row>
    <row r="697" spans="1:6" ht="22.5" hidden="1" customHeight="1" x14ac:dyDescent="0.25">
      <c r="A697" s="3">
        <v>43891</v>
      </c>
      <c r="B697" s="2" t="s">
        <v>334</v>
      </c>
      <c r="C697" s="2">
        <v>2.41</v>
      </c>
      <c r="D697" s="2">
        <v>1.9099999999999999E-2</v>
      </c>
      <c r="E697" s="2">
        <v>4.6031000000000002E-4</v>
      </c>
      <c r="F697" s="2" t="s">
        <v>170</v>
      </c>
    </row>
    <row r="698" spans="1:6" ht="22.5" hidden="1" customHeight="1" x14ac:dyDescent="0.25">
      <c r="A698" s="3">
        <v>43891</v>
      </c>
      <c r="B698" s="2" t="s">
        <v>335</v>
      </c>
      <c r="C698" s="2">
        <v>0.39</v>
      </c>
      <c r="D698" s="2">
        <v>0.30299999999999999</v>
      </c>
      <c r="E698" s="2">
        <v>1.1816999999999999E-3</v>
      </c>
      <c r="F698" s="2" t="s">
        <v>165</v>
      </c>
    </row>
    <row r="699" spans="1:6" ht="22.5" hidden="1" customHeight="1" x14ac:dyDescent="0.25">
      <c r="A699" s="3">
        <v>43891</v>
      </c>
      <c r="B699" s="2" t="s">
        <v>336</v>
      </c>
      <c r="C699" s="2">
        <v>0.13</v>
      </c>
      <c r="D699" s="2">
        <v>9.4600000000000004E-2</v>
      </c>
      <c r="E699" s="2">
        <v>1.2297999999999999E-4</v>
      </c>
      <c r="F699" s="2" t="s">
        <v>170</v>
      </c>
    </row>
    <row r="700" spans="1:6" ht="22.5" hidden="1" customHeight="1" x14ac:dyDescent="0.25">
      <c r="A700" s="3">
        <v>43891</v>
      </c>
      <c r="B700" s="2" t="s">
        <v>337</v>
      </c>
      <c r="C700" s="2">
        <v>-0.76</v>
      </c>
      <c r="D700" s="2">
        <v>0.34360000000000002</v>
      </c>
      <c r="E700" s="2">
        <v>-2.6113600000000001E-3</v>
      </c>
      <c r="F700" s="2" t="s">
        <v>174</v>
      </c>
    </row>
    <row r="701" spans="1:6" ht="22.5" hidden="1" customHeight="1" x14ac:dyDescent="0.25">
      <c r="A701" s="3">
        <v>43891</v>
      </c>
      <c r="B701" s="2" t="s">
        <v>338</v>
      </c>
      <c r="C701" s="2">
        <v>-0.44</v>
      </c>
      <c r="D701" s="2">
        <v>0.2288</v>
      </c>
      <c r="E701" s="2">
        <v>-1.00672E-3</v>
      </c>
      <c r="F701" s="2" t="s">
        <v>174</v>
      </c>
    </row>
    <row r="702" spans="1:6" ht="22.5" hidden="1" customHeight="1" x14ac:dyDescent="0.25">
      <c r="A702" s="3">
        <v>43891</v>
      </c>
      <c r="B702" s="2" t="s">
        <v>339</v>
      </c>
      <c r="C702" s="2">
        <v>0.5</v>
      </c>
      <c r="D702" s="2">
        <v>4.4999999999999998E-2</v>
      </c>
      <c r="E702" s="2">
        <v>2.2499999999999999E-4</v>
      </c>
      <c r="F702" s="2" t="s">
        <v>165</v>
      </c>
    </row>
    <row r="703" spans="1:6" ht="22.5" hidden="1" customHeight="1" x14ac:dyDescent="0.25">
      <c r="A703" s="3">
        <v>43891</v>
      </c>
      <c r="B703" s="2" t="s">
        <v>310</v>
      </c>
      <c r="C703" s="2">
        <v>0.6</v>
      </c>
      <c r="D703" s="2">
        <v>4.0664999999999996</v>
      </c>
      <c r="E703" s="2">
        <v>2.4399000000000001E-2</v>
      </c>
      <c r="F703" s="2" t="s">
        <v>168</v>
      </c>
    </row>
    <row r="704" spans="1:6" ht="22.5" hidden="1" customHeight="1" x14ac:dyDescent="0.25">
      <c r="A704" s="3">
        <v>43891</v>
      </c>
      <c r="B704" s="2" t="s">
        <v>341</v>
      </c>
      <c r="C704" s="2">
        <v>-0.46</v>
      </c>
      <c r="D704" s="2">
        <v>1.15E-2</v>
      </c>
      <c r="E704" s="2">
        <v>-5.2899999999999998E-5</v>
      </c>
      <c r="F704" s="2" t="s">
        <v>174</v>
      </c>
    </row>
    <row r="705" spans="1:6" ht="22.5" hidden="1" customHeight="1" x14ac:dyDescent="0.25">
      <c r="A705" s="3">
        <v>43891</v>
      </c>
      <c r="B705" s="2" t="s">
        <v>342</v>
      </c>
      <c r="C705" s="2">
        <v>1.34</v>
      </c>
      <c r="D705" s="2">
        <v>0.60240000000000005</v>
      </c>
      <c r="E705" s="2">
        <v>8.0721600000000001E-3</v>
      </c>
      <c r="F705" s="2" t="s">
        <v>165</v>
      </c>
    </row>
    <row r="706" spans="1:6" ht="22.5" hidden="1" customHeight="1" x14ac:dyDescent="0.25">
      <c r="A706" s="3">
        <v>43891</v>
      </c>
      <c r="B706" s="2" t="s">
        <v>343</v>
      </c>
      <c r="C706" s="2">
        <v>-2.57</v>
      </c>
      <c r="D706" s="2">
        <v>0.4995</v>
      </c>
      <c r="E706" s="2">
        <v>-1.283715E-2</v>
      </c>
      <c r="F706" s="2" t="s">
        <v>165</v>
      </c>
    </row>
    <row r="707" spans="1:6" ht="22.5" hidden="1" customHeight="1" x14ac:dyDescent="0.25">
      <c r="A707" s="3">
        <v>43891</v>
      </c>
      <c r="B707" s="2" t="s">
        <v>344</v>
      </c>
      <c r="C707" s="2">
        <v>0.27</v>
      </c>
      <c r="D707" s="2">
        <v>0.1482</v>
      </c>
      <c r="E707" s="2">
        <v>4.0014E-4</v>
      </c>
      <c r="F707" s="2" t="s">
        <v>165</v>
      </c>
    </row>
    <row r="708" spans="1:6" ht="22.5" hidden="1" customHeight="1" x14ac:dyDescent="0.25">
      <c r="A708" s="3">
        <v>43891</v>
      </c>
      <c r="B708" s="2" t="s">
        <v>345</v>
      </c>
      <c r="C708" s="2">
        <v>-0.38</v>
      </c>
      <c r="D708" s="2">
        <v>0.54830000000000001</v>
      </c>
      <c r="E708" s="2">
        <v>-2.08354E-3</v>
      </c>
      <c r="F708" s="2" t="s">
        <v>165</v>
      </c>
    </row>
    <row r="709" spans="1:6" ht="22.5" hidden="1" customHeight="1" x14ac:dyDescent="0.25">
      <c r="A709" s="3">
        <v>43891</v>
      </c>
      <c r="B709" s="2" t="s">
        <v>346</v>
      </c>
      <c r="C709" s="2">
        <v>0</v>
      </c>
      <c r="D709" s="2">
        <v>0.55079999999999996</v>
      </c>
      <c r="E709" s="2">
        <v>0</v>
      </c>
      <c r="F709" s="2" t="s">
        <v>174</v>
      </c>
    </row>
    <row r="710" spans="1:6" ht="22.5" hidden="1" customHeight="1" x14ac:dyDescent="0.25">
      <c r="A710" s="3">
        <v>43891</v>
      </c>
      <c r="B710" s="2" t="s">
        <v>347</v>
      </c>
      <c r="C710" s="2">
        <v>0.28000000000000003</v>
      </c>
      <c r="D710" s="2">
        <v>0.20610000000000001</v>
      </c>
      <c r="E710" s="2">
        <v>5.7708E-4</v>
      </c>
      <c r="F710" s="2" t="s">
        <v>165</v>
      </c>
    </row>
    <row r="711" spans="1:6" ht="22.5" hidden="1" customHeight="1" x14ac:dyDescent="0.25">
      <c r="A711" s="3">
        <v>43891</v>
      </c>
      <c r="B711" s="2" t="s">
        <v>348</v>
      </c>
      <c r="C711" s="2">
        <v>0.42</v>
      </c>
      <c r="D711" s="2">
        <v>0.34670000000000001</v>
      </c>
      <c r="E711" s="2">
        <v>1.4561400000000001E-3</v>
      </c>
      <c r="F711" s="2" t="s">
        <v>165</v>
      </c>
    </row>
    <row r="712" spans="1:6" ht="22.5" hidden="1" customHeight="1" x14ac:dyDescent="0.25">
      <c r="A712" s="3">
        <v>43891</v>
      </c>
      <c r="B712" s="2" t="s">
        <v>349</v>
      </c>
      <c r="C712" s="2">
        <v>0.97</v>
      </c>
      <c r="D712" s="2">
        <v>1.6046</v>
      </c>
      <c r="E712" s="2">
        <v>1.5564619999999999E-2</v>
      </c>
      <c r="F712" s="2" t="s">
        <v>165</v>
      </c>
    </row>
    <row r="713" spans="1:6" ht="22.5" hidden="1" customHeight="1" x14ac:dyDescent="0.25">
      <c r="A713" s="3">
        <v>43891</v>
      </c>
      <c r="B713" s="2" t="s">
        <v>350</v>
      </c>
      <c r="C713" s="2">
        <v>1.18</v>
      </c>
      <c r="D713" s="2">
        <v>0.39760000000000001</v>
      </c>
      <c r="E713" s="2">
        <v>4.6916800000000002E-3</v>
      </c>
      <c r="F713" s="2" t="s">
        <v>165</v>
      </c>
    </row>
    <row r="714" spans="1:6" ht="22.5" hidden="1" customHeight="1" x14ac:dyDescent="0.25">
      <c r="A714" s="3">
        <v>43891</v>
      </c>
      <c r="B714" s="2" t="s">
        <v>351</v>
      </c>
      <c r="C714" s="2">
        <v>0.46</v>
      </c>
      <c r="D714" s="2">
        <v>1.9134</v>
      </c>
      <c r="E714" s="2">
        <v>8.8016399999999995E-3</v>
      </c>
      <c r="F714" s="2" t="s">
        <v>165</v>
      </c>
    </row>
    <row r="715" spans="1:6" ht="22.5" hidden="1" customHeight="1" x14ac:dyDescent="0.25">
      <c r="A715" s="3">
        <v>43891</v>
      </c>
      <c r="B715" s="2" t="s">
        <v>352</v>
      </c>
      <c r="C715" s="2">
        <v>0.55000000000000004</v>
      </c>
      <c r="D715" s="2">
        <v>0.30919999999999997</v>
      </c>
      <c r="E715" s="2">
        <v>1.7006E-3</v>
      </c>
      <c r="F715" s="2" t="s">
        <v>165</v>
      </c>
    </row>
    <row r="716" spans="1:6" ht="22.5" hidden="1" customHeight="1" x14ac:dyDescent="0.25">
      <c r="A716" s="3">
        <v>43891</v>
      </c>
      <c r="B716" s="2" t="s">
        <v>353</v>
      </c>
      <c r="C716" s="2">
        <v>0.22</v>
      </c>
      <c r="D716" s="2">
        <v>4.4499999999999998E-2</v>
      </c>
      <c r="E716" s="2">
        <v>9.7899999999999994E-5</v>
      </c>
      <c r="F716" s="2" t="s">
        <v>165</v>
      </c>
    </row>
    <row r="717" spans="1:6" ht="22.5" hidden="1" customHeight="1" x14ac:dyDescent="0.25">
      <c r="A717" s="3">
        <v>43891</v>
      </c>
      <c r="B717" s="2" t="s">
        <v>354</v>
      </c>
      <c r="C717" s="2">
        <v>-0.39</v>
      </c>
      <c r="D717" s="2">
        <v>3.2500000000000001E-2</v>
      </c>
      <c r="E717" s="2">
        <v>-1.2674999999999999E-4</v>
      </c>
      <c r="F717" s="2" t="s">
        <v>165</v>
      </c>
    </row>
    <row r="718" spans="1:6" ht="22.5" hidden="1" customHeight="1" x14ac:dyDescent="0.25">
      <c r="A718" s="3">
        <v>43891</v>
      </c>
      <c r="B718" s="2" t="s">
        <v>355</v>
      </c>
      <c r="C718" s="2">
        <v>1.8</v>
      </c>
      <c r="D718" s="2">
        <v>2.9600000000000001E-2</v>
      </c>
      <c r="E718" s="2">
        <v>5.3280000000000005E-4</v>
      </c>
      <c r="F718" s="2" t="s">
        <v>174</v>
      </c>
    </row>
    <row r="719" spans="1:6" ht="22.5" hidden="1" customHeight="1" x14ac:dyDescent="0.25">
      <c r="A719" s="3">
        <v>43891</v>
      </c>
      <c r="B719" s="2" t="s">
        <v>356</v>
      </c>
      <c r="C719" s="2">
        <v>0</v>
      </c>
      <c r="D719" s="2">
        <v>2.87E-2</v>
      </c>
      <c r="E719" s="2">
        <v>0</v>
      </c>
      <c r="F719" s="2" t="s">
        <v>174</v>
      </c>
    </row>
    <row r="720" spans="1:6" ht="22.5" hidden="1" customHeight="1" x14ac:dyDescent="0.25">
      <c r="A720" s="3">
        <v>43891</v>
      </c>
      <c r="B720" s="2" t="s">
        <v>357</v>
      </c>
      <c r="C720" s="2">
        <v>1.38</v>
      </c>
      <c r="D720" s="2">
        <v>0.38450000000000001</v>
      </c>
      <c r="E720" s="2">
        <v>5.3061000000000002E-3</v>
      </c>
      <c r="F720" s="2" t="s">
        <v>174</v>
      </c>
    </row>
    <row r="721" spans="1:6" ht="22.5" hidden="1" customHeight="1" x14ac:dyDescent="0.25">
      <c r="A721" s="3">
        <v>43891</v>
      </c>
      <c r="B721" s="2" t="s">
        <v>358</v>
      </c>
      <c r="C721" s="2">
        <v>2.5299999999999998</v>
      </c>
      <c r="D721" s="2">
        <v>9.8400000000000001E-2</v>
      </c>
      <c r="E721" s="2">
        <v>2.4895199999999998E-3</v>
      </c>
      <c r="F721" s="2" t="s">
        <v>174</v>
      </c>
    </row>
    <row r="722" spans="1:6" ht="22.5" hidden="1" customHeight="1" x14ac:dyDescent="0.25">
      <c r="A722" s="3">
        <v>43891</v>
      </c>
      <c r="B722" s="2" t="s">
        <v>359</v>
      </c>
      <c r="C722" s="2">
        <v>-0.35</v>
      </c>
      <c r="D722" s="2">
        <v>5.2499999999999998E-2</v>
      </c>
      <c r="E722" s="2">
        <v>-1.8374999999999999E-4</v>
      </c>
      <c r="F722" s="2" t="s">
        <v>174</v>
      </c>
    </row>
    <row r="723" spans="1:6" ht="22.5" hidden="1" customHeight="1" x14ac:dyDescent="0.25">
      <c r="A723" s="3">
        <v>43891</v>
      </c>
      <c r="B723" s="2" t="s">
        <v>360</v>
      </c>
      <c r="C723" s="2">
        <v>0.37</v>
      </c>
      <c r="D723" s="2">
        <v>8.9499999999999996E-2</v>
      </c>
      <c r="E723" s="2">
        <v>3.3115E-4</v>
      </c>
      <c r="F723" s="2" t="s">
        <v>174</v>
      </c>
    </row>
    <row r="724" spans="1:6" ht="22.5" hidden="1" customHeight="1" x14ac:dyDescent="0.25">
      <c r="A724" s="3">
        <v>43891</v>
      </c>
      <c r="B724" s="2" t="s">
        <v>361</v>
      </c>
      <c r="C724" s="2">
        <v>0</v>
      </c>
      <c r="D724" s="2">
        <v>8.2100000000000006E-2</v>
      </c>
      <c r="E724" s="2">
        <v>0</v>
      </c>
      <c r="F724" s="2" t="s">
        <v>165</v>
      </c>
    </row>
    <row r="725" spans="1:6" ht="22.5" hidden="1" customHeight="1" x14ac:dyDescent="0.25">
      <c r="A725" s="3">
        <v>43891</v>
      </c>
      <c r="B725" s="2" t="s">
        <v>362</v>
      </c>
      <c r="C725" s="2">
        <v>-0.42</v>
      </c>
      <c r="D725" s="2">
        <v>0.32840000000000003</v>
      </c>
      <c r="E725" s="2">
        <v>-1.3792800000000001E-3</v>
      </c>
      <c r="F725" s="2" t="s">
        <v>165</v>
      </c>
    </row>
    <row r="726" spans="1:6" ht="22.5" hidden="1" customHeight="1" x14ac:dyDescent="0.25">
      <c r="A726" s="3">
        <v>43891</v>
      </c>
      <c r="B726" s="2" t="s">
        <v>363</v>
      </c>
      <c r="C726" s="2">
        <v>0.75</v>
      </c>
      <c r="D726" s="2">
        <v>0.05</v>
      </c>
      <c r="E726" s="2">
        <v>3.7500000000000001E-4</v>
      </c>
      <c r="F726" s="2" t="s">
        <v>165</v>
      </c>
    </row>
    <row r="727" spans="1:6" ht="22.5" hidden="1" customHeight="1" x14ac:dyDescent="0.25">
      <c r="A727" s="3">
        <v>43891</v>
      </c>
      <c r="B727" s="2" t="s">
        <v>364</v>
      </c>
      <c r="C727" s="2">
        <v>-0.27</v>
      </c>
      <c r="D727" s="2">
        <v>0.41739999999999999</v>
      </c>
      <c r="E727" s="2">
        <v>-1.1269800000000001E-3</v>
      </c>
      <c r="F727" s="2" t="s">
        <v>165</v>
      </c>
    </row>
    <row r="728" spans="1:6" ht="22.5" hidden="1" customHeight="1" x14ac:dyDescent="0.25">
      <c r="A728" s="3">
        <v>43862</v>
      </c>
      <c r="B728" s="2" t="s">
        <v>310</v>
      </c>
      <c r="C728" s="2">
        <v>0.6</v>
      </c>
      <c r="D728" s="2">
        <v>4.0515999999999996</v>
      </c>
      <c r="E728" s="2">
        <v>2.4309600000000001E-2</v>
      </c>
      <c r="F728" s="2" t="s">
        <v>168</v>
      </c>
    </row>
    <row r="729" spans="1:6" ht="22.5" hidden="1" customHeight="1" x14ac:dyDescent="0.25">
      <c r="A729" s="3">
        <v>44105</v>
      </c>
      <c r="B729" s="2" t="s">
        <v>195</v>
      </c>
      <c r="C729" s="2">
        <v>2.0699999999999998</v>
      </c>
      <c r="D729" s="2">
        <v>1.0664</v>
      </c>
      <c r="E729" s="2">
        <v>2.207448E-2</v>
      </c>
      <c r="F729" s="2" t="s">
        <v>168</v>
      </c>
    </row>
    <row r="730" spans="1:6" ht="22.5" hidden="1" customHeight="1" x14ac:dyDescent="0.25">
      <c r="A730" s="3">
        <v>44317</v>
      </c>
      <c r="B730" s="2" t="s">
        <v>298</v>
      </c>
      <c r="C730" s="2">
        <v>3.5</v>
      </c>
      <c r="D730" s="2">
        <v>0.58909999999999996</v>
      </c>
      <c r="E730" s="2">
        <v>2.0618500000000001E-2</v>
      </c>
      <c r="F730" s="2" t="s">
        <v>168</v>
      </c>
    </row>
    <row r="731" spans="1:6" ht="22.5" hidden="1" customHeight="1" x14ac:dyDescent="0.25">
      <c r="A731" s="3">
        <v>43891</v>
      </c>
      <c r="B731" s="2" t="s">
        <v>368</v>
      </c>
      <c r="C731" s="2">
        <v>0</v>
      </c>
      <c r="D731" s="2">
        <v>0.40639999999999998</v>
      </c>
      <c r="E731" s="2">
        <v>0</v>
      </c>
      <c r="F731" s="2" t="s">
        <v>165</v>
      </c>
    </row>
    <row r="732" spans="1:6" ht="22.5" hidden="1" customHeight="1" x14ac:dyDescent="0.25">
      <c r="A732" s="3">
        <v>43891</v>
      </c>
      <c r="B732" s="2" t="s">
        <v>369</v>
      </c>
      <c r="C732" s="2">
        <v>0</v>
      </c>
      <c r="D732" s="2">
        <v>0.54379999999999995</v>
      </c>
      <c r="E732" s="2">
        <v>0</v>
      </c>
      <c r="F732" s="2" t="s">
        <v>165</v>
      </c>
    </row>
    <row r="733" spans="1:6" ht="22.5" hidden="1" customHeight="1" x14ac:dyDescent="0.25">
      <c r="A733" s="3">
        <v>43891</v>
      </c>
      <c r="B733" s="2" t="s">
        <v>370</v>
      </c>
      <c r="C733" s="2">
        <v>1.17</v>
      </c>
      <c r="D733" s="2">
        <v>0.997</v>
      </c>
      <c r="E733" s="2">
        <v>1.1664900000000001E-2</v>
      </c>
      <c r="F733" s="2" t="s">
        <v>170</v>
      </c>
    </row>
    <row r="734" spans="1:6" ht="22.5" hidden="1" customHeight="1" x14ac:dyDescent="0.25">
      <c r="A734" s="3">
        <v>43891</v>
      </c>
      <c r="B734" s="2" t="s">
        <v>371</v>
      </c>
      <c r="C734" s="2">
        <v>0</v>
      </c>
      <c r="D734" s="2">
        <v>6.9599999999999995E-2</v>
      </c>
      <c r="E734" s="2">
        <v>0</v>
      </c>
      <c r="F734" s="2" t="s">
        <v>165</v>
      </c>
    </row>
    <row r="735" spans="1:6" ht="22.5" hidden="1" customHeight="1" x14ac:dyDescent="0.25">
      <c r="A735" s="3">
        <v>43891</v>
      </c>
      <c r="B735" s="2" t="s">
        <v>372</v>
      </c>
      <c r="C735" s="2">
        <v>0</v>
      </c>
      <c r="D735" s="2">
        <v>1.7196</v>
      </c>
      <c r="E735" s="2">
        <v>0</v>
      </c>
      <c r="F735" s="2" t="s">
        <v>165</v>
      </c>
    </row>
    <row r="736" spans="1:6" ht="22.5" hidden="1" customHeight="1" x14ac:dyDescent="0.25">
      <c r="A736" s="3">
        <v>43922</v>
      </c>
      <c r="B736" s="2" t="s">
        <v>6</v>
      </c>
      <c r="C736" s="2">
        <v>3.28</v>
      </c>
      <c r="D736" s="2">
        <v>0.4622</v>
      </c>
      <c r="E736" s="2">
        <v>1.5160160000000001E-2</v>
      </c>
      <c r="F736" s="2" t="s">
        <v>7</v>
      </c>
    </row>
    <row r="737" spans="1:6" ht="22.5" hidden="1" customHeight="1" x14ac:dyDescent="0.25">
      <c r="A737" s="3">
        <v>43922</v>
      </c>
      <c r="B737" s="2" t="s">
        <v>8</v>
      </c>
      <c r="C737" s="2">
        <v>3.08</v>
      </c>
      <c r="D737" s="2">
        <v>1.15E-2</v>
      </c>
      <c r="E737" s="2">
        <v>3.5419999999999999E-4</v>
      </c>
      <c r="F737" s="2" t="s">
        <v>7</v>
      </c>
    </row>
    <row r="738" spans="1:6" ht="22.5" hidden="1" customHeight="1" x14ac:dyDescent="0.25">
      <c r="A738" s="3">
        <v>43922</v>
      </c>
      <c r="B738" s="2" t="s">
        <v>9</v>
      </c>
      <c r="C738" s="2">
        <v>4.32</v>
      </c>
      <c r="D738" s="2">
        <v>4.7699999999999999E-2</v>
      </c>
      <c r="E738" s="2">
        <v>2.0606399999999999E-3</v>
      </c>
      <c r="F738" s="2" t="s">
        <v>7</v>
      </c>
    </row>
    <row r="739" spans="1:6" ht="22.5" hidden="1" customHeight="1" x14ac:dyDescent="0.25">
      <c r="A739" s="3">
        <v>43922</v>
      </c>
      <c r="B739" s="2" t="s">
        <v>10</v>
      </c>
      <c r="C739" s="2">
        <v>3.95</v>
      </c>
      <c r="D739" s="2">
        <v>1.61E-2</v>
      </c>
      <c r="E739" s="2">
        <v>6.3595000000000004E-4</v>
      </c>
      <c r="F739" s="2" t="s">
        <v>7</v>
      </c>
    </row>
    <row r="740" spans="1:6" ht="22.5" hidden="1" customHeight="1" x14ac:dyDescent="0.25">
      <c r="A740" s="3">
        <v>43922</v>
      </c>
      <c r="B740" s="2" t="s">
        <v>11</v>
      </c>
      <c r="C740" s="2">
        <v>4.3600000000000003</v>
      </c>
      <c r="D740" s="2">
        <v>0.128</v>
      </c>
      <c r="E740" s="2">
        <v>5.5808000000000003E-3</v>
      </c>
      <c r="F740" s="2" t="s">
        <v>7</v>
      </c>
    </row>
    <row r="741" spans="1:6" ht="22.5" hidden="1" customHeight="1" x14ac:dyDescent="0.25">
      <c r="A741" s="3">
        <v>43922</v>
      </c>
      <c r="B741" s="2" t="s">
        <v>12</v>
      </c>
      <c r="C741" s="2">
        <v>4.7699999999999996</v>
      </c>
      <c r="D741" s="2">
        <v>1.0500000000000001E-2</v>
      </c>
      <c r="E741" s="2">
        <v>5.0084999999999995E-4</v>
      </c>
      <c r="F741" s="2" t="s">
        <v>7</v>
      </c>
    </row>
    <row r="742" spans="1:6" ht="22.5" hidden="1" customHeight="1" x14ac:dyDescent="0.25">
      <c r="A742" s="3">
        <v>43922</v>
      </c>
      <c r="B742" s="2" t="s">
        <v>13</v>
      </c>
      <c r="C742" s="2">
        <v>1.1399999999999999</v>
      </c>
      <c r="D742" s="2">
        <v>3.2000000000000002E-3</v>
      </c>
      <c r="E742" s="2">
        <v>3.6480000000000003E-5</v>
      </c>
      <c r="F742" s="2" t="s">
        <v>7</v>
      </c>
    </row>
    <row r="743" spans="1:6" ht="22.5" hidden="1" customHeight="1" x14ac:dyDescent="0.25">
      <c r="A743" s="3">
        <v>43922</v>
      </c>
      <c r="B743" s="2" t="s">
        <v>14</v>
      </c>
      <c r="C743" s="2">
        <v>0.35</v>
      </c>
      <c r="D743" s="2">
        <v>0.14810000000000001</v>
      </c>
      <c r="E743" s="2">
        <v>5.1835E-4</v>
      </c>
      <c r="F743" s="2" t="s">
        <v>7</v>
      </c>
    </row>
    <row r="744" spans="1:6" ht="22.5" hidden="1" customHeight="1" x14ac:dyDescent="0.25">
      <c r="A744" s="3">
        <v>43922</v>
      </c>
      <c r="B744" s="2" t="s">
        <v>15</v>
      </c>
      <c r="C744" s="2">
        <v>1.31</v>
      </c>
      <c r="D744" s="2">
        <v>7.0000000000000001E-3</v>
      </c>
      <c r="E744" s="2">
        <v>9.1700000000000006E-5</v>
      </c>
      <c r="F744" s="2" t="s">
        <v>7</v>
      </c>
    </row>
    <row r="745" spans="1:6" ht="22.5" hidden="1" customHeight="1" x14ac:dyDescent="0.25">
      <c r="A745" s="3">
        <v>43922</v>
      </c>
      <c r="B745" s="2" t="s">
        <v>16</v>
      </c>
      <c r="C745" s="2">
        <v>1.08</v>
      </c>
      <c r="D745" s="2">
        <v>9.4999999999999998E-3</v>
      </c>
      <c r="E745" s="2">
        <v>1.026E-4</v>
      </c>
      <c r="F745" s="2" t="s">
        <v>7</v>
      </c>
    </row>
    <row r="746" spans="1:6" ht="22.5" hidden="1" customHeight="1" x14ac:dyDescent="0.25">
      <c r="A746" s="3">
        <v>43922</v>
      </c>
      <c r="B746" s="2" t="s">
        <v>17</v>
      </c>
      <c r="C746" s="2">
        <v>2.25</v>
      </c>
      <c r="D746" s="2">
        <v>4.4999999999999998E-2</v>
      </c>
      <c r="E746" s="2">
        <v>1.0124999999999999E-3</v>
      </c>
      <c r="F746" s="2" t="s">
        <v>7</v>
      </c>
    </row>
    <row r="747" spans="1:6" ht="22.5" hidden="1" customHeight="1" x14ac:dyDescent="0.25">
      <c r="A747" s="3">
        <v>43922</v>
      </c>
      <c r="B747" s="2" t="s">
        <v>18</v>
      </c>
      <c r="C747" s="2">
        <v>2.36</v>
      </c>
      <c r="D747" s="2">
        <v>9.7100000000000006E-2</v>
      </c>
      <c r="E747" s="2">
        <v>2.2915600000000002E-3</v>
      </c>
      <c r="F747" s="2" t="s">
        <v>7</v>
      </c>
    </row>
    <row r="748" spans="1:6" ht="22.5" hidden="1" customHeight="1" x14ac:dyDescent="0.25">
      <c r="A748" s="3">
        <v>43922</v>
      </c>
      <c r="B748" s="2" t="s">
        <v>19</v>
      </c>
      <c r="C748" s="2">
        <v>1.41</v>
      </c>
      <c r="D748" s="2">
        <v>0.1193</v>
      </c>
      <c r="E748" s="2">
        <v>1.68213E-3</v>
      </c>
      <c r="F748" s="2" t="s">
        <v>7</v>
      </c>
    </row>
    <row r="749" spans="1:6" ht="22.5" hidden="1" customHeight="1" x14ac:dyDescent="0.25">
      <c r="A749" s="3">
        <v>43922</v>
      </c>
      <c r="B749" s="2" t="s">
        <v>20</v>
      </c>
      <c r="C749" s="2">
        <v>-0.22</v>
      </c>
      <c r="D749" s="2">
        <v>2.53E-2</v>
      </c>
      <c r="E749" s="2">
        <v>-5.5659999999999999E-5</v>
      </c>
      <c r="F749" s="2" t="s">
        <v>7</v>
      </c>
    </row>
    <row r="750" spans="1:6" ht="22.5" hidden="1" customHeight="1" x14ac:dyDescent="0.25">
      <c r="A750" s="3">
        <v>43922</v>
      </c>
      <c r="B750" s="2" t="s">
        <v>21</v>
      </c>
      <c r="C750" s="2">
        <v>10.37</v>
      </c>
      <c r="D750" s="2">
        <v>2.6200000000000001E-2</v>
      </c>
      <c r="E750" s="2">
        <v>2.7169400000000002E-3</v>
      </c>
      <c r="F750" s="2" t="s">
        <v>7</v>
      </c>
    </row>
    <row r="751" spans="1:6" ht="22.5" hidden="1" customHeight="1" x14ac:dyDescent="0.25">
      <c r="A751" s="3">
        <v>43922</v>
      </c>
      <c r="B751" s="2" t="s">
        <v>22</v>
      </c>
      <c r="C751" s="2">
        <v>21.24</v>
      </c>
      <c r="D751" s="2">
        <v>0.1512</v>
      </c>
      <c r="E751" s="2">
        <v>3.2114879999999998E-2</v>
      </c>
      <c r="F751" s="2" t="s">
        <v>7</v>
      </c>
    </row>
    <row r="752" spans="1:6" ht="22.5" hidden="1" customHeight="1" x14ac:dyDescent="0.25">
      <c r="A752" s="3">
        <v>43922</v>
      </c>
      <c r="B752" s="2" t="s">
        <v>23</v>
      </c>
      <c r="C752" s="2">
        <v>14.53</v>
      </c>
      <c r="D752" s="2">
        <v>1.35E-2</v>
      </c>
      <c r="E752" s="2">
        <v>1.9615499999999998E-3</v>
      </c>
      <c r="F752" s="2" t="s">
        <v>7</v>
      </c>
    </row>
    <row r="753" spans="1:6" ht="22.5" hidden="1" customHeight="1" x14ac:dyDescent="0.25">
      <c r="A753" s="3">
        <v>43922</v>
      </c>
      <c r="B753" s="2" t="s">
        <v>24</v>
      </c>
      <c r="C753" s="2">
        <v>18.600000000000001</v>
      </c>
      <c r="D753" s="2">
        <v>8.8000000000000005E-3</v>
      </c>
      <c r="E753" s="2">
        <v>1.6368000000000001E-3</v>
      </c>
      <c r="F753" s="2" t="s">
        <v>7</v>
      </c>
    </row>
    <row r="754" spans="1:6" ht="22.5" hidden="1" customHeight="1" x14ac:dyDescent="0.25">
      <c r="A754" s="3">
        <v>43922</v>
      </c>
      <c r="B754" s="2" t="s">
        <v>25</v>
      </c>
      <c r="C754" s="2">
        <v>-8.86</v>
      </c>
      <c r="D754" s="2">
        <v>2.8999999999999998E-3</v>
      </c>
      <c r="E754" s="2">
        <v>-2.5693999999999999E-4</v>
      </c>
      <c r="F754" s="2" t="s">
        <v>7</v>
      </c>
    </row>
    <row r="755" spans="1:6" ht="22.5" hidden="1" customHeight="1" x14ac:dyDescent="0.25">
      <c r="A755" s="3">
        <v>43922</v>
      </c>
      <c r="B755" s="2" t="s">
        <v>26</v>
      </c>
      <c r="C755" s="2">
        <v>15.73</v>
      </c>
      <c r="D755" s="2">
        <v>1.2699999999999999E-2</v>
      </c>
      <c r="E755" s="2">
        <v>1.9977100000000002E-3</v>
      </c>
      <c r="F755" s="2" t="s">
        <v>7</v>
      </c>
    </row>
    <row r="756" spans="1:6" ht="22.5" hidden="1" customHeight="1" x14ac:dyDescent="0.25">
      <c r="A756" s="3">
        <v>43922</v>
      </c>
      <c r="B756" s="2" t="s">
        <v>27</v>
      </c>
      <c r="C756" s="2">
        <v>17.010000000000002</v>
      </c>
      <c r="D756" s="2">
        <v>0.23419999999999999</v>
      </c>
      <c r="E756" s="2">
        <v>3.9837419999999998E-2</v>
      </c>
      <c r="F756" s="2" t="s">
        <v>7</v>
      </c>
    </row>
    <row r="757" spans="1:6" ht="22.5" hidden="1" customHeight="1" x14ac:dyDescent="0.25">
      <c r="A757" s="3">
        <v>43922</v>
      </c>
      <c r="B757" s="2" t="s">
        <v>28</v>
      </c>
      <c r="C757" s="2">
        <v>35.79</v>
      </c>
      <c r="D757" s="2">
        <v>9.8299999999999998E-2</v>
      </c>
      <c r="E757" s="2">
        <v>3.5181570000000002E-2</v>
      </c>
      <c r="F757" s="2" t="s">
        <v>7</v>
      </c>
    </row>
    <row r="758" spans="1:6" ht="22.5" hidden="1" customHeight="1" x14ac:dyDescent="0.25">
      <c r="A758" s="3">
        <v>43922</v>
      </c>
      <c r="B758" s="2" t="s">
        <v>29</v>
      </c>
      <c r="C758" s="2">
        <v>31.67</v>
      </c>
      <c r="D758" s="2">
        <v>6.1400000000000003E-2</v>
      </c>
      <c r="E758" s="2">
        <v>1.9445380000000002E-2</v>
      </c>
      <c r="F758" s="2" t="s">
        <v>7</v>
      </c>
    </row>
    <row r="759" spans="1:6" ht="22.5" hidden="1" customHeight="1" x14ac:dyDescent="0.25">
      <c r="A759" s="3">
        <v>43922</v>
      </c>
      <c r="B759" s="2" t="s">
        <v>30</v>
      </c>
      <c r="C759" s="2">
        <v>1.98</v>
      </c>
      <c r="D759" s="2">
        <v>8.9300000000000004E-2</v>
      </c>
      <c r="E759" s="2">
        <v>1.7681400000000001E-3</v>
      </c>
      <c r="F759" s="2" t="s">
        <v>7</v>
      </c>
    </row>
    <row r="760" spans="1:6" ht="22.5" hidden="1" customHeight="1" x14ac:dyDescent="0.25">
      <c r="A760" s="3">
        <v>43922</v>
      </c>
      <c r="B760" s="2" t="s">
        <v>31</v>
      </c>
      <c r="C760" s="2">
        <v>1.75</v>
      </c>
      <c r="D760" s="2">
        <v>9.6000000000000002E-2</v>
      </c>
      <c r="E760" s="2">
        <v>1.6800000000000001E-3</v>
      </c>
      <c r="F760" s="2" t="s">
        <v>7</v>
      </c>
    </row>
    <row r="761" spans="1:6" ht="22.5" hidden="1" customHeight="1" x14ac:dyDescent="0.25">
      <c r="A761" s="3">
        <v>43922</v>
      </c>
      <c r="B761" s="2" t="s">
        <v>32</v>
      </c>
      <c r="C761" s="2">
        <v>-0.92</v>
      </c>
      <c r="D761" s="2">
        <v>1.6500000000000001E-2</v>
      </c>
      <c r="E761" s="2">
        <v>-1.518E-4</v>
      </c>
      <c r="F761" s="2" t="s">
        <v>7</v>
      </c>
    </row>
    <row r="762" spans="1:6" ht="22.5" hidden="1" customHeight="1" x14ac:dyDescent="0.25">
      <c r="A762" s="3">
        <v>43922</v>
      </c>
      <c r="B762" s="2" t="s">
        <v>33</v>
      </c>
      <c r="C762" s="2">
        <v>-3.04</v>
      </c>
      <c r="D762" s="2">
        <v>0.18629999999999999</v>
      </c>
      <c r="E762" s="2">
        <v>-5.66352E-3</v>
      </c>
      <c r="F762" s="2" t="s">
        <v>7</v>
      </c>
    </row>
    <row r="763" spans="1:6" ht="22.5" hidden="1" customHeight="1" x14ac:dyDescent="0.25">
      <c r="A763" s="3">
        <v>43922</v>
      </c>
      <c r="B763" s="2" t="s">
        <v>34</v>
      </c>
      <c r="C763" s="2">
        <v>-1.36</v>
      </c>
      <c r="D763" s="2">
        <v>0.13519999999999999</v>
      </c>
      <c r="E763" s="2">
        <v>-1.8387200000000001E-3</v>
      </c>
      <c r="F763" s="2" t="s">
        <v>7</v>
      </c>
    </row>
    <row r="764" spans="1:6" ht="22.5" hidden="1" customHeight="1" x14ac:dyDescent="0.25">
      <c r="A764" s="3">
        <v>43922</v>
      </c>
      <c r="B764" s="2" t="s">
        <v>35</v>
      </c>
      <c r="C764" s="2">
        <v>0.76</v>
      </c>
      <c r="D764" s="2">
        <v>0.1062</v>
      </c>
      <c r="E764" s="2">
        <v>8.0712000000000004E-4</v>
      </c>
      <c r="F764" s="2" t="s">
        <v>7</v>
      </c>
    </row>
    <row r="765" spans="1:6" ht="22.5" hidden="1" customHeight="1" x14ac:dyDescent="0.25">
      <c r="A765" s="3">
        <v>43922</v>
      </c>
      <c r="B765" s="2" t="s">
        <v>36</v>
      </c>
      <c r="C765" s="2">
        <v>1.1000000000000001</v>
      </c>
      <c r="D765" s="2">
        <v>1.6999999999999999E-3</v>
      </c>
      <c r="E765" s="2">
        <v>1.8700000000000001E-5</v>
      </c>
      <c r="F765" s="2" t="s">
        <v>7</v>
      </c>
    </row>
    <row r="766" spans="1:6" ht="22.5" hidden="1" customHeight="1" x14ac:dyDescent="0.25">
      <c r="A766" s="3">
        <v>43922</v>
      </c>
      <c r="B766" s="2" t="s">
        <v>37</v>
      </c>
      <c r="C766" s="2">
        <v>11.63</v>
      </c>
      <c r="D766" s="2">
        <v>8.8700000000000001E-2</v>
      </c>
      <c r="E766" s="2">
        <v>1.031581E-2</v>
      </c>
      <c r="F766" s="2" t="s">
        <v>7</v>
      </c>
    </row>
    <row r="767" spans="1:6" ht="22.5" hidden="1" customHeight="1" x14ac:dyDescent="0.25">
      <c r="A767" s="3">
        <v>43922</v>
      </c>
      <c r="B767" s="2" t="s">
        <v>38</v>
      </c>
      <c r="C767" s="2">
        <v>12.88</v>
      </c>
      <c r="D767" s="2">
        <v>8.9999999999999993E-3</v>
      </c>
      <c r="E767" s="2">
        <v>1.1592E-3</v>
      </c>
      <c r="F767" s="2" t="s">
        <v>7</v>
      </c>
    </row>
    <row r="768" spans="1:6" ht="22.5" hidden="1" customHeight="1" x14ac:dyDescent="0.25">
      <c r="A768" s="3">
        <v>43922</v>
      </c>
      <c r="B768" s="2" t="s">
        <v>39</v>
      </c>
      <c r="C768" s="2">
        <v>10.49</v>
      </c>
      <c r="D768" s="2">
        <v>1.5299999999999999E-2</v>
      </c>
      <c r="E768" s="2">
        <v>1.6049700000000001E-3</v>
      </c>
      <c r="F768" s="2" t="s">
        <v>7</v>
      </c>
    </row>
    <row r="769" spans="1:6" ht="22.5" hidden="1" customHeight="1" x14ac:dyDescent="0.25">
      <c r="A769" s="3">
        <v>43922</v>
      </c>
      <c r="B769" s="2" t="s">
        <v>40</v>
      </c>
      <c r="C769" s="2">
        <v>5.21</v>
      </c>
      <c r="D769" s="2">
        <v>3.2000000000000002E-3</v>
      </c>
      <c r="E769" s="2">
        <v>1.6672E-4</v>
      </c>
      <c r="F769" s="2" t="s">
        <v>7</v>
      </c>
    </row>
    <row r="770" spans="1:6" ht="22.5" hidden="1" customHeight="1" x14ac:dyDescent="0.25">
      <c r="A770" s="3">
        <v>43922</v>
      </c>
      <c r="B770" s="2" t="s">
        <v>41</v>
      </c>
      <c r="C770" s="2">
        <v>22.43</v>
      </c>
      <c r="D770" s="2">
        <v>1.37E-2</v>
      </c>
      <c r="E770" s="2">
        <v>3.0729099999999999E-3</v>
      </c>
      <c r="F770" s="2" t="s">
        <v>7</v>
      </c>
    </row>
    <row r="771" spans="1:6" ht="22.5" hidden="1" customHeight="1" x14ac:dyDescent="0.25">
      <c r="A771" s="3">
        <v>43922</v>
      </c>
      <c r="B771" s="2" t="s">
        <v>42</v>
      </c>
      <c r="C771" s="2">
        <v>13.19</v>
      </c>
      <c r="D771" s="2">
        <v>3.9199999999999999E-2</v>
      </c>
      <c r="E771" s="2">
        <v>5.1704799999999999E-3</v>
      </c>
      <c r="F771" s="2" t="s">
        <v>7</v>
      </c>
    </row>
    <row r="772" spans="1:6" ht="22.5" hidden="1" customHeight="1" x14ac:dyDescent="0.25">
      <c r="A772" s="3">
        <v>43922</v>
      </c>
      <c r="B772" s="2" t="s">
        <v>43</v>
      </c>
      <c r="C772" s="2">
        <v>6.63</v>
      </c>
      <c r="D772" s="2">
        <v>2.63E-2</v>
      </c>
      <c r="E772" s="2">
        <v>1.74369E-3</v>
      </c>
      <c r="F772" s="2" t="s">
        <v>7</v>
      </c>
    </row>
    <row r="773" spans="1:6" ht="22.5" hidden="1" customHeight="1" x14ac:dyDescent="0.25">
      <c r="A773" s="3">
        <v>43922</v>
      </c>
      <c r="B773" s="2" t="s">
        <v>44</v>
      </c>
      <c r="C773" s="2">
        <v>-2.13</v>
      </c>
      <c r="D773" s="2">
        <v>1.7999999999999999E-2</v>
      </c>
      <c r="E773" s="2">
        <v>-3.834E-4</v>
      </c>
      <c r="F773" s="2" t="s">
        <v>7</v>
      </c>
    </row>
    <row r="774" spans="1:6" ht="22.5" hidden="1" customHeight="1" x14ac:dyDescent="0.25">
      <c r="A774" s="3">
        <v>43922</v>
      </c>
      <c r="B774" s="2" t="s">
        <v>45</v>
      </c>
      <c r="C774" s="2">
        <v>8.6199999999999992</v>
      </c>
      <c r="D774" s="2">
        <v>1.6400000000000001E-2</v>
      </c>
      <c r="E774" s="2">
        <v>1.4136800000000001E-3</v>
      </c>
      <c r="F774" s="2" t="s">
        <v>7</v>
      </c>
    </row>
    <row r="775" spans="1:6" ht="22.5" hidden="1" customHeight="1" x14ac:dyDescent="0.25">
      <c r="A775" s="3">
        <v>43922</v>
      </c>
      <c r="B775" s="2" t="s">
        <v>46</v>
      </c>
      <c r="C775" s="2">
        <v>2.67</v>
      </c>
      <c r="D775" s="2">
        <v>1.1999999999999999E-3</v>
      </c>
      <c r="E775" s="2">
        <v>3.2039999999999998E-5</v>
      </c>
      <c r="F775" s="2" t="s">
        <v>7</v>
      </c>
    </row>
    <row r="776" spans="1:6" ht="22.5" hidden="1" customHeight="1" x14ac:dyDescent="0.25">
      <c r="A776" s="3">
        <v>43922</v>
      </c>
      <c r="B776" s="2" t="s">
        <v>47</v>
      </c>
      <c r="C776" s="2">
        <v>23.33</v>
      </c>
      <c r="D776" s="2">
        <v>8.48E-2</v>
      </c>
      <c r="E776" s="2">
        <v>1.978384E-2</v>
      </c>
      <c r="F776" s="2" t="s">
        <v>7</v>
      </c>
    </row>
    <row r="777" spans="1:6" ht="22.5" hidden="1" customHeight="1" x14ac:dyDescent="0.25">
      <c r="A777" s="3">
        <v>43922</v>
      </c>
      <c r="B777" s="2" t="s">
        <v>48</v>
      </c>
      <c r="C777" s="2">
        <v>-9</v>
      </c>
      <c r="D777" s="2">
        <v>3.8E-3</v>
      </c>
      <c r="E777" s="2">
        <v>-3.4200000000000002E-4</v>
      </c>
      <c r="F777" s="2" t="s">
        <v>7</v>
      </c>
    </row>
    <row r="778" spans="1:6" ht="22.5" hidden="1" customHeight="1" x14ac:dyDescent="0.25">
      <c r="A778" s="3">
        <v>43922</v>
      </c>
      <c r="B778" s="2" t="s">
        <v>49</v>
      </c>
      <c r="C778" s="2">
        <v>6.5</v>
      </c>
      <c r="D778" s="2">
        <v>0.15759999999999999</v>
      </c>
      <c r="E778" s="2">
        <v>1.0244E-2</v>
      </c>
      <c r="F778" s="2" t="s">
        <v>7</v>
      </c>
    </row>
    <row r="779" spans="1:6" ht="22.5" hidden="1" customHeight="1" x14ac:dyDescent="0.25">
      <c r="A779" s="3">
        <v>43922</v>
      </c>
      <c r="B779" s="2" t="s">
        <v>50</v>
      </c>
      <c r="C779" s="2">
        <v>9.08</v>
      </c>
      <c r="D779" s="2">
        <v>4.4000000000000003E-3</v>
      </c>
      <c r="E779" s="2">
        <v>3.9952E-4</v>
      </c>
      <c r="F779" s="2" t="s">
        <v>7</v>
      </c>
    </row>
    <row r="780" spans="1:6" ht="22.5" hidden="1" customHeight="1" x14ac:dyDescent="0.25">
      <c r="A780" s="3">
        <v>43922</v>
      </c>
      <c r="B780" s="2" t="s">
        <v>51</v>
      </c>
      <c r="C780" s="2">
        <v>-9.6999999999999993</v>
      </c>
      <c r="D780" s="2">
        <v>4.8999999999999998E-3</v>
      </c>
      <c r="E780" s="2">
        <v>-4.7530000000000001E-4</v>
      </c>
      <c r="F780" s="2" t="s">
        <v>7</v>
      </c>
    </row>
    <row r="781" spans="1:6" ht="22.5" hidden="1" customHeight="1" x14ac:dyDescent="0.25">
      <c r="A781" s="3">
        <v>43922</v>
      </c>
      <c r="B781" s="2" t="s">
        <v>52</v>
      </c>
      <c r="C781" s="2">
        <v>21.37</v>
      </c>
      <c r="D781" s="2">
        <v>1.84E-2</v>
      </c>
      <c r="E781" s="2">
        <v>3.9320800000000001E-3</v>
      </c>
      <c r="F781" s="2" t="s">
        <v>7</v>
      </c>
    </row>
    <row r="782" spans="1:6" ht="22.5" hidden="1" customHeight="1" x14ac:dyDescent="0.25">
      <c r="A782" s="3">
        <v>43922</v>
      </c>
      <c r="B782" s="2" t="s">
        <v>53</v>
      </c>
      <c r="C782" s="2">
        <v>-1.64</v>
      </c>
      <c r="D782" s="2">
        <v>0.14030000000000001</v>
      </c>
      <c r="E782" s="2">
        <v>-2.3009200000000001E-3</v>
      </c>
      <c r="F782" s="2" t="s">
        <v>7</v>
      </c>
    </row>
    <row r="783" spans="1:6" ht="22.5" hidden="1" customHeight="1" x14ac:dyDescent="0.25">
      <c r="A783" s="3">
        <v>43922</v>
      </c>
      <c r="B783" s="2" t="s">
        <v>54</v>
      </c>
      <c r="C783" s="2">
        <v>21.21</v>
      </c>
      <c r="D783" s="2">
        <v>7.2999999999999995E-2</v>
      </c>
      <c r="E783" s="2">
        <v>1.54833E-2</v>
      </c>
      <c r="F783" s="2" t="s">
        <v>7</v>
      </c>
    </row>
    <row r="784" spans="1:6" ht="22.5" hidden="1" customHeight="1" x14ac:dyDescent="0.25">
      <c r="A784" s="3">
        <v>43922</v>
      </c>
      <c r="B784" s="2" t="s">
        <v>55</v>
      </c>
      <c r="C784" s="2">
        <v>6.87</v>
      </c>
      <c r="D784" s="2">
        <v>5.5199999999999999E-2</v>
      </c>
      <c r="E784" s="2">
        <v>3.7922400000000001E-3</v>
      </c>
      <c r="F784" s="2" t="s">
        <v>7</v>
      </c>
    </row>
    <row r="785" spans="1:6" ht="22.5" hidden="1" customHeight="1" x14ac:dyDescent="0.25">
      <c r="A785" s="3">
        <v>43922</v>
      </c>
      <c r="B785" s="2" t="s">
        <v>56</v>
      </c>
      <c r="C785" s="2">
        <v>-1.43</v>
      </c>
      <c r="D785" s="2">
        <v>7.7000000000000002E-3</v>
      </c>
      <c r="E785" s="2">
        <v>-1.1011E-4</v>
      </c>
      <c r="F785" s="2" t="s">
        <v>7</v>
      </c>
    </row>
    <row r="786" spans="1:6" ht="22.5" hidden="1" customHeight="1" x14ac:dyDescent="0.25">
      <c r="A786" s="3">
        <v>43922</v>
      </c>
      <c r="B786" s="2" t="s">
        <v>57</v>
      </c>
      <c r="C786" s="2">
        <v>6.56</v>
      </c>
      <c r="D786" s="2">
        <v>2.5499999999999998E-2</v>
      </c>
      <c r="E786" s="2">
        <v>1.6727999999999999E-3</v>
      </c>
      <c r="F786" s="2" t="s">
        <v>7</v>
      </c>
    </row>
    <row r="787" spans="1:6" ht="22.5" hidden="1" customHeight="1" x14ac:dyDescent="0.25">
      <c r="A787" s="3">
        <v>43922</v>
      </c>
      <c r="B787" s="2" t="s">
        <v>58</v>
      </c>
      <c r="C787" s="2">
        <v>16.95</v>
      </c>
      <c r="D787" s="2">
        <v>1.43E-2</v>
      </c>
      <c r="E787" s="2">
        <v>2.42385E-3</v>
      </c>
      <c r="F787" s="2" t="s">
        <v>7</v>
      </c>
    </row>
    <row r="788" spans="1:6" ht="22.5" hidden="1" customHeight="1" x14ac:dyDescent="0.25">
      <c r="A788" s="3">
        <v>43922</v>
      </c>
      <c r="B788" s="2" t="s">
        <v>59</v>
      </c>
      <c r="C788" s="2">
        <v>3.8</v>
      </c>
      <c r="D788" s="2">
        <v>1.89E-2</v>
      </c>
      <c r="E788" s="2">
        <v>7.182E-4</v>
      </c>
      <c r="F788" s="2" t="s">
        <v>7</v>
      </c>
    </row>
    <row r="789" spans="1:6" ht="22.5" hidden="1" customHeight="1" x14ac:dyDescent="0.25">
      <c r="A789" s="3">
        <v>43922</v>
      </c>
      <c r="B789" s="2" t="s">
        <v>60</v>
      </c>
      <c r="C789" s="2">
        <v>13.03</v>
      </c>
      <c r="D789" s="2">
        <v>2.8400000000000002E-2</v>
      </c>
      <c r="E789" s="2">
        <v>3.7005200000000001E-3</v>
      </c>
      <c r="F789" s="2" t="s">
        <v>7</v>
      </c>
    </row>
    <row r="790" spans="1:6" ht="22.5" hidden="1" customHeight="1" x14ac:dyDescent="0.25">
      <c r="A790" s="3">
        <v>43922</v>
      </c>
      <c r="B790" s="2" t="s">
        <v>61</v>
      </c>
      <c r="C790" s="2">
        <v>7.47</v>
      </c>
      <c r="D790" s="2">
        <v>6.9199999999999998E-2</v>
      </c>
      <c r="E790" s="2">
        <v>5.1692400000000003E-3</v>
      </c>
      <c r="F790" s="2" t="s">
        <v>7</v>
      </c>
    </row>
    <row r="791" spans="1:6" ht="22.5" hidden="1" customHeight="1" x14ac:dyDescent="0.25">
      <c r="A791" s="3">
        <v>43922</v>
      </c>
      <c r="B791" s="2" t="s">
        <v>62</v>
      </c>
      <c r="C791" s="2">
        <v>8.94</v>
      </c>
      <c r="D791" s="2">
        <v>9.01E-2</v>
      </c>
      <c r="E791" s="2">
        <v>8.05494E-3</v>
      </c>
      <c r="F791" s="2" t="s">
        <v>7</v>
      </c>
    </row>
    <row r="792" spans="1:6" ht="22.5" hidden="1" customHeight="1" x14ac:dyDescent="0.25">
      <c r="A792" s="3">
        <v>43922</v>
      </c>
      <c r="B792" s="2" t="s">
        <v>63</v>
      </c>
      <c r="C792" s="2">
        <v>21.46</v>
      </c>
      <c r="D792" s="2">
        <v>7.4999999999999997E-3</v>
      </c>
      <c r="E792" s="2">
        <v>1.6095E-3</v>
      </c>
      <c r="F792" s="2" t="s">
        <v>7</v>
      </c>
    </row>
    <row r="793" spans="1:6" ht="22.5" hidden="1" customHeight="1" x14ac:dyDescent="0.25">
      <c r="A793" s="3">
        <v>43922</v>
      </c>
      <c r="B793" s="2" t="s">
        <v>64</v>
      </c>
      <c r="C793" s="2">
        <v>-3.83</v>
      </c>
      <c r="D793" s="2">
        <v>4.8999999999999998E-3</v>
      </c>
      <c r="E793" s="2">
        <v>-1.8767E-4</v>
      </c>
      <c r="F793" s="2" t="s">
        <v>7</v>
      </c>
    </row>
    <row r="794" spans="1:6" ht="22.5" hidden="1" customHeight="1" x14ac:dyDescent="0.25">
      <c r="A794" s="3">
        <v>43922</v>
      </c>
      <c r="B794" s="2" t="s">
        <v>65</v>
      </c>
      <c r="C794" s="2">
        <v>-1.0900000000000001</v>
      </c>
      <c r="D794" s="2">
        <v>1.77E-2</v>
      </c>
      <c r="E794" s="2">
        <v>-1.9293000000000001E-4</v>
      </c>
      <c r="F794" s="2" t="s">
        <v>7</v>
      </c>
    </row>
    <row r="795" spans="1:6" ht="22.5" hidden="1" customHeight="1" x14ac:dyDescent="0.25">
      <c r="A795" s="3">
        <v>43922</v>
      </c>
      <c r="B795" s="2" t="s">
        <v>66</v>
      </c>
      <c r="C795" s="2">
        <v>-0.63</v>
      </c>
      <c r="D795" s="2">
        <v>0.31940000000000002</v>
      </c>
      <c r="E795" s="2">
        <v>-2.0122199999999999E-3</v>
      </c>
      <c r="F795" s="2" t="s">
        <v>7</v>
      </c>
    </row>
    <row r="796" spans="1:6" ht="22.5" hidden="1" customHeight="1" x14ac:dyDescent="0.25">
      <c r="A796" s="3">
        <v>43922</v>
      </c>
      <c r="B796" s="2" t="s">
        <v>67</v>
      </c>
      <c r="C796" s="2">
        <v>0.37</v>
      </c>
      <c r="D796" s="2">
        <v>3.0000000000000001E-3</v>
      </c>
      <c r="E796" s="2">
        <v>1.11E-5</v>
      </c>
      <c r="F796" s="2" t="s">
        <v>7</v>
      </c>
    </row>
    <row r="797" spans="1:6" ht="22.5" hidden="1" customHeight="1" x14ac:dyDescent="0.25">
      <c r="A797" s="3">
        <v>43922</v>
      </c>
      <c r="B797" s="2" t="s">
        <v>68</v>
      </c>
      <c r="C797" s="2">
        <v>4.74</v>
      </c>
      <c r="D797" s="2">
        <v>1.03E-2</v>
      </c>
      <c r="E797" s="2">
        <v>4.8821999999999998E-4</v>
      </c>
      <c r="F797" s="2" t="s">
        <v>7</v>
      </c>
    </row>
    <row r="798" spans="1:6" ht="22.5" hidden="1" customHeight="1" x14ac:dyDescent="0.25">
      <c r="A798" s="3">
        <v>43922</v>
      </c>
      <c r="B798" s="2" t="s">
        <v>69</v>
      </c>
      <c r="C798" s="2">
        <v>-2.36</v>
      </c>
      <c r="D798" s="2">
        <v>0.40179999999999999</v>
      </c>
      <c r="E798" s="2">
        <v>-9.4824799999999997E-3</v>
      </c>
      <c r="F798" s="2" t="s">
        <v>7</v>
      </c>
    </row>
    <row r="799" spans="1:6" ht="22.5" hidden="1" customHeight="1" x14ac:dyDescent="0.25">
      <c r="A799" s="3">
        <v>43922</v>
      </c>
      <c r="B799" s="2" t="s">
        <v>70</v>
      </c>
      <c r="C799" s="2">
        <v>1.5</v>
      </c>
      <c r="D799" s="2">
        <v>2.5499999999999998E-2</v>
      </c>
      <c r="E799" s="2">
        <v>3.8249999999999997E-4</v>
      </c>
      <c r="F799" s="2" t="s">
        <v>7</v>
      </c>
    </row>
    <row r="800" spans="1:6" ht="22.5" hidden="1" customHeight="1" x14ac:dyDescent="0.25">
      <c r="A800" s="3">
        <v>43922</v>
      </c>
      <c r="B800" s="2" t="s">
        <v>71</v>
      </c>
      <c r="C800" s="2">
        <v>1.31</v>
      </c>
      <c r="D800" s="2">
        <v>0.27679999999999999</v>
      </c>
      <c r="E800" s="2">
        <v>3.6260799999999998E-3</v>
      </c>
      <c r="F800" s="2" t="s">
        <v>7</v>
      </c>
    </row>
    <row r="801" spans="1:6" ht="22.5" hidden="1" customHeight="1" x14ac:dyDescent="0.25">
      <c r="A801" s="3">
        <v>43922</v>
      </c>
      <c r="B801" s="2" t="s">
        <v>72</v>
      </c>
      <c r="C801" s="2">
        <v>-1.18</v>
      </c>
      <c r="D801" s="2">
        <v>0.30669999999999997</v>
      </c>
      <c r="E801" s="2">
        <v>-3.6190599999999999E-3</v>
      </c>
      <c r="F801" s="2" t="s">
        <v>7</v>
      </c>
    </row>
    <row r="802" spans="1:6" ht="22.5" hidden="1" customHeight="1" x14ac:dyDescent="0.25">
      <c r="A802" s="3">
        <v>43922</v>
      </c>
      <c r="B802" s="2" t="s">
        <v>73</v>
      </c>
      <c r="C802" s="2">
        <v>-0.31</v>
      </c>
      <c r="D802" s="2">
        <v>0.1489</v>
      </c>
      <c r="E802" s="2">
        <v>-4.6159E-4</v>
      </c>
      <c r="F802" s="2" t="s">
        <v>7</v>
      </c>
    </row>
    <row r="803" spans="1:6" ht="22.5" hidden="1" customHeight="1" x14ac:dyDescent="0.25">
      <c r="A803" s="3">
        <v>43922</v>
      </c>
      <c r="B803" s="2" t="s">
        <v>74</v>
      </c>
      <c r="C803" s="2">
        <v>-1.33</v>
      </c>
      <c r="D803" s="2">
        <v>8.8000000000000005E-3</v>
      </c>
      <c r="E803" s="2">
        <v>-1.1704E-4</v>
      </c>
      <c r="F803" s="2" t="s">
        <v>7</v>
      </c>
    </row>
    <row r="804" spans="1:6" ht="22.5" hidden="1" customHeight="1" x14ac:dyDescent="0.25">
      <c r="A804" s="3">
        <v>43922</v>
      </c>
      <c r="B804" s="2" t="s">
        <v>75</v>
      </c>
      <c r="C804" s="2">
        <v>2.57</v>
      </c>
      <c r="D804" s="2">
        <v>6.2700000000000006E-2</v>
      </c>
      <c r="E804" s="2">
        <v>1.6113900000000001E-3</v>
      </c>
      <c r="F804" s="2" t="s">
        <v>7</v>
      </c>
    </row>
    <row r="805" spans="1:6" ht="22.5" hidden="1" customHeight="1" x14ac:dyDescent="0.25">
      <c r="A805" s="3">
        <v>43922</v>
      </c>
      <c r="B805" s="2" t="s">
        <v>76</v>
      </c>
      <c r="C805" s="2">
        <v>-0.35</v>
      </c>
      <c r="D805" s="2">
        <v>0.1313</v>
      </c>
      <c r="E805" s="2">
        <v>-4.5954999999999998E-4</v>
      </c>
      <c r="F805" s="2" t="s">
        <v>7</v>
      </c>
    </row>
    <row r="806" spans="1:6" ht="22.5" hidden="1" customHeight="1" x14ac:dyDescent="0.25">
      <c r="A806" s="3">
        <v>43922</v>
      </c>
      <c r="B806" s="2" t="s">
        <v>77</v>
      </c>
      <c r="C806" s="2">
        <v>-1.44</v>
      </c>
      <c r="D806" s="2">
        <v>9.5200000000000007E-2</v>
      </c>
      <c r="E806" s="2">
        <v>-1.3708800000000001E-3</v>
      </c>
      <c r="F806" s="2" t="s">
        <v>7</v>
      </c>
    </row>
    <row r="807" spans="1:6" ht="22.5" hidden="1" customHeight="1" x14ac:dyDescent="0.25">
      <c r="A807" s="3">
        <v>43922</v>
      </c>
      <c r="B807" s="2" t="s">
        <v>78</v>
      </c>
      <c r="C807" s="2">
        <v>2.13</v>
      </c>
      <c r="D807" s="2">
        <v>0.2364</v>
      </c>
      <c r="E807" s="2">
        <v>5.0353200000000002E-3</v>
      </c>
      <c r="F807" s="2" t="s">
        <v>7</v>
      </c>
    </row>
    <row r="808" spans="1:6" ht="22.5" hidden="1" customHeight="1" x14ac:dyDescent="0.25">
      <c r="A808" s="3">
        <v>43922</v>
      </c>
      <c r="B808" s="2" t="s">
        <v>79</v>
      </c>
      <c r="C808" s="2">
        <v>-2.6</v>
      </c>
      <c r="D808" s="2">
        <v>9.1999999999999998E-3</v>
      </c>
      <c r="E808" s="2">
        <v>-2.3919999999999999E-4</v>
      </c>
      <c r="F808" s="2" t="s">
        <v>7</v>
      </c>
    </row>
    <row r="809" spans="1:6" ht="22.5" hidden="1" customHeight="1" x14ac:dyDescent="0.25">
      <c r="A809" s="3">
        <v>43922</v>
      </c>
      <c r="B809" s="2" t="s">
        <v>80</v>
      </c>
      <c r="C809" s="2">
        <v>-0.72</v>
      </c>
      <c r="D809" s="2">
        <v>3.3099999999999997E-2</v>
      </c>
      <c r="E809" s="2">
        <v>-2.3832000000000001E-4</v>
      </c>
      <c r="F809" s="2" t="s">
        <v>7</v>
      </c>
    </row>
    <row r="810" spans="1:6" ht="22.5" hidden="1" customHeight="1" x14ac:dyDescent="0.25">
      <c r="A810" s="3">
        <v>43922</v>
      </c>
      <c r="B810" s="2" t="s">
        <v>81</v>
      </c>
      <c r="C810" s="2">
        <v>0.45</v>
      </c>
      <c r="D810" s="2">
        <v>0.30030000000000001</v>
      </c>
      <c r="E810" s="2">
        <v>1.3513500000000001E-3</v>
      </c>
      <c r="F810" s="2" t="s">
        <v>7</v>
      </c>
    </row>
    <row r="811" spans="1:6" ht="22.5" hidden="1" customHeight="1" x14ac:dyDescent="0.25">
      <c r="A811" s="3">
        <v>43922</v>
      </c>
      <c r="B811" s="2" t="s">
        <v>82</v>
      </c>
      <c r="C811" s="2">
        <v>-1.86</v>
      </c>
      <c r="D811" s="2">
        <v>4.0599999999999997E-2</v>
      </c>
      <c r="E811" s="2">
        <v>-7.5515999999999995E-4</v>
      </c>
      <c r="F811" s="2" t="s">
        <v>7</v>
      </c>
    </row>
    <row r="812" spans="1:6" ht="22.5" hidden="1" customHeight="1" x14ac:dyDescent="0.25">
      <c r="A812" s="3">
        <v>43922</v>
      </c>
      <c r="B812" s="2" t="s">
        <v>83</v>
      </c>
      <c r="C812" s="2">
        <v>-0.93</v>
      </c>
      <c r="D812" s="2">
        <v>6.9999999999999999E-4</v>
      </c>
      <c r="E812" s="2">
        <v>-6.5100000000000004E-6</v>
      </c>
      <c r="F812" s="2" t="s">
        <v>7</v>
      </c>
    </row>
    <row r="813" spans="1:6" ht="22.5" hidden="1" customHeight="1" x14ac:dyDescent="0.25">
      <c r="A813" s="3">
        <v>43922</v>
      </c>
      <c r="B813" s="2" t="s">
        <v>84</v>
      </c>
      <c r="C813" s="2">
        <v>2.4300000000000002</v>
      </c>
      <c r="D813" s="2">
        <v>2.2100000000000002E-2</v>
      </c>
      <c r="E813" s="2">
        <v>5.3702999999999997E-4</v>
      </c>
      <c r="F813" s="2" t="s">
        <v>7</v>
      </c>
    </row>
    <row r="814" spans="1:6" ht="22.5" hidden="1" customHeight="1" x14ac:dyDescent="0.25">
      <c r="A814" s="3">
        <v>43922</v>
      </c>
      <c r="B814" s="2" t="s">
        <v>85</v>
      </c>
      <c r="C814" s="2">
        <v>-0.16</v>
      </c>
      <c r="D814" s="2">
        <v>5.8999999999999999E-3</v>
      </c>
      <c r="E814" s="2">
        <v>-9.4399999999999994E-6</v>
      </c>
      <c r="F814" s="2" t="s">
        <v>7</v>
      </c>
    </row>
    <row r="815" spans="1:6" ht="22.5" hidden="1" customHeight="1" x14ac:dyDescent="0.25">
      <c r="A815" s="3">
        <v>43922</v>
      </c>
      <c r="B815" s="2" t="s">
        <v>86</v>
      </c>
      <c r="C815" s="2">
        <v>0.06</v>
      </c>
      <c r="D815" s="2">
        <v>2.58E-2</v>
      </c>
      <c r="E815" s="2">
        <v>1.5480000000000001E-5</v>
      </c>
      <c r="F815" s="2" t="s">
        <v>7</v>
      </c>
    </row>
    <row r="816" spans="1:6" ht="22.5" hidden="1" customHeight="1" x14ac:dyDescent="0.25">
      <c r="A816" s="3">
        <v>43922</v>
      </c>
      <c r="B816" s="2" t="s">
        <v>87</v>
      </c>
      <c r="C816" s="2">
        <v>-2.59</v>
      </c>
      <c r="D816" s="2">
        <v>1E-3</v>
      </c>
      <c r="E816" s="2">
        <v>-2.5899999999999999E-5</v>
      </c>
      <c r="F816" s="2" t="s">
        <v>7</v>
      </c>
    </row>
    <row r="817" spans="1:6" ht="22.5" hidden="1" customHeight="1" x14ac:dyDescent="0.25">
      <c r="A817" s="3">
        <v>43922</v>
      </c>
      <c r="B817" s="2" t="s">
        <v>88</v>
      </c>
      <c r="C817" s="2">
        <v>0.7</v>
      </c>
      <c r="D817" s="2">
        <v>6.8999999999999999E-3</v>
      </c>
      <c r="E817" s="2">
        <v>4.8300000000000002E-5</v>
      </c>
      <c r="F817" s="2" t="s">
        <v>7</v>
      </c>
    </row>
    <row r="818" spans="1:6" ht="22.5" hidden="1" customHeight="1" x14ac:dyDescent="0.25">
      <c r="A818" s="3">
        <v>43922</v>
      </c>
      <c r="B818" s="2" t="s">
        <v>89</v>
      </c>
      <c r="C818" s="2">
        <v>-0.14000000000000001</v>
      </c>
      <c r="D818" s="2">
        <v>1.7600000000000001E-2</v>
      </c>
      <c r="E818" s="2">
        <v>-2.4640000000000001E-5</v>
      </c>
      <c r="F818" s="2" t="s">
        <v>7</v>
      </c>
    </row>
    <row r="819" spans="1:6" ht="22.5" hidden="1" customHeight="1" x14ac:dyDescent="0.25">
      <c r="A819" s="3">
        <v>43922</v>
      </c>
      <c r="B819" s="2" t="s">
        <v>90</v>
      </c>
      <c r="C819" s="2">
        <v>6.05</v>
      </c>
      <c r="D819" s="2">
        <v>1.5E-3</v>
      </c>
      <c r="E819" s="2">
        <v>9.0749999999999997E-5</v>
      </c>
      <c r="F819" s="2" t="s">
        <v>7</v>
      </c>
    </row>
    <row r="820" spans="1:6" ht="22.5" hidden="1" customHeight="1" x14ac:dyDescent="0.25">
      <c r="A820" s="3">
        <v>43922</v>
      </c>
      <c r="B820" s="2" t="s">
        <v>91</v>
      </c>
      <c r="C820" s="2">
        <v>4.78</v>
      </c>
      <c r="D820" s="2">
        <v>2.4500000000000001E-2</v>
      </c>
      <c r="E820" s="2">
        <v>1.1711E-3</v>
      </c>
      <c r="F820" s="2" t="s">
        <v>7</v>
      </c>
    </row>
    <row r="821" spans="1:6" ht="22.5" hidden="1" customHeight="1" x14ac:dyDescent="0.25">
      <c r="A821" s="3">
        <v>43922</v>
      </c>
      <c r="B821" s="2" t="s">
        <v>92</v>
      </c>
      <c r="C821" s="2">
        <v>0</v>
      </c>
      <c r="D821" s="2">
        <v>5.4999999999999997E-3</v>
      </c>
      <c r="E821" s="2">
        <v>0</v>
      </c>
      <c r="F821" s="2" t="s">
        <v>7</v>
      </c>
    </row>
    <row r="822" spans="1:6" ht="22.5" hidden="1" customHeight="1" x14ac:dyDescent="0.25">
      <c r="A822" s="3">
        <v>43922</v>
      </c>
      <c r="B822" s="2" t="s">
        <v>93</v>
      </c>
      <c r="C822" s="2">
        <v>-0.93</v>
      </c>
      <c r="D822" s="2">
        <v>1.1999999999999999E-3</v>
      </c>
      <c r="E822" s="2">
        <v>-1.116E-5</v>
      </c>
      <c r="F822" s="2" t="s">
        <v>7</v>
      </c>
    </row>
    <row r="823" spans="1:6" ht="22.5" hidden="1" customHeight="1" x14ac:dyDescent="0.25">
      <c r="A823" s="3">
        <v>43922</v>
      </c>
      <c r="B823" s="2" t="s">
        <v>94</v>
      </c>
      <c r="C823" s="2">
        <v>10.48</v>
      </c>
      <c r="D823" s="2">
        <v>8.9999999999999998E-4</v>
      </c>
      <c r="E823" s="2">
        <v>9.4320000000000005E-5</v>
      </c>
      <c r="F823" s="2" t="s">
        <v>7</v>
      </c>
    </row>
    <row r="824" spans="1:6" ht="22.5" hidden="1" customHeight="1" x14ac:dyDescent="0.25">
      <c r="A824" s="3">
        <v>43922</v>
      </c>
      <c r="B824" s="2" t="s">
        <v>95</v>
      </c>
      <c r="C824" s="2">
        <v>0.54</v>
      </c>
      <c r="D824" s="2">
        <v>1.7399999999999999E-2</v>
      </c>
      <c r="E824" s="2">
        <v>9.3960000000000002E-5</v>
      </c>
      <c r="F824" s="2" t="s">
        <v>7</v>
      </c>
    </row>
    <row r="825" spans="1:6" ht="22.5" hidden="1" customHeight="1" x14ac:dyDescent="0.25">
      <c r="A825" s="3">
        <v>43922</v>
      </c>
      <c r="B825" s="2" t="s">
        <v>96</v>
      </c>
      <c r="C825" s="2">
        <v>-0.3</v>
      </c>
      <c r="D825" s="2">
        <v>4.9299999999999997E-2</v>
      </c>
      <c r="E825" s="2">
        <v>-1.4789999999999999E-4</v>
      </c>
      <c r="F825" s="2" t="s">
        <v>7</v>
      </c>
    </row>
    <row r="826" spans="1:6" ht="22.5" hidden="1" customHeight="1" x14ac:dyDescent="0.25">
      <c r="A826" s="3">
        <v>43922</v>
      </c>
      <c r="B826" s="2" t="s">
        <v>97</v>
      </c>
      <c r="C826" s="2">
        <v>3.03</v>
      </c>
      <c r="D826" s="2">
        <v>1.0999999999999999E-2</v>
      </c>
      <c r="E826" s="2">
        <v>3.3330000000000002E-4</v>
      </c>
      <c r="F826" s="2" t="s">
        <v>7</v>
      </c>
    </row>
    <row r="827" spans="1:6" ht="22.5" hidden="1" customHeight="1" x14ac:dyDescent="0.25">
      <c r="A827" s="3">
        <v>43922</v>
      </c>
      <c r="B827" s="2" t="s">
        <v>98</v>
      </c>
      <c r="C827" s="2">
        <v>-3.34</v>
      </c>
      <c r="D827" s="2">
        <v>6.7999999999999996E-3</v>
      </c>
      <c r="E827" s="2">
        <v>-2.2712000000000001E-4</v>
      </c>
      <c r="F827" s="2" t="s">
        <v>7</v>
      </c>
    </row>
    <row r="828" spans="1:6" ht="22.5" hidden="1" customHeight="1" x14ac:dyDescent="0.25">
      <c r="A828" s="3">
        <v>43922</v>
      </c>
      <c r="B828" s="2" t="s">
        <v>99</v>
      </c>
      <c r="C828" s="2">
        <v>2.98</v>
      </c>
      <c r="D828" s="2">
        <v>3.5999999999999999E-3</v>
      </c>
      <c r="E828" s="2">
        <v>1.0728E-4</v>
      </c>
      <c r="F828" s="2" t="s">
        <v>7</v>
      </c>
    </row>
    <row r="829" spans="1:6" ht="22.5" hidden="1" customHeight="1" x14ac:dyDescent="0.25">
      <c r="A829" s="3">
        <v>43922</v>
      </c>
      <c r="B829" s="2" t="s">
        <v>100</v>
      </c>
      <c r="C829" s="2">
        <v>0.46</v>
      </c>
      <c r="D829" s="2">
        <v>6.9999999999999999E-4</v>
      </c>
      <c r="E829" s="2">
        <v>3.2200000000000001E-6</v>
      </c>
      <c r="F829" s="2" t="s">
        <v>7</v>
      </c>
    </row>
    <row r="830" spans="1:6" ht="22.5" hidden="1" customHeight="1" x14ac:dyDescent="0.25">
      <c r="A830" s="3">
        <v>43922</v>
      </c>
      <c r="B830" s="2" t="s">
        <v>101</v>
      </c>
      <c r="C830" s="2">
        <v>1.86</v>
      </c>
      <c r="D830" s="2">
        <v>9.9299999999999999E-2</v>
      </c>
      <c r="E830" s="2">
        <v>1.84698E-3</v>
      </c>
      <c r="F830" s="2" t="s">
        <v>7</v>
      </c>
    </row>
    <row r="831" spans="1:6" ht="22.5" hidden="1" customHeight="1" x14ac:dyDescent="0.25">
      <c r="A831" s="3">
        <v>43922</v>
      </c>
      <c r="B831" s="2" t="s">
        <v>102</v>
      </c>
      <c r="C831" s="2">
        <v>-1.18</v>
      </c>
      <c r="D831" s="2">
        <v>4.4400000000000002E-2</v>
      </c>
      <c r="E831" s="2">
        <v>-5.2391999999999998E-4</v>
      </c>
      <c r="F831" s="2" t="s">
        <v>7</v>
      </c>
    </row>
    <row r="832" spans="1:6" ht="22.5" hidden="1" customHeight="1" x14ac:dyDescent="0.25">
      <c r="A832" s="3">
        <v>43922</v>
      </c>
      <c r="B832" s="2" t="s">
        <v>103</v>
      </c>
      <c r="C832" s="2">
        <v>0.51</v>
      </c>
      <c r="D832" s="2">
        <v>0.29720000000000002</v>
      </c>
      <c r="E832" s="2">
        <v>1.5157199999999999E-3</v>
      </c>
      <c r="F832" s="2" t="s">
        <v>7</v>
      </c>
    </row>
    <row r="833" spans="1:6" ht="22.5" hidden="1" customHeight="1" x14ac:dyDescent="0.25">
      <c r="A833" s="3">
        <v>43922</v>
      </c>
      <c r="B833" s="2" t="s">
        <v>104</v>
      </c>
      <c r="C833" s="2">
        <v>0.39</v>
      </c>
      <c r="D833" s="2">
        <v>5.3199999999999997E-2</v>
      </c>
      <c r="E833" s="2">
        <v>2.0748000000000001E-4</v>
      </c>
      <c r="F833" s="2" t="s">
        <v>7</v>
      </c>
    </row>
    <row r="834" spans="1:6" ht="22.5" hidden="1" customHeight="1" x14ac:dyDescent="0.25">
      <c r="A834" s="3">
        <v>43922</v>
      </c>
      <c r="B834" s="2" t="s">
        <v>105</v>
      </c>
      <c r="C834" s="2">
        <v>0.7</v>
      </c>
      <c r="D834" s="2">
        <v>8.8999999999999999E-3</v>
      </c>
      <c r="E834" s="2">
        <v>6.2299999999999996E-5</v>
      </c>
      <c r="F834" s="2" t="s">
        <v>7</v>
      </c>
    </row>
    <row r="835" spans="1:6" ht="22.5" hidden="1" customHeight="1" x14ac:dyDescent="0.25">
      <c r="A835" s="3">
        <v>43922</v>
      </c>
      <c r="B835" s="2" t="s">
        <v>106</v>
      </c>
      <c r="C835" s="2">
        <v>-4.5999999999999996</v>
      </c>
      <c r="D835" s="2">
        <v>9.1000000000000004E-3</v>
      </c>
      <c r="E835" s="2">
        <v>-4.1859999999999998E-4</v>
      </c>
      <c r="F835" s="2" t="s">
        <v>7</v>
      </c>
    </row>
    <row r="836" spans="1:6" ht="22.5" hidden="1" customHeight="1" x14ac:dyDescent="0.25">
      <c r="A836" s="3">
        <v>43922</v>
      </c>
      <c r="B836" s="2" t="s">
        <v>107</v>
      </c>
      <c r="C836" s="2">
        <v>-0.92</v>
      </c>
      <c r="D836" s="2">
        <v>0.1177</v>
      </c>
      <c r="E836" s="2">
        <v>-1.0828400000000001E-3</v>
      </c>
      <c r="F836" s="2" t="s">
        <v>7</v>
      </c>
    </row>
    <row r="837" spans="1:6" ht="22.5" hidden="1" customHeight="1" x14ac:dyDescent="0.25">
      <c r="A837" s="3">
        <v>43922</v>
      </c>
      <c r="B837" s="2" t="s">
        <v>108</v>
      </c>
      <c r="C837" s="2">
        <v>-3.14</v>
      </c>
      <c r="D837" s="2">
        <v>8.0000000000000002E-3</v>
      </c>
      <c r="E837" s="2">
        <v>-2.5119999999999998E-4</v>
      </c>
      <c r="F837" s="2" t="s">
        <v>7</v>
      </c>
    </row>
    <row r="838" spans="1:6" ht="22.5" hidden="1" customHeight="1" x14ac:dyDescent="0.25">
      <c r="A838" s="3">
        <v>43922</v>
      </c>
      <c r="B838" s="2" t="s">
        <v>109</v>
      </c>
      <c r="C838" s="2">
        <v>1.74</v>
      </c>
      <c r="D838" s="2">
        <v>0.32569999999999999</v>
      </c>
      <c r="E838" s="2">
        <v>5.66718E-3</v>
      </c>
      <c r="F838" s="2" t="s">
        <v>7</v>
      </c>
    </row>
    <row r="839" spans="1:6" ht="22.5" hidden="1" customHeight="1" x14ac:dyDescent="0.25">
      <c r="A839" s="3">
        <v>43922</v>
      </c>
      <c r="B839" s="2" t="s">
        <v>110</v>
      </c>
      <c r="C839" s="2">
        <v>1.85</v>
      </c>
      <c r="D839" s="2">
        <v>0.56210000000000004</v>
      </c>
      <c r="E839" s="2">
        <v>1.0398849999999999E-2</v>
      </c>
      <c r="F839" s="2" t="s">
        <v>7</v>
      </c>
    </row>
    <row r="840" spans="1:6" ht="22.5" hidden="1" customHeight="1" x14ac:dyDescent="0.25">
      <c r="A840" s="3">
        <v>43922</v>
      </c>
      <c r="B840" s="2" t="s">
        <v>111</v>
      </c>
      <c r="C840" s="2">
        <v>6.96</v>
      </c>
      <c r="D840" s="2">
        <v>0.2336</v>
      </c>
      <c r="E840" s="2">
        <v>1.6258559999999998E-2</v>
      </c>
      <c r="F840" s="2" t="s">
        <v>7</v>
      </c>
    </row>
    <row r="841" spans="1:6" ht="22.5" hidden="1" customHeight="1" x14ac:dyDescent="0.25">
      <c r="A841" s="3">
        <v>43922</v>
      </c>
      <c r="B841" s="2" t="s">
        <v>112</v>
      </c>
      <c r="C841" s="2">
        <v>8.19</v>
      </c>
      <c r="D841" s="2">
        <v>0.61599999999999999</v>
      </c>
      <c r="E841" s="2">
        <v>5.0450399999999999E-2</v>
      </c>
      <c r="F841" s="2" t="s">
        <v>7</v>
      </c>
    </row>
    <row r="842" spans="1:6" ht="22.5" hidden="1" customHeight="1" x14ac:dyDescent="0.25">
      <c r="A842" s="3">
        <v>43922</v>
      </c>
      <c r="B842" s="2" t="s">
        <v>113</v>
      </c>
      <c r="C842" s="2">
        <v>1.63</v>
      </c>
      <c r="D842" s="2">
        <v>1.9699999999999999E-2</v>
      </c>
      <c r="E842" s="2">
        <v>3.2110999999999999E-4</v>
      </c>
      <c r="F842" s="2" t="s">
        <v>7</v>
      </c>
    </row>
    <row r="843" spans="1:6" ht="22.5" hidden="1" customHeight="1" x14ac:dyDescent="0.25">
      <c r="A843" s="3">
        <v>43922</v>
      </c>
      <c r="B843" s="2" t="s">
        <v>114</v>
      </c>
      <c r="C843" s="2">
        <v>1.71</v>
      </c>
      <c r="D843" s="2">
        <v>0.1794</v>
      </c>
      <c r="E843" s="2">
        <v>3.0677399999999998E-3</v>
      </c>
      <c r="F843" s="2" t="s">
        <v>7</v>
      </c>
    </row>
    <row r="844" spans="1:6" ht="22.5" hidden="1" customHeight="1" x14ac:dyDescent="0.25">
      <c r="A844" s="3">
        <v>43922</v>
      </c>
      <c r="B844" s="2" t="s">
        <v>115</v>
      </c>
      <c r="C844" s="2">
        <v>-0.19</v>
      </c>
      <c r="D844" s="2">
        <v>0.50349999999999995</v>
      </c>
      <c r="E844" s="2">
        <v>-9.5664999999999997E-4</v>
      </c>
      <c r="F844" s="2" t="s">
        <v>7</v>
      </c>
    </row>
    <row r="845" spans="1:6" ht="22.5" hidden="1" customHeight="1" x14ac:dyDescent="0.25">
      <c r="A845" s="3">
        <v>43922</v>
      </c>
      <c r="B845" s="2" t="s">
        <v>116</v>
      </c>
      <c r="C845" s="2">
        <v>-0.03</v>
      </c>
      <c r="D845" s="2">
        <v>0.15110000000000001</v>
      </c>
      <c r="E845" s="2">
        <v>-4.5330000000000001E-5</v>
      </c>
      <c r="F845" s="2" t="s">
        <v>7</v>
      </c>
    </row>
    <row r="846" spans="1:6" ht="22.5" hidden="1" customHeight="1" x14ac:dyDescent="0.25">
      <c r="A846" s="3">
        <v>43922</v>
      </c>
      <c r="B846" s="2" t="s">
        <v>117</v>
      </c>
      <c r="C846" s="2">
        <v>0.32</v>
      </c>
      <c r="D846" s="2">
        <v>5.16E-2</v>
      </c>
      <c r="E846" s="2">
        <v>1.6511999999999999E-4</v>
      </c>
      <c r="F846" s="2" t="s">
        <v>7</v>
      </c>
    </row>
    <row r="847" spans="1:6" ht="22.5" hidden="1" customHeight="1" x14ac:dyDescent="0.25">
      <c r="A847" s="3">
        <v>43922</v>
      </c>
      <c r="B847" s="2" t="s">
        <v>118</v>
      </c>
      <c r="C847" s="2">
        <v>1.37</v>
      </c>
      <c r="D847" s="2">
        <v>6.1199999999999997E-2</v>
      </c>
      <c r="E847" s="2">
        <v>8.3843999999999998E-4</v>
      </c>
      <c r="F847" s="2" t="s">
        <v>7</v>
      </c>
    </row>
    <row r="848" spans="1:6" ht="22.5" hidden="1" customHeight="1" x14ac:dyDescent="0.25">
      <c r="A848" s="3">
        <v>43922</v>
      </c>
      <c r="B848" s="2" t="s">
        <v>119</v>
      </c>
      <c r="C848" s="2">
        <v>-0.83</v>
      </c>
      <c r="D848" s="2">
        <v>1.0500000000000001E-2</v>
      </c>
      <c r="E848" s="2">
        <v>-8.7150000000000004E-5</v>
      </c>
      <c r="F848" s="2" t="s">
        <v>7</v>
      </c>
    </row>
    <row r="849" spans="1:6" ht="22.5" hidden="1" customHeight="1" x14ac:dyDescent="0.25">
      <c r="A849" s="3">
        <v>43922</v>
      </c>
      <c r="B849" s="2" t="s">
        <v>120</v>
      </c>
      <c r="C849" s="2">
        <v>1.1000000000000001</v>
      </c>
      <c r="D849" s="2">
        <v>0.43690000000000001</v>
      </c>
      <c r="E849" s="2">
        <v>4.8059000000000001E-3</v>
      </c>
      <c r="F849" s="2" t="s">
        <v>7</v>
      </c>
    </row>
    <row r="850" spans="1:6" ht="22.5" hidden="1" customHeight="1" x14ac:dyDescent="0.25">
      <c r="A850" s="3">
        <v>43922</v>
      </c>
      <c r="B850" s="2" t="s">
        <v>121</v>
      </c>
      <c r="C850" s="2">
        <v>0.28999999999999998</v>
      </c>
      <c r="D850" s="2">
        <v>0.79900000000000004</v>
      </c>
      <c r="E850" s="2">
        <v>2.3170999999999999E-3</v>
      </c>
      <c r="F850" s="2" t="s">
        <v>7</v>
      </c>
    </row>
    <row r="851" spans="1:6" ht="22.5" hidden="1" customHeight="1" x14ac:dyDescent="0.25">
      <c r="A851" s="3">
        <v>43922</v>
      </c>
      <c r="B851" s="2" t="s">
        <v>122</v>
      </c>
      <c r="C851" s="2">
        <v>2.68</v>
      </c>
      <c r="D851" s="2">
        <v>8.3599999999999994E-2</v>
      </c>
      <c r="E851" s="2">
        <v>2.24048E-3</v>
      </c>
      <c r="F851" s="2" t="s">
        <v>7</v>
      </c>
    </row>
    <row r="852" spans="1:6" ht="22.5" hidden="1" customHeight="1" x14ac:dyDescent="0.25">
      <c r="A852" s="3">
        <v>43922</v>
      </c>
      <c r="B852" s="2" t="s">
        <v>123</v>
      </c>
      <c r="C852" s="2">
        <v>0.32</v>
      </c>
      <c r="D852" s="2">
        <v>9.6299999999999997E-2</v>
      </c>
      <c r="E852" s="2">
        <v>3.0815999999999998E-4</v>
      </c>
      <c r="F852" s="2" t="s">
        <v>7</v>
      </c>
    </row>
    <row r="853" spans="1:6" ht="22.5" hidden="1" customHeight="1" x14ac:dyDescent="0.25">
      <c r="A853" s="3">
        <v>43922</v>
      </c>
      <c r="B853" s="2" t="s">
        <v>124</v>
      </c>
      <c r="C853" s="2">
        <v>2.16</v>
      </c>
      <c r="D853" s="2">
        <v>0.13719999999999999</v>
      </c>
      <c r="E853" s="2">
        <v>2.9635199999999999E-3</v>
      </c>
      <c r="F853" s="2" t="s">
        <v>7</v>
      </c>
    </row>
    <row r="854" spans="1:6" ht="22.5" hidden="1" customHeight="1" x14ac:dyDescent="0.25">
      <c r="A854" s="3">
        <v>43922</v>
      </c>
      <c r="B854" s="2" t="s">
        <v>125</v>
      </c>
      <c r="C854" s="2">
        <v>3.31</v>
      </c>
      <c r="D854" s="2">
        <v>2.9399999999999999E-2</v>
      </c>
      <c r="E854" s="2">
        <v>9.7314000000000005E-4</v>
      </c>
      <c r="F854" s="2" t="s">
        <v>7</v>
      </c>
    </row>
    <row r="855" spans="1:6" ht="22.5" hidden="1" customHeight="1" x14ac:dyDescent="0.25">
      <c r="A855" s="3">
        <v>43922</v>
      </c>
      <c r="B855" s="2" t="s">
        <v>126</v>
      </c>
      <c r="C855" s="2">
        <v>1.59</v>
      </c>
      <c r="D855" s="2">
        <v>0.17829999999999999</v>
      </c>
      <c r="E855" s="2">
        <v>2.83497E-3</v>
      </c>
      <c r="F855" s="2" t="s">
        <v>7</v>
      </c>
    </row>
    <row r="856" spans="1:6" ht="22.5" hidden="1" customHeight="1" x14ac:dyDescent="0.25">
      <c r="A856" s="3">
        <v>43922</v>
      </c>
      <c r="B856" s="2" t="s">
        <v>127</v>
      </c>
      <c r="C856" s="2">
        <v>1.41</v>
      </c>
      <c r="D856" s="2">
        <v>0.06</v>
      </c>
      <c r="E856" s="2">
        <v>8.4599999999999996E-4</v>
      </c>
      <c r="F856" s="2" t="s">
        <v>7</v>
      </c>
    </row>
    <row r="857" spans="1:6" ht="22.5" hidden="1" customHeight="1" x14ac:dyDescent="0.25">
      <c r="A857" s="3">
        <v>43922</v>
      </c>
      <c r="B857" s="2" t="s">
        <v>128</v>
      </c>
      <c r="C857" s="2">
        <v>-1.32</v>
      </c>
      <c r="D857" s="2">
        <v>9.1700000000000004E-2</v>
      </c>
      <c r="E857" s="2">
        <v>-1.2104399999999999E-3</v>
      </c>
      <c r="F857" s="2" t="s">
        <v>7</v>
      </c>
    </row>
    <row r="858" spans="1:6" ht="22.5" hidden="1" customHeight="1" x14ac:dyDescent="0.25">
      <c r="A858" s="3">
        <v>43922</v>
      </c>
      <c r="B858" s="2" t="s">
        <v>129</v>
      </c>
      <c r="C858" s="2">
        <v>3.19</v>
      </c>
      <c r="D858" s="2">
        <v>0.12920000000000001</v>
      </c>
      <c r="E858" s="2">
        <v>4.1214800000000003E-3</v>
      </c>
      <c r="F858" s="2" t="s">
        <v>7</v>
      </c>
    </row>
    <row r="859" spans="1:6" ht="22.5" hidden="1" customHeight="1" x14ac:dyDescent="0.25">
      <c r="A859" s="3">
        <v>43922</v>
      </c>
      <c r="B859" s="2" t="s">
        <v>130</v>
      </c>
      <c r="C859" s="2">
        <v>0.98</v>
      </c>
      <c r="D859" s="2">
        <v>1.34E-2</v>
      </c>
      <c r="E859" s="2">
        <v>1.3132000000000001E-4</v>
      </c>
      <c r="F859" s="2" t="s">
        <v>7</v>
      </c>
    </row>
    <row r="860" spans="1:6" ht="22.5" hidden="1" customHeight="1" x14ac:dyDescent="0.25">
      <c r="A860" s="3">
        <v>43922</v>
      </c>
      <c r="B860" s="2" t="s">
        <v>131</v>
      </c>
      <c r="C860" s="2">
        <v>4.45</v>
      </c>
      <c r="D860" s="2">
        <v>6.25E-2</v>
      </c>
      <c r="E860" s="2">
        <v>2.7812499999999999E-3</v>
      </c>
      <c r="F860" s="2" t="s">
        <v>7</v>
      </c>
    </row>
    <row r="861" spans="1:6" ht="22.5" hidden="1" customHeight="1" x14ac:dyDescent="0.25">
      <c r="A861" s="3">
        <v>43922</v>
      </c>
      <c r="B861" s="2" t="s">
        <v>132</v>
      </c>
      <c r="C861" s="2">
        <v>2.17</v>
      </c>
      <c r="D861" s="2">
        <v>0.27960000000000002</v>
      </c>
      <c r="E861" s="2">
        <v>6.0673200000000002E-3</v>
      </c>
      <c r="F861" s="2" t="s">
        <v>7</v>
      </c>
    </row>
    <row r="862" spans="1:6" ht="22.5" hidden="1" customHeight="1" x14ac:dyDescent="0.25">
      <c r="A862" s="3">
        <v>43922</v>
      </c>
      <c r="B862" s="2" t="s">
        <v>133</v>
      </c>
      <c r="C862" s="2">
        <v>8.25</v>
      </c>
      <c r="D862" s="2">
        <v>8.2000000000000007E-3</v>
      </c>
      <c r="E862" s="2">
        <v>6.7650000000000002E-4</v>
      </c>
      <c r="F862" s="2" t="s">
        <v>7</v>
      </c>
    </row>
    <row r="863" spans="1:6" ht="22.5" hidden="1" customHeight="1" x14ac:dyDescent="0.25">
      <c r="A863" s="3">
        <v>43922</v>
      </c>
      <c r="B863" s="2" t="s">
        <v>134</v>
      </c>
      <c r="C863" s="2">
        <v>2.64</v>
      </c>
      <c r="D863" s="2">
        <v>0.50449999999999995</v>
      </c>
      <c r="E863" s="2">
        <v>1.33188E-2</v>
      </c>
      <c r="F863" s="2" t="s">
        <v>7</v>
      </c>
    </row>
    <row r="864" spans="1:6" ht="22.5" hidden="1" customHeight="1" x14ac:dyDescent="0.25">
      <c r="A864" s="3">
        <v>43922</v>
      </c>
      <c r="B864" s="2" t="s">
        <v>135</v>
      </c>
      <c r="C864" s="2">
        <v>2.44</v>
      </c>
      <c r="D864" s="2">
        <v>0.40339999999999998</v>
      </c>
      <c r="E864" s="2">
        <v>9.8429599999999996E-3</v>
      </c>
      <c r="F864" s="2" t="s">
        <v>7</v>
      </c>
    </row>
    <row r="865" spans="1:6" ht="22.5" hidden="1" customHeight="1" x14ac:dyDescent="0.25">
      <c r="A865" s="3">
        <v>43922</v>
      </c>
      <c r="B865" s="2" t="s">
        <v>136</v>
      </c>
      <c r="C865" s="2">
        <v>0.6</v>
      </c>
      <c r="D865" s="2">
        <v>3.6900000000000002E-2</v>
      </c>
      <c r="E865" s="2">
        <v>2.2139999999999999E-4</v>
      </c>
      <c r="F865" s="2" t="s">
        <v>7</v>
      </c>
    </row>
    <row r="866" spans="1:6" ht="22.5" hidden="1" customHeight="1" x14ac:dyDescent="0.25">
      <c r="A866" s="3">
        <v>43922</v>
      </c>
      <c r="B866" s="2" t="s">
        <v>137</v>
      </c>
      <c r="C866" s="2">
        <v>2.65</v>
      </c>
      <c r="D866" s="2">
        <v>6.9800000000000001E-2</v>
      </c>
      <c r="E866" s="2">
        <v>1.8496999999999999E-3</v>
      </c>
      <c r="F866" s="2" t="s">
        <v>7</v>
      </c>
    </row>
    <row r="867" spans="1:6" ht="22.5" hidden="1" customHeight="1" x14ac:dyDescent="0.25">
      <c r="A867" s="3">
        <v>43922</v>
      </c>
      <c r="B867" s="2" t="s">
        <v>138</v>
      </c>
      <c r="C867" s="2">
        <v>0.81</v>
      </c>
      <c r="D867" s="2">
        <v>4.8500000000000001E-2</v>
      </c>
      <c r="E867" s="2">
        <v>3.9284999999999998E-4</v>
      </c>
      <c r="F867" s="2" t="s">
        <v>7</v>
      </c>
    </row>
    <row r="868" spans="1:6" ht="22.5" hidden="1" customHeight="1" x14ac:dyDescent="0.25">
      <c r="A868" s="3">
        <v>43922</v>
      </c>
      <c r="B868" s="2" t="s">
        <v>139</v>
      </c>
      <c r="C868" s="2">
        <v>2.67</v>
      </c>
      <c r="D868" s="2">
        <v>2.58E-2</v>
      </c>
      <c r="E868" s="2">
        <v>6.8886000000000001E-4</v>
      </c>
      <c r="F868" s="2" t="s">
        <v>7</v>
      </c>
    </row>
    <row r="869" spans="1:6" ht="22.5" hidden="1" customHeight="1" x14ac:dyDescent="0.25">
      <c r="A869" s="3">
        <v>43922</v>
      </c>
      <c r="B869" s="2" t="s">
        <v>140</v>
      </c>
      <c r="C869" s="2">
        <v>9.27</v>
      </c>
      <c r="D869" s="2">
        <v>2.0999999999999999E-3</v>
      </c>
      <c r="E869" s="2">
        <v>1.9467E-4</v>
      </c>
      <c r="F869" s="2" t="s">
        <v>7</v>
      </c>
    </row>
    <row r="870" spans="1:6" ht="22.5" hidden="1" customHeight="1" x14ac:dyDescent="0.25">
      <c r="A870" s="3">
        <v>43922</v>
      </c>
      <c r="B870" s="2" t="s">
        <v>141</v>
      </c>
      <c r="C870" s="2">
        <v>-0.44</v>
      </c>
      <c r="D870" s="2">
        <v>1.9099999999999999E-2</v>
      </c>
      <c r="E870" s="2">
        <v>-8.4040000000000002E-5</v>
      </c>
      <c r="F870" s="2" t="s">
        <v>7</v>
      </c>
    </row>
    <row r="871" spans="1:6" ht="22.5" hidden="1" customHeight="1" x14ac:dyDescent="0.25">
      <c r="A871" s="3">
        <v>43922</v>
      </c>
      <c r="B871" s="2" t="s">
        <v>142</v>
      </c>
      <c r="C871" s="2">
        <v>7.37</v>
      </c>
      <c r="D871" s="2">
        <v>4.1999999999999997E-3</v>
      </c>
      <c r="E871" s="2">
        <v>3.0954000000000002E-4</v>
      </c>
      <c r="F871" s="2" t="s">
        <v>7</v>
      </c>
    </row>
    <row r="872" spans="1:6" ht="22.5" hidden="1" customHeight="1" x14ac:dyDescent="0.25">
      <c r="A872" s="3">
        <v>43922</v>
      </c>
      <c r="B872" s="2" t="s">
        <v>143</v>
      </c>
      <c r="C872" s="2">
        <v>1.25</v>
      </c>
      <c r="D872" s="2">
        <v>3.7100000000000001E-2</v>
      </c>
      <c r="E872" s="2">
        <v>4.6375000000000002E-4</v>
      </c>
      <c r="F872" s="2" t="s">
        <v>7</v>
      </c>
    </row>
    <row r="873" spans="1:6" ht="22.5" hidden="1" customHeight="1" x14ac:dyDescent="0.25">
      <c r="A873" s="3">
        <v>43922</v>
      </c>
      <c r="B873" s="2" t="s">
        <v>144</v>
      </c>
      <c r="C873" s="2">
        <v>0.74</v>
      </c>
      <c r="D873" s="2">
        <v>1.4E-3</v>
      </c>
      <c r="E873" s="2">
        <v>1.0360000000000001E-5</v>
      </c>
      <c r="F873" s="2" t="s">
        <v>7</v>
      </c>
    </row>
    <row r="874" spans="1:6" ht="22.5" hidden="1" customHeight="1" x14ac:dyDescent="0.25">
      <c r="A874" s="3">
        <v>43922</v>
      </c>
      <c r="B874" s="2" t="s">
        <v>145</v>
      </c>
      <c r="C874" s="2">
        <v>-0.33</v>
      </c>
      <c r="D874" s="2">
        <v>1.6000000000000001E-3</v>
      </c>
      <c r="E874" s="2">
        <v>-5.2800000000000003E-6</v>
      </c>
      <c r="F874" s="2" t="s">
        <v>7</v>
      </c>
    </row>
    <row r="875" spans="1:6" ht="22.5" hidden="1" customHeight="1" x14ac:dyDescent="0.25">
      <c r="A875" s="3">
        <v>43922</v>
      </c>
      <c r="B875" s="2" t="s">
        <v>146</v>
      </c>
      <c r="C875" s="2">
        <v>0.77</v>
      </c>
      <c r="D875" s="2">
        <v>3.1800000000000002E-2</v>
      </c>
      <c r="E875" s="2">
        <v>2.4486000000000001E-4</v>
      </c>
      <c r="F875" s="2" t="s">
        <v>7</v>
      </c>
    </row>
    <row r="876" spans="1:6" ht="22.5" hidden="1" customHeight="1" x14ac:dyDescent="0.25">
      <c r="A876" s="3">
        <v>43922</v>
      </c>
      <c r="B876" s="2" t="s">
        <v>147</v>
      </c>
      <c r="C876" s="2">
        <v>1.46</v>
      </c>
      <c r="D876" s="2">
        <v>2.5700000000000001E-2</v>
      </c>
      <c r="E876" s="2">
        <v>3.7522E-4</v>
      </c>
      <c r="F876" s="2" t="s">
        <v>7</v>
      </c>
    </row>
    <row r="877" spans="1:6" ht="22.5" hidden="1" customHeight="1" x14ac:dyDescent="0.25">
      <c r="A877" s="3">
        <v>43922</v>
      </c>
      <c r="B877" s="2" t="s">
        <v>148</v>
      </c>
      <c r="C877" s="2">
        <v>0.84</v>
      </c>
      <c r="D877" s="2">
        <v>2.1999999999999999E-2</v>
      </c>
      <c r="E877" s="2">
        <v>1.8479999999999999E-4</v>
      </c>
      <c r="F877" s="2" t="s">
        <v>7</v>
      </c>
    </row>
    <row r="878" spans="1:6" ht="22.5" hidden="1" customHeight="1" x14ac:dyDescent="0.25">
      <c r="A878" s="3">
        <v>43922</v>
      </c>
      <c r="B878" s="2" t="s">
        <v>149</v>
      </c>
      <c r="C878" s="2">
        <v>0.99</v>
      </c>
      <c r="D878" s="2">
        <v>2.5000000000000001E-3</v>
      </c>
      <c r="E878" s="2">
        <v>2.4749999999999999E-5</v>
      </c>
      <c r="F878" s="2" t="s">
        <v>7</v>
      </c>
    </row>
    <row r="879" spans="1:6" ht="22.5" hidden="1" customHeight="1" x14ac:dyDescent="0.25">
      <c r="A879" s="3">
        <v>43922</v>
      </c>
      <c r="B879" s="2" t="s">
        <v>150</v>
      </c>
      <c r="C879" s="2">
        <v>2.08</v>
      </c>
      <c r="D879" s="2">
        <v>0.1109</v>
      </c>
      <c r="E879" s="2">
        <v>2.30672E-3</v>
      </c>
      <c r="F879" s="2" t="s">
        <v>7</v>
      </c>
    </row>
    <row r="880" spans="1:6" ht="22.5" hidden="1" customHeight="1" x14ac:dyDescent="0.25">
      <c r="A880" s="3">
        <v>43922</v>
      </c>
      <c r="B880" s="2" t="s">
        <v>151</v>
      </c>
      <c r="C880" s="2">
        <v>13.51</v>
      </c>
      <c r="D880" s="2">
        <v>0.1169</v>
      </c>
      <c r="E880" s="2">
        <v>1.5793189999999999E-2</v>
      </c>
      <c r="F880" s="2" t="s">
        <v>7</v>
      </c>
    </row>
    <row r="881" spans="1:6" ht="22.5" hidden="1" customHeight="1" x14ac:dyDescent="0.25">
      <c r="A881" s="3">
        <v>43922</v>
      </c>
      <c r="B881" s="2" t="s">
        <v>152</v>
      </c>
      <c r="C881" s="2">
        <v>0.98</v>
      </c>
      <c r="D881" s="2">
        <v>3.0999999999999999E-3</v>
      </c>
      <c r="E881" s="2">
        <v>3.0380000000000001E-5</v>
      </c>
      <c r="F881" s="2" t="s">
        <v>7</v>
      </c>
    </row>
    <row r="882" spans="1:6" ht="22.5" hidden="1" customHeight="1" x14ac:dyDescent="0.25">
      <c r="A882" s="3">
        <v>43922</v>
      </c>
      <c r="B882" s="2" t="s">
        <v>153</v>
      </c>
      <c r="C882" s="2">
        <v>-0.39</v>
      </c>
      <c r="D882" s="2">
        <v>8.9999999999999998E-4</v>
      </c>
      <c r="E882" s="2">
        <v>-3.5099999999999999E-6</v>
      </c>
      <c r="F882" s="2" t="s">
        <v>7</v>
      </c>
    </row>
    <row r="883" spans="1:6" ht="22.5" hidden="1" customHeight="1" x14ac:dyDescent="0.25">
      <c r="A883" s="3">
        <v>43922</v>
      </c>
      <c r="B883" s="2" t="s">
        <v>154</v>
      </c>
      <c r="C883" s="2">
        <v>3.87</v>
      </c>
      <c r="D883" s="2">
        <v>1.1000000000000001E-3</v>
      </c>
      <c r="E883" s="2">
        <v>4.2570000000000001E-5</v>
      </c>
      <c r="F883" s="2" t="s">
        <v>7</v>
      </c>
    </row>
    <row r="884" spans="1:6" ht="22.5" hidden="1" customHeight="1" x14ac:dyDescent="0.25">
      <c r="A884" s="3">
        <v>43922</v>
      </c>
      <c r="B884" s="2" t="s">
        <v>155</v>
      </c>
      <c r="C884" s="2">
        <v>2.61</v>
      </c>
      <c r="D884" s="2">
        <v>5.7000000000000002E-3</v>
      </c>
      <c r="E884" s="2">
        <v>1.4877E-4</v>
      </c>
      <c r="F884" s="2" t="s">
        <v>7</v>
      </c>
    </row>
    <row r="885" spans="1:6" ht="22.5" hidden="1" customHeight="1" x14ac:dyDescent="0.25">
      <c r="A885" s="3">
        <v>43922</v>
      </c>
      <c r="B885" s="2" t="s">
        <v>156</v>
      </c>
      <c r="C885" s="2">
        <v>0.67</v>
      </c>
      <c r="D885" s="2">
        <v>4.41E-2</v>
      </c>
      <c r="E885" s="2">
        <v>2.9546999999999999E-4</v>
      </c>
      <c r="F885" s="2" t="s">
        <v>7</v>
      </c>
    </row>
    <row r="886" spans="1:6" ht="22.5" hidden="1" customHeight="1" x14ac:dyDescent="0.25">
      <c r="A886" s="3">
        <v>43922</v>
      </c>
      <c r="B886" s="2" t="s">
        <v>157</v>
      </c>
      <c r="C886" s="2">
        <v>1.77</v>
      </c>
      <c r="D886" s="2">
        <v>1.6799999999999999E-2</v>
      </c>
      <c r="E886" s="2">
        <v>2.9735999999999999E-4</v>
      </c>
      <c r="F886" s="2" t="s">
        <v>7</v>
      </c>
    </row>
    <row r="887" spans="1:6" ht="22.5" hidden="1" customHeight="1" x14ac:dyDescent="0.25">
      <c r="A887" s="3">
        <v>43922</v>
      </c>
      <c r="B887" s="2" t="s">
        <v>158</v>
      </c>
      <c r="C887" s="2">
        <v>1.88</v>
      </c>
      <c r="D887" s="2">
        <v>0.01</v>
      </c>
      <c r="E887" s="2">
        <v>1.8799999999999999E-4</v>
      </c>
      <c r="F887" s="2" t="s">
        <v>7</v>
      </c>
    </row>
    <row r="888" spans="1:6" ht="22.5" hidden="1" customHeight="1" x14ac:dyDescent="0.25">
      <c r="A888" s="3">
        <v>43922</v>
      </c>
      <c r="B888" s="2" t="s">
        <v>159</v>
      </c>
      <c r="C888" s="2">
        <v>1.85</v>
      </c>
      <c r="D888" s="2">
        <v>5.2699999999999997E-2</v>
      </c>
      <c r="E888" s="2">
        <v>9.7495000000000004E-4</v>
      </c>
      <c r="F888" s="2" t="s">
        <v>7</v>
      </c>
    </row>
    <row r="889" spans="1:6" ht="22.5" hidden="1" customHeight="1" x14ac:dyDescent="0.25">
      <c r="A889" s="3">
        <v>43922</v>
      </c>
      <c r="B889" s="2" t="s">
        <v>160</v>
      </c>
      <c r="C889" s="2">
        <v>0.05</v>
      </c>
      <c r="D889" s="2">
        <v>3.7924000000000002</v>
      </c>
      <c r="E889" s="2">
        <v>1.8962E-3</v>
      </c>
      <c r="F889" s="2" t="s">
        <v>7</v>
      </c>
    </row>
    <row r="890" spans="1:6" ht="22.5" hidden="1" customHeight="1" x14ac:dyDescent="0.25">
      <c r="A890" s="3">
        <v>43922</v>
      </c>
      <c r="B890" s="2" t="s">
        <v>161</v>
      </c>
      <c r="C890" s="2">
        <v>3.23</v>
      </c>
      <c r="D890" s="2">
        <v>1.6389</v>
      </c>
      <c r="E890" s="2">
        <v>5.2936469999999999E-2</v>
      </c>
      <c r="F890" s="2" t="s">
        <v>7</v>
      </c>
    </row>
    <row r="891" spans="1:6" ht="22.5" hidden="1" customHeight="1" x14ac:dyDescent="0.25">
      <c r="A891" s="3">
        <v>43922</v>
      </c>
      <c r="B891" s="2" t="s">
        <v>134</v>
      </c>
      <c r="C891" s="2">
        <v>0.74</v>
      </c>
      <c r="D891" s="2">
        <v>0.12509999999999999</v>
      </c>
      <c r="E891" s="2">
        <v>9.2573999999999998E-4</v>
      </c>
      <c r="F891" s="2" t="s">
        <v>7</v>
      </c>
    </row>
    <row r="892" spans="1:6" ht="22.5" hidden="1" customHeight="1" x14ac:dyDescent="0.25">
      <c r="A892" s="3">
        <v>43922</v>
      </c>
      <c r="B892" s="2" t="s">
        <v>162</v>
      </c>
      <c r="C892" s="2">
        <v>-1.77</v>
      </c>
      <c r="D892" s="2">
        <v>4.2299999999999997E-2</v>
      </c>
      <c r="E892" s="2">
        <v>-7.4870999999999998E-4</v>
      </c>
      <c r="F892" s="2" t="s">
        <v>7</v>
      </c>
    </row>
    <row r="893" spans="1:6" ht="22.5" hidden="1" customHeight="1" x14ac:dyDescent="0.25">
      <c r="A893" s="3">
        <v>43922</v>
      </c>
      <c r="B893" s="2" t="s">
        <v>135</v>
      </c>
      <c r="C893" s="2">
        <v>0.48</v>
      </c>
      <c r="D893" s="2">
        <v>0.29260000000000003</v>
      </c>
      <c r="E893" s="2">
        <v>1.4044800000000001E-3</v>
      </c>
      <c r="F893" s="2" t="s">
        <v>7</v>
      </c>
    </row>
    <row r="894" spans="1:6" ht="22.5" hidden="1" customHeight="1" x14ac:dyDescent="0.25">
      <c r="A894" s="3">
        <v>43922</v>
      </c>
      <c r="B894" s="2" t="s">
        <v>136</v>
      </c>
      <c r="C894" s="2">
        <v>0</v>
      </c>
      <c r="D894" s="2">
        <v>4.4999999999999997E-3</v>
      </c>
      <c r="E894" s="2">
        <v>0</v>
      </c>
      <c r="F894" s="2" t="s">
        <v>7</v>
      </c>
    </row>
    <row r="895" spans="1:6" ht="22.5" hidden="1" customHeight="1" x14ac:dyDescent="0.25">
      <c r="A895" s="3">
        <v>43922</v>
      </c>
      <c r="B895" s="2" t="s">
        <v>137</v>
      </c>
      <c r="C895" s="2">
        <v>-0.98</v>
      </c>
      <c r="D895" s="2">
        <v>8.2000000000000007E-3</v>
      </c>
      <c r="E895" s="2">
        <v>-8.0359999999999996E-5</v>
      </c>
      <c r="F895" s="2" t="s">
        <v>7</v>
      </c>
    </row>
    <row r="896" spans="1:6" ht="22.5" hidden="1" customHeight="1" x14ac:dyDescent="0.25">
      <c r="A896" s="3">
        <v>43922</v>
      </c>
      <c r="B896" s="2" t="s">
        <v>163</v>
      </c>
      <c r="C896" s="2">
        <v>2.98</v>
      </c>
      <c r="D896" s="2">
        <v>4.3E-3</v>
      </c>
      <c r="E896" s="2">
        <v>1.2814E-4</v>
      </c>
      <c r="F896" s="2" t="s">
        <v>7</v>
      </c>
    </row>
    <row r="897" spans="1:6" ht="22.5" hidden="1" customHeight="1" x14ac:dyDescent="0.25">
      <c r="A897" s="3">
        <v>43922</v>
      </c>
      <c r="B897" s="2" t="s">
        <v>34</v>
      </c>
      <c r="C897" s="2">
        <v>-1.08</v>
      </c>
      <c r="D897" s="2">
        <v>5.1900000000000002E-2</v>
      </c>
      <c r="E897" s="2">
        <v>-5.6052000000000001E-4</v>
      </c>
      <c r="F897" s="2" t="s">
        <v>7</v>
      </c>
    </row>
    <row r="898" spans="1:6" ht="22.5" hidden="1" customHeight="1" x14ac:dyDescent="0.25">
      <c r="A898" s="3">
        <v>43922</v>
      </c>
      <c r="B898" s="2" t="s">
        <v>164</v>
      </c>
      <c r="C898" s="2">
        <v>0.01</v>
      </c>
      <c r="D898" s="2">
        <v>3.8382999999999998</v>
      </c>
      <c r="E898" s="2">
        <v>3.8382999999999999E-4</v>
      </c>
      <c r="F898" s="2" t="s">
        <v>165</v>
      </c>
    </row>
    <row r="899" spans="1:6" ht="22.5" hidden="1" customHeight="1" x14ac:dyDescent="0.25">
      <c r="A899" s="3">
        <v>43922</v>
      </c>
      <c r="B899" s="2" t="s">
        <v>166</v>
      </c>
      <c r="C899" s="2">
        <v>0.38</v>
      </c>
      <c r="D899" s="2">
        <v>2.3881000000000001</v>
      </c>
      <c r="E899" s="2">
        <v>9.0747799999999993E-3</v>
      </c>
      <c r="F899" s="2" t="s">
        <v>165</v>
      </c>
    </row>
    <row r="900" spans="1:6" ht="22.5" hidden="1" customHeight="1" x14ac:dyDescent="0.25">
      <c r="A900" s="3">
        <v>44256</v>
      </c>
      <c r="B900" s="2" t="s">
        <v>286</v>
      </c>
      <c r="C900" s="2">
        <v>10.66</v>
      </c>
      <c r="D900" s="2">
        <v>0.18679999999999999</v>
      </c>
      <c r="E900" s="2">
        <v>1.9912880000000001E-2</v>
      </c>
      <c r="F900" s="2" t="s">
        <v>168</v>
      </c>
    </row>
    <row r="901" spans="1:6" ht="22.5" hidden="1" customHeight="1" x14ac:dyDescent="0.25">
      <c r="A901" s="3">
        <v>43922</v>
      </c>
      <c r="B901" s="2" t="s">
        <v>169</v>
      </c>
      <c r="C901" s="2">
        <v>2.34</v>
      </c>
      <c r="D901" s="2">
        <v>9.7000000000000003E-3</v>
      </c>
      <c r="E901" s="2">
        <v>2.2698E-4</v>
      </c>
      <c r="F901" s="2" t="s">
        <v>170</v>
      </c>
    </row>
    <row r="902" spans="1:6" ht="22.5" hidden="1" customHeight="1" x14ac:dyDescent="0.25">
      <c r="A902" s="3">
        <v>43922</v>
      </c>
      <c r="B902" s="2" t="s">
        <v>171</v>
      </c>
      <c r="C902" s="2">
        <v>-1.31</v>
      </c>
      <c r="D902" s="2">
        <v>1.4500000000000001E-2</v>
      </c>
      <c r="E902" s="2">
        <v>-1.8995000000000001E-4</v>
      </c>
      <c r="F902" s="2" t="s">
        <v>170</v>
      </c>
    </row>
    <row r="903" spans="1:6" ht="22.5" hidden="1" customHeight="1" x14ac:dyDescent="0.25">
      <c r="A903" s="3">
        <v>43922</v>
      </c>
      <c r="B903" s="2" t="s">
        <v>172</v>
      </c>
      <c r="C903" s="2">
        <v>2.4900000000000002</v>
      </c>
      <c r="D903" s="2">
        <v>3.5000000000000001E-3</v>
      </c>
      <c r="E903" s="2">
        <v>8.7150000000000004E-5</v>
      </c>
      <c r="F903" s="2" t="s">
        <v>170</v>
      </c>
    </row>
    <row r="904" spans="1:6" ht="22.5" hidden="1" customHeight="1" x14ac:dyDescent="0.25">
      <c r="A904" s="3">
        <v>43922</v>
      </c>
      <c r="B904" s="2" t="s">
        <v>173</v>
      </c>
      <c r="C904" s="2">
        <v>0.14000000000000001</v>
      </c>
      <c r="D904" s="2">
        <v>0.24890000000000001</v>
      </c>
      <c r="E904" s="2">
        <v>3.4845999999999998E-4</v>
      </c>
      <c r="F904" s="2" t="s">
        <v>174</v>
      </c>
    </row>
    <row r="905" spans="1:6" ht="22.5" hidden="1" customHeight="1" x14ac:dyDescent="0.25">
      <c r="A905" s="3">
        <v>43922</v>
      </c>
      <c r="B905" s="2" t="s">
        <v>175</v>
      </c>
      <c r="C905" s="2">
        <v>-0.56999999999999995</v>
      </c>
      <c r="D905" s="2">
        <v>0.21659999999999999</v>
      </c>
      <c r="E905" s="2">
        <v>-1.2346200000000001E-3</v>
      </c>
      <c r="F905" s="2" t="s">
        <v>174</v>
      </c>
    </row>
    <row r="906" spans="1:6" ht="22.5" hidden="1" customHeight="1" x14ac:dyDescent="0.25">
      <c r="A906" s="3">
        <v>43922</v>
      </c>
      <c r="B906" s="2" t="s">
        <v>176</v>
      </c>
      <c r="C906" s="2">
        <v>-1.95</v>
      </c>
      <c r="D906" s="2">
        <v>1.34E-2</v>
      </c>
      <c r="E906" s="2">
        <v>-2.6130000000000001E-4</v>
      </c>
      <c r="F906" s="2" t="s">
        <v>170</v>
      </c>
    </row>
    <row r="907" spans="1:6" ht="22.5" hidden="1" customHeight="1" x14ac:dyDescent="0.25">
      <c r="A907" s="3">
        <v>43922</v>
      </c>
      <c r="B907" s="2" t="s">
        <v>177</v>
      </c>
      <c r="C907" s="2">
        <v>0.2</v>
      </c>
      <c r="D907" s="2">
        <v>0.02</v>
      </c>
      <c r="E907" s="2">
        <v>4.0000000000000003E-5</v>
      </c>
      <c r="F907" s="2" t="s">
        <v>170</v>
      </c>
    </row>
    <row r="908" spans="1:6" ht="22.5" hidden="1" customHeight="1" x14ac:dyDescent="0.25">
      <c r="A908" s="3">
        <v>43922</v>
      </c>
      <c r="B908" s="2" t="s">
        <v>178</v>
      </c>
      <c r="C908" s="2">
        <v>-0.24</v>
      </c>
      <c r="D908" s="2">
        <v>1.72E-2</v>
      </c>
      <c r="E908" s="2">
        <v>-4.1279999999999998E-5</v>
      </c>
      <c r="F908" s="2" t="s">
        <v>170</v>
      </c>
    </row>
    <row r="909" spans="1:6" ht="22.5" hidden="1" customHeight="1" x14ac:dyDescent="0.25">
      <c r="A909" s="3">
        <v>43922</v>
      </c>
      <c r="B909" s="2" t="s">
        <v>179</v>
      </c>
      <c r="C909" s="2">
        <v>0.24</v>
      </c>
      <c r="D909" s="2">
        <v>3.6400000000000002E-2</v>
      </c>
      <c r="E909" s="2">
        <v>8.7360000000000004E-5</v>
      </c>
      <c r="F909" s="2" t="s">
        <v>170</v>
      </c>
    </row>
    <row r="910" spans="1:6" ht="22.5" hidden="1" customHeight="1" x14ac:dyDescent="0.25">
      <c r="A910" s="3">
        <v>43922</v>
      </c>
      <c r="B910" s="2" t="s">
        <v>180</v>
      </c>
      <c r="C910" s="2">
        <v>0.11</v>
      </c>
      <c r="D910" s="2">
        <v>0.67210000000000003</v>
      </c>
      <c r="E910" s="2">
        <v>7.3930999999999997E-4</v>
      </c>
      <c r="F910" s="2" t="s">
        <v>165</v>
      </c>
    </row>
    <row r="911" spans="1:6" ht="22.5" hidden="1" customHeight="1" x14ac:dyDescent="0.25">
      <c r="A911" s="3">
        <v>43922</v>
      </c>
      <c r="B911" s="2" t="s">
        <v>181</v>
      </c>
      <c r="C911" s="2">
        <v>-0.64</v>
      </c>
      <c r="D911" s="2">
        <v>1.2200000000000001E-2</v>
      </c>
      <c r="E911" s="2">
        <v>-7.8079999999999998E-5</v>
      </c>
      <c r="F911" s="2" t="s">
        <v>174</v>
      </c>
    </row>
    <row r="912" spans="1:6" ht="22.5" hidden="1" customHeight="1" x14ac:dyDescent="0.25">
      <c r="A912" s="3">
        <v>43922</v>
      </c>
      <c r="B912" s="2" t="s">
        <v>182</v>
      </c>
      <c r="C912" s="2">
        <v>-1.1100000000000001</v>
      </c>
      <c r="D912" s="2">
        <v>3.6700000000000003E-2</v>
      </c>
      <c r="E912" s="2">
        <v>-4.0737E-4</v>
      </c>
      <c r="F912" s="2" t="s">
        <v>170</v>
      </c>
    </row>
    <row r="913" spans="1:6" ht="22.5" hidden="1" customHeight="1" x14ac:dyDescent="0.25">
      <c r="A913" s="3">
        <v>43922</v>
      </c>
      <c r="B913" s="2" t="s">
        <v>183</v>
      </c>
      <c r="C913" s="2">
        <v>-0.98</v>
      </c>
      <c r="D913" s="2">
        <v>4.4000000000000003E-3</v>
      </c>
      <c r="E913" s="2">
        <v>-4.3120000000000001E-5</v>
      </c>
      <c r="F913" s="2" t="s">
        <v>174</v>
      </c>
    </row>
    <row r="914" spans="1:6" ht="22.5" hidden="1" customHeight="1" x14ac:dyDescent="0.25">
      <c r="A914" s="3">
        <v>43922</v>
      </c>
      <c r="B914" s="2" t="s">
        <v>184</v>
      </c>
      <c r="C914" s="2">
        <v>-0.8</v>
      </c>
      <c r="D914" s="2">
        <v>6.2799999999999995E-2</v>
      </c>
      <c r="E914" s="2">
        <v>-5.0239999999999996E-4</v>
      </c>
      <c r="F914" s="2" t="s">
        <v>174</v>
      </c>
    </row>
    <row r="915" spans="1:6" ht="22.5" hidden="1" customHeight="1" x14ac:dyDescent="0.25">
      <c r="A915" s="3">
        <v>43922</v>
      </c>
      <c r="B915" s="2" t="s">
        <v>185</v>
      </c>
      <c r="C915" s="2">
        <v>0.76</v>
      </c>
      <c r="D915" s="2">
        <v>0.14960000000000001</v>
      </c>
      <c r="E915" s="2">
        <v>1.13696E-3</v>
      </c>
      <c r="F915" s="2" t="s">
        <v>174</v>
      </c>
    </row>
    <row r="916" spans="1:6" ht="22.5" hidden="1" customHeight="1" x14ac:dyDescent="0.25">
      <c r="A916" s="3">
        <v>43922</v>
      </c>
      <c r="B916" s="2" t="s">
        <v>186</v>
      </c>
      <c r="C916" s="2">
        <v>-0.54</v>
      </c>
      <c r="D916" s="2">
        <v>0.2248</v>
      </c>
      <c r="E916" s="2">
        <v>-1.2139200000000001E-3</v>
      </c>
      <c r="F916" s="2" t="s">
        <v>174</v>
      </c>
    </row>
    <row r="917" spans="1:6" ht="22.5" hidden="1" customHeight="1" x14ac:dyDescent="0.25">
      <c r="A917" s="3">
        <v>43922</v>
      </c>
      <c r="B917" s="2" t="s">
        <v>187</v>
      </c>
      <c r="C917" s="2">
        <v>0.75</v>
      </c>
      <c r="D917" s="2">
        <v>6.1199999999999997E-2</v>
      </c>
      <c r="E917" s="2">
        <v>4.5899999999999999E-4</v>
      </c>
      <c r="F917" s="2" t="s">
        <v>174</v>
      </c>
    </row>
    <row r="918" spans="1:6" ht="22.5" hidden="1" customHeight="1" x14ac:dyDescent="0.25">
      <c r="A918" s="3">
        <v>43922</v>
      </c>
      <c r="B918" s="2" t="s">
        <v>188</v>
      </c>
      <c r="C918" s="2">
        <v>-0.83</v>
      </c>
      <c r="D918" s="2">
        <v>2.58E-2</v>
      </c>
      <c r="E918" s="2">
        <v>-2.1414000000000001E-4</v>
      </c>
      <c r="F918" s="2" t="s">
        <v>174</v>
      </c>
    </row>
    <row r="919" spans="1:6" ht="22.5" hidden="1" customHeight="1" x14ac:dyDescent="0.25">
      <c r="A919" s="3">
        <v>43922</v>
      </c>
      <c r="B919" s="2" t="s">
        <v>189</v>
      </c>
      <c r="C919" s="2">
        <v>2.13</v>
      </c>
      <c r="D919" s="2">
        <v>3.5999999999999999E-3</v>
      </c>
      <c r="E919" s="2">
        <v>7.6680000000000004E-5</v>
      </c>
      <c r="F919" s="2" t="s">
        <v>174</v>
      </c>
    </row>
    <row r="920" spans="1:6" ht="22.5" hidden="1" customHeight="1" x14ac:dyDescent="0.25">
      <c r="A920" s="3">
        <v>43922</v>
      </c>
      <c r="B920" s="2" t="s">
        <v>190</v>
      </c>
      <c r="C920" s="2">
        <v>-3.02</v>
      </c>
      <c r="D920" s="2">
        <v>5.1999999999999998E-3</v>
      </c>
      <c r="E920" s="2">
        <v>-1.5704E-4</v>
      </c>
      <c r="F920" s="2" t="s">
        <v>174</v>
      </c>
    </row>
    <row r="921" spans="1:6" ht="22.5" hidden="1" customHeight="1" x14ac:dyDescent="0.25">
      <c r="A921" s="3">
        <v>43922</v>
      </c>
      <c r="B921" s="2" t="s">
        <v>191</v>
      </c>
      <c r="C921" s="2">
        <v>-2.69</v>
      </c>
      <c r="D921" s="2">
        <v>2.75E-2</v>
      </c>
      <c r="E921" s="2">
        <v>-7.3974999999999996E-4</v>
      </c>
      <c r="F921" s="2" t="s">
        <v>174</v>
      </c>
    </row>
    <row r="922" spans="1:6" ht="22.5" hidden="1" customHeight="1" x14ac:dyDescent="0.25">
      <c r="A922" s="3">
        <v>43922</v>
      </c>
      <c r="B922" s="2" t="s">
        <v>192</v>
      </c>
      <c r="C922" s="2">
        <v>1.1399999999999999</v>
      </c>
      <c r="D922" s="2">
        <v>5.0000000000000001E-3</v>
      </c>
      <c r="E922" s="2">
        <v>5.7000000000000003E-5</v>
      </c>
      <c r="F922" s="2" t="s">
        <v>174</v>
      </c>
    </row>
    <row r="923" spans="1:6" ht="22.5" hidden="1" customHeight="1" x14ac:dyDescent="0.25">
      <c r="A923" s="3">
        <v>43922</v>
      </c>
      <c r="B923" s="2" t="s">
        <v>193</v>
      </c>
      <c r="C923" s="2">
        <v>1.1499999999999999</v>
      </c>
      <c r="D923" s="2">
        <v>0.16900000000000001</v>
      </c>
      <c r="E923" s="2">
        <v>1.9434999999999999E-3</v>
      </c>
      <c r="F923" s="2" t="s">
        <v>174</v>
      </c>
    </row>
    <row r="924" spans="1:6" ht="22.5" hidden="1" customHeight="1" x14ac:dyDescent="0.25">
      <c r="A924" s="3">
        <v>43922</v>
      </c>
      <c r="B924" s="2" t="s">
        <v>194</v>
      </c>
      <c r="C924" s="2">
        <v>-1.01</v>
      </c>
      <c r="D924" s="2">
        <v>3.3999999999999998E-3</v>
      </c>
      <c r="E924" s="2">
        <v>-3.434E-5</v>
      </c>
      <c r="F924" s="2" t="s">
        <v>174</v>
      </c>
    </row>
    <row r="925" spans="1:6" ht="22.5" hidden="1" customHeight="1" x14ac:dyDescent="0.25">
      <c r="A925" s="3">
        <v>44287</v>
      </c>
      <c r="B925" s="2" t="s">
        <v>197</v>
      </c>
      <c r="C925" s="2">
        <v>0.47</v>
      </c>
      <c r="D925" s="2">
        <v>4.2297000000000002</v>
      </c>
      <c r="E925" s="2">
        <v>1.9879589999999999E-2</v>
      </c>
      <c r="F925" s="2" t="s">
        <v>168</v>
      </c>
    </row>
    <row r="926" spans="1:6" ht="22.5" hidden="1" customHeight="1" x14ac:dyDescent="0.25">
      <c r="A926" s="3">
        <v>44075</v>
      </c>
      <c r="B926" s="2" t="s">
        <v>265</v>
      </c>
      <c r="C926" s="2">
        <v>6.11</v>
      </c>
      <c r="D926" s="2">
        <v>0.31940000000000002</v>
      </c>
      <c r="E926" s="2">
        <v>1.9515339999999999E-2</v>
      </c>
      <c r="F926" s="2" t="s">
        <v>168</v>
      </c>
    </row>
    <row r="927" spans="1:6" ht="22.5" hidden="1" customHeight="1" x14ac:dyDescent="0.25">
      <c r="A927" s="3">
        <v>43862</v>
      </c>
      <c r="B927" s="2" t="s">
        <v>285</v>
      </c>
      <c r="C927" s="2">
        <v>2.69</v>
      </c>
      <c r="D927" s="2">
        <v>0.70269999999999999</v>
      </c>
      <c r="E927" s="2">
        <v>1.890263E-2</v>
      </c>
      <c r="F927" s="2" t="s">
        <v>168</v>
      </c>
    </row>
    <row r="928" spans="1:6" ht="22.5" hidden="1" customHeight="1" x14ac:dyDescent="0.25">
      <c r="A928" s="3">
        <v>43922</v>
      </c>
      <c r="B928" s="2" t="s">
        <v>198</v>
      </c>
      <c r="C928" s="2">
        <v>-3.9</v>
      </c>
      <c r="D928" s="2">
        <v>0.3669</v>
      </c>
      <c r="E928" s="2">
        <v>-1.43091E-2</v>
      </c>
      <c r="F928" s="2" t="s">
        <v>170</v>
      </c>
    </row>
    <row r="929" spans="1:6" ht="22.5" hidden="1" customHeight="1" x14ac:dyDescent="0.25">
      <c r="A929" s="3">
        <v>43922</v>
      </c>
      <c r="B929" s="2" t="s">
        <v>199</v>
      </c>
      <c r="C929" s="2">
        <v>-3.99</v>
      </c>
      <c r="D929" s="2">
        <v>0.49030000000000001</v>
      </c>
      <c r="E929" s="2">
        <v>-1.9562969999999999E-2</v>
      </c>
      <c r="F929" s="2" t="s">
        <v>170</v>
      </c>
    </row>
    <row r="930" spans="1:6" ht="22.5" hidden="1" customHeight="1" x14ac:dyDescent="0.25">
      <c r="A930" s="3">
        <v>43922</v>
      </c>
      <c r="B930" s="2" t="s">
        <v>200</v>
      </c>
      <c r="C930" s="2">
        <v>-4.26</v>
      </c>
      <c r="D930" s="2">
        <v>0.20580000000000001</v>
      </c>
      <c r="E930" s="2">
        <v>-8.76708E-3</v>
      </c>
      <c r="F930" s="2" t="s">
        <v>170</v>
      </c>
    </row>
    <row r="931" spans="1:6" ht="22.5" hidden="1" customHeight="1" x14ac:dyDescent="0.25">
      <c r="A931" s="3">
        <v>43922</v>
      </c>
      <c r="B931" s="2" t="s">
        <v>201</v>
      </c>
      <c r="C931" s="2">
        <v>-4.42</v>
      </c>
      <c r="D931" s="2">
        <v>2.75E-2</v>
      </c>
      <c r="E931" s="2">
        <v>-1.2155E-3</v>
      </c>
      <c r="F931" s="2" t="s">
        <v>170</v>
      </c>
    </row>
    <row r="932" spans="1:6" ht="22.5" hidden="1" customHeight="1" x14ac:dyDescent="0.25">
      <c r="A932" s="3">
        <v>43922</v>
      </c>
      <c r="B932" s="2" t="s">
        <v>202</v>
      </c>
      <c r="C932" s="2">
        <v>-2.2400000000000002</v>
      </c>
      <c r="D932" s="2">
        <v>1.3599999999999999E-2</v>
      </c>
      <c r="E932" s="2">
        <v>-3.0464000000000001E-4</v>
      </c>
      <c r="F932" s="2" t="s">
        <v>170</v>
      </c>
    </row>
    <row r="933" spans="1:6" ht="22.5" hidden="1" customHeight="1" x14ac:dyDescent="0.25">
      <c r="A933" s="3">
        <v>43922</v>
      </c>
      <c r="B933" s="2" t="s">
        <v>203</v>
      </c>
      <c r="C933" s="2">
        <v>1.1499999999999999</v>
      </c>
      <c r="D933" s="2">
        <v>8.1699999999999995E-2</v>
      </c>
      <c r="E933" s="2">
        <v>9.3955000000000004E-4</v>
      </c>
      <c r="F933" s="2" t="s">
        <v>170</v>
      </c>
    </row>
    <row r="934" spans="1:6" ht="22.5" hidden="1" customHeight="1" x14ac:dyDescent="0.25">
      <c r="A934" s="3">
        <v>43922</v>
      </c>
      <c r="B934" s="2" t="s">
        <v>204</v>
      </c>
      <c r="C934" s="2">
        <v>-0.96</v>
      </c>
      <c r="D934" s="2">
        <v>6.2100000000000002E-2</v>
      </c>
      <c r="E934" s="2">
        <v>-5.9615999999999998E-4</v>
      </c>
      <c r="F934" s="2" t="s">
        <v>174</v>
      </c>
    </row>
    <row r="935" spans="1:6" ht="22.5" hidden="1" customHeight="1" x14ac:dyDescent="0.25">
      <c r="A935" s="3">
        <v>43922</v>
      </c>
      <c r="B935" s="2" t="s">
        <v>205</v>
      </c>
      <c r="C935" s="2">
        <v>0.28000000000000003</v>
      </c>
      <c r="D935" s="2">
        <v>9.4600000000000004E-2</v>
      </c>
      <c r="E935" s="2">
        <v>2.6488E-4</v>
      </c>
      <c r="F935" s="2" t="s">
        <v>174</v>
      </c>
    </row>
    <row r="936" spans="1:6" ht="22.5" hidden="1" customHeight="1" x14ac:dyDescent="0.25">
      <c r="A936" s="3">
        <v>43922</v>
      </c>
      <c r="B936" s="2" t="s">
        <v>206</v>
      </c>
      <c r="C936" s="2">
        <v>-0.46</v>
      </c>
      <c r="D936" s="2">
        <v>0.1578</v>
      </c>
      <c r="E936" s="2">
        <v>-7.2588000000000004E-4</v>
      </c>
      <c r="F936" s="2" t="s">
        <v>174</v>
      </c>
    </row>
    <row r="937" spans="1:6" ht="22.5" hidden="1" customHeight="1" x14ac:dyDescent="0.25">
      <c r="A937" s="3">
        <v>43922</v>
      </c>
      <c r="B937" s="2" t="s">
        <v>207</v>
      </c>
      <c r="C937" s="2">
        <v>1.23</v>
      </c>
      <c r="D937" s="2">
        <v>4.8899999999999999E-2</v>
      </c>
      <c r="E937" s="2">
        <v>6.0147E-4</v>
      </c>
      <c r="F937" s="2" t="s">
        <v>174</v>
      </c>
    </row>
    <row r="938" spans="1:6" ht="22.5" hidden="1" customHeight="1" x14ac:dyDescent="0.25">
      <c r="A938" s="3">
        <v>43922</v>
      </c>
      <c r="B938" s="2" t="s">
        <v>208</v>
      </c>
      <c r="C938" s="2">
        <v>0.75</v>
      </c>
      <c r="D938" s="2">
        <v>8.6E-3</v>
      </c>
      <c r="E938" s="2">
        <v>6.4499999999999996E-5</v>
      </c>
      <c r="F938" s="2" t="s">
        <v>174</v>
      </c>
    </row>
    <row r="939" spans="1:6" ht="22.5" hidden="1" customHeight="1" x14ac:dyDescent="0.25">
      <c r="A939" s="3">
        <v>43922</v>
      </c>
      <c r="B939" s="2" t="s">
        <v>209</v>
      </c>
      <c r="C939" s="2">
        <v>-2.38</v>
      </c>
      <c r="D939" s="2">
        <v>5.7000000000000002E-3</v>
      </c>
      <c r="E939" s="2">
        <v>-1.3566000000000001E-4</v>
      </c>
      <c r="F939" s="2" t="s">
        <v>174</v>
      </c>
    </row>
    <row r="940" spans="1:6" ht="22.5" hidden="1" customHeight="1" x14ac:dyDescent="0.25">
      <c r="A940" s="3">
        <v>43922</v>
      </c>
      <c r="B940" s="2" t="s">
        <v>210</v>
      </c>
      <c r="C940" s="2">
        <v>2.86</v>
      </c>
      <c r="D940" s="2">
        <v>1.4200000000000001E-2</v>
      </c>
      <c r="E940" s="2">
        <v>4.0611999999999999E-4</v>
      </c>
      <c r="F940" s="2" t="s">
        <v>170</v>
      </c>
    </row>
    <row r="941" spans="1:6" ht="22.5" hidden="1" customHeight="1" x14ac:dyDescent="0.25">
      <c r="A941" s="3">
        <v>43922</v>
      </c>
      <c r="B941" s="2" t="s">
        <v>211</v>
      </c>
      <c r="C941" s="2">
        <v>0.69</v>
      </c>
      <c r="D941" s="2">
        <v>0.18410000000000001</v>
      </c>
      <c r="E941" s="2">
        <v>1.2702900000000001E-3</v>
      </c>
      <c r="F941" s="2" t="s">
        <v>174</v>
      </c>
    </row>
    <row r="942" spans="1:6" ht="22.5" hidden="1" customHeight="1" x14ac:dyDescent="0.25">
      <c r="A942" s="3">
        <v>43922</v>
      </c>
      <c r="B942" s="2" t="s">
        <v>212</v>
      </c>
      <c r="C942" s="2">
        <v>0.82</v>
      </c>
      <c r="D942" s="2">
        <v>4.4999999999999997E-3</v>
      </c>
      <c r="E942" s="2">
        <v>3.6900000000000002E-5</v>
      </c>
      <c r="F942" s="2" t="s">
        <v>174</v>
      </c>
    </row>
    <row r="943" spans="1:6" ht="22.5" hidden="1" customHeight="1" x14ac:dyDescent="0.25">
      <c r="A943" s="3">
        <v>43922</v>
      </c>
      <c r="B943" s="2" t="s">
        <v>213</v>
      </c>
      <c r="C943" s="2">
        <v>-8.75</v>
      </c>
      <c r="D943" s="2">
        <v>0.34289999999999998</v>
      </c>
      <c r="E943" s="2">
        <v>-3.0003749999999999E-2</v>
      </c>
      <c r="F943" s="2" t="s">
        <v>170</v>
      </c>
    </row>
    <row r="944" spans="1:6" ht="22.5" hidden="1" customHeight="1" x14ac:dyDescent="0.25">
      <c r="A944" s="3">
        <v>43922</v>
      </c>
      <c r="B944" s="2" t="s">
        <v>214</v>
      </c>
      <c r="C944" s="2">
        <v>-4.91</v>
      </c>
      <c r="D944" s="2">
        <v>0.1018</v>
      </c>
      <c r="E944" s="2">
        <v>-4.9983800000000002E-3</v>
      </c>
      <c r="F944" s="2" t="s">
        <v>170</v>
      </c>
    </row>
    <row r="945" spans="1:6" ht="22.5" hidden="1" customHeight="1" x14ac:dyDescent="0.25">
      <c r="A945" s="3">
        <v>43922</v>
      </c>
      <c r="B945" s="2" t="s">
        <v>215</v>
      </c>
      <c r="C945" s="2">
        <v>-5.58</v>
      </c>
      <c r="D945" s="2">
        <v>0.24990000000000001</v>
      </c>
      <c r="E945" s="2">
        <v>-1.3944420000000001E-2</v>
      </c>
      <c r="F945" s="2" t="s">
        <v>170</v>
      </c>
    </row>
    <row r="946" spans="1:6" ht="22.5" hidden="1" customHeight="1" x14ac:dyDescent="0.25">
      <c r="A946" s="3">
        <v>43922</v>
      </c>
      <c r="B946" s="2" t="s">
        <v>216</v>
      </c>
      <c r="C946" s="2">
        <v>-2.57</v>
      </c>
      <c r="D946" s="2">
        <v>1.4800000000000001E-2</v>
      </c>
      <c r="E946" s="2">
        <v>-3.8036E-4</v>
      </c>
      <c r="F946" s="2" t="s">
        <v>170</v>
      </c>
    </row>
    <row r="947" spans="1:6" ht="22.5" hidden="1" customHeight="1" x14ac:dyDescent="0.25">
      <c r="A947" s="3">
        <v>43922</v>
      </c>
      <c r="B947" s="2" t="s">
        <v>217</v>
      </c>
      <c r="C947" s="2">
        <v>-8.1199999999999992</v>
      </c>
      <c r="D947" s="2">
        <v>0.16869999999999999</v>
      </c>
      <c r="E947" s="2">
        <v>-1.3698439999999999E-2</v>
      </c>
      <c r="F947" s="2" t="s">
        <v>170</v>
      </c>
    </row>
    <row r="948" spans="1:6" ht="22.5" hidden="1" customHeight="1" x14ac:dyDescent="0.25">
      <c r="A948" s="3">
        <v>43922</v>
      </c>
      <c r="B948" s="2" t="s">
        <v>218</v>
      </c>
      <c r="C948" s="2">
        <v>-3.2</v>
      </c>
      <c r="D948" s="2">
        <v>7.1000000000000004E-3</v>
      </c>
      <c r="E948" s="2">
        <v>-2.2719999999999999E-4</v>
      </c>
      <c r="F948" s="2" t="s">
        <v>170</v>
      </c>
    </row>
    <row r="949" spans="1:6" ht="22.5" hidden="1" customHeight="1" x14ac:dyDescent="0.25">
      <c r="A949" s="3">
        <v>43922</v>
      </c>
      <c r="B949" s="2" t="s">
        <v>219</v>
      </c>
      <c r="C949" s="2">
        <v>-2.79</v>
      </c>
      <c r="D949" s="2">
        <v>0.442</v>
      </c>
      <c r="E949" s="2">
        <v>-1.23318E-2</v>
      </c>
      <c r="F949" s="2" t="s">
        <v>170</v>
      </c>
    </row>
    <row r="950" spans="1:6" ht="22.5" hidden="1" customHeight="1" x14ac:dyDescent="0.25">
      <c r="A950" s="3">
        <v>43922</v>
      </c>
      <c r="B950" s="2" t="s">
        <v>220</v>
      </c>
      <c r="C950" s="2">
        <v>-1.6</v>
      </c>
      <c r="D950" s="2">
        <v>1.15E-2</v>
      </c>
      <c r="E950" s="2">
        <v>-1.84E-4</v>
      </c>
      <c r="F950" s="2" t="s">
        <v>170</v>
      </c>
    </row>
    <row r="951" spans="1:6" ht="22.5" hidden="1" customHeight="1" x14ac:dyDescent="0.25">
      <c r="A951" s="3">
        <v>43922</v>
      </c>
      <c r="B951" s="2" t="s">
        <v>221</v>
      </c>
      <c r="C951" s="2">
        <v>-4.6900000000000004</v>
      </c>
      <c r="D951" s="2">
        <v>3.3E-3</v>
      </c>
      <c r="E951" s="2">
        <v>-1.5477000000000001E-4</v>
      </c>
      <c r="F951" s="2" t="s">
        <v>170</v>
      </c>
    </row>
    <row r="952" spans="1:6" ht="22.5" hidden="1" customHeight="1" x14ac:dyDescent="0.25">
      <c r="A952" s="3">
        <v>43922</v>
      </c>
      <c r="B952" s="2" t="s">
        <v>222</v>
      </c>
      <c r="C952" s="2">
        <v>-0.7</v>
      </c>
      <c r="D952" s="2">
        <v>0.3024</v>
      </c>
      <c r="E952" s="2">
        <v>-2.1167999999999998E-3</v>
      </c>
      <c r="F952" s="2" t="s">
        <v>170</v>
      </c>
    </row>
    <row r="953" spans="1:6" ht="22.5" hidden="1" customHeight="1" x14ac:dyDescent="0.25">
      <c r="A953" s="3">
        <v>43922</v>
      </c>
      <c r="B953" s="2" t="s">
        <v>223</v>
      </c>
      <c r="C953" s="2">
        <v>1.31</v>
      </c>
      <c r="D953" s="2">
        <v>1.6899999999999998E-2</v>
      </c>
      <c r="E953" s="2">
        <v>2.2138999999999999E-4</v>
      </c>
      <c r="F953" s="2" t="s">
        <v>165</v>
      </c>
    </row>
    <row r="954" spans="1:6" ht="22.5" hidden="1" customHeight="1" x14ac:dyDescent="0.25">
      <c r="A954" s="3">
        <v>43922</v>
      </c>
      <c r="B954" s="2" t="s">
        <v>224</v>
      </c>
      <c r="C954" s="2">
        <v>1.42</v>
      </c>
      <c r="D954" s="2">
        <v>2.3999999999999998E-3</v>
      </c>
      <c r="E954" s="2">
        <v>3.4079999999999999E-5</v>
      </c>
      <c r="F954" s="2" t="s">
        <v>165</v>
      </c>
    </row>
    <row r="955" spans="1:6" ht="22.5" hidden="1" customHeight="1" x14ac:dyDescent="0.25">
      <c r="A955" s="3">
        <v>43922</v>
      </c>
      <c r="B955" s="2" t="s">
        <v>225</v>
      </c>
      <c r="C955" s="2">
        <v>0.67</v>
      </c>
      <c r="D955" s="2">
        <v>4.5999999999999999E-3</v>
      </c>
      <c r="E955" s="2">
        <v>3.082E-5</v>
      </c>
      <c r="F955" s="2" t="s">
        <v>165</v>
      </c>
    </row>
    <row r="956" spans="1:6" ht="22.5" hidden="1" customHeight="1" x14ac:dyDescent="0.25">
      <c r="A956" s="3">
        <v>43922</v>
      </c>
      <c r="B956" s="2" t="s">
        <v>226</v>
      </c>
      <c r="C956" s="2">
        <v>0.85</v>
      </c>
      <c r="D956" s="2">
        <v>4.82E-2</v>
      </c>
      <c r="E956" s="2">
        <v>4.0969999999999998E-4</v>
      </c>
      <c r="F956" s="2" t="s">
        <v>165</v>
      </c>
    </row>
    <row r="957" spans="1:6" ht="22.5" hidden="1" customHeight="1" x14ac:dyDescent="0.25">
      <c r="A957" s="3">
        <v>43922</v>
      </c>
      <c r="B957" s="2" t="s">
        <v>227</v>
      </c>
      <c r="C957" s="2">
        <v>-0.37</v>
      </c>
      <c r="D957" s="2">
        <v>6.6000000000000003E-2</v>
      </c>
      <c r="E957" s="2">
        <v>-2.4420000000000003E-4</v>
      </c>
      <c r="F957" s="2" t="s">
        <v>165</v>
      </c>
    </row>
    <row r="958" spans="1:6" ht="22.5" hidden="1" customHeight="1" x14ac:dyDescent="0.25">
      <c r="A958" s="3">
        <v>43922</v>
      </c>
      <c r="B958" s="2" t="s">
        <v>228</v>
      </c>
      <c r="C958" s="2">
        <v>0.57999999999999996</v>
      </c>
      <c r="D958" s="2">
        <v>0.17480000000000001</v>
      </c>
      <c r="E958" s="2">
        <v>1.01384E-3</v>
      </c>
      <c r="F958" s="2" t="s">
        <v>165</v>
      </c>
    </row>
    <row r="959" spans="1:6" ht="22.5" hidden="1" customHeight="1" x14ac:dyDescent="0.25">
      <c r="A959" s="3">
        <v>43922</v>
      </c>
      <c r="B959" s="2" t="s">
        <v>229</v>
      </c>
      <c r="C959" s="2">
        <v>-0.26</v>
      </c>
      <c r="D959" s="2">
        <v>0.29339999999999999</v>
      </c>
      <c r="E959" s="2">
        <v>-7.6283999999999998E-4</v>
      </c>
      <c r="F959" s="2" t="s">
        <v>174</v>
      </c>
    </row>
    <row r="960" spans="1:6" ht="22.5" hidden="1" customHeight="1" x14ac:dyDescent="0.25">
      <c r="A960" s="3">
        <v>43922</v>
      </c>
      <c r="B960" s="2" t="s">
        <v>230</v>
      </c>
      <c r="C960" s="2">
        <v>0.15</v>
      </c>
      <c r="D960" s="2">
        <v>2.3E-2</v>
      </c>
      <c r="E960" s="2">
        <v>3.4499999999999998E-5</v>
      </c>
      <c r="F960" s="2" t="s">
        <v>174</v>
      </c>
    </row>
    <row r="961" spans="1:6" ht="22.5" hidden="1" customHeight="1" x14ac:dyDescent="0.25">
      <c r="A961" s="3">
        <v>43922</v>
      </c>
      <c r="B961" s="2" t="s">
        <v>231</v>
      </c>
      <c r="C961" s="2">
        <v>-0.39</v>
      </c>
      <c r="D961" s="2">
        <v>0.17069999999999999</v>
      </c>
      <c r="E961" s="2">
        <v>-6.6573000000000001E-4</v>
      </c>
      <c r="F961" s="2" t="s">
        <v>174</v>
      </c>
    </row>
    <row r="962" spans="1:6" ht="22.5" hidden="1" customHeight="1" x14ac:dyDescent="0.25">
      <c r="A962" s="3">
        <v>43922</v>
      </c>
      <c r="B962" s="2" t="s">
        <v>232</v>
      </c>
      <c r="C962" s="2">
        <v>1.21</v>
      </c>
      <c r="D962" s="2">
        <v>5.4000000000000003E-3</v>
      </c>
      <c r="E962" s="2">
        <v>6.5339999999999994E-5</v>
      </c>
      <c r="F962" s="2" t="s">
        <v>174</v>
      </c>
    </row>
    <row r="963" spans="1:6" ht="22.5" hidden="1" customHeight="1" x14ac:dyDescent="0.25">
      <c r="A963" s="3">
        <v>43922</v>
      </c>
      <c r="B963" s="2" t="s">
        <v>233</v>
      </c>
      <c r="C963" s="2">
        <v>-0.13</v>
      </c>
      <c r="D963" s="2">
        <v>0.57450000000000001</v>
      </c>
      <c r="E963" s="2">
        <v>-7.4684999999999997E-4</v>
      </c>
      <c r="F963" s="2" t="s">
        <v>174</v>
      </c>
    </row>
    <row r="964" spans="1:6" ht="22.5" hidden="1" customHeight="1" x14ac:dyDescent="0.25">
      <c r="A964" s="3">
        <v>43922</v>
      </c>
      <c r="B964" s="2" t="s">
        <v>234</v>
      </c>
      <c r="C964" s="2">
        <v>0.61</v>
      </c>
      <c r="D964" s="2">
        <v>0.3231</v>
      </c>
      <c r="E964" s="2">
        <v>1.9709100000000002E-3</v>
      </c>
      <c r="F964" s="2" t="s">
        <v>174</v>
      </c>
    </row>
    <row r="965" spans="1:6" ht="22.5" hidden="1" customHeight="1" x14ac:dyDescent="0.25">
      <c r="A965" s="3">
        <v>43922</v>
      </c>
      <c r="B965" s="2" t="s">
        <v>235</v>
      </c>
      <c r="C965" s="2">
        <v>1.64</v>
      </c>
      <c r="D965" s="2">
        <v>2.7099999999999999E-2</v>
      </c>
      <c r="E965" s="2">
        <v>4.4443999999999999E-4</v>
      </c>
      <c r="F965" s="2" t="s">
        <v>174</v>
      </c>
    </row>
    <row r="966" spans="1:6" ht="22.5" hidden="1" customHeight="1" x14ac:dyDescent="0.25">
      <c r="A966" s="3">
        <v>43922</v>
      </c>
      <c r="B966" s="2" t="s">
        <v>236</v>
      </c>
      <c r="C966" s="2">
        <v>0.37</v>
      </c>
      <c r="D966" s="2">
        <v>7.9000000000000008E-3</v>
      </c>
      <c r="E966" s="2">
        <v>2.923E-5</v>
      </c>
      <c r="F966" s="2" t="s">
        <v>174</v>
      </c>
    </row>
    <row r="967" spans="1:6" ht="22.5" hidden="1" customHeight="1" x14ac:dyDescent="0.25">
      <c r="A967" s="3">
        <v>43922</v>
      </c>
      <c r="B967" s="2" t="s">
        <v>237</v>
      </c>
      <c r="C967" s="2">
        <v>-0.6</v>
      </c>
      <c r="D967" s="2">
        <v>0.30380000000000001</v>
      </c>
      <c r="E967" s="2">
        <v>-1.8228000000000001E-3</v>
      </c>
      <c r="F967" s="2" t="s">
        <v>174</v>
      </c>
    </row>
    <row r="968" spans="1:6" ht="22.5" hidden="1" customHeight="1" x14ac:dyDescent="0.25">
      <c r="A968" s="3">
        <v>43922</v>
      </c>
      <c r="B968" s="2" t="s">
        <v>238</v>
      </c>
      <c r="C968" s="2">
        <v>0.97</v>
      </c>
      <c r="D968" s="2">
        <v>0.53120000000000001</v>
      </c>
      <c r="E968" s="2">
        <v>5.15264E-3</v>
      </c>
      <c r="F968" s="2" t="s">
        <v>174</v>
      </c>
    </row>
    <row r="969" spans="1:6" ht="22.5" hidden="1" customHeight="1" x14ac:dyDescent="0.25">
      <c r="A969" s="3">
        <v>43922</v>
      </c>
      <c r="B969" s="2" t="s">
        <v>239</v>
      </c>
      <c r="C969" s="2">
        <v>0.24</v>
      </c>
      <c r="D969" s="2">
        <v>0.112</v>
      </c>
      <c r="E969" s="2">
        <v>2.6879999999999997E-4</v>
      </c>
      <c r="F969" s="2" t="s">
        <v>174</v>
      </c>
    </row>
    <row r="970" spans="1:6" ht="22.5" hidden="1" customHeight="1" x14ac:dyDescent="0.25">
      <c r="A970" s="3">
        <v>43922</v>
      </c>
      <c r="B970" s="2" t="s">
        <v>240</v>
      </c>
      <c r="C970" s="2">
        <v>-7.0000000000000007E-2</v>
      </c>
      <c r="D970" s="2">
        <v>6.6500000000000004E-2</v>
      </c>
      <c r="E970" s="2">
        <v>-4.655E-5</v>
      </c>
      <c r="F970" s="2" t="s">
        <v>174</v>
      </c>
    </row>
    <row r="971" spans="1:6" ht="22.5" hidden="1" customHeight="1" x14ac:dyDescent="0.25">
      <c r="A971" s="3">
        <v>43922</v>
      </c>
      <c r="B971" s="2" t="s">
        <v>241</v>
      </c>
      <c r="C971" s="2">
        <v>0.44</v>
      </c>
      <c r="D971" s="2">
        <v>8.5199999999999998E-2</v>
      </c>
      <c r="E971" s="2">
        <v>3.7488000000000002E-4</v>
      </c>
      <c r="F971" s="2" t="s">
        <v>174</v>
      </c>
    </row>
    <row r="972" spans="1:6" ht="22.5" hidden="1" customHeight="1" x14ac:dyDescent="0.25">
      <c r="A972" s="3">
        <v>43922</v>
      </c>
      <c r="B972" s="2" t="s">
        <v>242</v>
      </c>
      <c r="C972" s="2">
        <v>-1.53</v>
      </c>
      <c r="D972" s="2">
        <v>7.7799999999999994E-2</v>
      </c>
      <c r="E972" s="2">
        <v>-1.19034E-3</v>
      </c>
      <c r="F972" s="2" t="s">
        <v>174</v>
      </c>
    </row>
    <row r="973" spans="1:6" ht="22.5" hidden="1" customHeight="1" x14ac:dyDescent="0.25">
      <c r="A973" s="3">
        <v>43922</v>
      </c>
      <c r="B973" s="2" t="s">
        <v>243</v>
      </c>
      <c r="C973" s="2">
        <v>1</v>
      </c>
      <c r="D973" s="2">
        <v>8.6E-3</v>
      </c>
      <c r="E973" s="2">
        <v>8.6000000000000003E-5</v>
      </c>
      <c r="F973" s="2" t="s">
        <v>174</v>
      </c>
    </row>
    <row r="974" spans="1:6" ht="22.5" hidden="1" customHeight="1" x14ac:dyDescent="0.25">
      <c r="A974" s="3">
        <v>43922</v>
      </c>
      <c r="B974" s="2" t="s">
        <v>244</v>
      </c>
      <c r="C974" s="2">
        <v>0.84</v>
      </c>
      <c r="D974" s="2">
        <v>5.4199999999999998E-2</v>
      </c>
      <c r="E974" s="2">
        <v>4.5528000000000002E-4</v>
      </c>
      <c r="F974" s="2" t="s">
        <v>174</v>
      </c>
    </row>
    <row r="975" spans="1:6" ht="22.5" hidden="1" customHeight="1" x14ac:dyDescent="0.25">
      <c r="A975" s="3">
        <v>43922</v>
      </c>
      <c r="B975" s="2" t="s">
        <v>245</v>
      </c>
      <c r="C975" s="2">
        <v>-1.67</v>
      </c>
      <c r="D975" s="2">
        <v>5.4899999999999997E-2</v>
      </c>
      <c r="E975" s="2">
        <v>-9.1682999999999999E-4</v>
      </c>
      <c r="F975" s="2" t="s">
        <v>174</v>
      </c>
    </row>
    <row r="976" spans="1:6" ht="22.5" hidden="1" customHeight="1" x14ac:dyDescent="0.25">
      <c r="A976" s="3">
        <v>43922</v>
      </c>
      <c r="B976" s="2" t="s">
        <v>246</v>
      </c>
      <c r="C976" s="2">
        <v>0.61</v>
      </c>
      <c r="D976" s="2">
        <v>0.1946</v>
      </c>
      <c r="E976" s="2">
        <v>1.18706E-3</v>
      </c>
      <c r="F976" s="2" t="s">
        <v>174</v>
      </c>
    </row>
    <row r="977" spans="1:6" ht="22.5" hidden="1" customHeight="1" x14ac:dyDescent="0.25">
      <c r="A977" s="3">
        <v>43922</v>
      </c>
      <c r="B977" s="2" t="s">
        <v>247</v>
      </c>
      <c r="C977" s="2">
        <v>-0.03</v>
      </c>
      <c r="D977" s="2">
        <v>0.13969999999999999</v>
      </c>
      <c r="E977" s="2">
        <v>-4.1909999999999997E-5</v>
      </c>
      <c r="F977" s="2" t="s">
        <v>174</v>
      </c>
    </row>
    <row r="978" spans="1:6" ht="22.5" hidden="1" customHeight="1" x14ac:dyDescent="0.25">
      <c r="A978" s="3">
        <v>43922</v>
      </c>
      <c r="B978" s="2" t="s">
        <v>248</v>
      </c>
      <c r="C978" s="2">
        <v>-0.63</v>
      </c>
      <c r="D978" s="2">
        <v>0.15390000000000001</v>
      </c>
      <c r="E978" s="2">
        <v>-9.6957E-4</v>
      </c>
      <c r="F978" s="2" t="s">
        <v>174</v>
      </c>
    </row>
    <row r="979" spans="1:6" ht="22.5" hidden="1" customHeight="1" x14ac:dyDescent="0.25">
      <c r="A979" s="3">
        <v>43922</v>
      </c>
      <c r="B979" s="2" t="s">
        <v>249</v>
      </c>
      <c r="C979" s="2">
        <v>0.62</v>
      </c>
      <c r="D979" s="2">
        <v>0.27579999999999999</v>
      </c>
      <c r="E979" s="2">
        <v>1.70996E-3</v>
      </c>
      <c r="F979" s="2" t="s">
        <v>174</v>
      </c>
    </row>
    <row r="980" spans="1:6" ht="22.5" hidden="1" customHeight="1" x14ac:dyDescent="0.25">
      <c r="A980" s="3">
        <v>43922</v>
      </c>
      <c r="B980" s="2" t="s">
        <v>250</v>
      </c>
      <c r="C980" s="2">
        <v>0.2</v>
      </c>
      <c r="D980" s="2">
        <v>2.7400000000000001E-2</v>
      </c>
      <c r="E980" s="2">
        <v>5.4799999999999997E-5</v>
      </c>
      <c r="F980" s="2" t="s">
        <v>174</v>
      </c>
    </row>
    <row r="981" spans="1:6" ht="22.5" hidden="1" customHeight="1" x14ac:dyDescent="0.25">
      <c r="A981" s="3">
        <v>43922</v>
      </c>
      <c r="B981" s="2" t="s">
        <v>251</v>
      </c>
      <c r="C981" s="2">
        <v>0.86</v>
      </c>
      <c r="D981" s="2">
        <v>6.2899999999999998E-2</v>
      </c>
      <c r="E981" s="2">
        <v>5.4093999999999995E-4</v>
      </c>
      <c r="F981" s="2" t="s">
        <v>174</v>
      </c>
    </row>
    <row r="982" spans="1:6" ht="22.5" hidden="1" customHeight="1" x14ac:dyDescent="0.25">
      <c r="A982" s="3">
        <v>43922</v>
      </c>
      <c r="B982" s="2" t="s">
        <v>252</v>
      </c>
      <c r="C982" s="2">
        <v>-2.4</v>
      </c>
      <c r="D982" s="2">
        <v>9.5999999999999992E-3</v>
      </c>
      <c r="E982" s="2">
        <v>-2.3039999999999999E-4</v>
      </c>
      <c r="F982" s="2" t="s">
        <v>174</v>
      </c>
    </row>
    <row r="983" spans="1:6" ht="22.5" hidden="1" customHeight="1" x14ac:dyDescent="0.25">
      <c r="A983" s="3">
        <v>43922</v>
      </c>
      <c r="B983" s="2" t="s">
        <v>253</v>
      </c>
      <c r="C983" s="2">
        <v>-0.57999999999999996</v>
      </c>
      <c r="D983" s="2">
        <v>0.45169999999999999</v>
      </c>
      <c r="E983" s="2">
        <v>-2.6198599999999999E-3</v>
      </c>
      <c r="F983" s="2" t="s">
        <v>174</v>
      </c>
    </row>
    <row r="984" spans="1:6" ht="22.5" hidden="1" customHeight="1" x14ac:dyDescent="0.25">
      <c r="A984" s="3">
        <v>43922</v>
      </c>
      <c r="B984" s="2" t="s">
        <v>254</v>
      </c>
      <c r="C984" s="2">
        <v>-0.82</v>
      </c>
      <c r="D984" s="2">
        <v>0.1971</v>
      </c>
      <c r="E984" s="2">
        <v>-1.61622E-3</v>
      </c>
      <c r="F984" s="2" t="s">
        <v>174</v>
      </c>
    </row>
    <row r="985" spans="1:6" ht="22.5" hidden="1" customHeight="1" x14ac:dyDescent="0.25">
      <c r="A985" s="3">
        <v>43922</v>
      </c>
      <c r="B985" s="2" t="s">
        <v>255</v>
      </c>
      <c r="C985" s="2">
        <v>-3.68</v>
      </c>
      <c r="D985" s="2">
        <v>1.7899999999999999E-2</v>
      </c>
      <c r="E985" s="2">
        <v>-6.5872000000000001E-4</v>
      </c>
      <c r="F985" s="2" t="s">
        <v>170</v>
      </c>
    </row>
    <row r="986" spans="1:6" ht="22.5" hidden="1" customHeight="1" x14ac:dyDescent="0.25">
      <c r="A986" s="3">
        <v>43922</v>
      </c>
      <c r="B986" s="2" t="s">
        <v>256</v>
      </c>
      <c r="C986" s="2">
        <v>1.19</v>
      </c>
      <c r="D986" s="2">
        <v>0.13109999999999999</v>
      </c>
      <c r="E986" s="2">
        <v>1.5600900000000001E-3</v>
      </c>
      <c r="F986" s="2" t="s">
        <v>170</v>
      </c>
    </row>
    <row r="987" spans="1:6" ht="22.5" hidden="1" customHeight="1" x14ac:dyDescent="0.25">
      <c r="A987" s="3">
        <v>43922</v>
      </c>
      <c r="B987" s="2" t="s">
        <v>257</v>
      </c>
      <c r="C987" s="2">
        <v>-2.17</v>
      </c>
      <c r="D987" s="2">
        <v>4.9799999999999997E-2</v>
      </c>
      <c r="E987" s="2">
        <v>-1.08066E-3</v>
      </c>
      <c r="F987" s="2" t="s">
        <v>170</v>
      </c>
    </row>
    <row r="988" spans="1:6" ht="22.5" hidden="1" customHeight="1" x14ac:dyDescent="0.25">
      <c r="A988" s="3">
        <v>43922</v>
      </c>
      <c r="B988" s="2" t="s">
        <v>258</v>
      </c>
      <c r="C988" s="2">
        <v>0.13</v>
      </c>
      <c r="D988" s="2">
        <v>4.5100000000000001E-2</v>
      </c>
      <c r="E988" s="2">
        <v>5.8629999999999999E-5</v>
      </c>
      <c r="F988" s="2" t="s">
        <v>174</v>
      </c>
    </row>
    <row r="989" spans="1:6" ht="22.5" hidden="1" customHeight="1" x14ac:dyDescent="0.25">
      <c r="A989" s="3">
        <v>43922</v>
      </c>
      <c r="B989" s="2" t="s">
        <v>259</v>
      </c>
      <c r="C989" s="2">
        <v>0.31</v>
      </c>
      <c r="D989" s="2">
        <v>9.9000000000000008E-3</v>
      </c>
      <c r="E989" s="2">
        <v>3.0689999999999999E-5</v>
      </c>
      <c r="F989" s="2" t="s">
        <v>174</v>
      </c>
    </row>
    <row r="990" spans="1:6" ht="22.5" hidden="1" customHeight="1" x14ac:dyDescent="0.25">
      <c r="A990" s="3">
        <v>44501</v>
      </c>
      <c r="B990" s="2" t="s">
        <v>286</v>
      </c>
      <c r="C990" s="2">
        <v>8.23</v>
      </c>
      <c r="D990" s="2">
        <v>0.22309999999999999</v>
      </c>
      <c r="E990" s="2">
        <v>1.836113E-2</v>
      </c>
      <c r="F990" s="2" t="s">
        <v>168</v>
      </c>
    </row>
    <row r="991" spans="1:6" ht="22.5" hidden="1" customHeight="1" x14ac:dyDescent="0.25">
      <c r="A991" s="3">
        <v>44409</v>
      </c>
      <c r="B991" s="2" t="s">
        <v>285</v>
      </c>
      <c r="C991" s="2">
        <v>2.19</v>
      </c>
      <c r="D991" s="2">
        <v>0.83589999999999998</v>
      </c>
      <c r="E991" s="2">
        <v>1.830621E-2</v>
      </c>
      <c r="F991" s="2" t="s">
        <v>168</v>
      </c>
    </row>
    <row r="992" spans="1:6" ht="22.5" hidden="1" customHeight="1" x14ac:dyDescent="0.25">
      <c r="A992" s="3">
        <v>44075</v>
      </c>
      <c r="B992" s="2" t="s">
        <v>167</v>
      </c>
      <c r="C992" s="2">
        <v>1</v>
      </c>
      <c r="D992" s="2">
        <v>1.8131999999999999</v>
      </c>
      <c r="E992" s="2">
        <v>1.8131999999999999E-2</v>
      </c>
      <c r="F992" s="2" t="s">
        <v>168</v>
      </c>
    </row>
    <row r="993" spans="1:6" ht="22.5" hidden="1" customHeight="1" x14ac:dyDescent="0.25">
      <c r="A993" s="3">
        <v>44470</v>
      </c>
      <c r="B993" s="2" t="s">
        <v>366</v>
      </c>
      <c r="C993" s="2">
        <v>7.09</v>
      </c>
      <c r="D993" s="2">
        <v>0.25019999999999998</v>
      </c>
      <c r="E993" s="2">
        <v>1.773918E-2</v>
      </c>
      <c r="F993" s="2" t="s">
        <v>168</v>
      </c>
    </row>
    <row r="994" spans="1:6" ht="22.5" hidden="1" customHeight="1" x14ac:dyDescent="0.25">
      <c r="A994" s="3">
        <v>44317</v>
      </c>
      <c r="B994" s="2" t="s">
        <v>195</v>
      </c>
      <c r="C994" s="2">
        <v>1.45</v>
      </c>
      <c r="D994" s="2">
        <v>1.1967000000000001</v>
      </c>
      <c r="E994" s="2">
        <v>1.735215E-2</v>
      </c>
      <c r="F994" s="2" t="s">
        <v>168</v>
      </c>
    </row>
    <row r="995" spans="1:6" ht="22.5" hidden="1" customHeight="1" x14ac:dyDescent="0.25">
      <c r="A995" s="3">
        <v>44317</v>
      </c>
      <c r="B995" s="2" t="s">
        <v>284</v>
      </c>
      <c r="C995" s="2">
        <v>0.28999999999999998</v>
      </c>
      <c r="D995" s="2">
        <v>5.8178000000000001</v>
      </c>
      <c r="E995" s="2">
        <v>1.687162E-2</v>
      </c>
      <c r="F995" s="2" t="s">
        <v>168</v>
      </c>
    </row>
    <row r="996" spans="1:6" ht="22.5" hidden="1" customHeight="1" x14ac:dyDescent="0.25">
      <c r="A996" s="3">
        <v>44136</v>
      </c>
      <c r="B996" s="2" t="s">
        <v>265</v>
      </c>
      <c r="C996" s="2">
        <v>3.46</v>
      </c>
      <c r="D996" s="2">
        <v>0.4677</v>
      </c>
      <c r="E996" s="2">
        <v>1.6182419999999999E-2</v>
      </c>
      <c r="F996" s="2" t="s">
        <v>168</v>
      </c>
    </row>
    <row r="997" spans="1:6" ht="22.5" hidden="1" customHeight="1" x14ac:dyDescent="0.25">
      <c r="A997" s="3">
        <v>43922</v>
      </c>
      <c r="B997" s="2" t="s">
        <v>267</v>
      </c>
      <c r="C997" s="2">
        <v>0</v>
      </c>
      <c r="D997" s="2">
        <v>0.13639999999999999</v>
      </c>
      <c r="E997" s="2">
        <v>0</v>
      </c>
      <c r="F997" s="2" t="s">
        <v>165</v>
      </c>
    </row>
    <row r="998" spans="1:6" ht="22.5" hidden="1" customHeight="1" x14ac:dyDescent="0.25">
      <c r="A998" s="3">
        <v>43922</v>
      </c>
      <c r="B998" s="2" t="s">
        <v>268</v>
      </c>
      <c r="C998" s="2">
        <v>-3.11</v>
      </c>
      <c r="D998" s="2">
        <v>0.22090000000000001</v>
      </c>
      <c r="E998" s="2">
        <v>-6.8699900000000003E-3</v>
      </c>
      <c r="F998" s="2" t="s">
        <v>165</v>
      </c>
    </row>
    <row r="999" spans="1:6" ht="22.5" hidden="1" customHeight="1" x14ac:dyDescent="0.25">
      <c r="A999" s="3">
        <v>43922</v>
      </c>
      <c r="B999" s="2" t="s">
        <v>269</v>
      </c>
      <c r="C999" s="2">
        <v>0</v>
      </c>
      <c r="D999" s="2">
        <v>7.0199999999999999E-2</v>
      </c>
      <c r="E999" s="2">
        <v>0</v>
      </c>
      <c r="F999" s="2" t="s">
        <v>165</v>
      </c>
    </row>
    <row r="1000" spans="1:6" ht="22.5" hidden="1" customHeight="1" x14ac:dyDescent="0.25">
      <c r="A1000" s="3">
        <v>43922</v>
      </c>
      <c r="B1000" s="2" t="s">
        <v>270</v>
      </c>
      <c r="C1000" s="2">
        <v>-0.36</v>
      </c>
      <c r="D1000" s="2">
        <v>2.9376000000000002</v>
      </c>
      <c r="E1000" s="2">
        <v>-1.0575360000000001E-2</v>
      </c>
      <c r="F1000" s="2" t="s">
        <v>170</v>
      </c>
    </row>
    <row r="1001" spans="1:6" ht="22.5" hidden="1" customHeight="1" x14ac:dyDescent="0.25">
      <c r="A1001" s="3">
        <v>44228</v>
      </c>
      <c r="B1001" s="2" t="s">
        <v>285</v>
      </c>
      <c r="C1001" s="2">
        <v>2.36</v>
      </c>
      <c r="D1001" s="2">
        <v>0.65049999999999997</v>
      </c>
      <c r="E1001" s="2">
        <v>1.5351800000000001E-2</v>
      </c>
      <c r="F1001" s="2" t="s">
        <v>168</v>
      </c>
    </row>
    <row r="1002" spans="1:6" ht="22.5" hidden="1" customHeight="1" x14ac:dyDescent="0.25">
      <c r="A1002" s="3">
        <v>43922</v>
      </c>
      <c r="B1002" s="2" t="s">
        <v>272</v>
      </c>
      <c r="C1002" s="2">
        <v>-2.74</v>
      </c>
      <c r="D1002" s="2">
        <v>0.84719999999999995</v>
      </c>
      <c r="E1002" s="2">
        <v>-2.3213279999999999E-2</v>
      </c>
      <c r="F1002" s="2" t="s">
        <v>165</v>
      </c>
    </row>
    <row r="1003" spans="1:6" ht="22.5" hidden="1" customHeight="1" x14ac:dyDescent="0.25">
      <c r="A1003" s="3">
        <v>44531</v>
      </c>
      <c r="B1003" s="2" t="s">
        <v>167</v>
      </c>
      <c r="C1003" s="2">
        <v>0.89</v>
      </c>
      <c r="D1003" s="2">
        <v>1.6867000000000001</v>
      </c>
      <c r="E1003" s="2">
        <v>1.501163E-2</v>
      </c>
      <c r="F1003" s="2" t="s">
        <v>168</v>
      </c>
    </row>
    <row r="1004" spans="1:6" ht="22.5" hidden="1" customHeight="1" x14ac:dyDescent="0.25">
      <c r="A1004" s="3">
        <v>43922</v>
      </c>
      <c r="B1004" s="2" t="s">
        <v>274</v>
      </c>
      <c r="C1004" s="2">
        <v>-0.42</v>
      </c>
      <c r="D1004" s="2">
        <v>0.12859999999999999</v>
      </c>
      <c r="E1004" s="2">
        <v>-5.4012000000000005E-4</v>
      </c>
      <c r="F1004" s="2" t="s">
        <v>170</v>
      </c>
    </row>
    <row r="1005" spans="1:6" ht="22.5" hidden="1" customHeight="1" x14ac:dyDescent="0.25">
      <c r="A1005" s="3">
        <v>43922</v>
      </c>
      <c r="B1005" s="2" t="s">
        <v>275</v>
      </c>
      <c r="C1005" s="2">
        <v>-0.55000000000000004</v>
      </c>
      <c r="D1005" s="2">
        <v>0.1729</v>
      </c>
      <c r="E1005" s="2">
        <v>-9.5094999999999999E-4</v>
      </c>
      <c r="F1005" s="2" t="s">
        <v>170</v>
      </c>
    </row>
    <row r="1006" spans="1:6" ht="22.5" hidden="1" customHeight="1" x14ac:dyDescent="0.25">
      <c r="A1006" s="3">
        <v>43922</v>
      </c>
      <c r="B1006" s="2" t="s">
        <v>276</v>
      </c>
      <c r="C1006" s="2">
        <v>-0.51</v>
      </c>
      <c r="D1006" s="2">
        <v>0.19889999999999999</v>
      </c>
      <c r="E1006" s="2">
        <v>-1.01439E-3</v>
      </c>
      <c r="F1006" s="2" t="s">
        <v>170</v>
      </c>
    </row>
    <row r="1007" spans="1:6" ht="22.5" hidden="1" customHeight="1" x14ac:dyDescent="0.25">
      <c r="A1007" s="3">
        <v>43922</v>
      </c>
      <c r="B1007" s="2" t="s">
        <v>277</v>
      </c>
      <c r="C1007" s="2">
        <v>-0.11</v>
      </c>
      <c r="D1007" s="2">
        <v>1.6813</v>
      </c>
      <c r="E1007" s="2">
        <v>-1.84943E-3</v>
      </c>
      <c r="F1007" s="2" t="s">
        <v>165</v>
      </c>
    </row>
    <row r="1008" spans="1:6" ht="22.5" hidden="1" customHeight="1" x14ac:dyDescent="0.25">
      <c r="A1008" s="3">
        <v>43922</v>
      </c>
      <c r="B1008" s="2" t="s">
        <v>278</v>
      </c>
      <c r="C1008" s="2">
        <v>-0.23</v>
      </c>
      <c r="D1008" s="2">
        <v>7.0599999999999996E-2</v>
      </c>
      <c r="E1008" s="2">
        <v>-1.6238E-4</v>
      </c>
      <c r="F1008" s="2" t="s">
        <v>165</v>
      </c>
    </row>
    <row r="1009" spans="1:6" ht="22.5" hidden="1" customHeight="1" x14ac:dyDescent="0.25">
      <c r="A1009" s="3">
        <v>44105</v>
      </c>
      <c r="B1009" s="2" t="s">
        <v>285</v>
      </c>
      <c r="C1009" s="2">
        <v>2.35</v>
      </c>
      <c r="D1009" s="2">
        <v>0.61399999999999999</v>
      </c>
      <c r="E1009" s="2">
        <v>1.4429000000000001E-2</v>
      </c>
      <c r="F1009" s="2" t="s">
        <v>168</v>
      </c>
    </row>
    <row r="1010" spans="1:6" ht="22.5" hidden="1" customHeight="1" x14ac:dyDescent="0.25">
      <c r="A1010" s="3">
        <v>43922</v>
      </c>
      <c r="B1010" s="2" t="s">
        <v>280</v>
      </c>
      <c r="C1010" s="2">
        <v>0.36</v>
      </c>
      <c r="D1010" s="2">
        <v>1.881</v>
      </c>
      <c r="E1010" s="2">
        <v>6.7716E-3</v>
      </c>
      <c r="F1010" s="2" t="s">
        <v>170</v>
      </c>
    </row>
    <row r="1011" spans="1:6" ht="22.5" hidden="1" customHeight="1" x14ac:dyDescent="0.25">
      <c r="A1011" s="3">
        <v>43922</v>
      </c>
      <c r="B1011" s="2" t="s">
        <v>281</v>
      </c>
      <c r="C1011" s="2">
        <v>0.14000000000000001</v>
      </c>
      <c r="D1011" s="2">
        <v>1.6400000000000001E-2</v>
      </c>
      <c r="E1011" s="2">
        <v>2.296E-5</v>
      </c>
      <c r="F1011" s="2" t="s">
        <v>165</v>
      </c>
    </row>
    <row r="1012" spans="1:6" ht="22.5" hidden="1" customHeight="1" x14ac:dyDescent="0.25">
      <c r="A1012" s="3">
        <v>43922</v>
      </c>
      <c r="B1012" s="2" t="s">
        <v>282</v>
      </c>
      <c r="C1012" s="2">
        <v>-7.68</v>
      </c>
      <c r="D1012" s="2">
        <v>2.1700000000000001E-2</v>
      </c>
      <c r="E1012" s="2">
        <v>-1.6665600000000001E-3</v>
      </c>
      <c r="F1012" s="2" t="s">
        <v>165</v>
      </c>
    </row>
    <row r="1013" spans="1:6" ht="22.5" hidden="1" customHeight="1" x14ac:dyDescent="0.25">
      <c r="A1013" s="3">
        <v>43922</v>
      </c>
      <c r="B1013" s="2" t="s">
        <v>283</v>
      </c>
      <c r="C1013" s="2">
        <v>-0.91</v>
      </c>
      <c r="D1013" s="2">
        <v>0.57840000000000003</v>
      </c>
      <c r="E1013" s="2">
        <v>-5.2634400000000003E-3</v>
      </c>
      <c r="F1013" s="2" t="s">
        <v>170</v>
      </c>
    </row>
    <row r="1014" spans="1:6" ht="22.5" hidden="1" customHeight="1" x14ac:dyDescent="0.25">
      <c r="A1014" s="3">
        <v>44317</v>
      </c>
      <c r="B1014" s="2" t="s">
        <v>285</v>
      </c>
      <c r="C1014" s="2">
        <v>1.7</v>
      </c>
      <c r="D1014" s="2">
        <v>0.77159999999999995</v>
      </c>
      <c r="E1014" s="2">
        <v>1.3117200000000001E-2</v>
      </c>
      <c r="F1014" s="2" t="s">
        <v>168</v>
      </c>
    </row>
    <row r="1015" spans="1:6" ht="22.5" hidden="1" customHeight="1" x14ac:dyDescent="0.25">
      <c r="A1015" s="3">
        <v>44562</v>
      </c>
      <c r="B1015" s="2" t="s">
        <v>196</v>
      </c>
      <c r="C1015" s="2">
        <v>8.4</v>
      </c>
      <c r="D1015" s="2">
        <v>0.14660000000000001</v>
      </c>
      <c r="E1015" s="2">
        <v>1.23144E-2</v>
      </c>
      <c r="F1015" s="2" t="s">
        <v>168</v>
      </c>
    </row>
    <row r="1016" spans="1:6" ht="22.5" hidden="1" customHeight="1" x14ac:dyDescent="0.25">
      <c r="A1016" s="3">
        <v>44256</v>
      </c>
      <c r="B1016" s="2" t="s">
        <v>167</v>
      </c>
      <c r="C1016" s="2">
        <v>0.68</v>
      </c>
      <c r="D1016" s="2">
        <v>1.7708999999999999</v>
      </c>
      <c r="E1016" s="2">
        <v>1.204212E-2</v>
      </c>
      <c r="F1016" s="2" t="s">
        <v>168</v>
      </c>
    </row>
    <row r="1017" spans="1:6" ht="22.5" hidden="1" customHeight="1" x14ac:dyDescent="0.25">
      <c r="A1017" s="3">
        <v>44075</v>
      </c>
      <c r="B1017" s="2" t="s">
        <v>285</v>
      </c>
      <c r="C1017" s="2">
        <v>1.98</v>
      </c>
      <c r="D1017" s="2">
        <v>0.60509999999999997</v>
      </c>
      <c r="E1017" s="2">
        <v>1.198098E-2</v>
      </c>
      <c r="F1017" s="2" t="s">
        <v>168</v>
      </c>
    </row>
    <row r="1018" spans="1:6" ht="22.5" hidden="1" customHeight="1" x14ac:dyDescent="0.25">
      <c r="A1018" s="3">
        <v>44287</v>
      </c>
      <c r="B1018" s="2" t="s">
        <v>285</v>
      </c>
      <c r="C1018" s="2">
        <v>1.46</v>
      </c>
      <c r="D1018" s="2">
        <v>0.76470000000000005</v>
      </c>
      <c r="E1018" s="2">
        <v>1.116462E-2</v>
      </c>
      <c r="F1018" s="2" t="s">
        <v>168</v>
      </c>
    </row>
    <row r="1019" spans="1:6" ht="22.5" hidden="1" customHeight="1" x14ac:dyDescent="0.25">
      <c r="A1019" s="3">
        <v>43862</v>
      </c>
      <c r="B1019" s="2" t="s">
        <v>260</v>
      </c>
      <c r="C1019" s="2">
        <v>0.79</v>
      </c>
      <c r="D1019" s="2">
        <v>1.3752</v>
      </c>
      <c r="E1019" s="2">
        <v>1.086408E-2</v>
      </c>
      <c r="F1019" s="2" t="s">
        <v>168</v>
      </c>
    </row>
    <row r="1020" spans="1:6" ht="22.5" hidden="1" customHeight="1" x14ac:dyDescent="0.25">
      <c r="A1020" s="3">
        <v>43862</v>
      </c>
      <c r="B1020" s="2" t="s">
        <v>284</v>
      </c>
      <c r="C1020" s="2">
        <v>0.21</v>
      </c>
      <c r="D1020" s="2">
        <v>5.1223999999999998</v>
      </c>
      <c r="E1020" s="2">
        <v>1.0757040000000001E-2</v>
      </c>
      <c r="F1020" s="2" t="s">
        <v>168</v>
      </c>
    </row>
    <row r="1021" spans="1:6" ht="22.5" hidden="1" customHeight="1" x14ac:dyDescent="0.25">
      <c r="A1021" s="3">
        <v>44013</v>
      </c>
      <c r="B1021" s="2" t="s">
        <v>195</v>
      </c>
      <c r="C1021" s="2">
        <v>0.99</v>
      </c>
      <c r="D1021" s="2">
        <v>1.0567</v>
      </c>
      <c r="E1021" s="2">
        <v>1.046133E-2</v>
      </c>
      <c r="F1021" s="2" t="s">
        <v>168</v>
      </c>
    </row>
    <row r="1022" spans="1:6" ht="22.5" hidden="1" customHeight="1" x14ac:dyDescent="0.25">
      <c r="A1022" s="3">
        <v>44317</v>
      </c>
      <c r="B1022" s="2" t="s">
        <v>288</v>
      </c>
      <c r="C1022" s="2">
        <v>4.43</v>
      </c>
      <c r="D1022" s="2">
        <v>0.22189999999999999</v>
      </c>
      <c r="E1022" s="2">
        <v>9.8301699999999992E-3</v>
      </c>
      <c r="F1022" s="2" t="s">
        <v>168</v>
      </c>
    </row>
    <row r="1023" spans="1:6" ht="22.5" hidden="1" customHeight="1" x14ac:dyDescent="0.25">
      <c r="A1023" s="3">
        <v>44593</v>
      </c>
      <c r="B1023" s="2" t="s">
        <v>284</v>
      </c>
      <c r="C1023" s="2">
        <v>0.15</v>
      </c>
      <c r="D1023" s="2">
        <v>6.4545000000000003</v>
      </c>
      <c r="E1023" s="2">
        <v>9.6817499999999994E-3</v>
      </c>
      <c r="F1023" s="2" t="s">
        <v>168</v>
      </c>
    </row>
    <row r="1024" spans="1:6" ht="22.5" hidden="1" customHeight="1" x14ac:dyDescent="0.25">
      <c r="A1024" s="3">
        <v>44075</v>
      </c>
      <c r="B1024" s="2" t="s">
        <v>195</v>
      </c>
      <c r="C1024" s="2">
        <v>0.91</v>
      </c>
      <c r="D1024" s="2">
        <v>1.0613999999999999</v>
      </c>
      <c r="E1024" s="2">
        <v>9.6587400000000007E-3</v>
      </c>
      <c r="F1024" s="2" t="s">
        <v>168</v>
      </c>
    </row>
    <row r="1025" spans="1:6" ht="22.5" hidden="1" customHeight="1" x14ac:dyDescent="0.25">
      <c r="A1025" s="3">
        <v>44317</v>
      </c>
      <c r="B1025" s="2" t="s">
        <v>289</v>
      </c>
      <c r="C1025" s="2">
        <v>1.73</v>
      </c>
      <c r="D1025" s="2">
        <v>0.53869999999999996</v>
      </c>
      <c r="E1025" s="2">
        <v>9.3195099999999996E-3</v>
      </c>
      <c r="F1025" s="2" t="s">
        <v>168</v>
      </c>
    </row>
    <row r="1026" spans="1:6" ht="22.5" hidden="1" customHeight="1" x14ac:dyDescent="0.25">
      <c r="A1026" s="3">
        <v>44013</v>
      </c>
      <c r="B1026" s="2" t="s">
        <v>289</v>
      </c>
      <c r="C1026" s="2">
        <v>1.69</v>
      </c>
      <c r="D1026" s="2">
        <v>0.55069999999999997</v>
      </c>
      <c r="E1026" s="2">
        <v>9.3068300000000003E-3</v>
      </c>
      <c r="F1026" s="2" t="s">
        <v>168</v>
      </c>
    </row>
    <row r="1027" spans="1:6" ht="22.5" hidden="1" customHeight="1" x14ac:dyDescent="0.25">
      <c r="A1027" s="3">
        <v>44593</v>
      </c>
      <c r="B1027" s="2" t="s">
        <v>286</v>
      </c>
      <c r="C1027" s="2">
        <v>3.78</v>
      </c>
      <c r="D1027" s="2">
        <v>0.24099999999999999</v>
      </c>
      <c r="E1027" s="2">
        <v>9.1097999999999995E-3</v>
      </c>
      <c r="F1027" s="2" t="s">
        <v>168</v>
      </c>
    </row>
    <row r="1028" spans="1:6" ht="22.5" hidden="1" customHeight="1" x14ac:dyDescent="0.25">
      <c r="A1028" s="3">
        <v>44348</v>
      </c>
      <c r="B1028" s="2" t="s">
        <v>287</v>
      </c>
      <c r="C1028" s="2">
        <v>12.41</v>
      </c>
      <c r="D1028" s="2">
        <v>7.0300000000000001E-2</v>
      </c>
      <c r="E1028" s="2">
        <v>8.7242299999999995E-3</v>
      </c>
      <c r="F1028" s="2" t="s">
        <v>168</v>
      </c>
    </row>
    <row r="1029" spans="1:6" ht="22.5" hidden="1" customHeight="1" x14ac:dyDescent="0.25">
      <c r="A1029" s="3">
        <v>43862</v>
      </c>
      <c r="B1029" s="2" t="s">
        <v>263</v>
      </c>
      <c r="C1029" s="2">
        <v>2.04</v>
      </c>
      <c r="D1029" s="2">
        <v>0.42709999999999998</v>
      </c>
      <c r="E1029" s="2">
        <v>8.7128399999999995E-3</v>
      </c>
      <c r="F1029" s="2" t="s">
        <v>168</v>
      </c>
    </row>
    <row r="1030" spans="1:6" ht="22.5" hidden="1" customHeight="1" x14ac:dyDescent="0.25">
      <c r="A1030" s="3">
        <v>43922</v>
      </c>
      <c r="B1030" s="2" t="s">
        <v>195</v>
      </c>
      <c r="C1030" s="2">
        <v>0.82</v>
      </c>
      <c r="D1030" s="2">
        <v>1.0489999999999999</v>
      </c>
      <c r="E1030" s="2">
        <v>8.6017999999999997E-3</v>
      </c>
      <c r="F1030" s="2" t="s">
        <v>168</v>
      </c>
    </row>
    <row r="1031" spans="1:6" ht="22.5" hidden="1" customHeight="1" x14ac:dyDescent="0.25">
      <c r="A1031" s="3">
        <v>44317</v>
      </c>
      <c r="B1031" s="2" t="s">
        <v>293</v>
      </c>
      <c r="C1031" s="2">
        <v>5.16</v>
      </c>
      <c r="D1031" s="2">
        <v>0.16309999999999999</v>
      </c>
      <c r="E1031" s="2">
        <v>8.4159600000000001E-3</v>
      </c>
      <c r="F1031" s="2" t="s">
        <v>168</v>
      </c>
    </row>
    <row r="1032" spans="1:6" ht="22.5" hidden="1" customHeight="1" x14ac:dyDescent="0.25">
      <c r="A1032" s="3">
        <v>43922</v>
      </c>
      <c r="B1032" s="2" t="s">
        <v>302</v>
      </c>
      <c r="C1032" s="2">
        <v>-1.34</v>
      </c>
      <c r="D1032" s="2">
        <v>0.30719999999999997</v>
      </c>
      <c r="E1032" s="2">
        <v>-4.1164799999999996E-3</v>
      </c>
      <c r="F1032" s="2" t="s">
        <v>170</v>
      </c>
    </row>
    <row r="1033" spans="1:6" ht="22.5" hidden="1" customHeight="1" x14ac:dyDescent="0.25">
      <c r="A1033" s="3">
        <v>43922</v>
      </c>
      <c r="B1033" s="2" t="s">
        <v>303</v>
      </c>
      <c r="C1033" s="2">
        <v>0.09</v>
      </c>
      <c r="D1033" s="2">
        <v>0.55089999999999995</v>
      </c>
      <c r="E1033" s="2">
        <v>4.9580999999999996E-4</v>
      </c>
      <c r="F1033" s="2" t="s">
        <v>165</v>
      </c>
    </row>
    <row r="1034" spans="1:6" ht="22.5" hidden="1" customHeight="1" x14ac:dyDescent="0.25">
      <c r="A1034" s="3">
        <v>43922</v>
      </c>
      <c r="B1034" s="2" t="s">
        <v>304</v>
      </c>
      <c r="C1034" s="2">
        <v>0.05</v>
      </c>
      <c r="D1034" s="2">
        <v>0.52410000000000001</v>
      </c>
      <c r="E1034" s="2">
        <v>2.6205E-4</v>
      </c>
      <c r="F1034" s="2" t="s">
        <v>165</v>
      </c>
    </row>
    <row r="1035" spans="1:6" ht="22.5" hidden="1" customHeight="1" x14ac:dyDescent="0.25">
      <c r="A1035" s="3">
        <v>43922</v>
      </c>
      <c r="B1035" s="2" t="s">
        <v>305</v>
      </c>
      <c r="C1035" s="2">
        <v>0.03</v>
      </c>
      <c r="D1035" s="2">
        <v>1.9E-2</v>
      </c>
      <c r="E1035" s="2">
        <v>5.6999999999999996E-6</v>
      </c>
      <c r="F1035" s="2" t="s">
        <v>170</v>
      </c>
    </row>
    <row r="1036" spans="1:6" ht="22.5" hidden="1" customHeight="1" x14ac:dyDescent="0.25">
      <c r="A1036" s="3">
        <v>43922</v>
      </c>
      <c r="B1036" s="2" t="s">
        <v>306</v>
      </c>
      <c r="C1036" s="2">
        <v>-0.36</v>
      </c>
      <c r="D1036" s="2">
        <v>4.8599999999999997E-2</v>
      </c>
      <c r="E1036" s="2">
        <v>-1.7495999999999999E-4</v>
      </c>
      <c r="F1036" s="2" t="s">
        <v>165</v>
      </c>
    </row>
    <row r="1037" spans="1:6" ht="22.5" hidden="1" customHeight="1" x14ac:dyDescent="0.25">
      <c r="A1037" s="3">
        <v>43922</v>
      </c>
      <c r="B1037" s="2" t="s">
        <v>307</v>
      </c>
      <c r="C1037" s="2">
        <v>-0.02</v>
      </c>
      <c r="D1037" s="2">
        <v>0.1094</v>
      </c>
      <c r="E1037" s="2">
        <v>-2.1880000000000001E-5</v>
      </c>
      <c r="F1037" s="2" t="s">
        <v>165</v>
      </c>
    </row>
    <row r="1038" spans="1:6" ht="22.5" hidden="1" customHeight="1" x14ac:dyDescent="0.25">
      <c r="A1038" s="3">
        <v>43922</v>
      </c>
      <c r="B1038" s="2" t="s">
        <v>308</v>
      </c>
      <c r="C1038" s="2">
        <v>0.04</v>
      </c>
      <c r="D1038" s="2">
        <v>0.38569999999999999</v>
      </c>
      <c r="E1038" s="2">
        <v>1.5427999999999999E-4</v>
      </c>
      <c r="F1038" s="2" t="s">
        <v>165</v>
      </c>
    </row>
    <row r="1039" spans="1:6" ht="22.5" hidden="1" customHeight="1" x14ac:dyDescent="0.25">
      <c r="A1039" s="3">
        <v>43922</v>
      </c>
      <c r="B1039" s="2" t="s">
        <v>309</v>
      </c>
      <c r="C1039" s="2">
        <v>-0.09</v>
      </c>
      <c r="D1039" s="2">
        <v>0.1346</v>
      </c>
      <c r="E1039" s="2">
        <v>-1.2114E-4</v>
      </c>
      <c r="F1039" s="2" t="s">
        <v>165</v>
      </c>
    </row>
    <row r="1040" spans="1:6" ht="22.5" hidden="1" customHeight="1" x14ac:dyDescent="0.25">
      <c r="A1040" s="3">
        <v>44317</v>
      </c>
      <c r="B1040" s="2" t="s">
        <v>296</v>
      </c>
      <c r="C1040" s="2">
        <v>4.22</v>
      </c>
      <c r="D1040" s="2">
        <v>0.1893</v>
      </c>
      <c r="E1040" s="2">
        <v>7.9884599999999993E-3</v>
      </c>
      <c r="F1040" s="2" t="s">
        <v>168</v>
      </c>
    </row>
    <row r="1041" spans="1:6" ht="22.5" hidden="1" customHeight="1" x14ac:dyDescent="0.25">
      <c r="A1041" s="3">
        <v>43922</v>
      </c>
      <c r="B1041" s="2" t="s">
        <v>311</v>
      </c>
      <c r="C1041" s="2">
        <v>0.56000000000000005</v>
      </c>
      <c r="D1041" s="2">
        <v>0.63080000000000003</v>
      </c>
      <c r="E1041" s="2">
        <v>3.5324800000000002E-3</v>
      </c>
      <c r="F1041" s="2" t="s">
        <v>174</v>
      </c>
    </row>
    <row r="1042" spans="1:6" ht="22.5" hidden="1" customHeight="1" x14ac:dyDescent="0.25">
      <c r="A1042" s="3">
        <v>43922</v>
      </c>
      <c r="B1042" s="2" t="s">
        <v>312</v>
      </c>
      <c r="C1042" s="2">
        <v>-0.41</v>
      </c>
      <c r="D1042" s="2">
        <v>0.2203</v>
      </c>
      <c r="E1042" s="2">
        <v>-9.0322999999999998E-4</v>
      </c>
      <c r="F1042" s="2" t="s">
        <v>174</v>
      </c>
    </row>
    <row r="1043" spans="1:6" ht="22.5" hidden="1" customHeight="1" x14ac:dyDescent="0.25">
      <c r="A1043" s="3">
        <v>43922</v>
      </c>
      <c r="B1043" s="2" t="s">
        <v>313</v>
      </c>
      <c r="C1043" s="2">
        <v>-1.02</v>
      </c>
      <c r="D1043" s="2">
        <v>0.1353</v>
      </c>
      <c r="E1043" s="2">
        <v>-1.38006E-3</v>
      </c>
      <c r="F1043" s="2" t="s">
        <v>174</v>
      </c>
    </row>
    <row r="1044" spans="1:6" ht="22.5" hidden="1" customHeight="1" x14ac:dyDescent="0.25">
      <c r="A1044" s="3">
        <v>43922</v>
      </c>
      <c r="B1044" s="2" t="s">
        <v>314</v>
      </c>
      <c r="C1044" s="2">
        <v>-1.53</v>
      </c>
      <c r="D1044" s="2">
        <v>0.39269999999999999</v>
      </c>
      <c r="E1044" s="2">
        <v>-6.0083100000000002E-3</v>
      </c>
      <c r="F1044" s="2" t="s">
        <v>174</v>
      </c>
    </row>
    <row r="1045" spans="1:6" ht="22.5" hidden="1" customHeight="1" x14ac:dyDescent="0.25">
      <c r="A1045" s="3">
        <v>43922</v>
      </c>
      <c r="B1045" s="2" t="s">
        <v>315</v>
      </c>
      <c r="C1045" s="2">
        <v>-0.69</v>
      </c>
      <c r="D1045" s="2">
        <v>0.26119999999999999</v>
      </c>
      <c r="E1045" s="2">
        <v>-1.8022800000000001E-3</v>
      </c>
      <c r="F1045" s="2" t="s">
        <v>174</v>
      </c>
    </row>
    <row r="1046" spans="1:6" ht="22.5" hidden="1" customHeight="1" x14ac:dyDescent="0.25">
      <c r="A1046" s="3">
        <v>43922</v>
      </c>
      <c r="B1046" s="2" t="s">
        <v>316</v>
      </c>
      <c r="C1046" s="2">
        <v>-1.35</v>
      </c>
      <c r="D1046" s="2">
        <v>4.1000000000000003E-3</v>
      </c>
      <c r="E1046" s="2">
        <v>-5.5349999999999997E-5</v>
      </c>
      <c r="F1046" s="2" t="s">
        <v>174</v>
      </c>
    </row>
    <row r="1047" spans="1:6" ht="22.5" hidden="1" customHeight="1" x14ac:dyDescent="0.25">
      <c r="A1047" s="3">
        <v>43922</v>
      </c>
      <c r="B1047" s="2" t="s">
        <v>317</v>
      </c>
      <c r="C1047" s="2">
        <v>-1.46</v>
      </c>
      <c r="D1047" s="2">
        <v>1.0274000000000001</v>
      </c>
      <c r="E1047" s="2">
        <v>-1.5000039999999999E-2</v>
      </c>
      <c r="F1047" s="2" t="s">
        <v>174</v>
      </c>
    </row>
    <row r="1048" spans="1:6" ht="22.5" hidden="1" customHeight="1" x14ac:dyDescent="0.25">
      <c r="A1048" s="3">
        <v>43922</v>
      </c>
      <c r="B1048" s="2" t="s">
        <v>318</v>
      </c>
      <c r="C1048" s="2">
        <v>0.05</v>
      </c>
      <c r="D1048" s="2">
        <v>0.45240000000000002</v>
      </c>
      <c r="E1048" s="2">
        <v>2.262E-4</v>
      </c>
      <c r="F1048" s="2" t="s">
        <v>174</v>
      </c>
    </row>
    <row r="1049" spans="1:6" ht="22.5" hidden="1" customHeight="1" x14ac:dyDescent="0.25">
      <c r="A1049" s="3">
        <v>43922</v>
      </c>
      <c r="B1049" s="2" t="s">
        <v>319</v>
      </c>
      <c r="C1049" s="2">
        <v>-0.72</v>
      </c>
      <c r="D1049" s="2">
        <v>0.11119999999999999</v>
      </c>
      <c r="E1049" s="2">
        <v>-8.0064000000000003E-4</v>
      </c>
      <c r="F1049" s="2" t="s">
        <v>174</v>
      </c>
    </row>
    <row r="1050" spans="1:6" ht="22.5" hidden="1" customHeight="1" x14ac:dyDescent="0.25">
      <c r="A1050" s="3">
        <v>43922</v>
      </c>
      <c r="B1050" s="2" t="s">
        <v>320</v>
      </c>
      <c r="C1050" s="2">
        <v>0.56999999999999995</v>
      </c>
      <c r="D1050" s="2">
        <v>0.2903</v>
      </c>
      <c r="E1050" s="2">
        <v>1.65471E-3</v>
      </c>
      <c r="F1050" s="2" t="s">
        <v>174</v>
      </c>
    </row>
    <row r="1051" spans="1:6" ht="22.5" hidden="1" customHeight="1" x14ac:dyDescent="0.25">
      <c r="A1051" s="3">
        <v>43922</v>
      </c>
      <c r="B1051" s="2" t="s">
        <v>321</v>
      </c>
      <c r="C1051" s="2">
        <v>3.06</v>
      </c>
      <c r="D1051" s="2">
        <v>0.2082</v>
      </c>
      <c r="E1051" s="2">
        <v>6.3709200000000004E-3</v>
      </c>
      <c r="F1051" s="2" t="s">
        <v>174</v>
      </c>
    </row>
    <row r="1052" spans="1:6" ht="22.5" hidden="1" customHeight="1" x14ac:dyDescent="0.25">
      <c r="A1052" s="3">
        <v>43922</v>
      </c>
      <c r="B1052" s="2" t="s">
        <v>322</v>
      </c>
      <c r="C1052" s="2">
        <v>0.03</v>
      </c>
      <c r="D1052" s="2">
        <v>0.17780000000000001</v>
      </c>
      <c r="E1052" s="2">
        <v>5.3340000000000001E-5</v>
      </c>
      <c r="F1052" s="2" t="s">
        <v>174</v>
      </c>
    </row>
    <row r="1053" spans="1:6" ht="22.5" hidden="1" customHeight="1" x14ac:dyDescent="0.25">
      <c r="A1053" s="3">
        <v>43922</v>
      </c>
      <c r="B1053" s="2" t="s">
        <v>323</v>
      </c>
      <c r="C1053" s="2">
        <v>-0.85</v>
      </c>
      <c r="D1053" s="2">
        <v>1.1599999999999999E-2</v>
      </c>
      <c r="E1053" s="2">
        <v>-9.8599999999999998E-5</v>
      </c>
      <c r="F1053" s="2" t="s">
        <v>165</v>
      </c>
    </row>
    <row r="1054" spans="1:6" ht="22.5" hidden="1" customHeight="1" x14ac:dyDescent="0.25">
      <c r="A1054" s="3">
        <v>43922</v>
      </c>
      <c r="B1054" s="2" t="s">
        <v>324</v>
      </c>
      <c r="C1054" s="2">
        <v>-0.24</v>
      </c>
      <c r="D1054" s="2">
        <v>0.3967</v>
      </c>
      <c r="E1054" s="2">
        <v>-9.5208000000000001E-4</v>
      </c>
      <c r="F1054" s="2" t="s">
        <v>165</v>
      </c>
    </row>
    <row r="1055" spans="1:6" ht="22.5" hidden="1" customHeight="1" x14ac:dyDescent="0.25">
      <c r="A1055" s="3">
        <v>43922</v>
      </c>
      <c r="B1055" s="2" t="s">
        <v>325</v>
      </c>
      <c r="C1055" s="2">
        <v>0.33</v>
      </c>
      <c r="D1055" s="2">
        <v>3.1922000000000001</v>
      </c>
      <c r="E1055" s="2">
        <v>1.053426E-2</v>
      </c>
      <c r="F1055" s="2" t="s">
        <v>165</v>
      </c>
    </row>
    <row r="1056" spans="1:6" ht="22.5" hidden="1" customHeight="1" x14ac:dyDescent="0.25">
      <c r="A1056" s="3">
        <v>43922</v>
      </c>
      <c r="B1056" s="2" t="s">
        <v>326</v>
      </c>
      <c r="C1056" s="2">
        <v>-0.22</v>
      </c>
      <c r="D1056" s="2">
        <v>1.0746</v>
      </c>
      <c r="E1056" s="2">
        <v>-2.3641199999999999E-3</v>
      </c>
      <c r="F1056" s="2" t="s">
        <v>165</v>
      </c>
    </row>
    <row r="1057" spans="1:6" ht="22.5" hidden="1" customHeight="1" x14ac:dyDescent="0.25">
      <c r="A1057" s="3">
        <v>43922</v>
      </c>
      <c r="B1057" s="2" t="s">
        <v>327</v>
      </c>
      <c r="C1057" s="2">
        <v>-0.2</v>
      </c>
      <c r="D1057" s="2">
        <v>6.0900000000000003E-2</v>
      </c>
      <c r="E1057" s="2">
        <v>-1.2180000000000001E-4</v>
      </c>
      <c r="F1057" s="2" t="s">
        <v>165</v>
      </c>
    </row>
    <row r="1058" spans="1:6" ht="22.5" hidden="1" customHeight="1" x14ac:dyDescent="0.25">
      <c r="A1058" s="3">
        <v>43922</v>
      </c>
      <c r="B1058" s="2" t="s">
        <v>328</v>
      </c>
      <c r="C1058" s="2">
        <v>0</v>
      </c>
      <c r="D1058" s="2">
        <v>1.8599999999999998E-2</v>
      </c>
      <c r="E1058" s="2">
        <v>0</v>
      </c>
      <c r="F1058" s="2" t="s">
        <v>165</v>
      </c>
    </row>
    <row r="1059" spans="1:6" ht="22.5" hidden="1" customHeight="1" x14ac:dyDescent="0.25">
      <c r="A1059" s="3">
        <v>43922</v>
      </c>
      <c r="B1059" s="2" t="s">
        <v>329</v>
      </c>
      <c r="C1059" s="2">
        <v>-0.38</v>
      </c>
      <c r="D1059" s="2">
        <v>9.8900000000000002E-2</v>
      </c>
      <c r="E1059" s="2">
        <v>-3.7582000000000002E-4</v>
      </c>
      <c r="F1059" s="2" t="s">
        <v>165</v>
      </c>
    </row>
    <row r="1060" spans="1:6" ht="22.5" hidden="1" customHeight="1" x14ac:dyDescent="0.25">
      <c r="A1060" s="3">
        <v>43922</v>
      </c>
      <c r="B1060" s="2" t="s">
        <v>330</v>
      </c>
      <c r="C1060" s="2">
        <v>0.1</v>
      </c>
      <c r="D1060" s="2">
        <v>1.7981</v>
      </c>
      <c r="E1060" s="2">
        <v>1.7981E-3</v>
      </c>
      <c r="F1060" s="2" t="s">
        <v>165</v>
      </c>
    </row>
    <row r="1061" spans="1:6" ht="22.5" hidden="1" customHeight="1" x14ac:dyDescent="0.25">
      <c r="A1061" s="3">
        <v>43922</v>
      </c>
      <c r="B1061" s="2" t="s">
        <v>331</v>
      </c>
      <c r="C1061" s="2">
        <v>0.14000000000000001</v>
      </c>
      <c r="D1061" s="2">
        <v>5.8799999999999998E-2</v>
      </c>
      <c r="E1061" s="2">
        <v>8.2319999999999998E-5</v>
      </c>
      <c r="F1061" s="2" t="s">
        <v>165</v>
      </c>
    </row>
    <row r="1062" spans="1:6" ht="22.5" hidden="1" customHeight="1" x14ac:dyDescent="0.25">
      <c r="A1062" s="3">
        <v>43922</v>
      </c>
      <c r="B1062" s="2" t="s">
        <v>332</v>
      </c>
      <c r="C1062" s="2">
        <v>-0.03</v>
      </c>
      <c r="D1062" s="2">
        <v>0.1101</v>
      </c>
      <c r="E1062" s="2">
        <v>-3.3030000000000001E-5</v>
      </c>
      <c r="F1062" s="2" t="s">
        <v>165</v>
      </c>
    </row>
    <row r="1063" spans="1:6" ht="22.5" hidden="1" customHeight="1" x14ac:dyDescent="0.25">
      <c r="A1063" s="3">
        <v>43922</v>
      </c>
      <c r="B1063" s="2" t="s">
        <v>333</v>
      </c>
      <c r="C1063" s="2">
        <v>3.66</v>
      </c>
      <c r="D1063" s="2">
        <v>8.3699999999999997E-2</v>
      </c>
      <c r="E1063" s="2">
        <v>3.0634199999999999E-3</v>
      </c>
      <c r="F1063" s="2" t="s">
        <v>165</v>
      </c>
    </row>
    <row r="1064" spans="1:6" ht="22.5" hidden="1" customHeight="1" x14ac:dyDescent="0.25">
      <c r="A1064" s="3">
        <v>43922</v>
      </c>
      <c r="B1064" s="2" t="s">
        <v>334</v>
      </c>
      <c r="C1064" s="2">
        <v>-2.95</v>
      </c>
      <c r="D1064" s="2">
        <v>1.9599999999999999E-2</v>
      </c>
      <c r="E1064" s="2">
        <v>-5.7819999999999996E-4</v>
      </c>
      <c r="F1064" s="2" t="s">
        <v>170</v>
      </c>
    </row>
    <row r="1065" spans="1:6" ht="22.5" hidden="1" customHeight="1" x14ac:dyDescent="0.25">
      <c r="A1065" s="3">
        <v>43922</v>
      </c>
      <c r="B1065" s="2" t="s">
        <v>335</v>
      </c>
      <c r="C1065" s="2">
        <v>-0.62</v>
      </c>
      <c r="D1065" s="2">
        <v>0.30420000000000003</v>
      </c>
      <c r="E1065" s="2">
        <v>-1.8860400000000001E-3</v>
      </c>
      <c r="F1065" s="2" t="s">
        <v>165</v>
      </c>
    </row>
    <row r="1066" spans="1:6" ht="22.5" hidden="1" customHeight="1" x14ac:dyDescent="0.25">
      <c r="A1066" s="3">
        <v>43922</v>
      </c>
      <c r="B1066" s="2" t="s">
        <v>336</v>
      </c>
      <c r="C1066" s="2">
        <v>-3.35</v>
      </c>
      <c r="D1066" s="2">
        <v>9.4700000000000006E-2</v>
      </c>
      <c r="E1066" s="2">
        <v>-3.1724499999999998E-3</v>
      </c>
      <c r="F1066" s="2" t="s">
        <v>170</v>
      </c>
    </row>
    <row r="1067" spans="1:6" ht="22.5" hidden="1" customHeight="1" x14ac:dyDescent="0.25">
      <c r="A1067" s="3">
        <v>43922</v>
      </c>
      <c r="B1067" s="2" t="s">
        <v>337</v>
      </c>
      <c r="C1067" s="2">
        <v>0.46</v>
      </c>
      <c r="D1067" s="2">
        <v>0.34100000000000003</v>
      </c>
      <c r="E1067" s="2">
        <v>1.5686000000000001E-3</v>
      </c>
      <c r="F1067" s="2" t="s">
        <v>174</v>
      </c>
    </row>
    <row r="1068" spans="1:6" ht="22.5" hidden="1" customHeight="1" x14ac:dyDescent="0.25">
      <c r="A1068" s="3">
        <v>43922</v>
      </c>
      <c r="B1068" s="2" t="s">
        <v>338</v>
      </c>
      <c r="C1068" s="2">
        <v>-2.97</v>
      </c>
      <c r="D1068" s="2">
        <v>0.2278</v>
      </c>
      <c r="E1068" s="2">
        <v>-6.7656599999999997E-3</v>
      </c>
      <c r="F1068" s="2" t="s">
        <v>174</v>
      </c>
    </row>
    <row r="1069" spans="1:6" ht="22.5" hidden="1" customHeight="1" x14ac:dyDescent="0.25">
      <c r="A1069" s="3">
        <v>43922</v>
      </c>
      <c r="B1069" s="2" t="s">
        <v>339</v>
      </c>
      <c r="C1069" s="2">
        <v>0</v>
      </c>
      <c r="D1069" s="2">
        <v>4.5199999999999997E-2</v>
      </c>
      <c r="E1069" s="2">
        <v>0</v>
      </c>
      <c r="F1069" s="2" t="s">
        <v>165</v>
      </c>
    </row>
    <row r="1070" spans="1:6" ht="22.5" hidden="1" customHeight="1" x14ac:dyDescent="0.25">
      <c r="A1070" s="3">
        <v>44228</v>
      </c>
      <c r="B1070" s="2" t="s">
        <v>167</v>
      </c>
      <c r="C1070" s="2">
        <v>0.45</v>
      </c>
      <c r="D1070" s="2">
        <v>1.7713000000000001</v>
      </c>
      <c r="E1070" s="2">
        <v>7.9708499999999998E-3</v>
      </c>
      <c r="F1070" s="2" t="s">
        <v>168</v>
      </c>
    </row>
    <row r="1071" spans="1:6" ht="22.5" hidden="1" customHeight="1" x14ac:dyDescent="0.25">
      <c r="A1071" s="3">
        <v>43922</v>
      </c>
      <c r="B1071" s="2" t="s">
        <v>341</v>
      </c>
      <c r="C1071" s="2">
        <v>2.39</v>
      </c>
      <c r="D1071" s="2">
        <v>1.15E-2</v>
      </c>
      <c r="E1071" s="2">
        <v>2.7484999999999999E-4</v>
      </c>
      <c r="F1071" s="2" t="s">
        <v>174</v>
      </c>
    </row>
    <row r="1072" spans="1:6" ht="22.5" hidden="1" customHeight="1" x14ac:dyDescent="0.25">
      <c r="A1072" s="3">
        <v>43922</v>
      </c>
      <c r="B1072" s="2" t="s">
        <v>342</v>
      </c>
      <c r="C1072" s="2">
        <v>-3.68</v>
      </c>
      <c r="D1072" s="2">
        <v>0.61029999999999995</v>
      </c>
      <c r="E1072" s="2">
        <v>-2.245904E-2</v>
      </c>
      <c r="F1072" s="2" t="s">
        <v>165</v>
      </c>
    </row>
    <row r="1073" spans="1:6" ht="22.5" hidden="1" customHeight="1" x14ac:dyDescent="0.25">
      <c r="A1073" s="3">
        <v>43922</v>
      </c>
      <c r="B1073" s="2" t="s">
        <v>343</v>
      </c>
      <c r="C1073" s="2">
        <v>-1.67</v>
      </c>
      <c r="D1073" s="2">
        <v>0.48659999999999998</v>
      </c>
      <c r="E1073" s="2">
        <v>-8.12622E-3</v>
      </c>
      <c r="F1073" s="2" t="s">
        <v>165</v>
      </c>
    </row>
    <row r="1074" spans="1:6" ht="22.5" hidden="1" customHeight="1" x14ac:dyDescent="0.25">
      <c r="A1074" s="3">
        <v>43922</v>
      </c>
      <c r="B1074" s="2" t="s">
        <v>344</v>
      </c>
      <c r="C1074" s="2">
        <v>-0.97</v>
      </c>
      <c r="D1074" s="2">
        <v>0.14860000000000001</v>
      </c>
      <c r="E1074" s="2">
        <v>-1.4414199999999999E-3</v>
      </c>
      <c r="F1074" s="2" t="s">
        <v>165</v>
      </c>
    </row>
    <row r="1075" spans="1:6" ht="22.5" hidden="1" customHeight="1" x14ac:dyDescent="0.25">
      <c r="A1075" s="3">
        <v>43922</v>
      </c>
      <c r="B1075" s="2" t="s">
        <v>345</v>
      </c>
      <c r="C1075" s="2">
        <v>0.18</v>
      </c>
      <c r="D1075" s="2">
        <v>0.54610000000000003</v>
      </c>
      <c r="E1075" s="2">
        <v>9.8298000000000005E-4</v>
      </c>
      <c r="F1075" s="2" t="s">
        <v>165</v>
      </c>
    </row>
    <row r="1076" spans="1:6" ht="22.5" hidden="1" customHeight="1" x14ac:dyDescent="0.25">
      <c r="A1076" s="3">
        <v>43922</v>
      </c>
      <c r="B1076" s="2" t="s">
        <v>346</v>
      </c>
      <c r="C1076" s="2">
        <v>0</v>
      </c>
      <c r="D1076" s="2">
        <v>0.55089999999999995</v>
      </c>
      <c r="E1076" s="2">
        <v>0</v>
      </c>
      <c r="F1076" s="2" t="s">
        <v>174</v>
      </c>
    </row>
    <row r="1077" spans="1:6" ht="22.5" hidden="1" customHeight="1" x14ac:dyDescent="0.25">
      <c r="A1077" s="3">
        <v>43922</v>
      </c>
      <c r="B1077" s="2" t="s">
        <v>347</v>
      </c>
      <c r="C1077" s="2">
        <v>0</v>
      </c>
      <c r="D1077" s="2">
        <v>0.20669999999999999</v>
      </c>
      <c r="E1077" s="2">
        <v>0</v>
      </c>
      <c r="F1077" s="2" t="s">
        <v>165</v>
      </c>
    </row>
    <row r="1078" spans="1:6" ht="22.5" hidden="1" customHeight="1" x14ac:dyDescent="0.25">
      <c r="A1078" s="3">
        <v>43922</v>
      </c>
      <c r="B1078" s="2" t="s">
        <v>348</v>
      </c>
      <c r="C1078" s="2">
        <v>0</v>
      </c>
      <c r="D1078" s="2">
        <v>0.34799999999999998</v>
      </c>
      <c r="E1078" s="2">
        <v>0</v>
      </c>
      <c r="F1078" s="2" t="s">
        <v>165</v>
      </c>
    </row>
    <row r="1079" spans="1:6" ht="22.5" hidden="1" customHeight="1" x14ac:dyDescent="0.25">
      <c r="A1079" s="3">
        <v>43922</v>
      </c>
      <c r="B1079" s="2" t="s">
        <v>349</v>
      </c>
      <c r="C1079" s="2">
        <v>0</v>
      </c>
      <c r="D1079" s="2">
        <v>1.6197999999999999</v>
      </c>
      <c r="E1079" s="2">
        <v>0</v>
      </c>
      <c r="F1079" s="2" t="s">
        <v>165</v>
      </c>
    </row>
    <row r="1080" spans="1:6" ht="22.5" hidden="1" customHeight="1" x14ac:dyDescent="0.25">
      <c r="A1080" s="3">
        <v>43922</v>
      </c>
      <c r="B1080" s="2" t="s">
        <v>350</v>
      </c>
      <c r="C1080" s="2">
        <v>0</v>
      </c>
      <c r="D1080" s="2">
        <v>0.4022</v>
      </c>
      <c r="E1080" s="2">
        <v>0</v>
      </c>
      <c r="F1080" s="2" t="s">
        <v>165</v>
      </c>
    </row>
    <row r="1081" spans="1:6" ht="22.5" hidden="1" customHeight="1" x14ac:dyDescent="0.25">
      <c r="A1081" s="3">
        <v>43922</v>
      </c>
      <c r="B1081" s="2" t="s">
        <v>351</v>
      </c>
      <c r="C1081" s="2">
        <v>0</v>
      </c>
      <c r="D1081" s="2">
        <v>1.9221999999999999</v>
      </c>
      <c r="E1081" s="2">
        <v>0</v>
      </c>
      <c r="F1081" s="2" t="s">
        <v>165</v>
      </c>
    </row>
    <row r="1082" spans="1:6" ht="22.5" hidden="1" customHeight="1" x14ac:dyDescent="0.25">
      <c r="A1082" s="3">
        <v>43922</v>
      </c>
      <c r="B1082" s="2" t="s">
        <v>352</v>
      </c>
      <c r="C1082" s="2">
        <v>0</v>
      </c>
      <c r="D1082" s="2">
        <v>0.31080000000000002</v>
      </c>
      <c r="E1082" s="2">
        <v>0</v>
      </c>
      <c r="F1082" s="2" t="s">
        <v>165</v>
      </c>
    </row>
    <row r="1083" spans="1:6" ht="22.5" hidden="1" customHeight="1" x14ac:dyDescent="0.25">
      <c r="A1083" s="3">
        <v>43922</v>
      </c>
      <c r="B1083" s="2" t="s">
        <v>353</v>
      </c>
      <c r="C1083" s="2">
        <v>0</v>
      </c>
      <c r="D1083" s="2">
        <v>4.4600000000000001E-2</v>
      </c>
      <c r="E1083" s="2">
        <v>0</v>
      </c>
      <c r="F1083" s="2" t="s">
        <v>165</v>
      </c>
    </row>
    <row r="1084" spans="1:6" ht="22.5" hidden="1" customHeight="1" x14ac:dyDescent="0.25">
      <c r="A1084" s="3">
        <v>43922</v>
      </c>
      <c r="B1084" s="2" t="s">
        <v>354</v>
      </c>
      <c r="C1084" s="2">
        <v>0</v>
      </c>
      <c r="D1084" s="2">
        <v>3.2399999999999998E-2</v>
      </c>
      <c r="E1084" s="2">
        <v>0</v>
      </c>
      <c r="F1084" s="2" t="s">
        <v>165</v>
      </c>
    </row>
    <row r="1085" spans="1:6" ht="22.5" hidden="1" customHeight="1" x14ac:dyDescent="0.25">
      <c r="A1085" s="3">
        <v>43922</v>
      </c>
      <c r="B1085" s="2" t="s">
        <v>355</v>
      </c>
      <c r="C1085" s="2">
        <v>1.71</v>
      </c>
      <c r="D1085" s="2">
        <v>3.0099999999999998E-2</v>
      </c>
      <c r="E1085" s="2">
        <v>5.1471000000000004E-4</v>
      </c>
      <c r="F1085" s="2" t="s">
        <v>174</v>
      </c>
    </row>
    <row r="1086" spans="1:6" ht="22.5" hidden="1" customHeight="1" x14ac:dyDescent="0.25">
      <c r="A1086" s="3">
        <v>43922</v>
      </c>
      <c r="B1086" s="2" t="s">
        <v>356</v>
      </c>
      <c r="C1086" s="2">
        <v>0</v>
      </c>
      <c r="D1086" s="2">
        <v>2.87E-2</v>
      </c>
      <c r="E1086" s="2">
        <v>0</v>
      </c>
      <c r="F1086" s="2" t="s">
        <v>174</v>
      </c>
    </row>
    <row r="1087" spans="1:6" ht="22.5" hidden="1" customHeight="1" x14ac:dyDescent="0.25">
      <c r="A1087" s="3">
        <v>43922</v>
      </c>
      <c r="B1087" s="2" t="s">
        <v>357</v>
      </c>
      <c r="C1087" s="2">
        <v>-0.19</v>
      </c>
      <c r="D1087" s="2">
        <v>0.38969999999999999</v>
      </c>
      <c r="E1087" s="2">
        <v>-7.4043000000000004E-4</v>
      </c>
      <c r="F1087" s="2" t="s">
        <v>174</v>
      </c>
    </row>
    <row r="1088" spans="1:6" ht="22.5" hidden="1" customHeight="1" x14ac:dyDescent="0.25">
      <c r="A1088" s="3">
        <v>43922</v>
      </c>
      <c r="B1088" s="2" t="s">
        <v>358</v>
      </c>
      <c r="C1088" s="2">
        <v>-1.67</v>
      </c>
      <c r="D1088" s="2">
        <v>0.1009</v>
      </c>
      <c r="E1088" s="2">
        <v>-1.6850299999999999E-3</v>
      </c>
      <c r="F1088" s="2" t="s">
        <v>174</v>
      </c>
    </row>
    <row r="1089" spans="1:6" ht="22.5" hidden="1" customHeight="1" x14ac:dyDescent="0.25">
      <c r="A1089" s="3">
        <v>43922</v>
      </c>
      <c r="B1089" s="2" t="s">
        <v>359</v>
      </c>
      <c r="C1089" s="2">
        <v>-1.33</v>
      </c>
      <c r="D1089" s="2">
        <v>5.2299999999999999E-2</v>
      </c>
      <c r="E1089" s="2">
        <v>-6.9559000000000005E-4</v>
      </c>
      <c r="F1089" s="2" t="s">
        <v>174</v>
      </c>
    </row>
    <row r="1090" spans="1:6" ht="22.5" hidden="1" customHeight="1" x14ac:dyDescent="0.25">
      <c r="A1090" s="3">
        <v>43922</v>
      </c>
      <c r="B1090" s="2" t="s">
        <v>360</v>
      </c>
      <c r="C1090" s="2">
        <v>1.22</v>
      </c>
      <c r="D1090" s="2">
        <v>8.9800000000000005E-2</v>
      </c>
      <c r="E1090" s="2">
        <v>1.09556E-3</v>
      </c>
      <c r="F1090" s="2" t="s">
        <v>174</v>
      </c>
    </row>
    <row r="1091" spans="1:6" ht="22.5" hidden="1" customHeight="1" x14ac:dyDescent="0.25">
      <c r="A1091" s="3">
        <v>43922</v>
      </c>
      <c r="B1091" s="2" t="s">
        <v>361</v>
      </c>
      <c r="C1091" s="2">
        <v>0</v>
      </c>
      <c r="D1091" s="2">
        <v>8.2100000000000006E-2</v>
      </c>
      <c r="E1091" s="2">
        <v>0</v>
      </c>
      <c r="F1091" s="2" t="s">
        <v>165</v>
      </c>
    </row>
    <row r="1092" spans="1:6" ht="22.5" hidden="1" customHeight="1" x14ac:dyDescent="0.25">
      <c r="A1092" s="3">
        <v>43922</v>
      </c>
      <c r="B1092" s="2" t="s">
        <v>362</v>
      </c>
      <c r="C1092" s="2">
        <v>0</v>
      </c>
      <c r="D1092" s="2">
        <v>0.32700000000000001</v>
      </c>
      <c r="E1092" s="2">
        <v>0</v>
      </c>
      <c r="F1092" s="2" t="s">
        <v>165</v>
      </c>
    </row>
    <row r="1093" spans="1:6" ht="22.5" hidden="1" customHeight="1" x14ac:dyDescent="0.25">
      <c r="A1093" s="3">
        <v>43922</v>
      </c>
      <c r="B1093" s="2" t="s">
        <v>363</v>
      </c>
      <c r="C1093" s="2">
        <v>0.22</v>
      </c>
      <c r="D1093" s="2">
        <v>5.0299999999999997E-2</v>
      </c>
      <c r="E1093" s="2">
        <v>1.1066E-4</v>
      </c>
      <c r="F1093" s="2" t="s">
        <v>165</v>
      </c>
    </row>
    <row r="1094" spans="1:6" ht="22.5" hidden="1" customHeight="1" x14ac:dyDescent="0.25">
      <c r="A1094" s="3">
        <v>43922</v>
      </c>
      <c r="B1094" s="2" t="s">
        <v>364</v>
      </c>
      <c r="C1094" s="2">
        <v>0.12</v>
      </c>
      <c r="D1094" s="2">
        <v>0.41620000000000001</v>
      </c>
      <c r="E1094" s="2">
        <v>4.9943999999999998E-4</v>
      </c>
      <c r="F1094" s="2" t="s">
        <v>165</v>
      </c>
    </row>
    <row r="1095" spans="1:6" ht="22.5" hidden="1" customHeight="1" x14ac:dyDescent="0.25">
      <c r="A1095" s="3">
        <v>44501</v>
      </c>
      <c r="B1095" s="2" t="s">
        <v>298</v>
      </c>
      <c r="C1095" s="2">
        <v>1.38</v>
      </c>
      <c r="D1095" s="2">
        <v>0.56399999999999995</v>
      </c>
      <c r="E1095" s="2">
        <v>7.7831999999999997E-3</v>
      </c>
      <c r="F1095" s="2" t="s">
        <v>168</v>
      </c>
    </row>
    <row r="1096" spans="1:6" ht="22.5" hidden="1" customHeight="1" x14ac:dyDescent="0.25">
      <c r="A1096" s="3">
        <v>44470</v>
      </c>
      <c r="B1096" s="2" t="s">
        <v>289</v>
      </c>
      <c r="C1096" s="2">
        <v>1.47</v>
      </c>
      <c r="D1096" s="2">
        <v>0.52680000000000005</v>
      </c>
      <c r="E1096" s="2">
        <v>7.7439600000000003E-3</v>
      </c>
      <c r="F1096" s="2" t="s">
        <v>168</v>
      </c>
    </row>
    <row r="1097" spans="1:6" ht="22.5" hidden="1" customHeight="1" x14ac:dyDescent="0.25">
      <c r="A1097" s="3">
        <v>44317</v>
      </c>
      <c r="B1097" s="2" t="s">
        <v>297</v>
      </c>
      <c r="C1097" s="2">
        <v>2.63</v>
      </c>
      <c r="D1097" s="2">
        <v>0.28589999999999999</v>
      </c>
      <c r="E1097" s="2">
        <v>7.5191700000000004E-3</v>
      </c>
      <c r="F1097" s="2" t="s">
        <v>168</v>
      </c>
    </row>
    <row r="1098" spans="1:6" ht="22.5" hidden="1" customHeight="1" x14ac:dyDescent="0.25">
      <c r="A1098" s="3">
        <v>43922</v>
      </c>
      <c r="B1098" s="2" t="s">
        <v>368</v>
      </c>
      <c r="C1098" s="2">
        <v>0</v>
      </c>
      <c r="D1098" s="2">
        <v>0.40639999999999998</v>
      </c>
      <c r="E1098" s="2">
        <v>0</v>
      </c>
      <c r="F1098" s="2" t="s">
        <v>165</v>
      </c>
    </row>
    <row r="1099" spans="1:6" ht="22.5" hidden="1" customHeight="1" x14ac:dyDescent="0.25">
      <c r="A1099" s="3">
        <v>43922</v>
      </c>
      <c r="B1099" s="2" t="s">
        <v>369</v>
      </c>
      <c r="C1099" s="2">
        <v>0</v>
      </c>
      <c r="D1099" s="2">
        <v>0.54369999999999996</v>
      </c>
      <c r="E1099" s="2">
        <v>0</v>
      </c>
      <c r="F1099" s="2" t="s">
        <v>165</v>
      </c>
    </row>
    <row r="1100" spans="1:6" ht="22.5" hidden="1" customHeight="1" x14ac:dyDescent="0.25">
      <c r="A1100" s="3">
        <v>43922</v>
      </c>
      <c r="B1100" s="2" t="s">
        <v>370</v>
      </c>
      <c r="C1100" s="2">
        <v>-1.69</v>
      </c>
      <c r="D1100" s="2">
        <v>1.0084</v>
      </c>
      <c r="E1100" s="2">
        <v>-1.7041959999999998E-2</v>
      </c>
      <c r="F1100" s="2" t="s">
        <v>170</v>
      </c>
    </row>
    <row r="1101" spans="1:6" ht="22.5" hidden="1" customHeight="1" x14ac:dyDescent="0.25">
      <c r="A1101" s="3">
        <v>43922</v>
      </c>
      <c r="B1101" s="2" t="s">
        <v>371</v>
      </c>
      <c r="C1101" s="2">
        <v>0</v>
      </c>
      <c r="D1101" s="2">
        <v>6.9599999999999995E-2</v>
      </c>
      <c r="E1101" s="2">
        <v>0</v>
      </c>
      <c r="F1101" s="2" t="s">
        <v>165</v>
      </c>
    </row>
    <row r="1102" spans="1:6" ht="22.5" hidden="1" customHeight="1" x14ac:dyDescent="0.25">
      <c r="A1102" s="3">
        <v>43922</v>
      </c>
      <c r="B1102" s="2" t="s">
        <v>372</v>
      </c>
      <c r="C1102" s="2">
        <v>0</v>
      </c>
      <c r="D1102" s="2">
        <v>1.7196</v>
      </c>
      <c r="E1102" s="2">
        <v>0</v>
      </c>
      <c r="F1102" s="2" t="s">
        <v>165</v>
      </c>
    </row>
    <row r="1103" spans="1:6" ht="22.5" hidden="1" customHeight="1" x14ac:dyDescent="0.25">
      <c r="A1103" s="3">
        <v>43952</v>
      </c>
      <c r="B1103" s="2" t="s">
        <v>6</v>
      </c>
      <c r="C1103" s="2">
        <v>2.59</v>
      </c>
      <c r="D1103" s="2">
        <v>0.47739999999999999</v>
      </c>
      <c r="E1103" s="2">
        <v>1.236466E-2</v>
      </c>
      <c r="F1103" s="2" t="s">
        <v>7</v>
      </c>
    </row>
    <row r="1104" spans="1:6" ht="22.5" hidden="1" customHeight="1" x14ac:dyDescent="0.25">
      <c r="A1104" s="3">
        <v>43952</v>
      </c>
      <c r="B1104" s="2" t="s">
        <v>8</v>
      </c>
      <c r="C1104" s="2">
        <v>12.92</v>
      </c>
      <c r="D1104" s="2">
        <v>1.1900000000000001E-2</v>
      </c>
      <c r="E1104" s="2">
        <v>1.5374799999999999E-3</v>
      </c>
      <c r="F1104" s="2" t="s">
        <v>7</v>
      </c>
    </row>
    <row r="1105" spans="1:6" ht="22.5" hidden="1" customHeight="1" x14ac:dyDescent="0.25">
      <c r="A1105" s="3">
        <v>43952</v>
      </c>
      <c r="B1105" s="2" t="s">
        <v>9</v>
      </c>
      <c r="C1105" s="2">
        <v>10.130000000000001</v>
      </c>
      <c r="D1105" s="2">
        <v>4.9599999999999998E-2</v>
      </c>
      <c r="E1105" s="2">
        <v>5.0244799999999996E-3</v>
      </c>
      <c r="F1105" s="2" t="s">
        <v>7</v>
      </c>
    </row>
    <row r="1106" spans="1:6" ht="22.5" hidden="1" customHeight="1" x14ac:dyDescent="0.25">
      <c r="A1106" s="3">
        <v>43952</v>
      </c>
      <c r="B1106" s="2" t="s">
        <v>10</v>
      </c>
      <c r="C1106" s="2">
        <v>4.0199999999999996</v>
      </c>
      <c r="D1106" s="2">
        <v>1.67E-2</v>
      </c>
      <c r="E1106" s="2">
        <v>6.7133999999999998E-4</v>
      </c>
      <c r="F1106" s="2" t="s">
        <v>7</v>
      </c>
    </row>
    <row r="1107" spans="1:6" ht="22.5" hidden="1" customHeight="1" x14ac:dyDescent="0.25">
      <c r="A1107" s="3">
        <v>43952</v>
      </c>
      <c r="B1107" s="2" t="s">
        <v>11</v>
      </c>
      <c r="C1107" s="2">
        <v>13.62</v>
      </c>
      <c r="D1107" s="2">
        <v>0.13370000000000001</v>
      </c>
      <c r="E1107" s="2">
        <v>1.8209940000000001E-2</v>
      </c>
      <c r="F1107" s="2" t="s">
        <v>7</v>
      </c>
    </row>
    <row r="1108" spans="1:6" ht="22.5" hidden="1" customHeight="1" x14ac:dyDescent="0.25">
      <c r="A1108" s="3">
        <v>43952</v>
      </c>
      <c r="B1108" s="2" t="s">
        <v>12</v>
      </c>
      <c r="C1108" s="2">
        <v>-3.13</v>
      </c>
      <c r="D1108" s="2">
        <v>1.11E-2</v>
      </c>
      <c r="E1108" s="2">
        <v>-3.4743000000000003E-4</v>
      </c>
      <c r="F1108" s="2" t="s">
        <v>7</v>
      </c>
    </row>
    <row r="1109" spans="1:6" ht="22.5" hidden="1" customHeight="1" x14ac:dyDescent="0.25">
      <c r="A1109" s="3">
        <v>43952</v>
      </c>
      <c r="B1109" s="2" t="s">
        <v>13</v>
      </c>
      <c r="C1109" s="2">
        <v>-0.88</v>
      </c>
      <c r="D1109" s="2">
        <v>3.2000000000000002E-3</v>
      </c>
      <c r="E1109" s="2">
        <v>-2.8160000000000001E-5</v>
      </c>
      <c r="F1109" s="2" t="s">
        <v>7</v>
      </c>
    </row>
    <row r="1110" spans="1:6" ht="22.5" hidden="1" customHeight="1" x14ac:dyDescent="0.25">
      <c r="A1110" s="3">
        <v>43952</v>
      </c>
      <c r="B1110" s="2" t="s">
        <v>14</v>
      </c>
      <c r="C1110" s="2">
        <v>0.11</v>
      </c>
      <c r="D1110" s="2">
        <v>0.14849999999999999</v>
      </c>
      <c r="E1110" s="2">
        <v>1.6335000000000001E-4</v>
      </c>
      <c r="F1110" s="2" t="s">
        <v>7</v>
      </c>
    </row>
    <row r="1111" spans="1:6" ht="22.5" hidden="1" customHeight="1" x14ac:dyDescent="0.25">
      <c r="A1111" s="3">
        <v>43952</v>
      </c>
      <c r="B1111" s="2" t="s">
        <v>15</v>
      </c>
      <c r="C1111" s="2">
        <v>0.4</v>
      </c>
      <c r="D1111" s="2">
        <v>7.1000000000000004E-3</v>
      </c>
      <c r="E1111" s="2">
        <v>2.8399999999999999E-5</v>
      </c>
      <c r="F1111" s="2" t="s">
        <v>7</v>
      </c>
    </row>
    <row r="1112" spans="1:6" ht="22.5" hidden="1" customHeight="1" x14ac:dyDescent="0.25">
      <c r="A1112" s="3">
        <v>43952</v>
      </c>
      <c r="B1112" s="2" t="s">
        <v>16</v>
      </c>
      <c r="C1112" s="2">
        <v>-0.43</v>
      </c>
      <c r="D1112" s="2">
        <v>9.5999999999999992E-3</v>
      </c>
      <c r="E1112" s="2">
        <v>-4.1279999999999998E-5</v>
      </c>
      <c r="F1112" s="2" t="s">
        <v>7</v>
      </c>
    </row>
    <row r="1113" spans="1:6" ht="22.5" hidden="1" customHeight="1" x14ac:dyDescent="0.25">
      <c r="A1113" s="3">
        <v>43952</v>
      </c>
      <c r="B1113" s="2" t="s">
        <v>17</v>
      </c>
      <c r="C1113" s="2">
        <v>4.12</v>
      </c>
      <c r="D1113" s="2">
        <v>4.5999999999999999E-2</v>
      </c>
      <c r="E1113" s="2">
        <v>1.8952000000000001E-3</v>
      </c>
      <c r="F1113" s="2" t="s">
        <v>7</v>
      </c>
    </row>
    <row r="1114" spans="1:6" ht="22.5" hidden="1" customHeight="1" x14ac:dyDescent="0.25">
      <c r="A1114" s="3">
        <v>43952</v>
      </c>
      <c r="B1114" s="2" t="s">
        <v>18</v>
      </c>
      <c r="C1114" s="2">
        <v>-1.19</v>
      </c>
      <c r="D1114" s="2">
        <v>9.9400000000000002E-2</v>
      </c>
      <c r="E1114" s="2">
        <v>-1.18286E-3</v>
      </c>
      <c r="F1114" s="2" t="s">
        <v>7</v>
      </c>
    </row>
    <row r="1115" spans="1:6" ht="22.5" hidden="1" customHeight="1" x14ac:dyDescent="0.25">
      <c r="A1115" s="3">
        <v>43952</v>
      </c>
      <c r="B1115" s="2" t="s">
        <v>19</v>
      </c>
      <c r="C1115" s="2">
        <v>-0.18</v>
      </c>
      <c r="D1115" s="2">
        <v>0.121</v>
      </c>
      <c r="E1115" s="2">
        <v>-2.1780000000000001E-4</v>
      </c>
      <c r="F1115" s="2" t="s">
        <v>7</v>
      </c>
    </row>
    <row r="1116" spans="1:6" ht="22.5" hidden="1" customHeight="1" x14ac:dyDescent="0.25">
      <c r="A1116" s="3">
        <v>43952</v>
      </c>
      <c r="B1116" s="2" t="s">
        <v>20</v>
      </c>
      <c r="C1116" s="2">
        <v>1.08</v>
      </c>
      <c r="D1116" s="2">
        <v>2.52E-2</v>
      </c>
      <c r="E1116" s="2">
        <v>2.7216000000000002E-4</v>
      </c>
      <c r="F1116" s="2" t="s">
        <v>7</v>
      </c>
    </row>
    <row r="1117" spans="1:6" ht="22.5" hidden="1" customHeight="1" x14ac:dyDescent="0.25">
      <c r="A1117" s="3">
        <v>43952</v>
      </c>
      <c r="B1117" s="2" t="s">
        <v>21</v>
      </c>
      <c r="C1117" s="2">
        <v>-2.44</v>
      </c>
      <c r="D1117" s="2">
        <v>2.8899999999999999E-2</v>
      </c>
      <c r="E1117" s="2">
        <v>-7.0516000000000003E-4</v>
      </c>
      <c r="F1117" s="2" t="s">
        <v>7</v>
      </c>
    </row>
    <row r="1118" spans="1:6" ht="22.5" hidden="1" customHeight="1" x14ac:dyDescent="0.25">
      <c r="A1118" s="3">
        <v>43952</v>
      </c>
      <c r="B1118" s="2" t="s">
        <v>22</v>
      </c>
      <c r="C1118" s="2">
        <v>16.91</v>
      </c>
      <c r="D1118" s="2">
        <v>0.18329999999999999</v>
      </c>
      <c r="E1118" s="2">
        <v>3.0996030000000001E-2</v>
      </c>
      <c r="F1118" s="2" t="s">
        <v>7</v>
      </c>
    </row>
    <row r="1119" spans="1:6" ht="22.5" hidden="1" customHeight="1" x14ac:dyDescent="0.25">
      <c r="A1119" s="3">
        <v>43952</v>
      </c>
      <c r="B1119" s="2" t="s">
        <v>23</v>
      </c>
      <c r="C1119" s="2">
        <v>-8.26</v>
      </c>
      <c r="D1119" s="2">
        <v>1.55E-2</v>
      </c>
      <c r="E1119" s="2">
        <v>-1.2803000000000001E-3</v>
      </c>
      <c r="F1119" s="2" t="s">
        <v>7</v>
      </c>
    </row>
    <row r="1120" spans="1:6" ht="22.5" hidden="1" customHeight="1" x14ac:dyDescent="0.25">
      <c r="A1120" s="3">
        <v>43952</v>
      </c>
      <c r="B1120" s="2" t="s">
        <v>24</v>
      </c>
      <c r="C1120" s="2">
        <v>-16.84</v>
      </c>
      <c r="D1120" s="2">
        <v>1.0500000000000001E-2</v>
      </c>
      <c r="E1120" s="2">
        <v>-1.7681999999999999E-3</v>
      </c>
      <c r="F1120" s="2" t="s">
        <v>7</v>
      </c>
    </row>
    <row r="1121" spans="1:6" ht="22.5" hidden="1" customHeight="1" x14ac:dyDescent="0.25">
      <c r="A1121" s="3">
        <v>43952</v>
      </c>
      <c r="B1121" s="2" t="s">
        <v>25</v>
      </c>
      <c r="C1121" s="2">
        <v>9.2799999999999994</v>
      </c>
      <c r="D1121" s="2">
        <v>2.5999999999999999E-3</v>
      </c>
      <c r="E1121" s="2">
        <v>2.4127999999999999E-4</v>
      </c>
      <c r="F1121" s="2" t="s">
        <v>7</v>
      </c>
    </row>
    <row r="1122" spans="1:6" ht="22.5" hidden="1" customHeight="1" x14ac:dyDescent="0.25">
      <c r="A1122" s="3">
        <v>43952</v>
      </c>
      <c r="B1122" s="2" t="s">
        <v>26</v>
      </c>
      <c r="C1122" s="2">
        <v>-3.45</v>
      </c>
      <c r="D1122" s="2">
        <v>1.4800000000000001E-2</v>
      </c>
      <c r="E1122" s="2">
        <v>-5.1060000000000005E-4</v>
      </c>
      <c r="F1122" s="2" t="s">
        <v>7</v>
      </c>
    </row>
    <row r="1123" spans="1:6" ht="22.5" hidden="1" customHeight="1" x14ac:dyDescent="0.25">
      <c r="A1123" s="3">
        <v>43952</v>
      </c>
      <c r="B1123" s="2" t="s">
        <v>27</v>
      </c>
      <c r="C1123" s="2">
        <v>-3.4</v>
      </c>
      <c r="D1123" s="2">
        <v>0.27410000000000001</v>
      </c>
      <c r="E1123" s="2">
        <v>-9.3194000000000003E-3</v>
      </c>
      <c r="F1123" s="2" t="s">
        <v>7</v>
      </c>
    </row>
    <row r="1124" spans="1:6" ht="22.5" hidden="1" customHeight="1" x14ac:dyDescent="0.25">
      <c r="A1124" s="3">
        <v>43952</v>
      </c>
      <c r="B1124" s="2" t="s">
        <v>28</v>
      </c>
      <c r="C1124" s="2">
        <v>33.590000000000003</v>
      </c>
      <c r="D1124" s="2">
        <v>0.13350000000000001</v>
      </c>
      <c r="E1124" s="2">
        <v>4.4842649999999998E-2</v>
      </c>
      <c r="F1124" s="2" t="s">
        <v>7</v>
      </c>
    </row>
    <row r="1125" spans="1:6" ht="22.5" hidden="1" customHeight="1" x14ac:dyDescent="0.25">
      <c r="A1125" s="3">
        <v>43952</v>
      </c>
      <c r="B1125" s="2" t="s">
        <v>29</v>
      </c>
      <c r="C1125" s="2">
        <v>-6.41</v>
      </c>
      <c r="D1125" s="2">
        <v>8.09E-2</v>
      </c>
      <c r="E1125" s="2">
        <v>-5.1856899999999997E-3</v>
      </c>
      <c r="F1125" s="2" t="s">
        <v>7</v>
      </c>
    </row>
    <row r="1126" spans="1:6" ht="22.5" hidden="1" customHeight="1" x14ac:dyDescent="0.25">
      <c r="A1126" s="3">
        <v>43952</v>
      </c>
      <c r="B1126" s="2" t="s">
        <v>30</v>
      </c>
      <c r="C1126" s="2">
        <v>-1</v>
      </c>
      <c r="D1126" s="2">
        <v>9.0899999999999995E-2</v>
      </c>
      <c r="E1126" s="2">
        <v>-9.0899999999999998E-4</v>
      </c>
      <c r="F1126" s="2" t="s">
        <v>7</v>
      </c>
    </row>
    <row r="1127" spans="1:6" ht="22.5" hidden="1" customHeight="1" x14ac:dyDescent="0.25">
      <c r="A1127" s="3">
        <v>43952</v>
      </c>
      <c r="B1127" s="2" t="s">
        <v>31</v>
      </c>
      <c r="C1127" s="2">
        <v>2</v>
      </c>
      <c r="D1127" s="2">
        <v>9.7799999999999998E-2</v>
      </c>
      <c r="E1127" s="2">
        <v>1.9559999999999998E-3</v>
      </c>
      <c r="F1127" s="2" t="s">
        <v>7</v>
      </c>
    </row>
    <row r="1128" spans="1:6" ht="22.5" hidden="1" customHeight="1" x14ac:dyDescent="0.25">
      <c r="A1128" s="3">
        <v>43952</v>
      </c>
      <c r="B1128" s="2" t="s">
        <v>32</v>
      </c>
      <c r="C1128" s="2">
        <v>-0.9</v>
      </c>
      <c r="D1128" s="2">
        <v>1.6299999999999999E-2</v>
      </c>
      <c r="E1128" s="2">
        <v>-1.4669999999999999E-4</v>
      </c>
      <c r="F1128" s="2" t="s">
        <v>7</v>
      </c>
    </row>
    <row r="1129" spans="1:6" ht="22.5" hidden="1" customHeight="1" x14ac:dyDescent="0.25">
      <c r="A1129" s="3">
        <v>43952</v>
      </c>
      <c r="B1129" s="2" t="s">
        <v>33</v>
      </c>
      <c r="C1129" s="2">
        <v>3.92</v>
      </c>
      <c r="D1129" s="2">
        <v>0.1807</v>
      </c>
      <c r="E1129" s="2">
        <v>7.0834399999999999E-3</v>
      </c>
      <c r="F1129" s="2" t="s">
        <v>7</v>
      </c>
    </row>
    <row r="1130" spans="1:6" ht="22.5" hidden="1" customHeight="1" x14ac:dyDescent="0.25">
      <c r="A1130" s="3">
        <v>43952</v>
      </c>
      <c r="B1130" s="2" t="s">
        <v>34</v>
      </c>
      <c r="C1130" s="2">
        <v>1.65</v>
      </c>
      <c r="D1130" s="2">
        <v>0.13339999999999999</v>
      </c>
      <c r="E1130" s="2">
        <v>2.2011000000000001E-3</v>
      </c>
      <c r="F1130" s="2" t="s">
        <v>7</v>
      </c>
    </row>
    <row r="1131" spans="1:6" ht="22.5" hidden="1" customHeight="1" x14ac:dyDescent="0.25">
      <c r="A1131" s="3">
        <v>43952</v>
      </c>
      <c r="B1131" s="2" t="s">
        <v>35</v>
      </c>
      <c r="C1131" s="2">
        <v>0.19</v>
      </c>
      <c r="D1131" s="2">
        <v>0.107</v>
      </c>
      <c r="E1131" s="2">
        <v>2.0330000000000001E-4</v>
      </c>
      <c r="F1131" s="2" t="s">
        <v>7</v>
      </c>
    </row>
    <row r="1132" spans="1:6" ht="22.5" hidden="1" customHeight="1" x14ac:dyDescent="0.25">
      <c r="A1132" s="3">
        <v>43952</v>
      </c>
      <c r="B1132" s="2" t="s">
        <v>36</v>
      </c>
      <c r="C1132" s="2">
        <v>0.69</v>
      </c>
      <c r="D1132" s="2">
        <v>1.6999999999999999E-3</v>
      </c>
      <c r="E1132" s="2">
        <v>1.173E-5</v>
      </c>
      <c r="F1132" s="2" t="s">
        <v>7</v>
      </c>
    </row>
    <row r="1133" spans="1:6" ht="22.5" hidden="1" customHeight="1" x14ac:dyDescent="0.25">
      <c r="A1133" s="3">
        <v>43952</v>
      </c>
      <c r="B1133" s="2" t="s">
        <v>37</v>
      </c>
      <c r="C1133" s="2">
        <v>-9</v>
      </c>
      <c r="D1133" s="2">
        <v>9.9099999999999994E-2</v>
      </c>
      <c r="E1133" s="2">
        <v>-8.9189999999999998E-3</v>
      </c>
      <c r="F1133" s="2" t="s">
        <v>7</v>
      </c>
    </row>
    <row r="1134" spans="1:6" ht="22.5" hidden="1" customHeight="1" x14ac:dyDescent="0.25">
      <c r="A1134" s="3">
        <v>43952</v>
      </c>
      <c r="B1134" s="2" t="s">
        <v>38</v>
      </c>
      <c r="C1134" s="2">
        <v>2.61</v>
      </c>
      <c r="D1134" s="2">
        <v>1.01E-2</v>
      </c>
      <c r="E1134" s="2">
        <v>2.6361000000000001E-4</v>
      </c>
      <c r="F1134" s="2" t="s">
        <v>7</v>
      </c>
    </row>
    <row r="1135" spans="1:6" ht="22.5" hidden="1" customHeight="1" x14ac:dyDescent="0.25">
      <c r="A1135" s="3">
        <v>43952</v>
      </c>
      <c r="B1135" s="2" t="s">
        <v>39</v>
      </c>
      <c r="C1135" s="2">
        <v>12.46</v>
      </c>
      <c r="D1135" s="2">
        <v>1.6899999999999998E-2</v>
      </c>
      <c r="E1135" s="2">
        <v>2.10574E-3</v>
      </c>
      <c r="F1135" s="2" t="s">
        <v>7</v>
      </c>
    </row>
    <row r="1136" spans="1:6" ht="22.5" hidden="1" customHeight="1" x14ac:dyDescent="0.25">
      <c r="A1136" s="3">
        <v>43952</v>
      </c>
      <c r="B1136" s="2" t="s">
        <v>40</v>
      </c>
      <c r="C1136" s="2">
        <v>-1.77</v>
      </c>
      <c r="D1136" s="2">
        <v>3.3E-3</v>
      </c>
      <c r="E1136" s="2">
        <v>-5.8409999999999998E-5</v>
      </c>
      <c r="F1136" s="2" t="s">
        <v>7</v>
      </c>
    </row>
    <row r="1137" spans="1:6" ht="22.5" hidden="1" customHeight="1" x14ac:dyDescent="0.25">
      <c r="A1137" s="3">
        <v>43952</v>
      </c>
      <c r="B1137" s="2" t="s">
        <v>41</v>
      </c>
      <c r="C1137" s="2">
        <v>-4.78</v>
      </c>
      <c r="D1137" s="2">
        <v>1.6799999999999999E-2</v>
      </c>
      <c r="E1137" s="2">
        <v>-8.0303999999999998E-4</v>
      </c>
      <c r="F1137" s="2" t="s">
        <v>7</v>
      </c>
    </row>
    <row r="1138" spans="1:6" ht="22.5" hidden="1" customHeight="1" x14ac:dyDescent="0.25">
      <c r="A1138" s="3">
        <v>43952</v>
      </c>
      <c r="B1138" s="2" t="s">
        <v>42</v>
      </c>
      <c r="C1138" s="2">
        <v>1.86</v>
      </c>
      <c r="D1138" s="2">
        <v>4.4299999999999999E-2</v>
      </c>
      <c r="E1138" s="2">
        <v>8.2397999999999998E-4</v>
      </c>
      <c r="F1138" s="2" t="s">
        <v>7</v>
      </c>
    </row>
    <row r="1139" spans="1:6" ht="22.5" hidden="1" customHeight="1" x14ac:dyDescent="0.25">
      <c r="A1139" s="3">
        <v>43952</v>
      </c>
      <c r="B1139" s="2" t="s">
        <v>43</v>
      </c>
      <c r="C1139" s="2">
        <v>-1.42</v>
      </c>
      <c r="D1139" s="2">
        <v>2.81E-2</v>
      </c>
      <c r="E1139" s="2">
        <v>-3.9901999999999998E-4</v>
      </c>
      <c r="F1139" s="2" t="s">
        <v>7</v>
      </c>
    </row>
    <row r="1140" spans="1:6" ht="22.5" hidden="1" customHeight="1" x14ac:dyDescent="0.25">
      <c r="A1140" s="3">
        <v>43952</v>
      </c>
      <c r="B1140" s="2" t="s">
        <v>44</v>
      </c>
      <c r="C1140" s="2">
        <v>-10.53</v>
      </c>
      <c r="D1140" s="2">
        <v>1.7600000000000001E-2</v>
      </c>
      <c r="E1140" s="2">
        <v>-1.8532799999999999E-3</v>
      </c>
      <c r="F1140" s="2" t="s">
        <v>7</v>
      </c>
    </row>
    <row r="1141" spans="1:6" ht="22.5" hidden="1" customHeight="1" x14ac:dyDescent="0.25">
      <c r="A1141" s="3">
        <v>43952</v>
      </c>
      <c r="B1141" s="2" t="s">
        <v>45</v>
      </c>
      <c r="C1141" s="2">
        <v>2.2999999999999998</v>
      </c>
      <c r="D1141" s="2">
        <v>1.78E-2</v>
      </c>
      <c r="E1141" s="2">
        <v>4.0939999999999998E-4</v>
      </c>
      <c r="F1141" s="2" t="s">
        <v>7</v>
      </c>
    </row>
    <row r="1142" spans="1:6" ht="22.5" hidden="1" customHeight="1" x14ac:dyDescent="0.25">
      <c r="A1142" s="3">
        <v>43952</v>
      </c>
      <c r="B1142" s="2" t="s">
        <v>46</v>
      </c>
      <c r="C1142" s="2">
        <v>-1.82</v>
      </c>
      <c r="D1142" s="2">
        <v>1.2999999999999999E-3</v>
      </c>
      <c r="E1142" s="2">
        <v>-2.366E-5</v>
      </c>
      <c r="F1142" s="2" t="s">
        <v>7</v>
      </c>
    </row>
    <row r="1143" spans="1:6" ht="22.5" hidden="1" customHeight="1" x14ac:dyDescent="0.25">
      <c r="A1143" s="3">
        <v>43952</v>
      </c>
      <c r="B1143" s="2" t="s">
        <v>47</v>
      </c>
      <c r="C1143" s="2">
        <v>-7.98</v>
      </c>
      <c r="D1143" s="2">
        <v>0.1046</v>
      </c>
      <c r="E1143" s="2">
        <v>-8.3470799999999998E-3</v>
      </c>
      <c r="F1143" s="2" t="s">
        <v>7</v>
      </c>
    </row>
    <row r="1144" spans="1:6" ht="22.5" hidden="1" customHeight="1" x14ac:dyDescent="0.25">
      <c r="A1144" s="3">
        <v>43952</v>
      </c>
      <c r="B1144" s="2" t="s">
        <v>48</v>
      </c>
      <c r="C1144" s="2">
        <v>-7.54</v>
      </c>
      <c r="D1144" s="2">
        <v>3.5000000000000001E-3</v>
      </c>
      <c r="E1144" s="2">
        <v>-2.6390000000000002E-4</v>
      </c>
      <c r="F1144" s="2" t="s">
        <v>7</v>
      </c>
    </row>
    <row r="1145" spans="1:6" ht="22.5" hidden="1" customHeight="1" x14ac:dyDescent="0.25">
      <c r="A1145" s="3">
        <v>43952</v>
      </c>
      <c r="B1145" s="2" t="s">
        <v>49</v>
      </c>
      <c r="C1145" s="2">
        <v>-1.55</v>
      </c>
      <c r="D1145" s="2">
        <v>0.1678</v>
      </c>
      <c r="E1145" s="2">
        <v>-2.6009000000000002E-3</v>
      </c>
      <c r="F1145" s="2" t="s">
        <v>7</v>
      </c>
    </row>
    <row r="1146" spans="1:6" ht="22.5" hidden="1" customHeight="1" x14ac:dyDescent="0.25">
      <c r="A1146" s="3">
        <v>43952</v>
      </c>
      <c r="B1146" s="2" t="s">
        <v>50</v>
      </c>
      <c r="C1146" s="2">
        <v>-3.18</v>
      </c>
      <c r="D1146" s="2">
        <v>4.7999999999999996E-3</v>
      </c>
      <c r="E1146" s="2">
        <v>-1.5264E-4</v>
      </c>
      <c r="F1146" s="2" t="s">
        <v>7</v>
      </c>
    </row>
    <row r="1147" spans="1:6" ht="22.5" hidden="1" customHeight="1" x14ac:dyDescent="0.25">
      <c r="A1147" s="3">
        <v>43952</v>
      </c>
      <c r="B1147" s="2" t="s">
        <v>51</v>
      </c>
      <c r="C1147" s="2">
        <v>-5.05</v>
      </c>
      <c r="D1147" s="2">
        <v>4.4000000000000003E-3</v>
      </c>
      <c r="E1147" s="2">
        <v>-2.2220000000000001E-4</v>
      </c>
      <c r="F1147" s="2" t="s">
        <v>7</v>
      </c>
    </row>
    <row r="1148" spans="1:6" ht="22.5" hidden="1" customHeight="1" x14ac:dyDescent="0.25">
      <c r="A1148" s="3">
        <v>43952</v>
      </c>
      <c r="B1148" s="2" t="s">
        <v>52</v>
      </c>
      <c r="C1148" s="2">
        <v>2.5</v>
      </c>
      <c r="D1148" s="2">
        <v>2.23E-2</v>
      </c>
      <c r="E1148" s="2">
        <v>5.5750000000000005E-4</v>
      </c>
      <c r="F1148" s="2" t="s">
        <v>7</v>
      </c>
    </row>
    <row r="1149" spans="1:6" ht="22.5" hidden="1" customHeight="1" x14ac:dyDescent="0.25">
      <c r="A1149" s="3">
        <v>43952</v>
      </c>
      <c r="B1149" s="2" t="s">
        <v>53</v>
      </c>
      <c r="C1149" s="2">
        <v>3.26</v>
      </c>
      <c r="D1149" s="2">
        <v>0.1381</v>
      </c>
      <c r="E1149" s="2">
        <v>4.5020599999999996E-3</v>
      </c>
      <c r="F1149" s="2" t="s">
        <v>7</v>
      </c>
    </row>
    <row r="1150" spans="1:6" ht="22.5" hidden="1" customHeight="1" x14ac:dyDescent="0.25">
      <c r="A1150" s="3">
        <v>43952</v>
      </c>
      <c r="B1150" s="2" t="s">
        <v>54</v>
      </c>
      <c r="C1150" s="2">
        <v>3.82</v>
      </c>
      <c r="D1150" s="2">
        <v>8.8499999999999995E-2</v>
      </c>
      <c r="E1150" s="2">
        <v>3.3806999999999999E-3</v>
      </c>
      <c r="F1150" s="2" t="s">
        <v>7</v>
      </c>
    </row>
    <row r="1151" spans="1:6" ht="22.5" hidden="1" customHeight="1" x14ac:dyDescent="0.25">
      <c r="A1151" s="3">
        <v>43952</v>
      </c>
      <c r="B1151" s="2" t="s">
        <v>55</v>
      </c>
      <c r="C1151" s="2">
        <v>6.83</v>
      </c>
      <c r="D1151" s="2">
        <v>5.8900000000000001E-2</v>
      </c>
      <c r="E1151" s="2">
        <v>4.0228699999999996E-3</v>
      </c>
      <c r="F1151" s="2" t="s">
        <v>7</v>
      </c>
    </row>
    <row r="1152" spans="1:6" ht="22.5" hidden="1" customHeight="1" x14ac:dyDescent="0.25">
      <c r="A1152" s="3">
        <v>43952</v>
      </c>
      <c r="B1152" s="2" t="s">
        <v>56</v>
      </c>
      <c r="C1152" s="2">
        <v>-1.27</v>
      </c>
      <c r="D1152" s="2">
        <v>7.6E-3</v>
      </c>
      <c r="E1152" s="2">
        <v>-9.6520000000000004E-5</v>
      </c>
      <c r="F1152" s="2" t="s">
        <v>7</v>
      </c>
    </row>
    <row r="1153" spans="1:6" ht="22.5" hidden="1" customHeight="1" x14ac:dyDescent="0.25">
      <c r="A1153" s="3">
        <v>43952</v>
      </c>
      <c r="B1153" s="2" t="s">
        <v>57</v>
      </c>
      <c r="C1153" s="2">
        <v>-0.87</v>
      </c>
      <c r="D1153" s="2">
        <v>2.7199999999999998E-2</v>
      </c>
      <c r="E1153" s="2">
        <v>-2.3664000000000001E-4</v>
      </c>
      <c r="F1153" s="2" t="s">
        <v>7</v>
      </c>
    </row>
    <row r="1154" spans="1:6" ht="22.5" hidden="1" customHeight="1" x14ac:dyDescent="0.25">
      <c r="A1154" s="3">
        <v>43952</v>
      </c>
      <c r="B1154" s="2" t="s">
        <v>58</v>
      </c>
      <c r="C1154" s="2">
        <v>-4.38</v>
      </c>
      <c r="D1154" s="2">
        <v>1.67E-2</v>
      </c>
      <c r="E1154" s="2">
        <v>-7.3145999999999997E-4</v>
      </c>
      <c r="F1154" s="2" t="s">
        <v>7</v>
      </c>
    </row>
    <row r="1155" spans="1:6" ht="22.5" hidden="1" customHeight="1" x14ac:dyDescent="0.25">
      <c r="A1155" s="3">
        <v>43952</v>
      </c>
      <c r="B1155" s="2" t="s">
        <v>59</v>
      </c>
      <c r="C1155" s="2">
        <v>-0.1</v>
      </c>
      <c r="D1155" s="2">
        <v>1.9599999999999999E-2</v>
      </c>
      <c r="E1155" s="2">
        <v>-1.9599999999999999E-5</v>
      </c>
      <c r="F1155" s="2" t="s">
        <v>7</v>
      </c>
    </row>
    <row r="1156" spans="1:6" ht="22.5" hidden="1" customHeight="1" x14ac:dyDescent="0.25">
      <c r="A1156" s="3">
        <v>43952</v>
      </c>
      <c r="B1156" s="2" t="s">
        <v>60</v>
      </c>
      <c r="C1156" s="2">
        <v>-0.55000000000000004</v>
      </c>
      <c r="D1156" s="2">
        <v>3.2199999999999999E-2</v>
      </c>
      <c r="E1156" s="2">
        <v>-1.771E-4</v>
      </c>
      <c r="F1156" s="2" t="s">
        <v>7</v>
      </c>
    </row>
    <row r="1157" spans="1:6" ht="22.5" hidden="1" customHeight="1" x14ac:dyDescent="0.25">
      <c r="A1157" s="3">
        <v>43952</v>
      </c>
      <c r="B1157" s="2" t="s">
        <v>61</v>
      </c>
      <c r="C1157" s="2">
        <v>-4.41</v>
      </c>
      <c r="D1157" s="2">
        <v>7.4399999999999994E-2</v>
      </c>
      <c r="E1157" s="2">
        <v>-3.2810399999999998E-3</v>
      </c>
      <c r="F1157" s="2" t="s">
        <v>7</v>
      </c>
    </row>
    <row r="1158" spans="1:6" ht="22.5" hidden="1" customHeight="1" x14ac:dyDescent="0.25">
      <c r="A1158" s="3">
        <v>43952</v>
      </c>
      <c r="B1158" s="2" t="s">
        <v>62</v>
      </c>
      <c r="C1158" s="2">
        <v>-0.02</v>
      </c>
      <c r="D1158" s="2">
        <v>9.8199999999999996E-2</v>
      </c>
      <c r="E1158" s="2">
        <v>-1.9640000000000002E-5</v>
      </c>
      <c r="F1158" s="2" t="s">
        <v>7</v>
      </c>
    </row>
    <row r="1159" spans="1:6" ht="22.5" hidden="1" customHeight="1" x14ac:dyDescent="0.25">
      <c r="A1159" s="3">
        <v>43952</v>
      </c>
      <c r="B1159" s="2" t="s">
        <v>63</v>
      </c>
      <c r="C1159" s="2">
        <v>9.69</v>
      </c>
      <c r="D1159" s="2">
        <v>9.1000000000000004E-3</v>
      </c>
      <c r="E1159" s="2">
        <v>8.8179000000000003E-4</v>
      </c>
      <c r="F1159" s="2" t="s">
        <v>7</v>
      </c>
    </row>
    <row r="1160" spans="1:6" ht="22.5" hidden="1" customHeight="1" x14ac:dyDescent="0.25">
      <c r="A1160" s="3">
        <v>43952</v>
      </c>
      <c r="B1160" s="2" t="s">
        <v>64</v>
      </c>
      <c r="C1160" s="2">
        <v>1.91</v>
      </c>
      <c r="D1160" s="2">
        <v>4.7000000000000002E-3</v>
      </c>
      <c r="E1160" s="2">
        <v>8.9770000000000003E-5</v>
      </c>
      <c r="F1160" s="2" t="s">
        <v>7</v>
      </c>
    </row>
    <row r="1161" spans="1:6" ht="22.5" hidden="1" customHeight="1" x14ac:dyDescent="0.25">
      <c r="A1161" s="3">
        <v>43952</v>
      </c>
      <c r="B1161" s="2" t="s">
        <v>65</v>
      </c>
      <c r="C1161" s="2">
        <v>2.02</v>
      </c>
      <c r="D1161" s="2">
        <v>1.7500000000000002E-2</v>
      </c>
      <c r="E1161" s="2">
        <v>3.5349999999999997E-4</v>
      </c>
      <c r="F1161" s="2" t="s">
        <v>7</v>
      </c>
    </row>
    <row r="1162" spans="1:6" ht="22.5" hidden="1" customHeight="1" x14ac:dyDescent="0.25">
      <c r="A1162" s="3">
        <v>43952</v>
      </c>
      <c r="B1162" s="2" t="s">
        <v>66</v>
      </c>
      <c r="C1162" s="2">
        <v>-3.26</v>
      </c>
      <c r="D1162" s="2">
        <v>0.31759999999999999</v>
      </c>
      <c r="E1162" s="2">
        <v>-1.035376E-2</v>
      </c>
      <c r="F1162" s="2" t="s">
        <v>7</v>
      </c>
    </row>
    <row r="1163" spans="1:6" ht="22.5" hidden="1" customHeight="1" x14ac:dyDescent="0.25">
      <c r="A1163" s="3">
        <v>43952</v>
      </c>
      <c r="B1163" s="2" t="s">
        <v>67</v>
      </c>
      <c r="C1163" s="2">
        <v>2.94</v>
      </c>
      <c r="D1163" s="2">
        <v>3.0999999999999999E-3</v>
      </c>
      <c r="E1163" s="2">
        <v>9.1139999999999998E-5</v>
      </c>
      <c r="F1163" s="2" t="s">
        <v>7</v>
      </c>
    </row>
    <row r="1164" spans="1:6" ht="22.5" hidden="1" customHeight="1" x14ac:dyDescent="0.25">
      <c r="A1164" s="3">
        <v>43952</v>
      </c>
      <c r="B1164" s="2" t="s">
        <v>68</v>
      </c>
      <c r="C1164" s="2">
        <v>-4.21</v>
      </c>
      <c r="D1164" s="2">
        <v>1.0800000000000001E-2</v>
      </c>
      <c r="E1164" s="2">
        <v>-4.5468E-4</v>
      </c>
      <c r="F1164" s="2" t="s">
        <v>7</v>
      </c>
    </row>
    <row r="1165" spans="1:6" ht="22.5" hidden="1" customHeight="1" x14ac:dyDescent="0.25">
      <c r="A1165" s="3">
        <v>43952</v>
      </c>
      <c r="B1165" s="2" t="s">
        <v>69</v>
      </c>
      <c r="C1165" s="2">
        <v>-0.76</v>
      </c>
      <c r="D1165" s="2">
        <v>0.39269999999999999</v>
      </c>
      <c r="E1165" s="2">
        <v>-2.9845200000000001E-3</v>
      </c>
      <c r="F1165" s="2" t="s">
        <v>7</v>
      </c>
    </row>
    <row r="1166" spans="1:6" ht="22.5" hidden="1" customHeight="1" x14ac:dyDescent="0.25">
      <c r="A1166" s="3">
        <v>43952</v>
      </c>
      <c r="B1166" s="2" t="s">
        <v>70</v>
      </c>
      <c r="C1166" s="2">
        <v>-3.96</v>
      </c>
      <c r="D1166" s="2">
        <v>2.58E-2</v>
      </c>
      <c r="E1166" s="2">
        <v>-1.0216800000000001E-3</v>
      </c>
      <c r="F1166" s="2" t="s">
        <v>7</v>
      </c>
    </row>
    <row r="1167" spans="1:6" ht="22.5" hidden="1" customHeight="1" x14ac:dyDescent="0.25">
      <c r="A1167" s="3">
        <v>43952</v>
      </c>
      <c r="B1167" s="2" t="s">
        <v>71</v>
      </c>
      <c r="C1167" s="2">
        <v>-1.27</v>
      </c>
      <c r="D1167" s="2">
        <v>0.28050000000000003</v>
      </c>
      <c r="E1167" s="2">
        <v>-3.5623500000000002E-3</v>
      </c>
      <c r="F1167" s="2" t="s">
        <v>7</v>
      </c>
    </row>
    <row r="1168" spans="1:6" ht="22.5" hidden="1" customHeight="1" x14ac:dyDescent="0.25">
      <c r="A1168" s="3">
        <v>43952</v>
      </c>
      <c r="B1168" s="2" t="s">
        <v>72</v>
      </c>
      <c r="C1168" s="2">
        <v>-3.47</v>
      </c>
      <c r="D1168" s="2">
        <v>0.3029</v>
      </c>
      <c r="E1168" s="2">
        <v>-1.051063E-2</v>
      </c>
      <c r="F1168" s="2" t="s">
        <v>7</v>
      </c>
    </row>
    <row r="1169" spans="1:6" ht="22.5" hidden="1" customHeight="1" x14ac:dyDescent="0.25">
      <c r="A1169" s="3">
        <v>43952</v>
      </c>
      <c r="B1169" s="2" t="s">
        <v>73</v>
      </c>
      <c r="C1169" s="2">
        <v>-1.01</v>
      </c>
      <c r="D1169" s="2">
        <v>0.14849999999999999</v>
      </c>
      <c r="E1169" s="2">
        <v>-1.4998500000000001E-3</v>
      </c>
      <c r="F1169" s="2" t="s">
        <v>7</v>
      </c>
    </row>
    <row r="1170" spans="1:6" ht="22.5" hidden="1" customHeight="1" x14ac:dyDescent="0.25">
      <c r="A1170" s="3">
        <v>43952</v>
      </c>
      <c r="B1170" s="2" t="s">
        <v>74</v>
      </c>
      <c r="C1170" s="2">
        <v>-3.82</v>
      </c>
      <c r="D1170" s="2">
        <v>8.6999999999999994E-3</v>
      </c>
      <c r="E1170" s="2">
        <v>-3.3233999999999998E-4</v>
      </c>
      <c r="F1170" s="2" t="s">
        <v>7</v>
      </c>
    </row>
    <row r="1171" spans="1:6" ht="22.5" hidden="1" customHeight="1" x14ac:dyDescent="0.25">
      <c r="A1171" s="3">
        <v>43952</v>
      </c>
      <c r="B1171" s="2" t="s">
        <v>75</v>
      </c>
      <c r="C1171" s="2">
        <v>-2.2000000000000002</v>
      </c>
      <c r="D1171" s="2">
        <v>6.4399999999999999E-2</v>
      </c>
      <c r="E1171" s="2">
        <v>-1.4168E-3</v>
      </c>
      <c r="F1171" s="2" t="s">
        <v>7</v>
      </c>
    </row>
    <row r="1172" spans="1:6" ht="22.5" hidden="1" customHeight="1" x14ac:dyDescent="0.25">
      <c r="A1172" s="3">
        <v>43952</v>
      </c>
      <c r="B1172" s="2" t="s">
        <v>76</v>
      </c>
      <c r="C1172" s="2">
        <v>-0.87</v>
      </c>
      <c r="D1172" s="2">
        <v>0.1308</v>
      </c>
      <c r="E1172" s="2">
        <v>-1.1379599999999999E-3</v>
      </c>
      <c r="F1172" s="2" t="s">
        <v>7</v>
      </c>
    </row>
    <row r="1173" spans="1:6" ht="22.5" hidden="1" customHeight="1" x14ac:dyDescent="0.25">
      <c r="A1173" s="3">
        <v>43952</v>
      </c>
      <c r="B1173" s="2" t="s">
        <v>77</v>
      </c>
      <c r="C1173" s="2">
        <v>-0.53</v>
      </c>
      <c r="D1173" s="2">
        <v>9.3899999999999997E-2</v>
      </c>
      <c r="E1173" s="2">
        <v>-4.9766999999999997E-4</v>
      </c>
      <c r="F1173" s="2" t="s">
        <v>7</v>
      </c>
    </row>
    <row r="1174" spans="1:6" ht="22.5" hidden="1" customHeight="1" x14ac:dyDescent="0.25">
      <c r="A1174" s="3">
        <v>43952</v>
      </c>
      <c r="B1174" s="2" t="s">
        <v>78</v>
      </c>
      <c r="C1174" s="2">
        <v>0.75</v>
      </c>
      <c r="D1174" s="2">
        <v>0.24149999999999999</v>
      </c>
      <c r="E1174" s="2">
        <v>1.8112499999999999E-3</v>
      </c>
      <c r="F1174" s="2" t="s">
        <v>7</v>
      </c>
    </row>
    <row r="1175" spans="1:6" ht="22.5" hidden="1" customHeight="1" x14ac:dyDescent="0.25">
      <c r="A1175" s="3">
        <v>43952</v>
      </c>
      <c r="B1175" s="2" t="s">
        <v>79</v>
      </c>
      <c r="C1175" s="2">
        <v>3.82</v>
      </c>
      <c r="D1175" s="2">
        <v>8.9999999999999993E-3</v>
      </c>
      <c r="E1175" s="2">
        <v>3.4380000000000001E-4</v>
      </c>
      <c r="F1175" s="2" t="s">
        <v>7</v>
      </c>
    </row>
    <row r="1176" spans="1:6" ht="22.5" hidden="1" customHeight="1" x14ac:dyDescent="0.25">
      <c r="A1176" s="3">
        <v>43952</v>
      </c>
      <c r="B1176" s="2" t="s">
        <v>80</v>
      </c>
      <c r="C1176" s="2">
        <v>-0.69</v>
      </c>
      <c r="D1176" s="2">
        <v>3.2899999999999999E-2</v>
      </c>
      <c r="E1176" s="2">
        <v>-2.2701000000000001E-4</v>
      </c>
      <c r="F1176" s="2" t="s">
        <v>7</v>
      </c>
    </row>
    <row r="1177" spans="1:6" ht="22.5" hidden="1" customHeight="1" x14ac:dyDescent="0.25">
      <c r="A1177" s="3">
        <v>43952</v>
      </c>
      <c r="B1177" s="2" t="s">
        <v>81</v>
      </c>
      <c r="C1177" s="2">
        <v>-0.01</v>
      </c>
      <c r="D1177" s="2">
        <v>0.30170000000000002</v>
      </c>
      <c r="E1177" s="2">
        <v>-3.0170000000000001E-5</v>
      </c>
      <c r="F1177" s="2" t="s">
        <v>7</v>
      </c>
    </row>
    <row r="1178" spans="1:6" ht="22.5" hidden="1" customHeight="1" x14ac:dyDescent="0.25">
      <c r="A1178" s="3">
        <v>43952</v>
      </c>
      <c r="B1178" s="2" t="s">
        <v>82</v>
      </c>
      <c r="C1178" s="2">
        <v>-1.8</v>
      </c>
      <c r="D1178" s="2">
        <v>3.9899999999999998E-2</v>
      </c>
      <c r="E1178" s="2">
        <v>-7.182E-4</v>
      </c>
      <c r="F1178" s="2" t="s">
        <v>7</v>
      </c>
    </row>
    <row r="1179" spans="1:6" ht="22.5" hidden="1" customHeight="1" x14ac:dyDescent="0.25">
      <c r="A1179" s="3">
        <v>43952</v>
      </c>
      <c r="B1179" s="2" t="s">
        <v>83</v>
      </c>
      <c r="C1179" s="2">
        <v>0.42</v>
      </c>
      <c r="D1179" s="2">
        <v>6.9999999999999999E-4</v>
      </c>
      <c r="E1179" s="2">
        <v>2.9399999999999998E-6</v>
      </c>
      <c r="F1179" s="2" t="s">
        <v>7</v>
      </c>
    </row>
    <row r="1180" spans="1:6" ht="22.5" hidden="1" customHeight="1" x14ac:dyDescent="0.25">
      <c r="A1180" s="3">
        <v>43952</v>
      </c>
      <c r="B1180" s="2" t="s">
        <v>84</v>
      </c>
      <c r="C1180" s="2">
        <v>-0.43</v>
      </c>
      <c r="D1180" s="2">
        <v>2.2599999999999999E-2</v>
      </c>
      <c r="E1180" s="2">
        <v>-9.7180000000000001E-5</v>
      </c>
      <c r="F1180" s="2" t="s">
        <v>7</v>
      </c>
    </row>
    <row r="1181" spans="1:6" ht="22.5" hidden="1" customHeight="1" x14ac:dyDescent="0.25">
      <c r="A1181" s="3">
        <v>43952</v>
      </c>
      <c r="B1181" s="2" t="s">
        <v>85</v>
      </c>
      <c r="C1181" s="2">
        <v>-1.6</v>
      </c>
      <c r="D1181" s="2">
        <v>5.7999999999999996E-3</v>
      </c>
      <c r="E1181" s="2">
        <v>-9.2800000000000006E-5</v>
      </c>
      <c r="F1181" s="2" t="s">
        <v>7</v>
      </c>
    </row>
    <row r="1182" spans="1:6" ht="22.5" hidden="1" customHeight="1" x14ac:dyDescent="0.25">
      <c r="A1182" s="3">
        <v>43952</v>
      </c>
      <c r="B1182" s="2" t="s">
        <v>86</v>
      </c>
      <c r="C1182" s="2">
        <v>0.31</v>
      </c>
      <c r="D1182" s="2">
        <v>2.58E-2</v>
      </c>
      <c r="E1182" s="2">
        <v>7.9980000000000003E-5</v>
      </c>
      <c r="F1182" s="2" t="s">
        <v>7</v>
      </c>
    </row>
    <row r="1183" spans="1:6" ht="22.5" hidden="1" customHeight="1" x14ac:dyDescent="0.25">
      <c r="A1183" s="3">
        <v>43952</v>
      </c>
      <c r="B1183" s="2" t="s">
        <v>87</v>
      </c>
      <c r="C1183" s="2">
        <v>2.02</v>
      </c>
      <c r="D1183" s="2">
        <v>1E-3</v>
      </c>
      <c r="E1183" s="2">
        <v>2.02E-5</v>
      </c>
      <c r="F1183" s="2" t="s">
        <v>7</v>
      </c>
    </row>
    <row r="1184" spans="1:6" ht="22.5" hidden="1" customHeight="1" x14ac:dyDescent="0.25">
      <c r="A1184" s="3">
        <v>43952</v>
      </c>
      <c r="B1184" s="2" t="s">
        <v>88</v>
      </c>
      <c r="C1184" s="2">
        <v>1.3</v>
      </c>
      <c r="D1184" s="2">
        <v>7.0000000000000001E-3</v>
      </c>
      <c r="E1184" s="2">
        <v>9.1000000000000003E-5</v>
      </c>
      <c r="F1184" s="2" t="s">
        <v>7</v>
      </c>
    </row>
    <row r="1185" spans="1:6" ht="22.5" hidden="1" customHeight="1" x14ac:dyDescent="0.25">
      <c r="A1185" s="3">
        <v>43952</v>
      </c>
      <c r="B1185" s="2" t="s">
        <v>89</v>
      </c>
      <c r="C1185" s="2">
        <v>0.68</v>
      </c>
      <c r="D1185" s="2">
        <v>1.7600000000000001E-2</v>
      </c>
      <c r="E1185" s="2">
        <v>1.1968000000000001E-4</v>
      </c>
      <c r="F1185" s="2" t="s">
        <v>7</v>
      </c>
    </row>
    <row r="1186" spans="1:6" ht="22.5" hidden="1" customHeight="1" x14ac:dyDescent="0.25">
      <c r="A1186" s="3">
        <v>43952</v>
      </c>
      <c r="B1186" s="2" t="s">
        <v>90</v>
      </c>
      <c r="C1186" s="2">
        <v>-2.2400000000000002</v>
      </c>
      <c r="D1186" s="2">
        <v>1.6000000000000001E-3</v>
      </c>
      <c r="E1186" s="2">
        <v>-3.5840000000000002E-5</v>
      </c>
      <c r="F1186" s="2" t="s">
        <v>7</v>
      </c>
    </row>
    <row r="1187" spans="1:6" ht="22.5" hidden="1" customHeight="1" x14ac:dyDescent="0.25">
      <c r="A1187" s="3">
        <v>43952</v>
      </c>
      <c r="B1187" s="2" t="s">
        <v>91</v>
      </c>
      <c r="C1187" s="2">
        <v>0.13</v>
      </c>
      <c r="D1187" s="2">
        <v>2.5700000000000001E-2</v>
      </c>
      <c r="E1187" s="2">
        <v>3.341E-5</v>
      </c>
      <c r="F1187" s="2" t="s">
        <v>7</v>
      </c>
    </row>
    <row r="1188" spans="1:6" ht="22.5" hidden="1" customHeight="1" x14ac:dyDescent="0.25">
      <c r="A1188" s="3">
        <v>43952</v>
      </c>
      <c r="B1188" s="2" t="s">
        <v>92</v>
      </c>
      <c r="C1188" s="2">
        <v>0</v>
      </c>
      <c r="D1188" s="2">
        <v>5.4999999999999997E-3</v>
      </c>
      <c r="E1188" s="2">
        <v>0</v>
      </c>
      <c r="F1188" s="2" t="s">
        <v>7</v>
      </c>
    </row>
    <row r="1189" spans="1:6" ht="22.5" hidden="1" customHeight="1" x14ac:dyDescent="0.25">
      <c r="A1189" s="3">
        <v>43952</v>
      </c>
      <c r="B1189" s="2" t="s">
        <v>93</v>
      </c>
      <c r="C1189" s="2">
        <v>0.42</v>
      </c>
      <c r="D1189" s="2">
        <v>1.1999999999999999E-3</v>
      </c>
      <c r="E1189" s="2">
        <v>5.04E-6</v>
      </c>
      <c r="F1189" s="2" t="s">
        <v>7</v>
      </c>
    </row>
    <row r="1190" spans="1:6" ht="22.5" hidden="1" customHeight="1" x14ac:dyDescent="0.25">
      <c r="A1190" s="3">
        <v>43952</v>
      </c>
      <c r="B1190" s="2" t="s">
        <v>94</v>
      </c>
      <c r="C1190" s="2">
        <v>0.49</v>
      </c>
      <c r="D1190" s="2">
        <v>1E-3</v>
      </c>
      <c r="E1190" s="2">
        <v>4.8999999999999997E-6</v>
      </c>
      <c r="F1190" s="2" t="s">
        <v>7</v>
      </c>
    </row>
    <row r="1191" spans="1:6" ht="22.5" hidden="1" customHeight="1" x14ac:dyDescent="0.25">
      <c r="A1191" s="3">
        <v>43952</v>
      </c>
      <c r="B1191" s="2" t="s">
        <v>95</v>
      </c>
      <c r="C1191" s="2">
        <v>0.35</v>
      </c>
      <c r="D1191" s="2">
        <v>1.7399999999999999E-2</v>
      </c>
      <c r="E1191" s="2">
        <v>6.0900000000000003E-5</v>
      </c>
      <c r="F1191" s="2" t="s">
        <v>7</v>
      </c>
    </row>
    <row r="1192" spans="1:6" ht="22.5" hidden="1" customHeight="1" x14ac:dyDescent="0.25">
      <c r="A1192" s="3">
        <v>43952</v>
      </c>
      <c r="B1192" s="2" t="s">
        <v>96</v>
      </c>
      <c r="C1192" s="2">
        <v>0.47</v>
      </c>
      <c r="D1192" s="2">
        <v>4.9200000000000001E-2</v>
      </c>
      <c r="E1192" s="2">
        <v>2.3123999999999999E-4</v>
      </c>
      <c r="F1192" s="2" t="s">
        <v>7</v>
      </c>
    </row>
    <row r="1193" spans="1:6" ht="22.5" hidden="1" customHeight="1" x14ac:dyDescent="0.25">
      <c r="A1193" s="3">
        <v>43952</v>
      </c>
      <c r="B1193" s="2" t="s">
        <v>97</v>
      </c>
      <c r="C1193" s="2">
        <v>-0.56999999999999995</v>
      </c>
      <c r="D1193" s="2">
        <v>1.14E-2</v>
      </c>
      <c r="E1193" s="2">
        <v>-6.4980000000000005E-5</v>
      </c>
      <c r="F1193" s="2" t="s">
        <v>7</v>
      </c>
    </row>
    <row r="1194" spans="1:6" ht="22.5" hidden="1" customHeight="1" x14ac:dyDescent="0.25">
      <c r="A1194" s="3">
        <v>43952</v>
      </c>
      <c r="B1194" s="2" t="s">
        <v>98</v>
      </c>
      <c r="C1194" s="2">
        <v>6.41</v>
      </c>
      <c r="D1194" s="2">
        <v>6.6E-3</v>
      </c>
      <c r="E1194" s="2">
        <v>4.2306000000000001E-4</v>
      </c>
      <c r="F1194" s="2" t="s">
        <v>7</v>
      </c>
    </row>
    <row r="1195" spans="1:6" ht="22.5" hidden="1" customHeight="1" x14ac:dyDescent="0.25">
      <c r="A1195" s="3">
        <v>43952</v>
      </c>
      <c r="B1195" s="2" t="s">
        <v>99</v>
      </c>
      <c r="C1195" s="2">
        <v>0.01</v>
      </c>
      <c r="D1195" s="2">
        <v>3.7000000000000002E-3</v>
      </c>
      <c r="E1195" s="2">
        <v>3.7E-7</v>
      </c>
      <c r="F1195" s="2" t="s">
        <v>7</v>
      </c>
    </row>
    <row r="1196" spans="1:6" ht="22.5" hidden="1" customHeight="1" x14ac:dyDescent="0.25">
      <c r="A1196" s="3">
        <v>43952</v>
      </c>
      <c r="B1196" s="2" t="s">
        <v>100</v>
      </c>
      <c r="C1196" s="2">
        <v>1.29</v>
      </c>
      <c r="D1196" s="2">
        <v>6.9999999999999999E-4</v>
      </c>
      <c r="E1196" s="2">
        <v>9.0299999999999999E-6</v>
      </c>
      <c r="F1196" s="2" t="s">
        <v>7</v>
      </c>
    </row>
    <row r="1197" spans="1:6" ht="22.5" hidden="1" customHeight="1" x14ac:dyDescent="0.25">
      <c r="A1197" s="3">
        <v>43952</v>
      </c>
      <c r="B1197" s="2" t="s">
        <v>101</v>
      </c>
      <c r="C1197" s="2">
        <v>-0.8</v>
      </c>
      <c r="D1197" s="2">
        <v>0.1011</v>
      </c>
      <c r="E1197" s="2">
        <v>-8.0880000000000004E-4</v>
      </c>
      <c r="F1197" s="2" t="s">
        <v>7</v>
      </c>
    </row>
    <row r="1198" spans="1:6" ht="22.5" hidden="1" customHeight="1" x14ac:dyDescent="0.25">
      <c r="A1198" s="3">
        <v>43952</v>
      </c>
      <c r="B1198" s="2" t="s">
        <v>102</v>
      </c>
      <c r="C1198" s="2">
        <v>0.34</v>
      </c>
      <c r="D1198" s="2">
        <v>4.3900000000000002E-2</v>
      </c>
      <c r="E1198" s="2">
        <v>1.4925999999999999E-4</v>
      </c>
      <c r="F1198" s="2" t="s">
        <v>7</v>
      </c>
    </row>
    <row r="1199" spans="1:6" ht="22.5" hidden="1" customHeight="1" x14ac:dyDescent="0.25">
      <c r="A1199" s="3">
        <v>43952</v>
      </c>
      <c r="B1199" s="2" t="s">
        <v>103</v>
      </c>
      <c r="C1199" s="2">
        <v>-0.62</v>
      </c>
      <c r="D1199" s="2">
        <v>0.29880000000000001</v>
      </c>
      <c r="E1199" s="2">
        <v>-1.8525600000000001E-3</v>
      </c>
      <c r="F1199" s="2" t="s">
        <v>7</v>
      </c>
    </row>
    <row r="1200" spans="1:6" ht="22.5" hidden="1" customHeight="1" x14ac:dyDescent="0.25">
      <c r="A1200" s="3">
        <v>43952</v>
      </c>
      <c r="B1200" s="2" t="s">
        <v>104</v>
      </c>
      <c r="C1200" s="2">
        <v>-1.04</v>
      </c>
      <c r="D1200" s="2">
        <v>5.3400000000000003E-2</v>
      </c>
      <c r="E1200" s="2">
        <v>-5.5535999999999997E-4</v>
      </c>
      <c r="F1200" s="2" t="s">
        <v>7</v>
      </c>
    </row>
    <row r="1201" spans="1:6" ht="22.5" hidden="1" customHeight="1" x14ac:dyDescent="0.25">
      <c r="A1201" s="3">
        <v>43952</v>
      </c>
      <c r="B1201" s="2" t="s">
        <v>105</v>
      </c>
      <c r="C1201" s="2">
        <v>-1.04</v>
      </c>
      <c r="D1201" s="2">
        <v>8.8999999999999999E-3</v>
      </c>
      <c r="E1201" s="2">
        <v>-9.2559999999999995E-5</v>
      </c>
      <c r="F1201" s="2" t="s">
        <v>7</v>
      </c>
    </row>
    <row r="1202" spans="1:6" ht="22.5" hidden="1" customHeight="1" x14ac:dyDescent="0.25">
      <c r="A1202" s="3">
        <v>43952</v>
      </c>
      <c r="B1202" s="2" t="s">
        <v>106</v>
      </c>
      <c r="C1202" s="2">
        <v>1.31</v>
      </c>
      <c r="D1202" s="2">
        <v>8.6999999999999994E-3</v>
      </c>
      <c r="E1202" s="2">
        <v>1.1396999999999999E-4</v>
      </c>
      <c r="F1202" s="2" t="s">
        <v>7</v>
      </c>
    </row>
    <row r="1203" spans="1:6" ht="22.5" hidden="1" customHeight="1" x14ac:dyDescent="0.25">
      <c r="A1203" s="3">
        <v>43952</v>
      </c>
      <c r="B1203" s="2" t="s">
        <v>107</v>
      </c>
      <c r="C1203" s="2">
        <v>-0.68</v>
      </c>
      <c r="D1203" s="2">
        <v>0.11650000000000001</v>
      </c>
      <c r="E1203" s="2">
        <v>-7.9219999999999996E-4</v>
      </c>
      <c r="F1203" s="2" t="s">
        <v>7</v>
      </c>
    </row>
    <row r="1204" spans="1:6" ht="22.5" hidden="1" customHeight="1" x14ac:dyDescent="0.25">
      <c r="A1204" s="3">
        <v>43952</v>
      </c>
      <c r="B1204" s="2" t="s">
        <v>108</v>
      </c>
      <c r="C1204" s="2">
        <v>0.31</v>
      </c>
      <c r="D1204" s="2">
        <v>7.7000000000000002E-3</v>
      </c>
      <c r="E1204" s="2">
        <v>2.387E-5</v>
      </c>
      <c r="F1204" s="2" t="s">
        <v>7</v>
      </c>
    </row>
    <row r="1205" spans="1:6" ht="22.5" hidden="1" customHeight="1" x14ac:dyDescent="0.25">
      <c r="A1205" s="3">
        <v>43952</v>
      </c>
      <c r="B1205" s="2" t="s">
        <v>109</v>
      </c>
      <c r="C1205" s="2">
        <v>1.01</v>
      </c>
      <c r="D1205" s="2">
        <v>0.33150000000000002</v>
      </c>
      <c r="E1205" s="2">
        <v>3.3481499999999998E-3</v>
      </c>
      <c r="F1205" s="2" t="s">
        <v>7</v>
      </c>
    </row>
    <row r="1206" spans="1:6" ht="22.5" hidden="1" customHeight="1" x14ac:dyDescent="0.25">
      <c r="A1206" s="3">
        <v>43952</v>
      </c>
      <c r="B1206" s="2" t="s">
        <v>110</v>
      </c>
      <c r="C1206" s="2">
        <v>0.72</v>
      </c>
      <c r="D1206" s="2">
        <v>0.57230000000000003</v>
      </c>
      <c r="E1206" s="2">
        <v>4.1205599999999997E-3</v>
      </c>
      <c r="F1206" s="2" t="s">
        <v>7</v>
      </c>
    </row>
    <row r="1207" spans="1:6" ht="22.5" hidden="1" customHeight="1" x14ac:dyDescent="0.25">
      <c r="A1207" s="3">
        <v>43952</v>
      </c>
      <c r="B1207" s="2" t="s">
        <v>111</v>
      </c>
      <c r="C1207" s="2">
        <v>-0.84</v>
      </c>
      <c r="D1207" s="2">
        <v>0.24979999999999999</v>
      </c>
      <c r="E1207" s="2">
        <v>-2.0983199999999999E-3</v>
      </c>
      <c r="F1207" s="2" t="s">
        <v>7</v>
      </c>
    </row>
    <row r="1208" spans="1:6" ht="22.5" hidden="1" customHeight="1" x14ac:dyDescent="0.25">
      <c r="A1208" s="3">
        <v>43952</v>
      </c>
      <c r="B1208" s="2" t="s">
        <v>112</v>
      </c>
      <c r="C1208" s="2">
        <v>1.56</v>
      </c>
      <c r="D1208" s="2">
        <v>0.66659999999999997</v>
      </c>
      <c r="E1208" s="2">
        <v>1.039896E-2</v>
      </c>
      <c r="F1208" s="2" t="s">
        <v>7</v>
      </c>
    </row>
    <row r="1209" spans="1:6" ht="22.5" hidden="1" customHeight="1" x14ac:dyDescent="0.25">
      <c r="A1209" s="3">
        <v>43952</v>
      </c>
      <c r="B1209" s="2" t="s">
        <v>113</v>
      </c>
      <c r="C1209" s="2">
        <v>-0.66</v>
      </c>
      <c r="D1209" s="2">
        <v>0.02</v>
      </c>
      <c r="E1209" s="2">
        <v>-1.3200000000000001E-4</v>
      </c>
      <c r="F1209" s="2" t="s">
        <v>7</v>
      </c>
    </row>
    <row r="1210" spans="1:6" ht="22.5" hidden="1" customHeight="1" x14ac:dyDescent="0.25">
      <c r="A1210" s="3">
        <v>43952</v>
      </c>
      <c r="B1210" s="2" t="s">
        <v>114</v>
      </c>
      <c r="C1210" s="2">
        <v>1.22</v>
      </c>
      <c r="D1210" s="2">
        <v>0.18240000000000001</v>
      </c>
      <c r="E1210" s="2">
        <v>2.2252800000000001E-3</v>
      </c>
      <c r="F1210" s="2" t="s">
        <v>7</v>
      </c>
    </row>
    <row r="1211" spans="1:6" ht="22.5" hidden="1" customHeight="1" x14ac:dyDescent="0.25">
      <c r="A1211" s="3">
        <v>43952</v>
      </c>
      <c r="B1211" s="2" t="s">
        <v>115</v>
      </c>
      <c r="C1211" s="2">
        <v>-1.42</v>
      </c>
      <c r="D1211" s="2">
        <v>0.50249999999999995</v>
      </c>
      <c r="E1211" s="2">
        <v>-7.1355000000000003E-3</v>
      </c>
      <c r="F1211" s="2" t="s">
        <v>7</v>
      </c>
    </row>
    <row r="1212" spans="1:6" ht="22.5" hidden="1" customHeight="1" x14ac:dyDescent="0.25">
      <c r="A1212" s="3">
        <v>43952</v>
      </c>
      <c r="B1212" s="2" t="s">
        <v>116</v>
      </c>
      <c r="C1212" s="2">
        <v>-0.17</v>
      </c>
      <c r="D1212" s="2">
        <v>0.151</v>
      </c>
      <c r="E1212" s="2">
        <v>-2.5670000000000001E-4</v>
      </c>
      <c r="F1212" s="2" t="s">
        <v>7</v>
      </c>
    </row>
    <row r="1213" spans="1:6" ht="22.5" hidden="1" customHeight="1" x14ac:dyDescent="0.25">
      <c r="A1213" s="3">
        <v>43952</v>
      </c>
      <c r="B1213" s="2" t="s">
        <v>117</v>
      </c>
      <c r="C1213" s="2">
        <v>1.64</v>
      </c>
      <c r="D1213" s="2">
        <v>5.1799999999999999E-2</v>
      </c>
      <c r="E1213" s="2">
        <v>8.4951999999999998E-4</v>
      </c>
      <c r="F1213" s="2" t="s">
        <v>7</v>
      </c>
    </row>
    <row r="1214" spans="1:6" ht="22.5" hidden="1" customHeight="1" x14ac:dyDescent="0.25">
      <c r="A1214" s="3">
        <v>43952</v>
      </c>
      <c r="B1214" s="2" t="s">
        <v>118</v>
      </c>
      <c r="C1214" s="2">
        <v>-2.99</v>
      </c>
      <c r="D1214" s="2">
        <v>6.2100000000000002E-2</v>
      </c>
      <c r="E1214" s="2">
        <v>-1.8567900000000001E-3</v>
      </c>
      <c r="F1214" s="2" t="s">
        <v>7</v>
      </c>
    </row>
    <row r="1215" spans="1:6" ht="22.5" hidden="1" customHeight="1" x14ac:dyDescent="0.25">
      <c r="A1215" s="3">
        <v>43952</v>
      </c>
      <c r="B1215" s="2" t="s">
        <v>119</v>
      </c>
      <c r="C1215" s="2">
        <v>1.29</v>
      </c>
      <c r="D1215" s="2">
        <v>1.04E-2</v>
      </c>
      <c r="E1215" s="2">
        <v>1.3416E-4</v>
      </c>
      <c r="F1215" s="2" t="s">
        <v>7</v>
      </c>
    </row>
    <row r="1216" spans="1:6" ht="22.5" hidden="1" customHeight="1" x14ac:dyDescent="0.25">
      <c r="A1216" s="3">
        <v>43952</v>
      </c>
      <c r="B1216" s="2" t="s">
        <v>120</v>
      </c>
      <c r="C1216" s="2">
        <v>1.1499999999999999</v>
      </c>
      <c r="D1216" s="2">
        <v>0.44169999999999998</v>
      </c>
      <c r="E1216" s="2">
        <v>5.0795500000000004E-3</v>
      </c>
      <c r="F1216" s="2" t="s">
        <v>7</v>
      </c>
    </row>
    <row r="1217" spans="1:6" ht="22.5" hidden="1" customHeight="1" x14ac:dyDescent="0.25">
      <c r="A1217" s="3">
        <v>43952</v>
      </c>
      <c r="B1217" s="2" t="s">
        <v>121</v>
      </c>
      <c r="C1217" s="2">
        <v>-0.61</v>
      </c>
      <c r="D1217" s="2">
        <v>0.80130000000000001</v>
      </c>
      <c r="E1217" s="2">
        <v>-4.8879300000000004E-3</v>
      </c>
      <c r="F1217" s="2" t="s">
        <v>7</v>
      </c>
    </row>
    <row r="1218" spans="1:6" ht="22.5" hidden="1" customHeight="1" x14ac:dyDescent="0.25">
      <c r="A1218" s="3">
        <v>43952</v>
      </c>
      <c r="B1218" s="2" t="s">
        <v>122</v>
      </c>
      <c r="C1218" s="2">
        <v>-0.52</v>
      </c>
      <c r="D1218" s="2">
        <v>8.5800000000000001E-2</v>
      </c>
      <c r="E1218" s="2">
        <v>-4.4616000000000002E-4</v>
      </c>
      <c r="F1218" s="2" t="s">
        <v>7</v>
      </c>
    </row>
    <row r="1219" spans="1:6" ht="22.5" hidden="1" customHeight="1" x14ac:dyDescent="0.25">
      <c r="A1219" s="3">
        <v>43952</v>
      </c>
      <c r="B1219" s="2" t="s">
        <v>123</v>
      </c>
      <c r="C1219" s="2">
        <v>1.04</v>
      </c>
      <c r="D1219" s="2">
        <v>9.6600000000000005E-2</v>
      </c>
      <c r="E1219" s="2">
        <v>1.00464E-3</v>
      </c>
      <c r="F1219" s="2" t="s">
        <v>7</v>
      </c>
    </row>
    <row r="1220" spans="1:6" ht="22.5" hidden="1" customHeight="1" x14ac:dyDescent="0.25">
      <c r="A1220" s="3">
        <v>43952</v>
      </c>
      <c r="B1220" s="2" t="s">
        <v>124</v>
      </c>
      <c r="C1220" s="2">
        <v>0.39</v>
      </c>
      <c r="D1220" s="2">
        <v>0.14019999999999999</v>
      </c>
      <c r="E1220" s="2">
        <v>5.4677999999999997E-4</v>
      </c>
      <c r="F1220" s="2" t="s">
        <v>7</v>
      </c>
    </row>
    <row r="1221" spans="1:6" ht="22.5" hidden="1" customHeight="1" x14ac:dyDescent="0.25">
      <c r="A1221" s="3">
        <v>43952</v>
      </c>
      <c r="B1221" s="2" t="s">
        <v>125</v>
      </c>
      <c r="C1221" s="2">
        <v>3.39</v>
      </c>
      <c r="D1221" s="2">
        <v>3.0499999999999999E-2</v>
      </c>
      <c r="E1221" s="2">
        <v>1.0339500000000001E-3</v>
      </c>
      <c r="F1221" s="2" t="s">
        <v>7</v>
      </c>
    </row>
    <row r="1222" spans="1:6" ht="22.5" hidden="1" customHeight="1" x14ac:dyDescent="0.25">
      <c r="A1222" s="3">
        <v>43952</v>
      </c>
      <c r="B1222" s="2" t="s">
        <v>126</v>
      </c>
      <c r="C1222" s="2">
        <v>0.65</v>
      </c>
      <c r="D1222" s="2">
        <v>0.1812</v>
      </c>
      <c r="E1222" s="2">
        <v>1.1777999999999999E-3</v>
      </c>
      <c r="F1222" s="2" t="s">
        <v>7</v>
      </c>
    </row>
    <row r="1223" spans="1:6" ht="22.5" hidden="1" customHeight="1" x14ac:dyDescent="0.25">
      <c r="A1223" s="3">
        <v>43952</v>
      </c>
      <c r="B1223" s="2" t="s">
        <v>127</v>
      </c>
      <c r="C1223" s="2">
        <v>-0.76</v>
      </c>
      <c r="D1223" s="2">
        <v>6.08E-2</v>
      </c>
      <c r="E1223" s="2">
        <v>-4.6208000000000002E-4</v>
      </c>
      <c r="F1223" s="2" t="s">
        <v>7</v>
      </c>
    </row>
    <row r="1224" spans="1:6" ht="22.5" hidden="1" customHeight="1" x14ac:dyDescent="0.25">
      <c r="A1224" s="3">
        <v>43952</v>
      </c>
      <c r="B1224" s="2" t="s">
        <v>128</v>
      </c>
      <c r="C1224" s="2">
        <v>0.7</v>
      </c>
      <c r="D1224" s="2">
        <v>9.0399999999999994E-2</v>
      </c>
      <c r="E1224" s="2">
        <v>6.3279999999999999E-4</v>
      </c>
      <c r="F1224" s="2" t="s">
        <v>7</v>
      </c>
    </row>
    <row r="1225" spans="1:6" ht="22.5" hidden="1" customHeight="1" x14ac:dyDescent="0.25">
      <c r="A1225" s="3">
        <v>43952</v>
      </c>
      <c r="B1225" s="2" t="s">
        <v>129</v>
      </c>
      <c r="C1225" s="2">
        <v>1.1599999999999999</v>
      </c>
      <c r="D1225" s="2">
        <v>0.1333</v>
      </c>
      <c r="E1225" s="2">
        <v>1.5462799999999999E-3</v>
      </c>
      <c r="F1225" s="2" t="s">
        <v>7</v>
      </c>
    </row>
    <row r="1226" spans="1:6" ht="22.5" hidden="1" customHeight="1" x14ac:dyDescent="0.25">
      <c r="A1226" s="3">
        <v>43952</v>
      </c>
      <c r="B1226" s="2" t="s">
        <v>130</v>
      </c>
      <c r="C1226" s="2">
        <v>-0.68</v>
      </c>
      <c r="D1226" s="2">
        <v>1.35E-2</v>
      </c>
      <c r="E1226" s="2">
        <v>-9.1799999999999995E-5</v>
      </c>
      <c r="F1226" s="2" t="s">
        <v>7</v>
      </c>
    </row>
    <row r="1227" spans="1:6" ht="22.5" hidden="1" customHeight="1" x14ac:dyDescent="0.25">
      <c r="A1227" s="3">
        <v>43952</v>
      </c>
      <c r="B1227" s="2" t="s">
        <v>131</v>
      </c>
      <c r="C1227" s="2">
        <v>0.47</v>
      </c>
      <c r="D1227" s="2">
        <v>6.54E-2</v>
      </c>
      <c r="E1227" s="2">
        <v>3.0738E-4</v>
      </c>
      <c r="F1227" s="2" t="s">
        <v>7</v>
      </c>
    </row>
    <row r="1228" spans="1:6" ht="22.5" hidden="1" customHeight="1" x14ac:dyDescent="0.25">
      <c r="A1228" s="3">
        <v>43952</v>
      </c>
      <c r="B1228" s="2" t="s">
        <v>132</v>
      </c>
      <c r="C1228" s="2">
        <v>0.79</v>
      </c>
      <c r="D1228" s="2">
        <v>0.28570000000000001</v>
      </c>
      <c r="E1228" s="2">
        <v>2.2570300000000001E-3</v>
      </c>
      <c r="F1228" s="2" t="s">
        <v>7</v>
      </c>
    </row>
    <row r="1229" spans="1:6" ht="22.5" hidden="1" customHeight="1" x14ac:dyDescent="0.25">
      <c r="A1229" s="3">
        <v>43952</v>
      </c>
      <c r="B1229" s="2" t="s">
        <v>133</v>
      </c>
      <c r="C1229" s="2">
        <v>0.37</v>
      </c>
      <c r="D1229" s="2">
        <v>8.8999999999999999E-3</v>
      </c>
      <c r="E1229" s="2">
        <v>3.2929999999999998E-5</v>
      </c>
      <c r="F1229" s="2" t="s">
        <v>7</v>
      </c>
    </row>
    <row r="1230" spans="1:6" ht="22.5" hidden="1" customHeight="1" x14ac:dyDescent="0.25">
      <c r="A1230" s="3">
        <v>43952</v>
      </c>
      <c r="B1230" s="2" t="s">
        <v>134</v>
      </c>
      <c r="C1230" s="2">
        <v>0.05</v>
      </c>
      <c r="D1230" s="2">
        <v>0.51780000000000004</v>
      </c>
      <c r="E1230" s="2">
        <v>2.589E-4</v>
      </c>
      <c r="F1230" s="2" t="s">
        <v>7</v>
      </c>
    </row>
    <row r="1231" spans="1:6" ht="22.5" hidden="1" customHeight="1" x14ac:dyDescent="0.25">
      <c r="A1231" s="3">
        <v>43952</v>
      </c>
      <c r="B1231" s="2" t="s">
        <v>135</v>
      </c>
      <c r="C1231" s="2">
        <v>-1.05</v>
      </c>
      <c r="D1231" s="2">
        <v>0.41339999999999999</v>
      </c>
      <c r="E1231" s="2">
        <v>-4.3407000000000003E-3</v>
      </c>
      <c r="F1231" s="2" t="s">
        <v>7</v>
      </c>
    </row>
    <row r="1232" spans="1:6" ht="22.5" hidden="1" customHeight="1" x14ac:dyDescent="0.25">
      <c r="A1232" s="3">
        <v>43952</v>
      </c>
      <c r="B1232" s="2" t="s">
        <v>136</v>
      </c>
      <c r="C1232" s="2">
        <v>0.56999999999999995</v>
      </c>
      <c r="D1232" s="2">
        <v>3.7199999999999997E-2</v>
      </c>
      <c r="E1232" s="2">
        <v>2.1204000000000001E-4</v>
      </c>
      <c r="F1232" s="2" t="s">
        <v>7</v>
      </c>
    </row>
    <row r="1233" spans="1:6" ht="22.5" hidden="1" customHeight="1" x14ac:dyDescent="0.25">
      <c r="A1233" s="3">
        <v>43952</v>
      </c>
      <c r="B1233" s="2" t="s">
        <v>137</v>
      </c>
      <c r="C1233" s="2">
        <v>0.24</v>
      </c>
      <c r="D1233" s="2">
        <v>7.1599999999999997E-2</v>
      </c>
      <c r="E1233" s="2">
        <v>1.7184000000000001E-4</v>
      </c>
      <c r="F1233" s="2" t="s">
        <v>7</v>
      </c>
    </row>
    <row r="1234" spans="1:6" ht="22.5" hidden="1" customHeight="1" x14ac:dyDescent="0.25">
      <c r="A1234" s="3">
        <v>43952</v>
      </c>
      <c r="B1234" s="2" t="s">
        <v>138</v>
      </c>
      <c r="C1234" s="2">
        <v>-0.1</v>
      </c>
      <c r="D1234" s="2">
        <v>4.8899999999999999E-2</v>
      </c>
      <c r="E1234" s="2">
        <v>-4.8900000000000003E-5</v>
      </c>
      <c r="F1234" s="2" t="s">
        <v>7</v>
      </c>
    </row>
    <row r="1235" spans="1:6" ht="22.5" hidden="1" customHeight="1" x14ac:dyDescent="0.25">
      <c r="A1235" s="3">
        <v>43952</v>
      </c>
      <c r="B1235" s="2" t="s">
        <v>139</v>
      </c>
      <c r="C1235" s="2">
        <v>1.67</v>
      </c>
      <c r="D1235" s="2">
        <v>2.6499999999999999E-2</v>
      </c>
      <c r="E1235" s="2">
        <v>4.4255E-4</v>
      </c>
      <c r="F1235" s="2" t="s">
        <v>7</v>
      </c>
    </row>
    <row r="1236" spans="1:6" ht="22.5" hidden="1" customHeight="1" x14ac:dyDescent="0.25">
      <c r="A1236" s="3">
        <v>43952</v>
      </c>
      <c r="B1236" s="2" t="s">
        <v>140</v>
      </c>
      <c r="C1236" s="2">
        <v>-1.25</v>
      </c>
      <c r="D1236" s="2">
        <v>2.3E-3</v>
      </c>
      <c r="E1236" s="2">
        <v>-2.8750000000000001E-5</v>
      </c>
      <c r="F1236" s="2" t="s">
        <v>7</v>
      </c>
    </row>
    <row r="1237" spans="1:6" ht="22.5" hidden="1" customHeight="1" x14ac:dyDescent="0.25">
      <c r="A1237" s="3">
        <v>43952</v>
      </c>
      <c r="B1237" s="2" t="s">
        <v>141</v>
      </c>
      <c r="C1237" s="2">
        <v>0.56999999999999995</v>
      </c>
      <c r="D1237" s="2">
        <v>1.9099999999999999E-2</v>
      </c>
      <c r="E1237" s="2">
        <v>1.0887000000000001E-4</v>
      </c>
      <c r="F1237" s="2" t="s">
        <v>7</v>
      </c>
    </row>
    <row r="1238" spans="1:6" ht="22.5" hidden="1" customHeight="1" x14ac:dyDescent="0.25">
      <c r="A1238" s="3">
        <v>43952</v>
      </c>
      <c r="B1238" s="2" t="s">
        <v>142</v>
      </c>
      <c r="C1238" s="2">
        <v>-1.42</v>
      </c>
      <c r="D1238" s="2">
        <v>4.4999999999999997E-3</v>
      </c>
      <c r="E1238" s="2">
        <v>-6.3899999999999995E-5</v>
      </c>
      <c r="F1238" s="2" t="s">
        <v>7</v>
      </c>
    </row>
    <row r="1239" spans="1:6" ht="22.5" hidden="1" customHeight="1" x14ac:dyDescent="0.25">
      <c r="A1239" s="3">
        <v>43952</v>
      </c>
      <c r="B1239" s="2" t="s">
        <v>143</v>
      </c>
      <c r="C1239" s="2">
        <v>1.1200000000000001</v>
      </c>
      <c r="D1239" s="2">
        <v>3.7499999999999999E-2</v>
      </c>
      <c r="E1239" s="2">
        <v>4.2000000000000002E-4</v>
      </c>
      <c r="F1239" s="2" t="s">
        <v>7</v>
      </c>
    </row>
    <row r="1240" spans="1:6" ht="22.5" hidden="1" customHeight="1" x14ac:dyDescent="0.25">
      <c r="A1240" s="3">
        <v>43952</v>
      </c>
      <c r="B1240" s="2" t="s">
        <v>144</v>
      </c>
      <c r="C1240" s="2">
        <v>3.24</v>
      </c>
      <c r="D1240" s="2">
        <v>1.4E-3</v>
      </c>
      <c r="E1240" s="2">
        <v>4.5359999999999999E-5</v>
      </c>
      <c r="F1240" s="2" t="s">
        <v>7</v>
      </c>
    </row>
    <row r="1241" spans="1:6" ht="22.5" hidden="1" customHeight="1" x14ac:dyDescent="0.25">
      <c r="A1241" s="3">
        <v>43952</v>
      </c>
      <c r="B1241" s="2" t="s">
        <v>145</v>
      </c>
      <c r="C1241" s="2">
        <v>-1.64</v>
      </c>
      <c r="D1241" s="2">
        <v>1.6000000000000001E-3</v>
      </c>
      <c r="E1241" s="2">
        <v>-2.6239999999999999E-5</v>
      </c>
      <c r="F1241" s="2" t="s">
        <v>7</v>
      </c>
    </row>
    <row r="1242" spans="1:6" ht="22.5" hidden="1" customHeight="1" x14ac:dyDescent="0.25">
      <c r="A1242" s="3">
        <v>43952</v>
      </c>
      <c r="B1242" s="2" t="s">
        <v>146</v>
      </c>
      <c r="C1242" s="2">
        <v>0.27</v>
      </c>
      <c r="D1242" s="2">
        <v>3.2099999999999997E-2</v>
      </c>
      <c r="E1242" s="2">
        <v>8.6669999999999995E-5</v>
      </c>
      <c r="F1242" s="2" t="s">
        <v>7</v>
      </c>
    </row>
    <row r="1243" spans="1:6" ht="22.5" hidden="1" customHeight="1" x14ac:dyDescent="0.25">
      <c r="A1243" s="3">
        <v>43952</v>
      </c>
      <c r="B1243" s="2" t="s">
        <v>147</v>
      </c>
      <c r="C1243" s="2">
        <v>1.31</v>
      </c>
      <c r="D1243" s="2">
        <v>2.5999999999999999E-2</v>
      </c>
      <c r="E1243" s="2">
        <v>3.4059999999999998E-4</v>
      </c>
      <c r="F1243" s="2" t="s">
        <v>7</v>
      </c>
    </row>
    <row r="1244" spans="1:6" ht="22.5" hidden="1" customHeight="1" x14ac:dyDescent="0.25">
      <c r="A1244" s="3">
        <v>43952</v>
      </c>
      <c r="B1244" s="2" t="s">
        <v>148</v>
      </c>
      <c r="C1244" s="2">
        <v>2.44</v>
      </c>
      <c r="D1244" s="2">
        <v>2.2200000000000001E-2</v>
      </c>
      <c r="E1244" s="2">
        <v>5.4168E-4</v>
      </c>
      <c r="F1244" s="2" t="s">
        <v>7</v>
      </c>
    </row>
    <row r="1245" spans="1:6" ht="22.5" hidden="1" customHeight="1" x14ac:dyDescent="0.25">
      <c r="A1245" s="3">
        <v>43952</v>
      </c>
      <c r="B1245" s="2" t="s">
        <v>149</v>
      </c>
      <c r="C1245" s="2">
        <v>1.57</v>
      </c>
      <c r="D1245" s="2">
        <v>2.5000000000000001E-3</v>
      </c>
      <c r="E1245" s="2">
        <v>3.9249999999999999E-5</v>
      </c>
      <c r="F1245" s="2" t="s">
        <v>7</v>
      </c>
    </row>
    <row r="1246" spans="1:6" ht="22.5" hidden="1" customHeight="1" x14ac:dyDescent="0.25">
      <c r="A1246" s="3">
        <v>43952</v>
      </c>
      <c r="B1246" s="2" t="s">
        <v>150</v>
      </c>
      <c r="C1246" s="2">
        <v>0.37</v>
      </c>
      <c r="D1246" s="2">
        <v>0.1132</v>
      </c>
      <c r="E1246" s="2">
        <v>4.1884000000000002E-4</v>
      </c>
      <c r="F1246" s="2" t="s">
        <v>7</v>
      </c>
    </row>
    <row r="1247" spans="1:6" ht="22.5" hidden="1" customHeight="1" x14ac:dyDescent="0.25">
      <c r="A1247" s="3">
        <v>43952</v>
      </c>
      <c r="B1247" s="2" t="s">
        <v>151</v>
      </c>
      <c r="C1247" s="2">
        <v>5.22</v>
      </c>
      <c r="D1247" s="2">
        <v>0.1326</v>
      </c>
      <c r="E1247" s="2">
        <v>6.9217200000000001E-3</v>
      </c>
      <c r="F1247" s="2" t="s">
        <v>7</v>
      </c>
    </row>
    <row r="1248" spans="1:6" ht="22.5" hidden="1" customHeight="1" x14ac:dyDescent="0.25">
      <c r="A1248" s="3">
        <v>43952</v>
      </c>
      <c r="B1248" s="2" t="s">
        <v>152</v>
      </c>
      <c r="C1248" s="2">
        <v>1.32</v>
      </c>
      <c r="D1248" s="2">
        <v>3.0999999999999999E-3</v>
      </c>
      <c r="E1248" s="2">
        <v>4.0920000000000001E-5</v>
      </c>
      <c r="F1248" s="2" t="s">
        <v>7</v>
      </c>
    </row>
    <row r="1249" spans="1:6" ht="22.5" hidden="1" customHeight="1" x14ac:dyDescent="0.25">
      <c r="A1249" s="3">
        <v>43952</v>
      </c>
      <c r="B1249" s="2" t="s">
        <v>153</v>
      </c>
      <c r="C1249" s="2">
        <v>0.25</v>
      </c>
      <c r="D1249" s="2">
        <v>8.9999999999999998E-4</v>
      </c>
      <c r="E1249" s="2">
        <v>2.2500000000000001E-6</v>
      </c>
      <c r="F1249" s="2" t="s">
        <v>7</v>
      </c>
    </row>
    <row r="1250" spans="1:6" ht="22.5" hidden="1" customHeight="1" x14ac:dyDescent="0.25">
      <c r="A1250" s="3">
        <v>43952</v>
      </c>
      <c r="B1250" s="2" t="s">
        <v>154</v>
      </c>
      <c r="C1250" s="2">
        <v>-0.22</v>
      </c>
      <c r="D1250" s="2">
        <v>1.1000000000000001E-3</v>
      </c>
      <c r="E1250" s="2">
        <v>-2.4200000000000001E-6</v>
      </c>
      <c r="F1250" s="2" t="s">
        <v>7</v>
      </c>
    </row>
    <row r="1251" spans="1:6" ht="22.5" hidden="1" customHeight="1" x14ac:dyDescent="0.25">
      <c r="A1251" s="3">
        <v>43952</v>
      </c>
      <c r="B1251" s="2" t="s">
        <v>155</v>
      </c>
      <c r="C1251" s="2">
        <v>-0.22</v>
      </c>
      <c r="D1251" s="2">
        <v>5.7999999999999996E-3</v>
      </c>
      <c r="E1251" s="2">
        <v>-1.276E-5</v>
      </c>
      <c r="F1251" s="2" t="s">
        <v>7</v>
      </c>
    </row>
    <row r="1252" spans="1:6" ht="22.5" hidden="1" customHeight="1" x14ac:dyDescent="0.25">
      <c r="A1252" s="3">
        <v>43952</v>
      </c>
      <c r="B1252" s="2" t="s">
        <v>156</v>
      </c>
      <c r="C1252" s="2">
        <v>1.05</v>
      </c>
      <c r="D1252" s="2">
        <v>4.4400000000000002E-2</v>
      </c>
      <c r="E1252" s="2">
        <v>4.662E-4</v>
      </c>
      <c r="F1252" s="2" t="s">
        <v>7</v>
      </c>
    </row>
    <row r="1253" spans="1:6" ht="22.5" hidden="1" customHeight="1" x14ac:dyDescent="0.25">
      <c r="A1253" s="3">
        <v>43952</v>
      </c>
      <c r="B1253" s="2" t="s">
        <v>157</v>
      </c>
      <c r="C1253" s="2">
        <v>0.18</v>
      </c>
      <c r="D1253" s="2">
        <v>1.7100000000000001E-2</v>
      </c>
      <c r="E1253" s="2">
        <v>3.078E-5</v>
      </c>
      <c r="F1253" s="2" t="s">
        <v>7</v>
      </c>
    </row>
    <row r="1254" spans="1:6" ht="22.5" hidden="1" customHeight="1" x14ac:dyDescent="0.25">
      <c r="A1254" s="3">
        <v>43952</v>
      </c>
      <c r="B1254" s="2" t="s">
        <v>158</v>
      </c>
      <c r="C1254" s="2">
        <v>-0.18</v>
      </c>
      <c r="D1254" s="2">
        <v>1.0200000000000001E-2</v>
      </c>
      <c r="E1254" s="2">
        <v>-1.836E-5</v>
      </c>
      <c r="F1254" s="2" t="s">
        <v>7</v>
      </c>
    </row>
    <row r="1255" spans="1:6" ht="22.5" hidden="1" customHeight="1" x14ac:dyDescent="0.25">
      <c r="A1255" s="3">
        <v>43952</v>
      </c>
      <c r="B1255" s="2" t="s">
        <v>159</v>
      </c>
      <c r="C1255" s="2">
        <v>0.15</v>
      </c>
      <c r="D1255" s="2">
        <v>5.3699999999999998E-2</v>
      </c>
      <c r="E1255" s="2">
        <v>8.0550000000000006E-5</v>
      </c>
      <c r="F1255" s="2" t="s">
        <v>7</v>
      </c>
    </row>
    <row r="1256" spans="1:6" ht="22.5" hidden="1" customHeight="1" x14ac:dyDescent="0.25">
      <c r="A1256" s="3">
        <v>43952</v>
      </c>
      <c r="B1256" s="2" t="s">
        <v>160</v>
      </c>
      <c r="C1256" s="2">
        <v>-0.09</v>
      </c>
      <c r="D1256" s="2">
        <v>3.7946</v>
      </c>
      <c r="E1256" s="2">
        <v>-3.4151400000000001E-3</v>
      </c>
      <c r="F1256" s="2" t="s">
        <v>7</v>
      </c>
    </row>
    <row r="1257" spans="1:6" ht="22.5" hidden="1" customHeight="1" x14ac:dyDescent="0.25">
      <c r="A1257" s="3">
        <v>43952</v>
      </c>
      <c r="B1257" s="2" t="s">
        <v>161</v>
      </c>
      <c r="C1257" s="2">
        <v>0.64</v>
      </c>
      <c r="D1257" s="2">
        <v>1.6921999999999999</v>
      </c>
      <c r="E1257" s="2">
        <v>1.0830080000000001E-2</v>
      </c>
      <c r="F1257" s="2" t="s">
        <v>7</v>
      </c>
    </row>
    <row r="1258" spans="1:6" ht="22.5" hidden="1" customHeight="1" x14ac:dyDescent="0.25">
      <c r="A1258" s="3">
        <v>43952</v>
      </c>
      <c r="B1258" s="2" t="s">
        <v>134</v>
      </c>
      <c r="C1258" s="2">
        <v>-0.28000000000000003</v>
      </c>
      <c r="D1258" s="2">
        <v>0.126</v>
      </c>
      <c r="E1258" s="2">
        <v>-3.5280000000000001E-4</v>
      </c>
      <c r="F1258" s="2" t="s">
        <v>7</v>
      </c>
    </row>
    <row r="1259" spans="1:6" ht="22.5" hidden="1" customHeight="1" x14ac:dyDescent="0.25">
      <c r="A1259" s="3">
        <v>43952</v>
      </c>
      <c r="B1259" s="2" t="s">
        <v>162</v>
      </c>
      <c r="C1259" s="2">
        <v>2.25</v>
      </c>
      <c r="D1259" s="2">
        <v>4.1599999999999998E-2</v>
      </c>
      <c r="E1259" s="2">
        <v>9.3599999999999998E-4</v>
      </c>
      <c r="F1259" s="2" t="s">
        <v>7</v>
      </c>
    </row>
    <row r="1260" spans="1:6" ht="22.5" hidden="1" customHeight="1" x14ac:dyDescent="0.25">
      <c r="A1260" s="3">
        <v>43952</v>
      </c>
      <c r="B1260" s="2" t="s">
        <v>135</v>
      </c>
      <c r="C1260" s="2">
        <v>-0.15</v>
      </c>
      <c r="D1260" s="2">
        <v>0.29409999999999997</v>
      </c>
      <c r="E1260" s="2">
        <v>-4.4115000000000002E-4</v>
      </c>
      <c r="F1260" s="2" t="s">
        <v>7</v>
      </c>
    </row>
    <row r="1261" spans="1:6" ht="22.5" hidden="1" customHeight="1" x14ac:dyDescent="0.25">
      <c r="A1261" s="3">
        <v>43952</v>
      </c>
      <c r="B1261" s="2" t="s">
        <v>136</v>
      </c>
      <c r="C1261" s="2">
        <v>-3.08</v>
      </c>
      <c r="D1261" s="2">
        <v>4.4999999999999997E-3</v>
      </c>
      <c r="E1261" s="2">
        <v>-1.3860000000000001E-4</v>
      </c>
      <c r="F1261" s="2" t="s">
        <v>7</v>
      </c>
    </row>
    <row r="1262" spans="1:6" ht="22.5" hidden="1" customHeight="1" x14ac:dyDescent="0.25">
      <c r="A1262" s="3">
        <v>43952</v>
      </c>
      <c r="B1262" s="2" t="s">
        <v>137</v>
      </c>
      <c r="C1262" s="2">
        <v>3.52</v>
      </c>
      <c r="D1262" s="2">
        <v>8.0999999999999996E-3</v>
      </c>
      <c r="E1262" s="2">
        <v>2.8511999999999998E-4</v>
      </c>
      <c r="F1262" s="2" t="s">
        <v>7</v>
      </c>
    </row>
    <row r="1263" spans="1:6" ht="22.5" hidden="1" customHeight="1" x14ac:dyDescent="0.25">
      <c r="A1263" s="3">
        <v>43952</v>
      </c>
      <c r="B1263" s="2" t="s">
        <v>163</v>
      </c>
      <c r="C1263" s="2">
        <v>0</v>
      </c>
      <c r="D1263" s="2">
        <v>4.4999999999999997E-3</v>
      </c>
      <c r="E1263" s="2">
        <v>0</v>
      </c>
      <c r="F1263" s="2" t="s">
        <v>7</v>
      </c>
    </row>
    <row r="1264" spans="1:6" ht="22.5" hidden="1" customHeight="1" x14ac:dyDescent="0.25">
      <c r="A1264" s="3">
        <v>43952</v>
      </c>
      <c r="B1264" s="2" t="s">
        <v>34</v>
      </c>
      <c r="C1264" s="2">
        <v>0.78</v>
      </c>
      <c r="D1264" s="2">
        <v>5.1400000000000001E-2</v>
      </c>
      <c r="E1264" s="2">
        <v>4.0091999999999998E-4</v>
      </c>
      <c r="F1264" s="2" t="s">
        <v>7</v>
      </c>
    </row>
    <row r="1265" spans="1:6" ht="22.5" hidden="1" customHeight="1" x14ac:dyDescent="0.25">
      <c r="A1265" s="3">
        <v>43952</v>
      </c>
      <c r="B1265" s="2" t="s">
        <v>164</v>
      </c>
      <c r="C1265" s="2">
        <v>-0.15</v>
      </c>
      <c r="D1265" s="2">
        <v>3.8389000000000002</v>
      </c>
      <c r="E1265" s="2">
        <v>-5.7583499999999998E-3</v>
      </c>
      <c r="F1265" s="2" t="s">
        <v>165</v>
      </c>
    </row>
    <row r="1266" spans="1:6" ht="22.5" hidden="1" customHeight="1" x14ac:dyDescent="0.25">
      <c r="A1266" s="3">
        <v>43952</v>
      </c>
      <c r="B1266" s="2" t="s">
        <v>166</v>
      </c>
      <c r="C1266" s="2">
        <v>-0.06</v>
      </c>
      <c r="D1266" s="2">
        <v>2.3963999999999999</v>
      </c>
      <c r="E1266" s="2">
        <v>-1.4378399999999999E-3</v>
      </c>
      <c r="F1266" s="2" t="s">
        <v>165</v>
      </c>
    </row>
    <row r="1267" spans="1:6" ht="22.5" hidden="1" customHeight="1" x14ac:dyDescent="0.25">
      <c r="A1267" s="3">
        <v>44348</v>
      </c>
      <c r="B1267" s="2" t="s">
        <v>286</v>
      </c>
      <c r="C1267" s="2">
        <v>3.53</v>
      </c>
      <c r="D1267" s="2">
        <v>0.21279999999999999</v>
      </c>
      <c r="E1267" s="2">
        <v>7.5118399999999997E-3</v>
      </c>
      <c r="F1267" s="2" t="s">
        <v>168</v>
      </c>
    </row>
    <row r="1268" spans="1:6" ht="22.5" hidden="1" customHeight="1" x14ac:dyDescent="0.25">
      <c r="A1268" s="3">
        <v>43952</v>
      </c>
      <c r="B1268" s="2" t="s">
        <v>169</v>
      </c>
      <c r="C1268" s="2">
        <v>-0.81</v>
      </c>
      <c r="D1268" s="2">
        <v>9.9000000000000008E-3</v>
      </c>
      <c r="E1268" s="2">
        <v>-8.0190000000000003E-5</v>
      </c>
      <c r="F1268" s="2" t="s">
        <v>170</v>
      </c>
    </row>
    <row r="1269" spans="1:6" ht="22.5" hidden="1" customHeight="1" x14ac:dyDescent="0.25">
      <c r="A1269" s="3">
        <v>43952</v>
      </c>
      <c r="B1269" s="2" t="s">
        <v>171</v>
      </c>
      <c r="C1269" s="2">
        <v>-0.11</v>
      </c>
      <c r="D1269" s="2">
        <v>1.43E-2</v>
      </c>
      <c r="E1269" s="2">
        <v>-1.573E-5</v>
      </c>
      <c r="F1269" s="2" t="s">
        <v>170</v>
      </c>
    </row>
    <row r="1270" spans="1:6" ht="22.5" hidden="1" customHeight="1" x14ac:dyDescent="0.25">
      <c r="A1270" s="3">
        <v>43952</v>
      </c>
      <c r="B1270" s="2" t="s">
        <v>172</v>
      </c>
      <c r="C1270" s="2">
        <v>-6.5</v>
      </c>
      <c r="D1270" s="2">
        <v>3.5999999999999999E-3</v>
      </c>
      <c r="E1270" s="2">
        <v>-2.34E-4</v>
      </c>
      <c r="F1270" s="2" t="s">
        <v>170</v>
      </c>
    </row>
    <row r="1271" spans="1:6" ht="22.5" hidden="1" customHeight="1" x14ac:dyDescent="0.25">
      <c r="A1271" s="3">
        <v>43952</v>
      </c>
      <c r="B1271" s="2" t="s">
        <v>173</v>
      </c>
      <c r="C1271" s="2">
        <v>1.31</v>
      </c>
      <c r="D1271" s="2">
        <v>0.2492</v>
      </c>
      <c r="E1271" s="2">
        <v>3.2645199999999999E-3</v>
      </c>
      <c r="F1271" s="2" t="s">
        <v>174</v>
      </c>
    </row>
    <row r="1272" spans="1:6" ht="22.5" hidden="1" customHeight="1" x14ac:dyDescent="0.25">
      <c r="A1272" s="3">
        <v>43952</v>
      </c>
      <c r="B1272" s="2" t="s">
        <v>175</v>
      </c>
      <c r="C1272" s="2">
        <v>0.38</v>
      </c>
      <c r="D1272" s="2">
        <v>0.21540000000000001</v>
      </c>
      <c r="E1272" s="2">
        <v>8.1851999999999999E-4</v>
      </c>
      <c r="F1272" s="2" t="s">
        <v>174</v>
      </c>
    </row>
    <row r="1273" spans="1:6" ht="22.5" hidden="1" customHeight="1" x14ac:dyDescent="0.25">
      <c r="A1273" s="3">
        <v>43952</v>
      </c>
      <c r="B1273" s="2" t="s">
        <v>176</v>
      </c>
      <c r="C1273" s="2">
        <v>0.09</v>
      </c>
      <c r="D1273" s="2">
        <v>1.32E-2</v>
      </c>
      <c r="E1273" s="2">
        <v>1.188E-5</v>
      </c>
      <c r="F1273" s="2" t="s">
        <v>170</v>
      </c>
    </row>
    <row r="1274" spans="1:6" ht="22.5" hidden="1" customHeight="1" x14ac:dyDescent="0.25">
      <c r="A1274" s="3">
        <v>43952</v>
      </c>
      <c r="B1274" s="2" t="s">
        <v>177</v>
      </c>
      <c r="C1274" s="2">
        <v>-0.22</v>
      </c>
      <c r="D1274" s="2">
        <v>2.01E-2</v>
      </c>
      <c r="E1274" s="2">
        <v>-4.422E-5</v>
      </c>
      <c r="F1274" s="2" t="s">
        <v>170</v>
      </c>
    </row>
    <row r="1275" spans="1:6" ht="22.5" hidden="1" customHeight="1" x14ac:dyDescent="0.25">
      <c r="A1275" s="3">
        <v>43952</v>
      </c>
      <c r="B1275" s="2" t="s">
        <v>178</v>
      </c>
      <c r="C1275" s="2">
        <v>0.63</v>
      </c>
      <c r="D1275" s="2">
        <v>1.7100000000000001E-2</v>
      </c>
      <c r="E1275" s="2">
        <v>1.0773E-4</v>
      </c>
      <c r="F1275" s="2" t="s">
        <v>170</v>
      </c>
    </row>
    <row r="1276" spans="1:6" ht="22.5" hidden="1" customHeight="1" x14ac:dyDescent="0.25">
      <c r="A1276" s="3">
        <v>43952</v>
      </c>
      <c r="B1276" s="2" t="s">
        <v>179</v>
      </c>
      <c r="C1276" s="2">
        <v>1.41</v>
      </c>
      <c r="D1276" s="2">
        <v>3.6499999999999998E-2</v>
      </c>
      <c r="E1276" s="2">
        <v>5.1464999999999996E-4</v>
      </c>
      <c r="F1276" s="2" t="s">
        <v>170</v>
      </c>
    </row>
    <row r="1277" spans="1:6" ht="22.5" hidden="1" customHeight="1" x14ac:dyDescent="0.25">
      <c r="A1277" s="3">
        <v>43952</v>
      </c>
      <c r="B1277" s="2" t="s">
        <v>180</v>
      </c>
      <c r="C1277" s="2">
        <v>-0.1</v>
      </c>
      <c r="D1277" s="2">
        <v>0.67279999999999995</v>
      </c>
      <c r="E1277" s="2">
        <v>-6.7279999999999998E-4</v>
      </c>
      <c r="F1277" s="2" t="s">
        <v>165</v>
      </c>
    </row>
    <row r="1278" spans="1:6" ht="22.5" hidden="1" customHeight="1" x14ac:dyDescent="0.25">
      <c r="A1278" s="3">
        <v>43952</v>
      </c>
      <c r="B1278" s="2" t="s">
        <v>181</v>
      </c>
      <c r="C1278" s="2">
        <v>0.67</v>
      </c>
      <c r="D1278" s="2">
        <v>1.21E-2</v>
      </c>
      <c r="E1278" s="2">
        <v>8.1069999999999995E-5</v>
      </c>
      <c r="F1278" s="2" t="s">
        <v>174</v>
      </c>
    </row>
    <row r="1279" spans="1:6" ht="22.5" hidden="1" customHeight="1" x14ac:dyDescent="0.25">
      <c r="A1279" s="3">
        <v>43952</v>
      </c>
      <c r="B1279" s="2" t="s">
        <v>182</v>
      </c>
      <c r="C1279" s="2">
        <v>0.47</v>
      </c>
      <c r="D1279" s="2">
        <v>3.6400000000000002E-2</v>
      </c>
      <c r="E1279" s="2">
        <v>1.7108E-4</v>
      </c>
      <c r="F1279" s="2" t="s">
        <v>170</v>
      </c>
    </row>
    <row r="1280" spans="1:6" ht="22.5" hidden="1" customHeight="1" x14ac:dyDescent="0.25">
      <c r="A1280" s="3">
        <v>43952</v>
      </c>
      <c r="B1280" s="2" t="s">
        <v>183</v>
      </c>
      <c r="C1280" s="2">
        <v>-2.5299999999999998</v>
      </c>
      <c r="D1280" s="2">
        <v>4.4000000000000003E-3</v>
      </c>
      <c r="E1280" s="2">
        <v>-1.1132E-4</v>
      </c>
      <c r="F1280" s="2" t="s">
        <v>174</v>
      </c>
    </row>
    <row r="1281" spans="1:6" ht="22.5" hidden="1" customHeight="1" x14ac:dyDescent="0.25">
      <c r="A1281" s="3">
        <v>43952</v>
      </c>
      <c r="B1281" s="2" t="s">
        <v>184</v>
      </c>
      <c r="C1281" s="2">
        <v>2.94</v>
      </c>
      <c r="D1281" s="2">
        <v>6.2300000000000001E-2</v>
      </c>
      <c r="E1281" s="2">
        <v>1.8316199999999999E-3</v>
      </c>
      <c r="F1281" s="2" t="s">
        <v>174</v>
      </c>
    </row>
    <row r="1282" spans="1:6" ht="22.5" hidden="1" customHeight="1" x14ac:dyDescent="0.25">
      <c r="A1282" s="3">
        <v>43952</v>
      </c>
      <c r="B1282" s="2" t="s">
        <v>185</v>
      </c>
      <c r="C1282" s="2">
        <v>1.47</v>
      </c>
      <c r="D1282" s="2">
        <v>0.15079999999999999</v>
      </c>
      <c r="E1282" s="2">
        <v>2.2167599999999999E-3</v>
      </c>
      <c r="F1282" s="2" t="s">
        <v>174</v>
      </c>
    </row>
    <row r="1283" spans="1:6" ht="22.5" hidden="1" customHeight="1" x14ac:dyDescent="0.25">
      <c r="A1283" s="3">
        <v>43952</v>
      </c>
      <c r="B1283" s="2" t="s">
        <v>186</v>
      </c>
      <c r="C1283" s="2">
        <v>-0.56999999999999995</v>
      </c>
      <c r="D1283" s="2">
        <v>0.22359999999999999</v>
      </c>
      <c r="E1283" s="2">
        <v>-1.2745199999999999E-3</v>
      </c>
      <c r="F1283" s="2" t="s">
        <v>174</v>
      </c>
    </row>
    <row r="1284" spans="1:6" ht="22.5" hidden="1" customHeight="1" x14ac:dyDescent="0.25">
      <c r="A1284" s="3">
        <v>43952</v>
      </c>
      <c r="B1284" s="2" t="s">
        <v>187</v>
      </c>
      <c r="C1284" s="2">
        <v>-0.35</v>
      </c>
      <c r="D1284" s="2">
        <v>6.1600000000000002E-2</v>
      </c>
      <c r="E1284" s="2">
        <v>-2.1560000000000001E-4</v>
      </c>
      <c r="F1284" s="2" t="s">
        <v>174</v>
      </c>
    </row>
    <row r="1285" spans="1:6" ht="22.5" hidden="1" customHeight="1" x14ac:dyDescent="0.25">
      <c r="A1285" s="3">
        <v>43952</v>
      </c>
      <c r="B1285" s="2" t="s">
        <v>188</v>
      </c>
      <c r="C1285" s="2">
        <v>1.42</v>
      </c>
      <c r="D1285" s="2">
        <v>2.5600000000000001E-2</v>
      </c>
      <c r="E1285" s="2">
        <v>3.6351999999999999E-4</v>
      </c>
      <c r="F1285" s="2" t="s">
        <v>174</v>
      </c>
    </row>
    <row r="1286" spans="1:6" ht="22.5" hidden="1" customHeight="1" x14ac:dyDescent="0.25">
      <c r="A1286" s="3">
        <v>43952</v>
      </c>
      <c r="B1286" s="2" t="s">
        <v>189</v>
      </c>
      <c r="C1286" s="2">
        <v>-1.62</v>
      </c>
      <c r="D1286" s="2">
        <v>3.5999999999999999E-3</v>
      </c>
      <c r="E1286" s="2">
        <v>-5.8319999999999997E-5</v>
      </c>
      <c r="F1286" s="2" t="s">
        <v>174</v>
      </c>
    </row>
    <row r="1287" spans="1:6" ht="22.5" hidden="1" customHeight="1" x14ac:dyDescent="0.25">
      <c r="A1287" s="3">
        <v>43952</v>
      </c>
      <c r="B1287" s="2" t="s">
        <v>190</v>
      </c>
      <c r="C1287" s="2">
        <v>-0.72</v>
      </c>
      <c r="D1287" s="2">
        <v>5.1000000000000004E-3</v>
      </c>
      <c r="E1287" s="2">
        <v>-3.6720000000000001E-5</v>
      </c>
      <c r="F1287" s="2" t="s">
        <v>174</v>
      </c>
    </row>
    <row r="1288" spans="1:6" ht="22.5" hidden="1" customHeight="1" x14ac:dyDescent="0.25">
      <c r="A1288" s="3">
        <v>43952</v>
      </c>
      <c r="B1288" s="2" t="s">
        <v>191</v>
      </c>
      <c r="C1288" s="2">
        <v>1.54</v>
      </c>
      <c r="D1288" s="2">
        <v>2.6800000000000001E-2</v>
      </c>
      <c r="E1288" s="2">
        <v>4.1271999999999999E-4</v>
      </c>
      <c r="F1288" s="2" t="s">
        <v>174</v>
      </c>
    </row>
    <row r="1289" spans="1:6" ht="22.5" hidden="1" customHeight="1" x14ac:dyDescent="0.25">
      <c r="A1289" s="3">
        <v>43952</v>
      </c>
      <c r="B1289" s="2" t="s">
        <v>192</v>
      </c>
      <c r="C1289" s="2">
        <v>-0.48</v>
      </c>
      <c r="D1289" s="2">
        <v>5.1000000000000004E-3</v>
      </c>
      <c r="E1289" s="2">
        <v>-2.4479999999999999E-5</v>
      </c>
      <c r="F1289" s="2" t="s">
        <v>174</v>
      </c>
    </row>
    <row r="1290" spans="1:6" ht="22.5" hidden="1" customHeight="1" x14ac:dyDescent="0.25">
      <c r="A1290" s="3">
        <v>43952</v>
      </c>
      <c r="B1290" s="2" t="s">
        <v>193</v>
      </c>
      <c r="C1290" s="2">
        <v>-0.22</v>
      </c>
      <c r="D1290" s="2">
        <v>0.17100000000000001</v>
      </c>
      <c r="E1290" s="2">
        <v>-3.7619999999999998E-4</v>
      </c>
      <c r="F1290" s="2" t="s">
        <v>174</v>
      </c>
    </row>
    <row r="1291" spans="1:6" ht="22.5" hidden="1" customHeight="1" x14ac:dyDescent="0.25">
      <c r="A1291" s="3">
        <v>43952</v>
      </c>
      <c r="B1291" s="2" t="s">
        <v>194</v>
      </c>
      <c r="C1291" s="2">
        <v>0</v>
      </c>
      <c r="D1291" s="2">
        <v>3.3999999999999998E-3</v>
      </c>
      <c r="E1291" s="2">
        <v>0</v>
      </c>
      <c r="F1291" s="2" t="s">
        <v>174</v>
      </c>
    </row>
    <row r="1292" spans="1:6" ht="22.5" hidden="1" customHeight="1" x14ac:dyDescent="0.25">
      <c r="A1292" s="3">
        <v>44075</v>
      </c>
      <c r="B1292" s="2" t="s">
        <v>271</v>
      </c>
      <c r="C1292" s="2">
        <v>0.31</v>
      </c>
      <c r="D1292" s="2">
        <v>2.423</v>
      </c>
      <c r="E1292" s="2">
        <v>7.5113000000000003E-3</v>
      </c>
      <c r="F1292" s="2" t="s">
        <v>168</v>
      </c>
    </row>
    <row r="1293" spans="1:6" ht="22.5" hidden="1" customHeight="1" x14ac:dyDescent="0.25">
      <c r="A1293" s="3">
        <v>44044</v>
      </c>
      <c r="B1293" s="2" t="s">
        <v>271</v>
      </c>
      <c r="C1293" s="2">
        <v>0.31</v>
      </c>
      <c r="D1293" s="2">
        <v>2.4211999999999998</v>
      </c>
      <c r="E1293" s="2">
        <v>7.5057199999999996E-3</v>
      </c>
      <c r="F1293" s="2" t="s">
        <v>168</v>
      </c>
    </row>
    <row r="1294" spans="1:6" ht="22.5" hidden="1" customHeight="1" x14ac:dyDescent="0.25">
      <c r="A1294" s="3">
        <v>44013</v>
      </c>
      <c r="B1294" s="2" t="s">
        <v>271</v>
      </c>
      <c r="C1294" s="2">
        <v>0.31</v>
      </c>
      <c r="D1294" s="2">
        <v>2.4207000000000001</v>
      </c>
      <c r="E1294" s="2">
        <v>7.5041700000000001E-3</v>
      </c>
      <c r="F1294" s="2" t="s">
        <v>168</v>
      </c>
    </row>
    <row r="1295" spans="1:6" ht="22.5" hidden="1" customHeight="1" x14ac:dyDescent="0.25">
      <c r="A1295" s="3">
        <v>43952</v>
      </c>
      <c r="B1295" s="2" t="s">
        <v>198</v>
      </c>
      <c r="C1295" s="2">
        <v>-1.82</v>
      </c>
      <c r="D1295" s="2">
        <v>0.35260000000000002</v>
      </c>
      <c r="E1295" s="2">
        <v>-6.4173199999999998E-3</v>
      </c>
      <c r="F1295" s="2" t="s">
        <v>170</v>
      </c>
    </row>
    <row r="1296" spans="1:6" ht="22.5" hidden="1" customHeight="1" x14ac:dyDescent="0.25">
      <c r="A1296" s="3">
        <v>43952</v>
      </c>
      <c r="B1296" s="2" t="s">
        <v>199</v>
      </c>
      <c r="C1296" s="2">
        <v>-1.83</v>
      </c>
      <c r="D1296" s="2">
        <v>0.47089999999999999</v>
      </c>
      <c r="E1296" s="2">
        <v>-8.6174700000000003E-3</v>
      </c>
      <c r="F1296" s="2" t="s">
        <v>170</v>
      </c>
    </row>
    <row r="1297" spans="1:6" ht="22.5" hidden="1" customHeight="1" x14ac:dyDescent="0.25">
      <c r="A1297" s="3">
        <v>43952</v>
      </c>
      <c r="B1297" s="2" t="s">
        <v>200</v>
      </c>
      <c r="C1297" s="2">
        <v>-2.31</v>
      </c>
      <c r="D1297" s="2">
        <v>0.1971</v>
      </c>
      <c r="E1297" s="2">
        <v>-4.5530099999999997E-3</v>
      </c>
      <c r="F1297" s="2" t="s">
        <v>170</v>
      </c>
    </row>
    <row r="1298" spans="1:6" ht="22.5" hidden="1" customHeight="1" x14ac:dyDescent="0.25">
      <c r="A1298" s="3">
        <v>43952</v>
      </c>
      <c r="B1298" s="2" t="s">
        <v>201</v>
      </c>
      <c r="C1298" s="2">
        <v>0.38</v>
      </c>
      <c r="D1298" s="2">
        <v>2.63E-2</v>
      </c>
      <c r="E1298" s="2">
        <v>9.9939999999999995E-5</v>
      </c>
      <c r="F1298" s="2" t="s">
        <v>170</v>
      </c>
    </row>
    <row r="1299" spans="1:6" ht="22.5" hidden="1" customHeight="1" x14ac:dyDescent="0.25">
      <c r="A1299" s="3">
        <v>43952</v>
      </c>
      <c r="B1299" s="2" t="s">
        <v>202</v>
      </c>
      <c r="C1299" s="2">
        <v>1.21</v>
      </c>
      <c r="D1299" s="2">
        <v>1.3299999999999999E-2</v>
      </c>
      <c r="E1299" s="2">
        <v>1.6092999999999999E-4</v>
      </c>
      <c r="F1299" s="2" t="s">
        <v>170</v>
      </c>
    </row>
    <row r="1300" spans="1:6" ht="22.5" hidden="1" customHeight="1" x14ac:dyDescent="0.25">
      <c r="A1300" s="3">
        <v>43952</v>
      </c>
      <c r="B1300" s="2" t="s">
        <v>203</v>
      </c>
      <c r="C1300" s="2">
        <v>0.6</v>
      </c>
      <c r="D1300" s="2">
        <v>8.2699999999999996E-2</v>
      </c>
      <c r="E1300" s="2">
        <v>4.9620000000000003E-4</v>
      </c>
      <c r="F1300" s="2" t="s">
        <v>170</v>
      </c>
    </row>
    <row r="1301" spans="1:6" ht="22.5" hidden="1" customHeight="1" x14ac:dyDescent="0.25">
      <c r="A1301" s="3">
        <v>43952</v>
      </c>
      <c r="B1301" s="2" t="s">
        <v>204</v>
      </c>
      <c r="C1301" s="2">
        <v>-0.04</v>
      </c>
      <c r="D1301" s="2">
        <v>6.1600000000000002E-2</v>
      </c>
      <c r="E1301" s="2">
        <v>-2.4640000000000001E-5</v>
      </c>
      <c r="F1301" s="2" t="s">
        <v>174</v>
      </c>
    </row>
    <row r="1302" spans="1:6" ht="22.5" hidden="1" customHeight="1" x14ac:dyDescent="0.25">
      <c r="A1302" s="3">
        <v>43952</v>
      </c>
      <c r="B1302" s="2" t="s">
        <v>205</v>
      </c>
      <c r="C1302" s="2">
        <v>0.62</v>
      </c>
      <c r="D1302" s="2">
        <v>9.4899999999999998E-2</v>
      </c>
      <c r="E1302" s="2">
        <v>5.8838E-4</v>
      </c>
      <c r="F1302" s="2" t="s">
        <v>174</v>
      </c>
    </row>
    <row r="1303" spans="1:6" ht="22.5" hidden="1" customHeight="1" x14ac:dyDescent="0.25">
      <c r="A1303" s="3">
        <v>43952</v>
      </c>
      <c r="B1303" s="2" t="s">
        <v>206</v>
      </c>
      <c r="C1303" s="2">
        <v>0.57999999999999996</v>
      </c>
      <c r="D1303" s="2">
        <v>0.15709999999999999</v>
      </c>
      <c r="E1303" s="2">
        <v>9.1118000000000004E-4</v>
      </c>
      <c r="F1303" s="2" t="s">
        <v>174</v>
      </c>
    </row>
    <row r="1304" spans="1:6" ht="22.5" hidden="1" customHeight="1" x14ac:dyDescent="0.25">
      <c r="A1304" s="3">
        <v>43952</v>
      </c>
      <c r="B1304" s="2" t="s">
        <v>207</v>
      </c>
      <c r="C1304" s="2">
        <v>0.57999999999999996</v>
      </c>
      <c r="D1304" s="2">
        <v>4.9599999999999998E-2</v>
      </c>
      <c r="E1304" s="2">
        <v>2.8768000000000001E-4</v>
      </c>
      <c r="F1304" s="2" t="s">
        <v>174</v>
      </c>
    </row>
    <row r="1305" spans="1:6" ht="22.5" hidden="1" customHeight="1" x14ac:dyDescent="0.25">
      <c r="A1305" s="3">
        <v>43952</v>
      </c>
      <c r="B1305" s="2" t="s">
        <v>208</v>
      </c>
      <c r="C1305" s="2">
        <v>2.1</v>
      </c>
      <c r="D1305" s="2">
        <v>8.6999999999999994E-3</v>
      </c>
      <c r="E1305" s="2">
        <v>1.827E-4</v>
      </c>
      <c r="F1305" s="2" t="s">
        <v>174</v>
      </c>
    </row>
    <row r="1306" spans="1:6" ht="22.5" hidden="1" customHeight="1" x14ac:dyDescent="0.25">
      <c r="A1306" s="3">
        <v>43952</v>
      </c>
      <c r="B1306" s="2" t="s">
        <v>209</v>
      </c>
      <c r="C1306" s="2">
        <v>0.23</v>
      </c>
      <c r="D1306" s="2">
        <v>5.4999999999999997E-3</v>
      </c>
      <c r="E1306" s="2">
        <v>1.2649999999999999E-5</v>
      </c>
      <c r="F1306" s="2" t="s">
        <v>174</v>
      </c>
    </row>
    <row r="1307" spans="1:6" ht="22.5" hidden="1" customHeight="1" x14ac:dyDescent="0.25">
      <c r="A1307" s="3">
        <v>43952</v>
      </c>
      <c r="B1307" s="2" t="s">
        <v>210</v>
      </c>
      <c r="C1307" s="2">
        <v>-0.31</v>
      </c>
      <c r="D1307" s="2">
        <v>1.47E-2</v>
      </c>
      <c r="E1307" s="2">
        <v>-4.5569999999999999E-5</v>
      </c>
      <c r="F1307" s="2" t="s">
        <v>170</v>
      </c>
    </row>
    <row r="1308" spans="1:6" ht="22.5" hidden="1" customHeight="1" x14ac:dyDescent="0.25">
      <c r="A1308" s="3">
        <v>43952</v>
      </c>
      <c r="B1308" s="2" t="s">
        <v>211</v>
      </c>
      <c r="C1308" s="2">
        <v>1.33</v>
      </c>
      <c r="D1308" s="2">
        <v>0.1855</v>
      </c>
      <c r="E1308" s="2">
        <v>2.46715E-3</v>
      </c>
      <c r="F1308" s="2" t="s">
        <v>174</v>
      </c>
    </row>
    <row r="1309" spans="1:6" ht="22.5" hidden="1" customHeight="1" x14ac:dyDescent="0.25">
      <c r="A1309" s="3">
        <v>43952</v>
      </c>
      <c r="B1309" s="2" t="s">
        <v>212</v>
      </c>
      <c r="C1309" s="2">
        <v>-0.68</v>
      </c>
      <c r="D1309" s="2">
        <v>4.5999999999999999E-3</v>
      </c>
      <c r="E1309" s="2">
        <v>-3.1279999999999999E-5</v>
      </c>
      <c r="F1309" s="2" t="s">
        <v>174</v>
      </c>
    </row>
    <row r="1310" spans="1:6" ht="22.5" hidden="1" customHeight="1" x14ac:dyDescent="0.25">
      <c r="A1310" s="3">
        <v>43952</v>
      </c>
      <c r="B1310" s="2" t="s">
        <v>213</v>
      </c>
      <c r="C1310" s="2">
        <v>1.03</v>
      </c>
      <c r="D1310" s="2">
        <v>0.313</v>
      </c>
      <c r="E1310" s="2">
        <v>3.2239E-3</v>
      </c>
      <c r="F1310" s="2" t="s">
        <v>170</v>
      </c>
    </row>
    <row r="1311" spans="1:6" ht="22.5" hidden="1" customHeight="1" x14ac:dyDescent="0.25">
      <c r="A1311" s="3">
        <v>43952</v>
      </c>
      <c r="B1311" s="2" t="s">
        <v>214</v>
      </c>
      <c r="C1311" s="2">
        <v>-1.35</v>
      </c>
      <c r="D1311" s="2">
        <v>9.6799999999999997E-2</v>
      </c>
      <c r="E1311" s="2">
        <v>-1.3068000000000001E-3</v>
      </c>
      <c r="F1311" s="2" t="s">
        <v>170</v>
      </c>
    </row>
    <row r="1312" spans="1:6" ht="22.5" hidden="1" customHeight="1" x14ac:dyDescent="0.25">
      <c r="A1312" s="3">
        <v>43952</v>
      </c>
      <c r="B1312" s="2" t="s">
        <v>215</v>
      </c>
      <c r="C1312" s="2">
        <v>1.31</v>
      </c>
      <c r="D1312" s="2">
        <v>0.23599999999999999</v>
      </c>
      <c r="E1312" s="2">
        <v>3.0915999999999999E-3</v>
      </c>
      <c r="F1312" s="2" t="s">
        <v>170</v>
      </c>
    </row>
    <row r="1313" spans="1:6" ht="22.5" hidden="1" customHeight="1" x14ac:dyDescent="0.25">
      <c r="A1313" s="3">
        <v>43952</v>
      </c>
      <c r="B1313" s="2" t="s">
        <v>216</v>
      </c>
      <c r="C1313" s="2">
        <v>0.84</v>
      </c>
      <c r="D1313" s="2">
        <v>1.44E-2</v>
      </c>
      <c r="E1313" s="2">
        <v>1.2095999999999999E-4</v>
      </c>
      <c r="F1313" s="2" t="s">
        <v>170</v>
      </c>
    </row>
    <row r="1314" spans="1:6" ht="22.5" hidden="1" customHeight="1" x14ac:dyDescent="0.25">
      <c r="A1314" s="3">
        <v>43952</v>
      </c>
      <c r="B1314" s="2" t="s">
        <v>217</v>
      </c>
      <c r="C1314" s="2">
        <v>1.32</v>
      </c>
      <c r="D1314" s="2">
        <v>0.155</v>
      </c>
      <c r="E1314" s="2">
        <v>2.0460000000000001E-3</v>
      </c>
      <c r="F1314" s="2" t="s">
        <v>170</v>
      </c>
    </row>
    <row r="1315" spans="1:6" ht="22.5" hidden="1" customHeight="1" x14ac:dyDescent="0.25">
      <c r="A1315" s="3">
        <v>43952</v>
      </c>
      <c r="B1315" s="2" t="s">
        <v>218</v>
      </c>
      <c r="C1315" s="2">
        <v>2.2400000000000002</v>
      </c>
      <c r="D1315" s="2">
        <v>6.7999999999999996E-3</v>
      </c>
      <c r="E1315" s="2">
        <v>1.5232000000000001E-4</v>
      </c>
      <c r="F1315" s="2" t="s">
        <v>170</v>
      </c>
    </row>
    <row r="1316" spans="1:6" ht="22.5" hidden="1" customHeight="1" x14ac:dyDescent="0.25">
      <c r="A1316" s="3">
        <v>43952</v>
      </c>
      <c r="B1316" s="2" t="s">
        <v>219</v>
      </c>
      <c r="C1316" s="2">
        <v>2.0699999999999998</v>
      </c>
      <c r="D1316" s="2">
        <v>0.42970000000000003</v>
      </c>
      <c r="E1316" s="2">
        <v>8.8947899999999996E-3</v>
      </c>
      <c r="F1316" s="2" t="s">
        <v>170</v>
      </c>
    </row>
    <row r="1317" spans="1:6" ht="22.5" hidden="1" customHeight="1" x14ac:dyDescent="0.25">
      <c r="A1317" s="3">
        <v>43952</v>
      </c>
      <c r="B1317" s="2" t="s">
        <v>220</v>
      </c>
      <c r="C1317" s="2">
        <v>-0.46</v>
      </c>
      <c r="D1317" s="2">
        <v>1.1299999999999999E-2</v>
      </c>
      <c r="E1317" s="2">
        <v>-5.198E-5</v>
      </c>
      <c r="F1317" s="2" t="s">
        <v>170</v>
      </c>
    </row>
    <row r="1318" spans="1:6" ht="22.5" hidden="1" customHeight="1" x14ac:dyDescent="0.25">
      <c r="A1318" s="3">
        <v>43952</v>
      </c>
      <c r="B1318" s="2" t="s">
        <v>221</v>
      </c>
      <c r="C1318" s="2">
        <v>3.6</v>
      </c>
      <c r="D1318" s="2">
        <v>3.0999999999999999E-3</v>
      </c>
      <c r="E1318" s="2">
        <v>1.116E-4</v>
      </c>
      <c r="F1318" s="2" t="s">
        <v>170</v>
      </c>
    </row>
    <row r="1319" spans="1:6" ht="22.5" hidden="1" customHeight="1" x14ac:dyDescent="0.25">
      <c r="A1319" s="3">
        <v>43952</v>
      </c>
      <c r="B1319" s="2" t="s">
        <v>222</v>
      </c>
      <c r="C1319" s="2">
        <v>3.97</v>
      </c>
      <c r="D1319" s="2">
        <v>0.30030000000000001</v>
      </c>
      <c r="E1319" s="2">
        <v>1.1921910000000001E-2</v>
      </c>
      <c r="F1319" s="2" t="s">
        <v>170</v>
      </c>
    </row>
    <row r="1320" spans="1:6" ht="22.5" hidden="1" customHeight="1" x14ac:dyDescent="0.25">
      <c r="A1320" s="3">
        <v>43952</v>
      </c>
      <c r="B1320" s="2" t="s">
        <v>223</v>
      </c>
      <c r="C1320" s="2">
        <v>0.27</v>
      </c>
      <c r="D1320" s="2">
        <v>1.7100000000000001E-2</v>
      </c>
      <c r="E1320" s="2">
        <v>4.617E-5</v>
      </c>
      <c r="F1320" s="2" t="s">
        <v>165</v>
      </c>
    </row>
    <row r="1321" spans="1:6" ht="22.5" hidden="1" customHeight="1" x14ac:dyDescent="0.25">
      <c r="A1321" s="3">
        <v>43952</v>
      </c>
      <c r="B1321" s="2" t="s">
        <v>224</v>
      </c>
      <c r="C1321" s="2">
        <v>-0.97</v>
      </c>
      <c r="D1321" s="2">
        <v>2.3999999999999998E-3</v>
      </c>
      <c r="E1321" s="2">
        <v>-2.3280000000000001E-5</v>
      </c>
      <c r="F1321" s="2" t="s">
        <v>165</v>
      </c>
    </row>
    <row r="1322" spans="1:6" ht="22.5" hidden="1" customHeight="1" x14ac:dyDescent="0.25">
      <c r="A1322" s="3">
        <v>43952</v>
      </c>
      <c r="B1322" s="2" t="s">
        <v>225</v>
      </c>
      <c r="C1322" s="2">
        <v>1.99</v>
      </c>
      <c r="D1322" s="2">
        <v>4.5999999999999999E-3</v>
      </c>
      <c r="E1322" s="2">
        <v>9.1539999999999994E-5</v>
      </c>
      <c r="F1322" s="2" t="s">
        <v>165</v>
      </c>
    </row>
    <row r="1323" spans="1:6" ht="22.5" hidden="1" customHeight="1" x14ac:dyDescent="0.25">
      <c r="A1323" s="3">
        <v>43952</v>
      </c>
      <c r="B1323" s="2" t="s">
        <v>226</v>
      </c>
      <c r="C1323" s="2">
        <v>-1.1299999999999999</v>
      </c>
      <c r="D1323" s="2">
        <v>4.8599999999999997E-2</v>
      </c>
      <c r="E1323" s="2">
        <v>-5.4918000000000002E-4</v>
      </c>
      <c r="F1323" s="2" t="s">
        <v>165</v>
      </c>
    </row>
    <row r="1324" spans="1:6" ht="22.5" hidden="1" customHeight="1" x14ac:dyDescent="0.25">
      <c r="A1324" s="3">
        <v>43952</v>
      </c>
      <c r="B1324" s="2" t="s">
        <v>227</v>
      </c>
      <c r="C1324" s="2">
        <v>0.42</v>
      </c>
      <c r="D1324" s="2">
        <v>6.5799999999999997E-2</v>
      </c>
      <c r="E1324" s="2">
        <v>2.7636000000000002E-4</v>
      </c>
      <c r="F1324" s="2" t="s">
        <v>165</v>
      </c>
    </row>
    <row r="1325" spans="1:6" ht="22.5" hidden="1" customHeight="1" x14ac:dyDescent="0.25">
      <c r="A1325" s="3">
        <v>43952</v>
      </c>
      <c r="B1325" s="2" t="s">
        <v>228</v>
      </c>
      <c r="C1325" s="2">
        <v>1.57</v>
      </c>
      <c r="D1325" s="2">
        <v>0.17580000000000001</v>
      </c>
      <c r="E1325" s="2">
        <v>2.7600599999999999E-3</v>
      </c>
      <c r="F1325" s="2" t="s">
        <v>165</v>
      </c>
    </row>
    <row r="1326" spans="1:6" ht="22.5" hidden="1" customHeight="1" x14ac:dyDescent="0.25">
      <c r="A1326" s="3">
        <v>43952</v>
      </c>
      <c r="B1326" s="2" t="s">
        <v>229</v>
      </c>
      <c r="C1326" s="2">
        <v>0.13</v>
      </c>
      <c r="D1326" s="2">
        <v>0.2928</v>
      </c>
      <c r="E1326" s="2">
        <v>3.8064000000000001E-4</v>
      </c>
      <c r="F1326" s="2" t="s">
        <v>174</v>
      </c>
    </row>
    <row r="1327" spans="1:6" ht="22.5" hidden="1" customHeight="1" x14ac:dyDescent="0.25">
      <c r="A1327" s="3">
        <v>43952</v>
      </c>
      <c r="B1327" s="2" t="s">
        <v>230</v>
      </c>
      <c r="C1327" s="2">
        <v>0.14000000000000001</v>
      </c>
      <c r="D1327" s="2">
        <v>2.3099999999999999E-2</v>
      </c>
      <c r="E1327" s="2">
        <v>3.2339999999999999E-5</v>
      </c>
      <c r="F1327" s="2" t="s">
        <v>174</v>
      </c>
    </row>
    <row r="1328" spans="1:6" ht="22.5" hidden="1" customHeight="1" x14ac:dyDescent="0.25">
      <c r="A1328" s="3">
        <v>43952</v>
      </c>
      <c r="B1328" s="2" t="s">
        <v>231</v>
      </c>
      <c r="C1328" s="2">
        <v>-0.13</v>
      </c>
      <c r="D1328" s="2">
        <v>0.17</v>
      </c>
      <c r="E1328" s="2">
        <v>-2.2100000000000001E-4</v>
      </c>
      <c r="F1328" s="2" t="s">
        <v>174</v>
      </c>
    </row>
    <row r="1329" spans="1:6" ht="22.5" hidden="1" customHeight="1" x14ac:dyDescent="0.25">
      <c r="A1329" s="3">
        <v>43952</v>
      </c>
      <c r="B1329" s="2" t="s">
        <v>232</v>
      </c>
      <c r="C1329" s="2">
        <v>1.67</v>
      </c>
      <c r="D1329" s="2">
        <v>5.4999999999999997E-3</v>
      </c>
      <c r="E1329" s="2">
        <v>9.1849999999999996E-5</v>
      </c>
      <c r="F1329" s="2" t="s">
        <v>174</v>
      </c>
    </row>
    <row r="1330" spans="1:6" ht="22.5" hidden="1" customHeight="1" x14ac:dyDescent="0.25">
      <c r="A1330" s="3">
        <v>43952</v>
      </c>
      <c r="B1330" s="2" t="s">
        <v>233</v>
      </c>
      <c r="C1330" s="2">
        <v>0.51</v>
      </c>
      <c r="D1330" s="2">
        <v>0.57379999999999998</v>
      </c>
      <c r="E1330" s="2">
        <v>2.9263800000000001E-3</v>
      </c>
      <c r="F1330" s="2" t="s">
        <v>174</v>
      </c>
    </row>
    <row r="1331" spans="1:6" ht="22.5" hidden="1" customHeight="1" x14ac:dyDescent="0.25">
      <c r="A1331" s="3">
        <v>43952</v>
      </c>
      <c r="B1331" s="2" t="s">
        <v>234</v>
      </c>
      <c r="C1331" s="2">
        <v>-0.09</v>
      </c>
      <c r="D1331" s="2">
        <v>0.32519999999999999</v>
      </c>
      <c r="E1331" s="2">
        <v>-2.9268000000000002E-4</v>
      </c>
      <c r="F1331" s="2" t="s">
        <v>174</v>
      </c>
    </row>
    <row r="1332" spans="1:6" ht="22.5" hidden="1" customHeight="1" x14ac:dyDescent="0.25">
      <c r="A1332" s="3">
        <v>43952</v>
      </c>
      <c r="B1332" s="2" t="s">
        <v>235</v>
      </c>
      <c r="C1332" s="2">
        <v>1.02</v>
      </c>
      <c r="D1332" s="2">
        <v>2.76E-2</v>
      </c>
      <c r="E1332" s="2">
        <v>2.8152E-4</v>
      </c>
      <c r="F1332" s="2" t="s">
        <v>174</v>
      </c>
    </row>
    <row r="1333" spans="1:6" ht="22.5" hidden="1" customHeight="1" x14ac:dyDescent="0.25">
      <c r="A1333" s="3">
        <v>43952</v>
      </c>
      <c r="B1333" s="2" t="s">
        <v>236</v>
      </c>
      <c r="C1333" s="2">
        <v>-0.88</v>
      </c>
      <c r="D1333" s="2">
        <v>7.9000000000000008E-3</v>
      </c>
      <c r="E1333" s="2">
        <v>-6.9519999999999998E-5</v>
      </c>
      <c r="F1333" s="2" t="s">
        <v>174</v>
      </c>
    </row>
    <row r="1334" spans="1:6" ht="22.5" hidden="1" customHeight="1" x14ac:dyDescent="0.25">
      <c r="A1334" s="3">
        <v>43952</v>
      </c>
      <c r="B1334" s="2" t="s">
        <v>237</v>
      </c>
      <c r="C1334" s="2">
        <v>-1.17</v>
      </c>
      <c r="D1334" s="2">
        <v>0.30199999999999999</v>
      </c>
      <c r="E1334" s="2">
        <v>-3.5333999999999999E-3</v>
      </c>
      <c r="F1334" s="2" t="s">
        <v>174</v>
      </c>
    </row>
    <row r="1335" spans="1:6" ht="22.5" hidden="1" customHeight="1" x14ac:dyDescent="0.25">
      <c r="A1335" s="3">
        <v>43952</v>
      </c>
      <c r="B1335" s="2" t="s">
        <v>238</v>
      </c>
      <c r="C1335" s="2">
        <v>0.55000000000000004</v>
      </c>
      <c r="D1335" s="2">
        <v>0.53649999999999998</v>
      </c>
      <c r="E1335" s="2">
        <v>2.9507499999999998E-3</v>
      </c>
      <c r="F1335" s="2" t="s">
        <v>174</v>
      </c>
    </row>
    <row r="1336" spans="1:6" ht="22.5" hidden="1" customHeight="1" x14ac:dyDescent="0.25">
      <c r="A1336" s="3">
        <v>43952</v>
      </c>
      <c r="B1336" s="2" t="s">
        <v>239</v>
      </c>
      <c r="C1336" s="2">
        <v>-0.56000000000000005</v>
      </c>
      <c r="D1336" s="2">
        <v>0.1123</v>
      </c>
      <c r="E1336" s="2">
        <v>-6.2887999999999996E-4</v>
      </c>
      <c r="F1336" s="2" t="s">
        <v>174</v>
      </c>
    </row>
    <row r="1337" spans="1:6" ht="22.5" hidden="1" customHeight="1" x14ac:dyDescent="0.25">
      <c r="A1337" s="3">
        <v>43952</v>
      </c>
      <c r="B1337" s="2" t="s">
        <v>240</v>
      </c>
      <c r="C1337" s="2">
        <v>-0.83</v>
      </c>
      <c r="D1337" s="2">
        <v>6.6500000000000004E-2</v>
      </c>
      <c r="E1337" s="2">
        <v>-5.5195000000000005E-4</v>
      </c>
      <c r="F1337" s="2" t="s">
        <v>174</v>
      </c>
    </row>
    <row r="1338" spans="1:6" ht="22.5" hidden="1" customHeight="1" x14ac:dyDescent="0.25">
      <c r="A1338" s="3">
        <v>43952</v>
      </c>
      <c r="B1338" s="2" t="s">
        <v>241</v>
      </c>
      <c r="C1338" s="2">
        <v>-0.37</v>
      </c>
      <c r="D1338" s="2">
        <v>8.5699999999999998E-2</v>
      </c>
      <c r="E1338" s="2">
        <v>-3.1709000000000002E-4</v>
      </c>
      <c r="F1338" s="2" t="s">
        <v>174</v>
      </c>
    </row>
    <row r="1339" spans="1:6" ht="22.5" hidden="1" customHeight="1" x14ac:dyDescent="0.25">
      <c r="A1339" s="3">
        <v>43952</v>
      </c>
      <c r="B1339" s="2" t="s">
        <v>242</v>
      </c>
      <c r="C1339" s="2">
        <v>-1.0900000000000001</v>
      </c>
      <c r="D1339" s="2">
        <v>7.6700000000000004E-2</v>
      </c>
      <c r="E1339" s="2">
        <v>-8.3602999999999998E-4</v>
      </c>
      <c r="F1339" s="2" t="s">
        <v>174</v>
      </c>
    </row>
    <row r="1340" spans="1:6" ht="22.5" hidden="1" customHeight="1" x14ac:dyDescent="0.25">
      <c r="A1340" s="3">
        <v>43952</v>
      </c>
      <c r="B1340" s="2" t="s">
        <v>243</v>
      </c>
      <c r="C1340" s="2">
        <v>-0.77</v>
      </c>
      <c r="D1340" s="2">
        <v>8.6999999999999994E-3</v>
      </c>
      <c r="E1340" s="2">
        <v>-6.6989999999999994E-5</v>
      </c>
      <c r="F1340" s="2" t="s">
        <v>174</v>
      </c>
    </row>
    <row r="1341" spans="1:6" ht="22.5" hidden="1" customHeight="1" x14ac:dyDescent="0.25">
      <c r="A1341" s="3">
        <v>43952</v>
      </c>
      <c r="B1341" s="2" t="s">
        <v>244</v>
      </c>
      <c r="C1341" s="2">
        <v>0.92</v>
      </c>
      <c r="D1341" s="2">
        <v>5.4600000000000003E-2</v>
      </c>
      <c r="E1341" s="2">
        <v>5.0232E-4</v>
      </c>
      <c r="F1341" s="2" t="s">
        <v>174</v>
      </c>
    </row>
    <row r="1342" spans="1:6" ht="22.5" hidden="1" customHeight="1" x14ac:dyDescent="0.25">
      <c r="A1342" s="3">
        <v>43952</v>
      </c>
      <c r="B1342" s="2" t="s">
        <v>245</v>
      </c>
      <c r="C1342" s="2">
        <v>-0.25</v>
      </c>
      <c r="D1342" s="2">
        <v>5.3900000000000003E-2</v>
      </c>
      <c r="E1342" s="2">
        <v>-1.3475E-4</v>
      </c>
      <c r="F1342" s="2" t="s">
        <v>174</v>
      </c>
    </row>
    <row r="1343" spans="1:6" ht="22.5" hidden="1" customHeight="1" x14ac:dyDescent="0.25">
      <c r="A1343" s="3">
        <v>43952</v>
      </c>
      <c r="B1343" s="2" t="s">
        <v>246</v>
      </c>
      <c r="C1343" s="2">
        <v>0.72</v>
      </c>
      <c r="D1343" s="2">
        <v>0.19589999999999999</v>
      </c>
      <c r="E1343" s="2">
        <v>1.41048E-3</v>
      </c>
      <c r="F1343" s="2" t="s">
        <v>174</v>
      </c>
    </row>
    <row r="1344" spans="1:6" ht="22.5" hidden="1" customHeight="1" x14ac:dyDescent="0.25">
      <c r="A1344" s="3">
        <v>43952</v>
      </c>
      <c r="B1344" s="2" t="s">
        <v>247</v>
      </c>
      <c r="C1344" s="2">
        <v>-1.08</v>
      </c>
      <c r="D1344" s="2">
        <v>0.13969999999999999</v>
      </c>
      <c r="E1344" s="2">
        <v>-1.50876E-3</v>
      </c>
      <c r="F1344" s="2" t="s">
        <v>174</v>
      </c>
    </row>
    <row r="1345" spans="1:6" ht="22.5" hidden="1" customHeight="1" x14ac:dyDescent="0.25">
      <c r="A1345" s="3">
        <v>43952</v>
      </c>
      <c r="B1345" s="2" t="s">
        <v>248</v>
      </c>
      <c r="C1345" s="2">
        <v>-0.62</v>
      </c>
      <c r="D1345" s="2">
        <v>0.153</v>
      </c>
      <c r="E1345" s="2">
        <v>-9.4859999999999996E-4</v>
      </c>
      <c r="F1345" s="2" t="s">
        <v>174</v>
      </c>
    </row>
    <row r="1346" spans="1:6" ht="22.5" hidden="1" customHeight="1" x14ac:dyDescent="0.25">
      <c r="A1346" s="3">
        <v>43952</v>
      </c>
      <c r="B1346" s="2" t="s">
        <v>249</v>
      </c>
      <c r="C1346" s="2">
        <v>0.42</v>
      </c>
      <c r="D1346" s="2">
        <v>0.27760000000000001</v>
      </c>
      <c r="E1346" s="2">
        <v>1.16592E-3</v>
      </c>
      <c r="F1346" s="2" t="s">
        <v>174</v>
      </c>
    </row>
    <row r="1347" spans="1:6" ht="22.5" hidden="1" customHeight="1" x14ac:dyDescent="0.25">
      <c r="A1347" s="3">
        <v>43952</v>
      </c>
      <c r="B1347" s="2" t="s">
        <v>250</v>
      </c>
      <c r="C1347" s="2">
        <v>-1.2</v>
      </c>
      <c r="D1347" s="2">
        <v>2.75E-2</v>
      </c>
      <c r="E1347" s="2">
        <v>-3.3E-4</v>
      </c>
      <c r="F1347" s="2" t="s">
        <v>174</v>
      </c>
    </row>
    <row r="1348" spans="1:6" ht="22.5" hidden="1" customHeight="1" x14ac:dyDescent="0.25">
      <c r="A1348" s="3">
        <v>43952</v>
      </c>
      <c r="B1348" s="2" t="s">
        <v>251</v>
      </c>
      <c r="C1348" s="2">
        <v>-0.41</v>
      </c>
      <c r="D1348" s="2">
        <v>6.3500000000000001E-2</v>
      </c>
      <c r="E1348" s="2">
        <v>-2.6035000000000001E-4</v>
      </c>
      <c r="F1348" s="2" t="s">
        <v>174</v>
      </c>
    </row>
    <row r="1349" spans="1:6" ht="22.5" hidden="1" customHeight="1" x14ac:dyDescent="0.25">
      <c r="A1349" s="3">
        <v>43952</v>
      </c>
      <c r="B1349" s="2" t="s">
        <v>252</v>
      </c>
      <c r="C1349" s="2">
        <v>-2.62</v>
      </c>
      <c r="D1349" s="2">
        <v>9.2999999999999992E-3</v>
      </c>
      <c r="E1349" s="2">
        <v>-2.4366000000000001E-4</v>
      </c>
      <c r="F1349" s="2" t="s">
        <v>174</v>
      </c>
    </row>
    <row r="1350" spans="1:6" ht="22.5" hidden="1" customHeight="1" x14ac:dyDescent="0.25">
      <c r="A1350" s="3">
        <v>43952</v>
      </c>
      <c r="B1350" s="2" t="s">
        <v>253</v>
      </c>
      <c r="C1350" s="2">
        <v>-1.25</v>
      </c>
      <c r="D1350" s="2">
        <v>0.4491</v>
      </c>
      <c r="E1350" s="2">
        <v>-5.6137499999999998E-3</v>
      </c>
      <c r="F1350" s="2" t="s">
        <v>174</v>
      </c>
    </row>
    <row r="1351" spans="1:6" ht="22.5" hidden="1" customHeight="1" x14ac:dyDescent="0.25">
      <c r="A1351" s="3">
        <v>43952</v>
      </c>
      <c r="B1351" s="2" t="s">
        <v>254</v>
      </c>
      <c r="C1351" s="2">
        <v>-0.85</v>
      </c>
      <c r="D1351" s="2">
        <v>0.19550000000000001</v>
      </c>
      <c r="E1351" s="2">
        <v>-1.66175E-3</v>
      </c>
      <c r="F1351" s="2" t="s">
        <v>174</v>
      </c>
    </row>
    <row r="1352" spans="1:6" ht="22.5" hidden="1" customHeight="1" x14ac:dyDescent="0.25">
      <c r="A1352" s="3">
        <v>43952</v>
      </c>
      <c r="B1352" s="2" t="s">
        <v>255</v>
      </c>
      <c r="C1352" s="2">
        <v>0.77</v>
      </c>
      <c r="D1352" s="2">
        <v>1.7299999999999999E-2</v>
      </c>
      <c r="E1352" s="2">
        <v>1.3321000000000001E-4</v>
      </c>
      <c r="F1352" s="2" t="s">
        <v>170</v>
      </c>
    </row>
    <row r="1353" spans="1:6" ht="22.5" hidden="1" customHeight="1" x14ac:dyDescent="0.25">
      <c r="A1353" s="3">
        <v>43952</v>
      </c>
      <c r="B1353" s="2" t="s">
        <v>256</v>
      </c>
      <c r="C1353" s="2">
        <v>-1.08</v>
      </c>
      <c r="D1353" s="2">
        <v>0.13270000000000001</v>
      </c>
      <c r="E1353" s="2">
        <v>-1.4331599999999999E-3</v>
      </c>
      <c r="F1353" s="2" t="s">
        <v>170</v>
      </c>
    </row>
    <row r="1354" spans="1:6" ht="22.5" hidden="1" customHeight="1" x14ac:dyDescent="0.25">
      <c r="A1354" s="3">
        <v>43952</v>
      </c>
      <c r="B1354" s="2" t="s">
        <v>257</v>
      </c>
      <c r="C1354" s="2">
        <v>-1.07</v>
      </c>
      <c r="D1354" s="2">
        <v>4.8800000000000003E-2</v>
      </c>
      <c r="E1354" s="2">
        <v>-5.2216000000000003E-4</v>
      </c>
      <c r="F1354" s="2" t="s">
        <v>170</v>
      </c>
    </row>
    <row r="1355" spans="1:6" ht="22.5" hidden="1" customHeight="1" x14ac:dyDescent="0.25">
      <c r="A1355" s="3">
        <v>43952</v>
      </c>
      <c r="B1355" s="2" t="s">
        <v>258</v>
      </c>
      <c r="C1355" s="2">
        <v>0.28000000000000003</v>
      </c>
      <c r="D1355" s="2">
        <v>4.5199999999999997E-2</v>
      </c>
      <c r="E1355" s="2">
        <v>1.2656000000000001E-4</v>
      </c>
      <c r="F1355" s="2" t="s">
        <v>174</v>
      </c>
    </row>
    <row r="1356" spans="1:6" ht="22.5" hidden="1" customHeight="1" x14ac:dyDescent="0.25">
      <c r="A1356" s="3">
        <v>43952</v>
      </c>
      <c r="B1356" s="2" t="s">
        <v>259</v>
      </c>
      <c r="C1356" s="2">
        <v>0.42</v>
      </c>
      <c r="D1356" s="2">
        <v>0.01</v>
      </c>
      <c r="E1356" s="2">
        <v>4.1999999999999998E-5</v>
      </c>
      <c r="F1356" s="2" t="s">
        <v>174</v>
      </c>
    </row>
    <row r="1357" spans="1:6" ht="22.5" hidden="1" customHeight="1" x14ac:dyDescent="0.25">
      <c r="A1357" s="3">
        <v>44105</v>
      </c>
      <c r="B1357" s="2" t="s">
        <v>271</v>
      </c>
      <c r="C1357" s="2">
        <v>0.31</v>
      </c>
      <c r="D1357" s="2">
        <v>2.4194</v>
      </c>
      <c r="E1357" s="2">
        <v>7.5001399999999998E-3</v>
      </c>
      <c r="F1357" s="2" t="s">
        <v>168</v>
      </c>
    </row>
    <row r="1358" spans="1:6" ht="22.5" hidden="1" customHeight="1" x14ac:dyDescent="0.25">
      <c r="A1358" s="3">
        <v>44501</v>
      </c>
      <c r="B1358" s="2" t="s">
        <v>289</v>
      </c>
      <c r="C1358" s="2">
        <v>1.41</v>
      </c>
      <c r="D1358" s="2">
        <v>0.5282</v>
      </c>
      <c r="E1358" s="2">
        <v>7.4476200000000003E-3</v>
      </c>
      <c r="F1358" s="2" t="s">
        <v>168</v>
      </c>
    </row>
    <row r="1359" spans="1:6" ht="22.5" hidden="1" customHeight="1" x14ac:dyDescent="0.25">
      <c r="A1359" s="3">
        <v>44317</v>
      </c>
      <c r="B1359" s="2" t="s">
        <v>287</v>
      </c>
      <c r="C1359" s="2">
        <v>11.55</v>
      </c>
      <c r="D1359" s="2">
        <v>6.3299999999999995E-2</v>
      </c>
      <c r="E1359" s="2">
        <v>7.3111499999999998E-3</v>
      </c>
      <c r="F1359" s="2" t="s">
        <v>168</v>
      </c>
    </row>
    <row r="1360" spans="1:6" ht="22.5" hidden="1" customHeight="1" x14ac:dyDescent="0.25">
      <c r="A1360" s="3">
        <v>43983</v>
      </c>
      <c r="B1360" s="2" t="s">
        <v>271</v>
      </c>
      <c r="C1360" s="2">
        <v>0.3</v>
      </c>
      <c r="D1360" s="2">
        <v>2.4138999999999999</v>
      </c>
      <c r="E1360" s="2">
        <v>7.2417000000000002E-3</v>
      </c>
      <c r="F1360" s="2" t="s">
        <v>168</v>
      </c>
    </row>
    <row r="1361" spans="1:6" ht="22.5" hidden="1" customHeight="1" x14ac:dyDescent="0.25">
      <c r="A1361" s="3">
        <v>44136</v>
      </c>
      <c r="B1361" s="2" t="s">
        <v>271</v>
      </c>
      <c r="C1361" s="2">
        <v>0.3</v>
      </c>
      <c r="D1361" s="2">
        <v>2.4041999999999999</v>
      </c>
      <c r="E1361" s="2">
        <v>7.2125999999999996E-3</v>
      </c>
      <c r="F1361" s="2" t="s">
        <v>168</v>
      </c>
    </row>
    <row r="1362" spans="1:6" ht="22.5" hidden="1" customHeight="1" x14ac:dyDescent="0.25">
      <c r="A1362" s="3">
        <v>43952</v>
      </c>
      <c r="B1362" s="2" t="s">
        <v>271</v>
      </c>
      <c r="C1362" s="2">
        <v>0.3</v>
      </c>
      <c r="D1362" s="2">
        <v>2.3921000000000001</v>
      </c>
      <c r="E1362" s="2">
        <v>7.1763E-3</v>
      </c>
      <c r="F1362" s="2" t="s">
        <v>168</v>
      </c>
    </row>
    <row r="1363" spans="1:6" ht="22.5" hidden="1" customHeight="1" x14ac:dyDescent="0.25">
      <c r="A1363" s="3">
        <v>44166</v>
      </c>
      <c r="B1363" s="2" t="s">
        <v>271</v>
      </c>
      <c r="C1363" s="2">
        <v>0.3</v>
      </c>
      <c r="D1363" s="2">
        <v>2.3919000000000001</v>
      </c>
      <c r="E1363" s="2">
        <v>7.1757000000000001E-3</v>
      </c>
      <c r="F1363" s="2" t="s">
        <v>168</v>
      </c>
    </row>
    <row r="1364" spans="1:6" ht="22.5" hidden="1" customHeight="1" x14ac:dyDescent="0.25">
      <c r="A1364" s="3">
        <v>43952</v>
      </c>
      <c r="B1364" s="2" t="s">
        <v>267</v>
      </c>
      <c r="C1364" s="2">
        <v>0</v>
      </c>
      <c r="D1364" s="2">
        <v>0.13650000000000001</v>
      </c>
      <c r="E1364" s="2">
        <v>0</v>
      </c>
      <c r="F1364" s="2" t="s">
        <v>165</v>
      </c>
    </row>
    <row r="1365" spans="1:6" ht="22.5" hidden="1" customHeight="1" x14ac:dyDescent="0.25">
      <c r="A1365" s="3">
        <v>43952</v>
      </c>
      <c r="B1365" s="2" t="s">
        <v>268</v>
      </c>
      <c r="C1365" s="2">
        <v>-1.78</v>
      </c>
      <c r="D1365" s="2">
        <v>0.214</v>
      </c>
      <c r="E1365" s="2">
        <v>-3.8092E-3</v>
      </c>
      <c r="F1365" s="2" t="s">
        <v>165</v>
      </c>
    </row>
    <row r="1366" spans="1:6" ht="22.5" hidden="1" customHeight="1" x14ac:dyDescent="0.25">
      <c r="A1366" s="3">
        <v>43952</v>
      </c>
      <c r="B1366" s="2" t="s">
        <v>269</v>
      </c>
      <c r="C1366" s="2">
        <v>0</v>
      </c>
      <c r="D1366" s="2">
        <v>7.0199999999999999E-2</v>
      </c>
      <c r="E1366" s="2">
        <v>0</v>
      </c>
      <c r="F1366" s="2" t="s">
        <v>165</v>
      </c>
    </row>
    <row r="1367" spans="1:6" ht="22.5" hidden="1" customHeight="1" x14ac:dyDescent="0.25">
      <c r="A1367" s="3">
        <v>43952</v>
      </c>
      <c r="B1367" s="2" t="s">
        <v>270</v>
      </c>
      <c r="C1367" s="2">
        <v>0.99</v>
      </c>
      <c r="D1367" s="2">
        <v>2.9283000000000001</v>
      </c>
      <c r="E1367" s="2">
        <v>2.8990169999999999E-2</v>
      </c>
      <c r="F1367" s="2" t="s">
        <v>170</v>
      </c>
    </row>
    <row r="1368" spans="1:6" ht="22.5" hidden="1" customHeight="1" x14ac:dyDescent="0.25">
      <c r="A1368" s="3">
        <v>43922</v>
      </c>
      <c r="B1368" s="2" t="s">
        <v>271</v>
      </c>
      <c r="C1368" s="2">
        <v>0.3</v>
      </c>
      <c r="D1368" s="2">
        <v>2.3843999999999999</v>
      </c>
      <c r="E1368" s="2">
        <v>7.1532000000000002E-3</v>
      </c>
      <c r="F1368" s="2" t="s">
        <v>168</v>
      </c>
    </row>
    <row r="1369" spans="1:6" ht="22.5" hidden="1" customHeight="1" x14ac:dyDescent="0.25">
      <c r="A1369" s="3">
        <v>43952</v>
      </c>
      <c r="B1369" s="2" t="s">
        <v>272</v>
      </c>
      <c r="C1369" s="2">
        <v>-2.17</v>
      </c>
      <c r="D1369" s="2">
        <v>0.82440000000000002</v>
      </c>
      <c r="E1369" s="2">
        <v>-1.7889479999999999E-2</v>
      </c>
      <c r="F1369" s="2" t="s">
        <v>165</v>
      </c>
    </row>
    <row r="1370" spans="1:6" ht="22.5" hidden="1" customHeight="1" x14ac:dyDescent="0.25">
      <c r="A1370" s="3">
        <v>43891</v>
      </c>
      <c r="B1370" s="2" t="s">
        <v>271</v>
      </c>
      <c r="C1370" s="2">
        <v>0.3</v>
      </c>
      <c r="D1370" s="2">
        <v>2.3772000000000002</v>
      </c>
      <c r="E1370" s="2">
        <v>7.1316000000000001E-3</v>
      </c>
      <c r="F1370" s="2" t="s">
        <v>168</v>
      </c>
    </row>
    <row r="1371" spans="1:6" ht="22.5" hidden="1" customHeight="1" x14ac:dyDescent="0.25">
      <c r="A1371" s="3">
        <v>43952</v>
      </c>
      <c r="B1371" s="2" t="s">
        <v>274</v>
      </c>
      <c r="C1371" s="2">
        <v>-0.86</v>
      </c>
      <c r="D1371" s="2">
        <v>0.12820000000000001</v>
      </c>
      <c r="E1371" s="2">
        <v>-1.1025200000000001E-3</v>
      </c>
      <c r="F1371" s="2" t="s">
        <v>170</v>
      </c>
    </row>
    <row r="1372" spans="1:6" ht="22.5" hidden="1" customHeight="1" x14ac:dyDescent="0.25">
      <c r="A1372" s="3">
        <v>43952</v>
      </c>
      <c r="B1372" s="2" t="s">
        <v>275</v>
      </c>
      <c r="C1372" s="2">
        <v>-0.54</v>
      </c>
      <c r="D1372" s="2">
        <v>0.1721</v>
      </c>
      <c r="E1372" s="2">
        <v>-9.2933999999999996E-4</v>
      </c>
      <c r="F1372" s="2" t="s">
        <v>170</v>
      </c>
    </row>
    <row r="1373" spans="1:6" ht="22.5" hidden="1" customHeight="1" x14ac:dyDescent="0.25">
      <c r="A1373" s="3">
        <v>43952</v>
      </c>
      <c r="B1373" s="2" t="s">
        <v>276</v>
      </c>
      <c r="C1373" s="2">
        <v>1.41</v>
      </c>
      <c r="D1373" s="2">
        <v>0.1981</v>
      </c>
      <c r="E1373" s="2">
        <v>2.79321E-3</v>
      </c>
      <c r="F1373" s="2" t="s">
        <v>170</v>
      </c>
    </row>
    <row r="1374" spans="1:6" ht="22.5" hidden="1" customHeight="1" x14ac:dyDescent="0.25">
      <c r="A1374" s="3">
        <v>43952</v>
      </c>
      <c r="B1374" s="2" t="s">
        <v>277</v>
      </c>
      <c r="C1374" s="2">
        <v>1.01</v>
      </c>
      <c r="D1374" s="2">
        <v>1.6800999999999999</v>
      </c>
      <c r="E1374" s="2">
        <v>1.696901E-2</v>
      </c>
      <c r="F1374" s="2" t="s">
        <v>165</v>
      </c>
    </row>
    <row r="1375" spans="1:6" ht="22.5" hidden="1" customHeight="1" x14ac:dyDescent="0.25">
      <c r="A1375" s="3">
        <v>43952</v>
      </c>
      <c r="B1375" s="2" t="s">
        <v>278</v>
      </c>
      <c r="C1375" s="2">
        <v>0.87</v>
      </c>
      <c r="D1375" s="2">
        <v>7.0499999999999993E-2</v>
      </c>
      <c r="E1375" s="2">
        <v>6.1335000000000003E-4</v>
      </c>
      <c r="F1375" s="2" t="s">
        <v>165</v>
      </c>
    </row>
    <row r="1376" spans="1:6" ht="22.5" hidden="1" customHeight="1" x14ac:dyDescent="0.25">
      <c r="A1376" s="3">
        <v>43862</v>
      </c>
      <c r="B1376" s="2" t="s">
        <v>271</v>
      </c>
      <c r="C1376" s="2">
        <v>0.3</v>
      </c>
      <c r="D1376" s="2">
        <v>2.375</v>
      </c>
      <c r="E1376" s="2">
        <v>7.1250000000000003E-3</v>
      </c>
      <c r="F1376" s="2" t="s">
        <v>168</v>
      </c>
    </row>
    <row r="1377" spans="1:6" ht="22.5" hidden="1" customHeight="1" x14ac:dyDescent="0.25">
      <c r="A1377" s="3">
        <v>43952</v>
      </c>
      <c r="B1377" s="2" t="s">
        <v>280</v>
      </c>
      <c r="C1377" s="2">
        <v>-0.15</v>
      </c>
      <c r="D1377" s="2">
        <v>1.8887</v>
      </c>
      <c r="E1377" s="2">
        <v>-2.8330500000000002E-3</v>
      </c>
      <c r="F1377" s="2" t="s">
        <v>170</v>
      </c>
    </row>
    <row r="1378" spans="1:6" ht="22.5" hidden="1" customHeight="1" x14ac:dyDescent="0.25">
      <c r="A1378" s="3">
        <v>43952</v>
      </c>
      <c r="B1378" s="2" t="s">
        <v>281</v>
      </c>
      <c r="C1378" s="2">
        <v>0.88</v>
      </c>
      <c r="D1378" s="2">
        <v>1.6400000000000001E-2</v>
      </c>
      <c r="E1378" s="2">
        <v>1.4432E-4</v>
      </c>
      <c r="F1378" s="2" t="s">
        <v>165</v>
      </c>
    </row>
    <row r="1379" spans="1:6" ht="22.5" hidden="1" customHeight="1" x14ac:dyDescent="0.25">
      <c r="A1379" s="3">
        <v>43952</v>
      </c>
      <c r="B1379" s="2" t="s">
        <v>282</v>
      </c>
      <c r="C1379" s="2">
        <v>-2.37</v>
      </c>
      <c r="D1379" s="2">
        <v>0.02</v>
      </c>
      <c r="E1379" s="2">
        <v>-4.7399999999999997E-4</v>
      </c>
      <c r="F1379" s="2" t="s">
        <v>165</v>
      </c>
    </row>
    <row r="1380" spans="1:6" ht="22.5" hidden="1" customHeight="1" x14ac:dyDescent="0.25">
      <c r="A1380" s="3">
        <v>43952</v>
      </c>
      <c r="B1380" s="2" t="s">
        <v>283</v>
      </c>
      <c r="C1380" s="2">
        <v>-0.81</v>
      </c>
      <c r="D1380" s="2">
        <v>0.57330000000000003</v>
      </c>
      <c r="E1380" s="2">
        <v>-4.6437300000000004E-3</v>
      </c>
      <c r="F1380" s="2" t="s">
        <v>170</v>
      </c>
    </row>
    <row r="1381" spans="1:6" ht="22.5" hidden="1" customHeight="1" x14ac:dyDescent="0.25">
      <c r="A1381" s="3">
        <v>44348</v>
      </c>
      <c r="B1381" s="2" t="s">
        <v>196</v>
      </c>
      <c r="C1381" s="2">
        <v>5.2</v>
      </c>
      <c r="D1381" s="2">
        <v>0.13600000000000001</v>
      </c>
      <c r="E1381" s="2">
        <v>7.0720000000000002E-3</v>
      </c>
      <c r="F1381" s="2" t="s">
        <v>168</v>
      </c>
    </row>
    <row r="1382" spans="1:6" ht="22.5" hidden="1" customHeight="1" x14ac:dyDescent="0.25">
      <c r="A1382" s="3">
        <v>44013</v>
      </c>
      <c r="B1382" s="2" t="s">
        <v>298</v>
      </c>
      <c r="C1382" s="2">
        <v>1.1299999999999999</v>
      </c>
      <c r="D1382" s="2">
        <v>0.62029999999999996</v>
      </c>
      <c r="E1382" s="2">
        <v>7.0093899999999999E-3</v>
      </c>
      <c r="F1382" s="2" t="s">
        <v>168</v>
      </c>
    </row>
    <row r="1383" spans="1:6" ht="22.5" hidden="1" customHeight="1" x14ac:dyDescent="0.25">
      <c r="A1383" s="3">
        <v>44531</v>
      </c>
      <c r="B1383" s="2" t="s">
        <v>195</v>
      </c>
      <c r="C1383" s="2">
        <v>0.51</v>
      </c>
      <c r="D1383" s="2">
        <v>1.3613999999999999</v>
      </c>
      <c r="E1383" s="2">
        <v>6.9431400000000004E-3</v>
      </c>
      <c r="F1383" s="2" t="s">
        <v>168</v>
      </c>
    </row>
    <row r="1384" spans="1:6" ht="22.5" hidden="1" customHeight="1" x14ac:dyDescent="0.25">
      <c r="A1384" s="3">
        <v>44440</v>
      </c>
      <c r="B1384" s="2" t="s">
        <v>289</v>
      </c>
      <c r="C1384" s="2">
        <v>1.31</v>
      </c>
      <c r="D1384" s="2">
        <v>0.52590000000000003</v>
      </c>
      <c r="E1384" s="2">
        <v>6.8892900000000002E-3</v>
      </c>
      <c r="F1384" s="2" t="s">
        <v>168</v>
      </c>
    </row>
    <row r="1385" spans="1:6" ht="22.5" hidden="1" customHeight="1" x14ac:dyDescent="0.25">
      <c r="A1385" s="3">
        <v>44593</v>
      </c>
      <c r="B1385" s="2" t="s">
        <v>367</v>
      </c>
      <c r="C1385" s="2">
        <v>0.45</v>
      </c>
      <c r="D1385" s="2">
        <v>1.4119999999999999</v>
      </c>
      <c r="E1385" s="2">
        <v>6.3540000000000003E-3</v>
      </c>
      <c r="F1385" s="2" t="s">
        <v>168</v>
      </c>
    </row>
    <row r="1386" spans="1:6" ht="22.5" hidden="1" customHeight="1" x14ac:dyDescent="0.25">
      <c r="A1386" s="3">
        <v>44470</v>
      </c>
      <c r="B1386" s="2" t="s">
        <v>286</v>
      </c>
      <c r="C1386" s="2">
        <v>2.89</v>
      </c>
      <c r="D1386" s="2">
        <v>0.21929999999999999</v>
      </c>
      <c r="E1386" s="2">
        <v>6.3377700000000004E-3</v>
      </c>
      <c r="F1386" s="2" t="s">
        <v>168</v>
      </c>
    </row>
    <row r="1387" spans="1:6" ht="22.5" hidden="1" customHeight="1" x14ac:dyDescent="0.25">
      <c r="A1387" s="3">
        <v>43862</v>
      </c>
      <c r="B1387" s="2" t="s">
        <v>195</v>
      </c>
      <c r="C1387" s="2">
        <v>0.6</v>
      </c>
      <c r="D1387" s="2">
        <v>1.0410999999999999</v>
      </c>
      <c r="E1387" s="2">
        <v>6.2465999999999997E-3</v>
      </c>
      <c r="F1387" s="2" t="s">
        <v>168</v>
      </c>
    </row>
    <row r="1388" spans="1:6" ht="22.5" hidden="1" customHeight="1" x14ac:dyDescent="0.25">
      <c r="A1388" s="3">
        <v>44228</v>
      </c>
      <c r="B1388" s="2" t="s">
        <v>289</v>
      </c>
      <c r="C1388" s="2">
        <v>1.1499999999999999</v>
      </c>
      <c r="D1388" s="2">
        <v>0.53810000000000002</v>
      </c>
      <c r="E1388" s="2">
        <v>6.1881499999999999E-3</v>
      </c>
      <c r="F1388" s="2" t="s">
        <v>168</v>
      </c>
    </row>
    <row r="1389" spans="1:6" ht="22.5" hidden="1" customHeight="1" x14ac:dyDescent="0.25">
      <c r="A1389" s="3">
        <v>44044</v>
      </c>
      <c r="B1389" s="2" t="s">
        <v>286</v>
      </c>
      <c r="C1389" s="2">
        <v>3.58</v>
      </c>
      <c r="D1389" s="2">
        <v>0.1696</v>
      </c>
      <c r="E1389" s="2">
        <v>6.0716800000000003E-3</v>
      </c>
      <c r="F1389" s="2" t="s">
        <v>168</v>
      </c>
    </row>
    <row r="1390" spans="1:6" ht="22.5" hidden="1" customHeight="1" x14ac:dyDescent="0.25">
      <c r="A1390" s="3">
        <v>43891</v>
      </c>
      <c r="B1390" s="2" t="s">
        <v>365</v>
      </c>
      <c r="C1390" s="2">
        <v>9.2899999999999991</v>
      </c>
      <c r="D1390" s="2">
        <v>6.4799999999999996E-2</v>
      </c>
      <c r="E1390" s="2">
        <v>6.0199199999999998E-3</v>
      </c>
      <c r="F1390" s="2" t="s">
        <v>168</v>
      </c>
    </row>
    <row r="1391" spans="1:6" ht="22.5" hidden="1" customHeight="1" x14ac:dyDescent="0.25">
      <c r="A1391" s="3">
        <v>44136</v>
      </c>
      <c r="B1391" s="2" t="s">
        <v>167</v>
      </c>
      <c r="C1391" s="2">
        <v>0.33</v>
      </c>
      <c r="D1391" s="2">
        <v>1.8089999999999999</v>
      </c>
      <c r="E1391" s="2">
        <v>5.9696999999999997E-3</v>
      </c>
      <c r="F1391" s="2" t="s">
        <v>168</v>
      </c>
    </row>
    <row r="1392" spans="1:6" ht="22.5" hidden="1" customHeight="1" x14ac:dyDescent="0.25">
      <c r="A1392" s="3">
        <v>44501</v>
      </c>
      <c r="B1392" s="2" t="s">
        <v>366</v>
      </c>
      <c r="C1392" s="2">
        <v>2.2000000000000002</v>
      </c>
      <c r="D1392" s="2">
        <v>0.26469999999999999</v>
      </c>
      <c r="E1392" s="2">
        <v>5.8234000000000003E-3</v>
      </c>
      <c r="F1392" s="2" t="s">
        <v>168</v>
      </c>
    </row>
    <row r="1393" spans="1:6" ht="22.5" hidden="1" customHeight="1" x14ac:dyDescent="0.25">
      <c r="A1393" s="3">
        <v>44317</v>
      </c>
      <c r="B1393" s="2" t="s">
        <v>295</v>
      </c>
      <c r="C1393" s="2">
        <v>2.67</v>
      </c>
      <c r="D1393" s="2">
        <v>0.21540000000000001</v>
      </c>
      <c r="E1393" s="2">
        <v>5.7511799999999998E-3</v>
      </c>
      <c r="F1393" s="2" t="s">
        <v>168</v>
      </c>
    </row>
    <row r="1394" spans="1:6" ht="22.5" hidden="1" customHeight="1" x14ac:dyDescent="0.25">
      <c r="A1394" s="3">
        <v>44317</v>
      </c>
      <c r="B1394" s="2" t="s">
        <v>292</v>
      </c>
      <c r="C1394" s="2">
        <v>4.63</v>
      </c>
      <c r="D1394" s="2">
        <v>0.1242</v>
      </c>
      <c r="E1394" s="2">
        <v>5.7504599999999998E-3</v>
      </c>
      <c r="F1394" s="2" t="s">
        <v>168</v>
      </c>
    </row>
    <row r="1395" spans="1:6" ht="22.5" hidden="1" customHeight="1" x14ac:dyDescent="0.25">
      <c r="A1395" s="3">
        <v>44197</v>
      </c>
      <c r="B1395" s="2" t="s">
        <v>298</v>
      </c>
      <c r="C1395" s="2">
        <v>0.96</v>
      </c>
      <c r="D1395" s="2">
        <v>0.59799999999999998</v>
      </c>
      <c r="E1395" s="2">
        <v>5.7407999999999999E-3</v>
      </c>
      <c r="F1395" s="2" t="s">
        <v>168</v>
      </c>
    </row>
    <row r="1396" spans="1:6" ht="22.5" hidden="1" customHeight="1" x14ac:dyDescent="0.25">
      <c r="A1396" s="3">
        <v>44105</v>
      </c>
      <c r="B1396" s="2" t="s">
        <v>366</v>
      </c>
      <c r="C1396" s="2">
        <v>2.16</v>
      </c>
      <c r="D1396" s="2">
        <v>0.26390000000000002</v>
      </c>
      <c r="E1396" s="2">
        <v>5.7002399999999996E-3</v>
      </c>
      <c r="F1396" s="2" t="s">
        <v>168</v>
      </c>
    </row>
    <row r="1397" spans="1:6" ht="22.5" hidden="1" customHeight="1" x14ac:dyDescent="0.25">
      <c r="A1397" s="3">
        <v>44317</v>
      </c>
      <c r="B1397" s="2" t="s">
        <v>290</v>
      </c>
      <c r="C1397" s="2">
        <v>3.89</v>
      </c>
      <c r="D1397" s="2">
        <v>0.1462</v>
      </c>
      <c r="E1397" s="2">
        <v>5.68718E-3</v>
      </c>
      <c r="F1397" s="2" t="s">
        <v>168</v>
      </c>
    </row>
    <row r="1398" spans="1:6" ht="22.5" hidden="1" customHeight="1" x14ac:dyDescent="0.25">
      <c r="A1398" s="3">
        <v>44256</v>
      </c>
      <c r="B1398" s="2" t="s">
        <v>260</v>
      </c>
      <c r="C1398" s="2">
        <v>0.42</v>
      </c>
      <c r="D1398" s="2">
        <v>1.3253999999999999</v>
      </c>
      <c r="E1398" s="2">
        <v>5.5666800000000001E-3</v>
      </c>
      <c r="F1398" s="2" t="s">
        <v>168</v>
      </c>
    </row>
    <row r="1399" spans="1:6" ht="22.5" hidden="1" customHeight="1" x14ac:dyDescent="0.25">
      <c r="A1399" s="3">
        <v>43952</v>
      </c>
      <c r="B1399" s="2" t="s">
        <v>302</v>
      </c>
      <c r="C1399" s="2">
        <v>-1.1299999999999999</v>
      </c>
      <c r="D1399" s="2">
        <v>0.30320000000000003</v>
      </c>
      <c r="E1399" s="2">
        <v>-3.4261600000000001E-3</v>
      </c>
      <c r="F1399" s="2" t="s">
        <v>170</v>
      </c>
    </row>
    <row r="1400" spans="1:6" ht="22.5" hidden="1" customHeight="1" x14ac:dyDescent="0.25">
      <c r="A1400" s="3">
        <v>43952</v>
      </c>
      <c r="B1400" s="2" t="s">
        <v>303</v>
      </c>
      <c r="C1400" s="2">
        <v>0.33</v>
      </c>
      <c r="D1400" s="2">
        <v>0.55149999999999999</v>
      </c>
      <c r="E1400" s="2">
        <v>1.8199500000000001E-3</v>
      </c>
      <c r="F1400" s="2" t="s">
        <v>165</v>
      </c>
    </row>
    <row r="1401" spans="1:6" ht="22.5" hidden="1" customHeight="1" x14ac:dyDescent="0.25">
      <c r="A1401" s="3">
        <v>43952</v>
      </c>
      <c r="B1401" s="2" t="s">
        <v>304</v>
      </c>
      <c r="C1401" s="2">
        <v>0.33</v>
      </c>
      <c r="D1401" s="2">
        <v>0.52449999999999997</v>
      </c>
      <c r="E1401" s="2">
        <v>1.7308499999999999E-3</v>
      </c>
      <c r="F1401" s="2" t="s">
        <v>165</v>
      </c>
    </row>
    <row r="1402" spans="1:6" ht="22.5" hidden="1" customHeight="1" x14ac:dyDescent="0.25">
      <c r="A1402" s="3">
        <v>43952</v>
      </c>
      <c r="B1402" s="2" t="s">
        <v>305</v>
      </c>
      <c r="C1402" s="2">
        <v>0.25</v>
      </c>
      <c r="D1402" s="2">
        <v>1.9E-2</v>
      </c>
      <c r="E1402" s="2">
        <v>4.7500000000000003E-5</v>
      </c>
      <c r="F1402" s="2" t="s">
        <v>170</v>
      </c>
    </row>
    <row r="1403" spans="1:6" ht="22.5" hidden="1" customHeight="1" x14ac:dyDescent="0.25">
      <c r="A1403" s="3">
        <v>43952</v>
      </c>
      <c r="B1403" s="2" t="s">
        <v>306</v>
      </c>
      <c r="C1403" s="2">
        <v>0.36</v>
      </c>
      <c r="D1403" s="2">
        <v>4.8399999999999999E-2</v>
      </c>
      <c r="E1403" s="2">
        <v>1.7424000000000001E-4</v>
      </c>
      <c r="F1403" s="2" t="s">
        <v>165</v>
      </c>
    </row>
    <row r="1404" spans="1:6" ht="22.5" hidden="1" customHeight="1" x14ac:dyDescent="0.25">
      <c r="A1404" s="3">
        <v>43952</v>
      </c>
      <c r="B1404" s="2" t="s">
        <v>307</v>
      </c>
      <c r="C1404" s="2">
        <v>0.21</v>
      </c>
      <c r="D1404" s="2">
        <v>0.1094</v>
      </c>
      <c r="E1404" s="2">
        <v>2.2974000000000001E-4</v>
      </c>
      <c r="F1404" s="2" t="s">
        <v>165</v>
      </c>
    </row>
    <row r="1405" spans="1:6" ht="22.5" hidden="1" customHeight="1" x14ac:dyDescent="0.25">
      <c r="A1405" s="3">
        <v>43952</v>
      </c>
      <c r="B1405" s="2" t="s">
        <v>308</v>
      </c>
      <c r="C1405" s="2">
        <v>0.16</v>
      </c>
      <c r="D1405" s="2">
        <v>0.38600000000000001</v>
      </c>
      <c r="E1405" s="2">
        <v>6.1760000000000005E-4</v>
      </c>
      <c r="F1405" s="2" t="s">
        <v>165</v>
      </c>
    </row>
    <row r="1406" spans="1:6" ht="22.5" hidden="1" customHeight="1" x14ac:dyDescent="0.25">
      <c r="A1406" s="3">
        <v>43952</v>
      </c>
      <c r="B1406" s="2" t="s">
        <v>309</v>
      </c>
      <c r="C1406" s="2">
        <v>-0.05</v>
      </c>
      <c r="D1406" s="2">
        <v>0.13450000000000001</v>
      </c>
      <c r="E1406" s="2">
        <v>-6.7249999999999995E-5</v>
      </c>
      <c r="F1406" s="2" t="s">
        <v>165</v>
      </c>
    </row>
    <row r="1407" spans="1:6" ht="22.5" hidden="1" customHeight="1" x14ac:dyDescent="0.25">
      <c r="A1407" s="3">
        <v>44593</v>
      </c>
      <c r="B1407" s="2" t="s">
        <v>167</v>
      </c>
      <c r="C1407" s="2">
        <v>0.33</v>
      </c>
      <c r="D1407" s="2">
        <v>1.6838</v>
      </c>
      <c r="E1407" s="2">
        <v>5.5565399999999996E-3</v>
      </c>
      <c r="F1407" s="2" t="s">
        <v>168</v>
      </c>
    </row>
    <row r="1408" spans="1:6" ht="22.5" hidden="1" customHeight="1" x14ac:dyDescent="0.25">
      <c r="A1408" s="3">
        <v>43952</v>
      </c>
      <c r="B1408" s="2" t="s">
        <v>311</v>
      </c>
      <c r="C1408" s="2">
        <v>-0.48</v>
      </c>
      <c r="D1408" s="2">
        <v>0.63439999999999996</v>
      </c>
      <c r="E1408" s="2">
        <v>-3.0451200000000001E-3</v>
      </c>
      <c r="F1408" s="2" t="s">
        <v>174</v>
      </c>
    </row>
    <row r="1409" spans="1:6" ht="22.5" hidden="1" customHeight="1" x14ac:dyDescent="0.25">
      <c r="A1409" s="3">
        <v>43952</v>
      </c>
      <c r="B1409" s="2" t="s">
        <v>312</v>
      </c>
      <c r="C1409" s="2">
        <v>0.19</v>
      </c>
      <c r="D1409" s="2">
        <v>0.2195</v>
      </c>
      <c r="E1409" s="2">
        <v>4.1705000000000003E-4</v>
      </c>
      <c r="F1409" s="2" t="s">
        <v>174</v>
      </c>
    </row>
    <row r="1410" spans="1:6" ht="22.5" hidden="1" customHeight="1" x14ac:dyDescent="0.25">
      <c r="A1410" s="3">
        <v>43952</v>
      </c>
      <c r="B1410" s="2" t="s">
        <v>313</v>
      </c>
      <c r="C1410" s="2">
        <v>0.31</v>
      </c>
      <c r="D1410" s="2">
        <v>0.13400000000000001</v>
      </c>
      <c r="E1410" s="2">
        <v>4.1540000000000001E-4</v>
      </c>
      <c r="F1410" s="2" t="s">
        <v>174</v>
      </c>
    </row>
    <row r="1411" spans="1:6" ht="22.5" hidden="1" customHeight="1" x14ac:dyDescent="0.25">
      <c r="A1411" s="3">
        <v>43952</v>
      </c>
      <c r="B1411" s="2" t="s">
        <v>314</v>
      </c>
      <c r="C1411" s="2">
        <v>-0.38</v>
      </c>
      <c r="D1411" s="2">
        <v>0.38690000000000002</v>
      </c>
      <c r="E1411" s="2">
        <v>-1.4702199999999999E-3</v>
      </c>
      <c r="F1411" s="2" t="s">
        <v>174</v>
      </c>
    </row>
    <row r="1412" spans="1:6" ht="22.5" hidden="1" customHeight="1" x14ac:dyDescent="0.25">
      <c r="A1412" s="3">
        <v>43952</v>
      </c>
      <c r="B1412" s="2" t="s">
        <v>315</v>
      </c>
      <c r="C1412" s="2">
        <v>0.67</v>
      </c>
      <c r="D1412" s="2">
        <v>0.25950000000000001</v>
      </c>
      <c r="E1412" s="2">
        <v>1.73865E-3</v>
      </c>
      <c r="F1412" s="2" t="s">
        <v>174</v>
      </c>
    </row>
    <row r="1413" spans="1:6" ht="22.5" hidden="1" customHeight="1" x14ac:dyDescent="0.25">
      <c r="A1413" s="3">
        <v>43952</v>
      </c>
      <c r="B1413" s="2" t="s">
        <v>316</v>
      </c>
      <c r="C1413" s="2">
        <v>1.71</v>
      </c>
      <c r="D1413" s="2">
        <v>4.0000000000000001E-3</v>
      </c>
      <c r="E1413" s="2">
        <v>6.8399999999999996E-5</v>
      </c>
      <c r="F1413" s="2" t="s">
        <v>174</v>
      </c>
    </row>
    <row r="1414" spans="1:6" ht="22.5" hidden="1" customHeight="1" x14ac:dyDescent="0.25">
      <c r="A1414" s="3">
        <v>43952</v>
      </c>
      <c r="B1414" s="2" t="s">
        <v>317</v>
      </c>
      <c r="C1414" s="2">
        <v>0.78</v>
      </c>
      <c r="D1414" s="2">
        <v>1.0126999999999999</v>
      </c>
      <c r="E1414" s="2">
        <v>7.8990599999999994E-3</v>
      </c>
      <c r="F1414" s="2" t="s">
        <v>174</v>
      </c>
    </row>
    <row r="1415" spans="1:6" ht="22.5" hidden="1" customHeight="1" x14ac:dyDescent="0.25">
      <c r="A1415" s="3">
        <v>43952</v>
      </c>
      <c r="B1415" s="2" t="s">
        <v>318</v>
      </c>
      <c r="C1415" s="2">
        <v>0.2</v>
      </c>
      <c r="D1415" s="2">
        <v>0.45269999999999999</v>
      </c>
      <c r="E1415" s="2">
        <v>9.054E-4</v>
      </c>
      <c r="F1415" s="2" t="s">
        <v>174</v>
      </c>
    </row>
    <row r="1416" spans="1:6" ht="22.5" hidden="1" customHeight="1" x14ac:dyDescent="0.25">
      <c r="A1416" s="3">
        <v>43952</v>
      </c>
      <c r="B1416" s="2" t="s">
        <v>319</v>
      </c>
      <c r="C1416" s="2">
        <v>0.89</v>
      </c>
      <c r="D1416" s="2">
        <v>0.1105</v>
      </c>
      <c r="E1416" s="2">
        <v>9.8345000000000008E-4</v>
      </c>
      <c r="F1416" s="2" t="s">
        <v>174</v>
      </c>
    </row>
    <row r="1417" spans="1:6" ht="22.5" hidden="1" customHeight="1" x14ac:dyDescent="0.25">
      <c r="A1417" s="3">
        <v>43952</v>
      </c>
      <c r="B1417" s="2" t="s">
        <v>320</v>
      </c>
      <c r="C1417" s="2">
        <v>0.67</v>
      </c>
      <c r="D1417" s="2">
        <v>0.29199999999999998</v>
      </c>
      <c r="E1417" s="2">
        <v>1.9564000000000001E-3</v>
      </c>
      <c r="F1417" s="2" t="s">
        <v>174</v>
      </c>
    </row>
    <row r="1418" spans="1:6" ht="22.5" hidden="1" customHeight="1" x14ac:dyDescent="0.25">
      <c r="A1418" s="3">
        <v>43952</v>
      </c>
      <c r="B1418" s="2" t="s">
        <v>321</v>
      </c>
      <c r="C1418" s="2">
        <v>-1.25</v>
      </c>
      <c r="D1418" s="2">
        <v>0.21460000000000001</v>
      </c>
      <c r="E1418" s="2">
        <v>-2.6825E-3</v>
      </c>
      <c r="F1418" s="2" t="s">
        <v>174</v>
      </c>
    </row>
    <row r="1419" spans="1:6" ht="22.5" hidden="1" customHeight="1" x14ac:dyDescent="0.25">
      <c r="A1419" s="3">
        <v>43952</v>
      </c>
      <c r="B1419" s="2" t="s">
        <v>322</v>
      </c>
      <c r="C1419" s="2">
        <v>-4.3899999999999997</v>
      </c>
      <c r="D1419" s="2">
        <v>0.1779</v>
      </c>
      <c r="E1419" s="2">
        <v>-7.8098100000000004E-3</v>
      </c>
      <c r="F1419" s="2" t="s">
        <v>174</v>
      </c>
    </row>
    <row r="1420" spans="1:6" ht="22.5" hidden="1" customHeight="1" x14ac:dyDescent="0.25">
      <c r="A1420" s="3">
        <v>43952</v>
      </c>
      <c r="B1420" s="2" t="s">
        <v>323</v>
      </c>
      <c r="C1420" s="2">
        <v>0.14000000000000001</v>
      </c>
      <c r="D1420" s="2">
        <v>1.15E-2</v>
      </c>
      <c r="E1420" s="2">
        <v>1.6099999999999998E-5</v>
      </c>
      <c r="F1420" s="2" t="s">
        <v>165</v>
      </c>
    </row>
    <row r="1421" spans="1:6" ht="22.5" hidden="1" customHeight="1" x14ac:dyDescent="0.25">
      <c r="A1421" s="3">
        <v>43952</v>
      </c>
      <c r="B1421" s="2" t="s">
        <v>324</v>
      </c>
      <c r="C1421" s="2">
        <v>0.53</v>
      </c>
      <c r="D1421" s="2">
        <v>0.39579999999999999</v>
      </c>
      <c r="E1421" s="2">
        <v>2.0977399999999998E-3</v>
      </c>
      <c r="F1421" s="2" t="s">
        <v>165</v>
      </c>
    </row>
    <row r="1422" spans="1:6" ht="22.5" hidden="1" customHeight="1" x14ac:dyDescent="0.25">
      <c r="A1422" s="3">
        <v>43952</v>
      </c>
      <c r="B1422" s="2" t="s">
        <v>325</v>
      </c>
      <c r="C1422" s="2">
        <v>0.31</v>
      </c>
      <c r="D1422" s="2">
        <v>3.2029999999999998</v>
      </c>
      <c r="E1422" s="2">
        <v>9.9293000000000003E-3</v>
      </c>
      <c r="F1422" s="2" t="s">
        <v>165</v>
      </c>
    </row>
    <row r="1423" spans="1:6" ht="22.5" hidden="1" customHeight="1" x14ac:dyDescent="0.25">
      <c r="A1423" s="3">
        <v>43952</v>
      </c>
      <c r="B1423" s="2" t="s">
        <v>326</v>
      </c>
      <c r="C1423" s="2">
        <v>-0.2</v>
      </c>
      <c r="D1423" s="2">
        <v>1.0722</v>
      </c>
      <c r="E1423" s="2">
        <v>-2.1443999999999999E-3</v>
      </c>
      <c r="F1423" s="2" t="s">
        <v>165</v>
      </c>
    </row>
    <row r="1424" spans="1:6" ht="22.5" hidden="1" customHeight="1" x14ac:dyDescent="0.25">
      <c r="A1424" s="3">
        <v>43952</v>
      </c>
      <c r="B1424" s="2" t="s">
        <v>327</v>
      </c>
      <c r="C1424" s="2">
        <v>0.28000000000000003</v>
      </c>
      <c r="D1424" s="2">
        <v>6.08E-2</v>
      </c>
      <c r="E1424" s="2">
        <v>1.7024E-4</v>
      </c>
      <c r="F1424" s="2" t="s">
        <v>165</v>
      </c>
    </row>
    <row r="1425" spans="1:6" ht="22.5" hidden="1" customHeight="1" x14ac:dyDescent="0.25">
      <c r="A1425" s="3">
        <v>43952</v>
      </c>
      <c r="B1425" s="2" t="s">
        <v>328</v>
      </c>
      <c r="C1425" s="2">
        <v>0</v>
      </c>
      <c r="D1425" s="2">
        <v>1.8599999999999998E-2</v>
      </c>
      <c r="E1425" s="2">
        <v>0</v>
      </c>
      <c r="F1425" s="2" t="s">
        <v>165</v>
      </c>
    </row>
    <row r="1426" spans="1:6" ht="22.5" hidden="1" customHeight="1" x14ac:dyDescent="0.25">
      <c r="A1426" s="3">
        <v>43952</v>
      </c>
      <c r="B1426" s="2" t="s">
        <v>329</v>
      </c>
      <c r="C1426" s="2">
        <v>0.26</v>
      </c>
      <c r="D1426" s="2">
        <v>9.8599999999999993E-2</v>
      </c>
      <c r="E1426" s="2">
        <v>2.5636000000000002E-4</v>
      </c>
      <c r="F1426" s="2" t="s">
        <v>165</v>
      </c>
    </row>
    <row r="1427" spans="1:6" ht="22.5" hidden="1" customHeight="1" x14ac:dyDescent="0.25">
      <c r="A1427" s="3">
        <v>43952</v>
      </c>
      <c r="B1427" s="2" t="s">
        <v>330</v>
      </c>
      <c r="C1427" s="2">
        <v>0.1</v>
      </c>
      <c r="D1427" s="2">
        <v>1.8006</v>
      </c>
      <c r="E1427" s="2">
        <v>1.8006000000000001E-3</v>
      </c>
      <c r="F1427" s="2" t="s">
        <v>165</v>
      </c>
    </row>
    <row r="1428" spans="1:6" ht="22.5" hidden="1" customHeight="1" x14ac:dyDescent="0.25">
      <c r="A1428" s="3">
        <v>43952</v>
      </c>
      <c r="B1428" s="2" t="s">
        <v>331</v>
      </c>
      <c r="C1428" s="2">
        <v>0.14000000000000001</v>
      </c>
      <c r="D1428" s="2">
        <v>5.8900000000000001E-2</v>
      </c>
      <c r="E1428" s="2">
        <v>8.2460000000000007E-5</v>
      </c>
      <c r="F1428" s="2" t="s">
        <v>165</v>
      </c>
    </row>
    <row r="1429" spans="1:6" ht="22.5" hidden="1" customHeight="1" x14ac:dyDescent="0.25">
      <c r="A1429" s="3">
        <v>43952</v>
      </c>
      <c r="B1429" s="2" t="s">
        <v>332</v>
      </c>
      <c r="C1429" s="2">
        <v>-0.38</v>
      </c>
      <c r="D1429" s="2">
        <v>0.1101</v>
      </c>
      <c r="E1429" s="2">
        <v>-4.1837999999999999E-4</v>
      </c>
      <c r="F1429" s="2" t="s">
        <v>165</v>
      </c>
    </row>
    <row r="1430" spans="1:6" ht="22.5" hidden="1" customHeight="1" x14ac:dyDescent="0.25">
      <c r="A1430" s="3">
        <v>43952</v>
      </c>
      <c r="B1430" s="2" t="s">
        <v>333</v>
      </c>
      <c r="C1430" s="2">
        <v>-0.44</v>
      </c>
      <c r="D1430" s="2">
        <v>8.6800000000000002E-2</v>
      </c>
      <c r="E1430" s="2">
        <v>-3.8192E-4</v>
      </c>
      <c r="F1430" s="2" t="s">
        <v>165</v>
      </c>
    </row>
    <row r="1431" spans="1:6" ht="22.5" hidden="1" customHeight="1" x14ac:dyDescent="0.25">
      <c r="A1431" s="3">
        <v>43952</v>
      </c>
      <c r="B1431" s="2" t="s">
        <v>334</v>
      </c>
      <c r="C1431" s="2">
        <v>1.51</v>
      </c>
      <c r="D1431" s="2">
        <v>1.9E-2</v>
      </c>
      <c r="E1431" s="2">
        <v>2.8689999999999998E-4</v>
      </c>
      <c r="F1431" s="2" t="s">
        <v>170</v>
      </c>
    </row>
    <row r="1432" spans="1:6" ht="22.5" hidden="1" customHeight="1" x14ac:dyDescent="0.25">
      <c r="A1432" s="3">
        <v>43952</v>
      </c>
      <c r="B1432" s="2" t="s">
        <v>335</v>
      </c>
      <c r="C1432" s="2">
        <v>-0.11</v>
      </c>
      <c r="D1432" s="2">
        <v>0.3024</v>
      </c>
      <c r="E1432" s="2">
        <v>-3.3263999999999999E-4</v>
      </c>
      <c r="F1432" s="2" t="s">
        <v>165</v>
      </c>
    </row>
    <row r="1433" spans="1:6" ht="22.5" hidden="1" customHeight="1" x14ac:dyDescent="0.25">
      <c r="A1433" s="3">
        <v>43952</v>
      </c>
      <c r="B1433" s="2" t="s">
        <v>336</v>
      </c>
      <c r="C1433" s="2">
        <v>1.2</v>
      </c>
      <c r="D1433" s="2">
        <v>9.1600000000000001E-2</v>
      </c>
      <c r="E1433" s="2">
        <v>1.0992E-3</v>
      </c>
      <c r="F1433" s="2" t="s">
        <v>170</v>
      </c>
    </row>
    <row r="1434" spans="1:6" ht="22.5" hidden="1" customHeight="1" x14ac:dyDescent="0.25">
      <c r="A1434" s="3">
        <v>43952</v>
      </c>
      <c r="B1434" s="2" t="s">
        <v>337</v>
      </c>
      <c r="C1434" s="2">
        <v>-0.22</v>
      </c>
      <c r="D1434" s="2">
        <v>0.34260000000000002</v>
      </c>
      <c r="E1434" s="2">
        <v>-7.5372000000000004E-4</v>
      </c>
      <c r="F1434" s="2" t="s">
        <v>174</v>
      </c>
    </row>
    <row r="1435" spans="1:6" ht="22.5" hidden="1" customHeight="1" x14ac:dyDescent="0.25">
      <c r="A1435" s="3">
        <v>43952</v>
      </c>
      <c r="B1435" s="2" t="s">
        <v>338</v>
      </c>
      <c r="C1435" s="2">
        <v>-1.59</v>
      </c>
      <c r="D1435" s="2">
        <v>0.221</v>
      </c>
      <c r="E1435" s="2">
        <v>-3.5138999999999999E-3</v>
      </c>
      <c r="F1435" s="2" t="s">
        <v>174</v>
      </c>
    </row>
    <row r="1436" spans="1:6" ht="22.5" hidden="1" customHeight="1" x14ac:dyDescent="0.25">
      <c r="A1436" s="3">
        <v>43952</v>
      </c>
      <c r="B1436" s="2" t="s">
        <v>339</v>
      </c>
      <c r="C1436" s="2">
        <v>0</v>
      </c>
      <c r="D1436" s="2">
        <v>4.5100000000000001E-2</v>
      </c>
      <c r="E1436" s="2">
        <v>0</v>
      </c>
      <c r="F1436" s="2" t="s">
        <v>165</v>
      </c>
    </row>
    <row r="1437" spans="1:6" ht="22.5" hidden="1" customHeight="1" x14ac:dyDescent="0.25">
      <c r="A1437" s="3">
        <v>43922</v>
      </c>
      <c r="B1437" s="2" t="s">
        <v>289</v>
      </c>
      <c r="C1437" s="2">
        <v>1.01</v>
      </c>
      <c r="D1437" s="2">
        <v>0.54910000000000003</v>
      </c>
      <c r="E1437" s="2">
        <v>5.5459100000000002E-3</v>
      </c>
      <c r="F1437" s="2" t="s">
        <v>168</v>
      </c>
    </row>
    <row r="1438" spans="1:6" ht="22.5" hidden="1" customHeight="1" x14ac:dyDescent="0.25">
      <c r="A1438" s="3">
        <v>43952</v>
      </c>
      <c r="B1438" s="2" t="s">
        <v>341</v>
      </c>
      <c r="C1438" s="2">
        <v>-3.59</v>
      </c>
      <c r="D1438" s="2">
        <v>1.1900000000000001E-2</v>
      </c>
      <c r="E1438" s="2">
        <v>-4.2721000000000002E-4</v>
      </c>
      <c r="F1438" s="2" t="s">
        <v>174</v>
      </c>
    </row>
    <row r="1439" spans="1:6" ht="22.5" hidden="1" customHeight="1" x14ac:dyDescent="0.25">
      <c r="A1439" s="3">
        <v>43952</v>
      </c>
      <c r="B1439" s="2" t="s">
        <v>342</v>
      </c>
      <c r="C1439" s="2">
        <v>-2.35</v>
      </c>
      <c r="D1439" s="2">
        <v>0.58809999999999996</v>
      </c>
      <c r="E1439" s="2">
        <v>-1.382035E-2</v>
      </c>
      <c r="F1439" s="2" t="s">
        <v>165</v>
      </c>
    </row>
    <row r="1440" spans="1:6" ht="22.5" hidden="1" customHeight="1" x14ac:dyDescent="0.25">
      <c r="A1440" s="3">
        <v>43952</v>
      </c>
      <c r="B1440" s="2" t="s">
        <v>343</v>
      </c>
      <c r="C1440" s="2">
        <v>-0.66</v>
      </c>
      <c r="D1440" s="2">
        <v>0.4788</v>
      </c>
      <c r="E1440" s="2">
        <v>-3.16008E-3</v>
      </c>
      <c r="F1440" s="2" t="s">
        <v>165</v>
      </c>
    </row>
    <row r="1441" spans="1:6" ht="22.5" hidden="1" customHeight="1" x14ac:dyDescent="0.25">
      <c r="A1441" s="3">
        <v>43952</v>
      </c>
      <c r="B1441" s="2" t="s">
        <v>344</v>
      </c>
      <c r="C1441" s="2">
        <v>-0.56000000000000005</v>
      </c>
      <c r="D1441" s="2">
        <v>0.14729999999999999</v>
      </c>
      <c r="E1441" s="2">
        <v>-8.2487999999999995E-4</v>
      </c>
      <c r="F1441" s="2" t="s">
        <v>165</v>
      </c>
    </row>
    <row r="1442" spans="1:6" ht="22.5" hidden="1" customHeight="1" x14ac:dyDescent="0.25">
      <c r="A1442" s="3">
        <v>43952</v>
      </c>
      <c r="B1442" s="2" t="s">
        <v>345</v>
      </c>
      <c r="C1442" s="2">
        <v>0</v>
      </c>
      <c r="D1442" s="2">
        <v>0.54710000000000003</v>
      </c>
      <c r="E1442" s="2">
        <v>0</v>
      </c>
      <c r="F1442" s="2" t="s">
        <v>165</v>
      </c>
    </row>
    <row r="1443" spans="1:6" ht="22.5" hidden="1" customHeight="1" x14ac:dyDescent="0.25">
      <c r="A1443" s="3">
        <v>43952</v>
      </c>
      <c r="B1443" s="2" t="s">
        <v>346</v>
      </c>
      <c r="C1443" s="2">
        <v>0</v>
      </c>
      <c r="D1443" s="2">
        <v>0.55089999999999995</v>
      </c>
      <c r="E1443" s="2">
        <v>0</v>
      </c>
      <c r="F1443" s="2" t="s">
        <v>174</v>
      </c>
    </row>
    <row r="1444" spans="1:6" ht="22.5" hidden="1" customHeight="1" x14ac:dyDescent="0.25">
      <c r="A1444" s="3">
        <v>43952</v>
      </c>
      <c r="B1444" s="2" t="s">
        <v>347</v>
      </c>
      <c r="C1444" s="2">
        <v>0</v>
      </c>
      <c r="D1444" s="2">
        <v>0.20680000000000001</v>
      </c>
      <c r="E1444" s="2">
        <v>0</v>
      </c>
      <c r="F1444" s="2" t="s">
        <v>165</v>
      </c>
    </row>
    <row r="1445" spans="1:6" ht="22.5" hidden="1" customHeight="1" x14ac:dyDescent="0.25">
      <c r="A1445" s="3">
        <v>43952</v>
      </c>
      <c r="B1445" s="2" t="s">
        <v>348</v>
      </c>
      <c r="C1445" s="2">
        <v>0</v>
      </c>
      <c r="D1445" s="2">
        <v>0.34799999999999998</v>
      </c>
      <c r="E1445" s="2">
        <v>0</v>
      </c>
      <c r="F1445" s="2" t="s">
        <v>165</v>
      </c>
    </row>
    <row r="1446" spans="1:6" ht="22.5" hidden="1" customHeight="1" x14ac:dyDescent="0.25">
      <c r="A1446" s="3">
        <v>43952</v>
      </c>
      <c r="B1446" s="2" t="s">
        <v>349</v>
      </c>
      <c r="C1446" s="2">
        <v>0</v>
      </c>
      <c r="D1446" s="2">
        <v>1.6198999999999999</v>
      </c>
      <c r="E1446" s="2">
        <v>0</v>
      </c>
      <c r="F1446" s="2" t="s">
        <v>165</v>
      </c>
    </row>
    <row r="1447" spans="1:6" ht="22.5" hidden="1" customHeight="1" x14ac:dyDescent="0.25">
      <c r="A1447" s="3">
        <v>43952</v>
      </c>
      <c r="B1447" s="2" t="s">
        <v>350</v>
      </c>
      <c r="C1447" s="2">
        <v>0</v>
      </c>
      <c r="D1447" s="2">
        <v>0.40229999999999999</v>
      </c>
      <c r="E1447" s="2">
        <v>0</v>
      </c>
      <c r="F1447" s="2" t="s">
        <v>165</v>
      </c>
    </row>
    <row r="1448" spans="1:6" ht="22.5" hidden="1" customHeight="1" x14ac:dyDescent="0.25">
      <c r="A1448" s="3">
        <v>43952</v>
      </c>
      <c r="B1448" s="2" t="s">
        <v>351</v>
      </c>
      <c r="C1448" s="2">
        <v>0</v>
      </c>
      <c r="D1448" s="2">
        <v>1.9231</v>
      </c>
      <c r="E1448" s="2">
        <v>0</v>
      </c>
      <c r="F1448" s="2" t="s">
        <v>165</v>
      </c>
    </row>
    <row r="1449" spans="1:6" ht="22.5" hidden="1" customHeight="1" x14ac:dyDescent="0.25">
      <c r="A1449" s="3">
        <v>43952</v>
      </c>
      <c r="B1449" s="2" t="s">
        <v>352</v>
      </c>
      <c r="C1449" s="2">
        <v>0</v>
      </c>
      <c r="D1449" s="2">
        <v>0.31090000000000001</v>
      </c>
      <c r="E1449" s="2">
        <v>0</v>
      </c>
      <c r="F1449" s="2" t="s">
        <v>165</v>
      </c>
    </row>
    <row r="1450" spans="1:6" ht="22.5" hidden="1" customHeight="1" x14ac:dyDescent="0.25">
      <c r="A1450" s="3">
        <v>43952</v>
      </c>
      <c r="B1450" s="2" t="s">
        <v>353</v>
      </c>
      <c r="C1450" s="2">
        <v>0</v>
      </c>
      <c r="D1450" s="2">
        <v>4.4499999999999998E-2</v>
      </c>
      <c r="E1450" s="2">
        <v>0</v>
      </c>
      <c r="F1450" s="2" t="s">
        <v>165</v>
      </c>
    </row>
    <row r="1451" spans="1:6" ht="22.5" hidden="1" customHeight="1" x14ac:dyDescent="0.25">
      <c r="A1451" s="3">
        <v>43952</v>
      </c>
      <c r="B1451" s="2" t="s">
        <v>354</v>
      </c>
      <c r="C1451" s="2">
        <v>0</v>
      </c>
      <c r="D1451" s="2">
        <v>3.2399999999999998E-2</v>
      </c>
      <c r="E1451" s="2">
        <v>0</v>
      </c>
      <c r="F1451" s="2" t="s">
        <v>165</v>
      </c>
    </row>
    <row r="1452" spans="1:6" ht="22.5" hidden="1" customHeight="1" x14ac:dyDescent="0.25">
      <c r="A1452" s="3">
        <v>43952</v>
      </c>
      <c r="B1452" s="2" t="s">
        <v>355</v>
      </c>
      <c r="C1452" s="2">
        <v>0</v>
      </c>
      <c r="D1452" s="2">
        <v>3.0599999999999999E-2</v>
      </c>
      <c r="E1452" s="2">
        <v>0</v>
      </c>
      <c r="F1452" s="2" t="s">
        <v>174</v>
      </c>
    </row>
    <row r="1453" spans="1:6" ht="22.5" hidden="1" customHeight="1" x14ac:dyDescent="0.25">
      <c r="A1453" s="3">
        <v>43952</v>
      </c>
      <c r="B1453" s="2" t="s">
        <v>356</v>
      </c>
      <c r="C1453" s="2">
        <v>0</v>
      </c>
      <c r="D1453" s="2">
        <v>2.87E-2</v>
      </c>
      <c r="E1453" s="2">
        <v>0</v>
      </c>
      <c r="F1453" s="2" t="s">
        <v>174</v>
      </c>
    </row>
    <row r="1454" spans="1:6" ht="22.5" hidden="1" customHeight="1" x14ac:dyDescent="0.25">
      <c r="A1454" s="3">
        <v>43952</v>
      </c>
      <c r="B1454" s="2" t="s">
        <v>357</v>
      </c>
      <c r="C1454" s="2">
        <v>-0.06</v>
      </c>
      <c r="D1454" s="2">
        <v>0.3891</v>
      </c>
      <c r="E1454" s="2">
        <v>-2.3346E-4</v>
      </c>
      <c r="F1454" s="2" t="s">
        <v>174</v>
      </c>
    </row>
    <row r="1455" spans="1:6" ht="22.5" hidden="1" customHeight="1" x14ac:dyDescent="0.25">
      <c r="A1455" s="3">
        <v>43952</v>
      </c>
      <c r="B1455" s="2" t="s">
        <v>358</v>
      </c>
      <c r="C1455" s="2">
        <v>0.91</v>
      </c>
      <c r="D1455" s="2">
        <v>9.9299999999999999E-2</v>
      </c>
      <c r="E1455" s="2">
        <v>9.0362999999999999E-4</v>
      </c>
      <c r="F1455" s="2" t="s">
        <v>174</v>
      </c>
    </row>
    <row r="1456" spans="1:6" ht="22.5" hidden="1" customHeight="1" x14ac:dyDescent="0.25">
      <c r="A1456" s="3">
        <v>43952</v>
      </c>
      <c r="B1456" s="2" t="s">
        <v>359</v>
      </c>
      <c r="C1456" s="2">
        <v>-0.55000000000000004</v>
      </c>
      <c r="D1456" s="2">
        <v>5.16E-2</v>
      </c>
      <c r="E1456" s="2">
        <v>-2.8380000000000001E-4</v>
      </c>
      <c r="F1456" s="2" t="s">
        <v>174</v>
      </c>
    </row>
    <row r="1457" spans="1:6" ht="22.5" hidden="1" customHeight="1" x14ac:dyDescent="0.25">
      <c r="A1457" s="3">
        <v>43952</v>
      </c>
      <c r="B1457" s="2" t="s">
        <v>360</v>
      </c>
      <c r="C1457" s="2">
        <v>0.98</v>
      </c>
      <c r="D1457" s="2">
        <v>9.0899999999999995E-2</v>
      </c>
      <c r="E1457" s="2">
        <v>8.9081999999999996E-4</v>
      </c>
      <c r="F1457" s="2" t="s">
        <v>174</v>
      </c>
    </row>
    <row r="1458" spans="1:6" ht="22.5" hidden="1" customHeight="1" x14ac:dyDescent="0.25">
      <c r="A1458" s="3">
        <v>43952</v>
      </c>
      <c r="B1458" s="2" t="s">
        <v>361</v>
      </c>
      <c r="C1458" s="2">
        <v>0</v>
      </c>
      <c r="D1458" s="2">
        <v>8.2100000000000006E-2</v>
      </c>
      <c r="E1458" s="2">
        <v>0</v>
      </c>
      <c r="F1458" s="2" t="s">
        <v>165</v>
      </c>
    </row>
    <row r="1459" spans="1:6" ht="22.5" hidden="1" customHeight="1" x14ac:dyDescent="0.25">
      <c r="A1459" s="3">
        <v>43952</v>
      </c>
      <c r="B1459" s="2" t="s">
        <v>362</v>
      </c>
      <c r="C1459" s="2">
        <v>0</v>
      </c>
      <c r="D1459" s="2">
        <v>0.3271</v>
      </c>
      <c r="E1459" s="2">
        <v>0</v>
      </c>
      <c r="F1459" s="2" t="s">
        <v>165</v>
      </c>
    </row>
    <row r="1460" spans="1:6" ht="22.5" hidden="1" customHeight="1" x14ac:dyDescent="0.25">
      <c r="A1460" s="3">
        <v>43952</v>
      </c>
      <c r="B1460" s="2" t="s">
        <v>363</v>
      </c>
      <c r="C1460" s="2">
        <v>-1.04</v>
      </c>
      <c r="D1460" s="2">
        <v>5.0500000000000003E-2</v>
      </c>
      <c r="E1460" s="2">
        <v>-5.2519999999999997E-4</v>
      </c>
      <c r="F1460" s="2" t="s">
        <v>165</v>
      </c>
    </row>
    <row r="1461" spans="1:6" ht="22.5" hidden="1" customHeight="1" x14ac:dyDescent="0.25">
      <c r="A1461" s="3">
        <v>43952</v>
      </c>
      <c r="B1461" s="2" t="s">
        <v>364</v>
      </c>
      <c r="C1461" s="2">
        <v>0.01</v>
      </c>
      <c r="D1461" s="2">
        <v>0.4168</v>
      </c>
      <c r="E1461" s="2">
        <v>4.1680000000000001E-5</v>
      </c>
      <c r="F1461" s="2" t="s">
        <v>165</v>
      </c>
    </row>
    <row r="1462" spans="1:6" ht="22.5" hidden="1" customHeight="1" x14ac:dyDescent="0.25">
      <c r="A1462" s="3">
        <v>43891</v>
      </c>
      <c r="B1462" s="2" t="s">
        <v>263</v>
      </c>
      <c r="C1462" s="2">
        <v>1.26</v>
      </c>
      <c r="D1462" s="2">
        <v>0.43490000000000001</v>
      </c>
      <c r="E1462" s="2">
        <v>5.4797400000000003E-3</v>
      </c>
      <c r="F1462" s="2" t="s">
        <v>168</v>
      </c>
    </row>
    <row r="1463" spans="1:6" ht="22.5" hidden="1" customHeight="1" x14ac:dyDescent="0.25">
      <c r="A1463" s="3">
        <v>44166</v>
      </c>
      <c r="B1463" s="2" t="s">
        <v>289</v>
      </c>
      <c r="C1463" s="2">
        <v>0.98</v>
      </c>
      <c r="D1463" s="2">
        <v>0.54390000000000005</v>
      </c>
      <c r="E1463" s="2">
        <v>5.3302200000000001E-3</v>
      </c>
      <c r="F1463" s="2" t="s">
        <v>168</v>
      </c>
    </row>
    <row r="1464" spans="1:6" ht="22.5" hidden="1" customHeight="1" x14ac:dyDescent="0.25">
      <c r="A1464" s="3">
        <v>44531</v>
      </c>
      <c r="B1464" s="2" t="s">
        <v>286</v>
      </c>
      <c r="C1464" s="2">
        <v>2.2200000000000002</v>
      </c>
      <c r="D1464" s="2">
        <v>0.23849999999999999</v>
      </c>
      <c r="E1464" s="2">
        <v>5.2947000000000003E-3</v>
      </c>
      <c r="F1464" s="2" t="s">
        <v>168</v>
      </c>
    </row>
    <row r="1465" spans="1:6" ht="22.5" hidden="1" customHeight="1" x14ac:dyDescent="0.25">
      <c r="A1465" s="3">
        <v>43952</v>
      </c>
      <c r="B1465" s="2" t="s">
        <v>368</v>
      </c>
      <c r="C1465" s="2">
        <v>0</v>
      </c>
      <c r="D1465" s="2">
        <v>0.40620000000000001</v>
      </c>
      <c r="E1465" s="2">
        <v>0</v>
      </c>
      <c r="F1465" s="2" t="s">
        <v>165</v>
      </c>
    </row>
    <row r="1466" spans="1:6" ht="22.5" hidden="1" customHeight="1" x14ac:dyDescent="0.25">
      <c r="A1466" s="3">
        <v>43952</v>
      </c>
      <c r="B1466" s="2" t="s">
        <v>369</v>
      </c>
      <c r="C1466" s="2">
        <v>0</v>
      </c>
      <c r="D1466" s="2">
        <v>0.54369999999999996</v>
      </c>
      <c r="E1466" s="2">
        <v>0</v>
      </c>
      <c r="F1466" s="2" t="s">
        <v>165</v>
      </c>
    </row>
    <row r="1467" spans="1:6" ht="22.5" hidden="1" customHeight="1" x14ac:dyDescent="0.25">
      <c r="A1467" s="3">
        <v>43952</v>
      </c>
      <c r="B1467" s="2" t="s">
        <v>370</v>
      </c>
      <c r="C1467" s="2">
        <v>1.28</v>
      </c>
      <c r="D1467" s="2">
        <v>0.99129999999999996</v>
      </c>
      <c r="E1467" s="2">
        <v>1.2688639999999999E-2</v>
      </c>
      <c r="F1467" s="2" t="s">
        <v>170</v>
      </c>
    </row>
    <row r="1468" spans="1:6" ht="22.5" hidden="1" customHeight="1" x14ac:dyDescent="0.25">
      <c r="A1468" s="3">
        <v>43952</v>
      </c>
      <c r="B1468" s="2" t="s">
        <v>371</v>
      </c>
      <c r="C1468" s="2">
        <v>0</v>
      </c>
      <c r="D1468" s="2">
        <v>6.9699999999999998E-2</v>
      </c>
      <c r="E1468" s="2">
        <v>0</v>
      </c>
      <c r="F1468" s="2" t="s">
        <v>165</v>
      </c>
    </row>
    <row r="1469" spans="1:6" ht="22.5" hidden="1" customHeight="1" x14ac:dyDescent="0.25">
      <c r="A1469" s="3">
        <v>43952</v>
      </c>
      <c r="B1469" s="2" t="s">
        <v>372</v>
      </c>
      <c r="C1469" s="2">
        <v>0</v>
      </c>
      <c r="D1469" s="2">
        <v>1.7195</v>
      </c>
      <c r="E1469" s="2">
        <v>0</v>
      </c>
      <c r="F1469" s="2" t="s">
        <v>165</v>
      </c>
    </row>
    <row r="1470" spans="1:6" ht="22.5" hidden="1" customHeight="1" x14ac:dyDescent="0.25">
      <c r="A1470" s="3">
        <v>43983</v>
      </c>
      <c r="B1470" s="2" t="s">
        <v>6</v>
      </c>
      <c r="C1470" s="2">
        <v>1.72</v>
      </c>
      <c r="D1470" s="2">
        <v>0.49259999999999998</v>
      </c>
      <c r="E1470" s="2">
        <v>8.4727199999999996E-3</v>
      </c>
      <c r="F1470" s="2" t="s">
        <v>7</v>
      </c>
    </row>
    <row r="1471" spans="1:6" ht="22.5" hidden="1" customHeight="1" x14ac:dyDescent="0.25">
      <c r="A1471" s="3">
        <v>43983</v>
      </c>
      <c r="B1471" s="2" t="s">
        <v>8</v>
      </c>
      <c r="C1471" s="2">
        <v>4.7699999999999996</v>
      </c>
      <c r="D1471" s="2">
        <v>1.35E-2</v>
      </c>
      <c r="E1471" s="2">
        <v>6.4395000000000001E-4</v>
      </c>
      <c r="F1471" s="2" t="s">
        <v>7</v>
      </c>
    </row>
    <row r="1472" spans="1:6" ht="22.5" hidden="1" customHeight="1" x14ac:dyDescent="0.25">
      <c r="A1472" s="3">
        <v>43983</v>
      </c>
      <c r="B1472" s="2" t="s">
        <v>9</v>
      </c>
      <c r="C1472" s="2">
        <v>7.37</v>
      </c>
      <c r="D1472" s="2">
        <v>5.5E-2</v>
      </c>
      <c r="E1472" s="2">
        <v>4.0534999999999998E-3</v>
      </c>
      <c r="F1472" s="2" t="s">
        <v>7</v>
      </c>
    </row>
    <row r="1473" spans="1:6" ht="22.5" hidden="1" customHeight="1" x14ac:dyDescent="0.25">
      <c r="A1473" s="3">
        <v>43983</v>
      </c>
      <c r="B1473" s="2" t="s">
        <v>10</v>
      </c>
      <c r="C1473" s="2">
        <v>2.2400000000000002</v>
      </c>
      <c r="D1473" s="2">
        <v>1.7500000000000002E-2</v>
      </c>
      <c r="E1473" s="2">
        <v>3.9199999999999999E-4</v>
      </c>
      <c r="F1473" s="2" t="s">
        <v>7</v>
      </c>
    </row>
    <row r="1474" spans="1:6" ht="22.5" hidden="1" customHeight="1" x14ac:dyDescent="0.25">
      <c r="A1474" s="3">
        <v>43983</v>
      </c>
      <c r="B1474" s="2" t="s">
        <v>11</v>
      </c>
      <c r="C1474" s="2">
        <v>9.3800000000000008</v>
      </c>
      <c r="D1474" s="2">
        <v>0.15279999999999999</v>
      </c>
      <c r="E1474" s="2">
        <v>1.4332640000000001E-2</v>
      </c>
      <c r="F1474" s="2" t="s">
        <v>7</v>
      </c>
    </row>
    <row r="1475" spans="1:6" ht="22.5" hidden="1" customHeight="1" x14ac:dyDescent="0.25">
      <c r="A1475" s="3">
        <v>43983</v>
      </c>
      <c r="B1475" s="2" t="s">
        <v>12</v>
      </c>
      <c r="C1475" s="2">
        <v>0.27</v>
      </c>
      <c r="D1475" s="2">
        <v>1.0800000000000001E-2</v>
      </c>
      <c r="E1475" s="2">
        <v>2.9159999999999999E-5</v>
      </c>
      <c r="F1475" s="2" t="s">
        <v>7</v>
      </c>
    </row>
    <row r="1476" spans="1:6" ht="22.5" hidden="1" customHeight="1" x14ac:dyDescent="0.25">
      <c r="A1476" s="3">
        <v>43983</v>
      </c>
      <c r="B1476" s="2" t="s">
        <v>13</v>
      </c>
      <c r="C1476" s="2">
        <v>0.97</v>
      </c>
      <c r="D1476" s="2">
        <v>3.2000000000000002E-3</v>
      </c>
      <c r="E1476" s="2">
        <v>3.1040000000000001E-5</v>
      </c>
      <c r="F1476" s="2" t="s">
        <v>7</v>
      </c>
    </row>
    <row r="1477" spans="1:6" ht="22.5" hidden="1" customHeight="1" x14ac:dyDescent="0.25">
      <c r="A1477" s="3">
        <v>43983</v>
      </c>
      <c r="B1477" s="2" t="s">
        <v>14</v>
      </c>
      <c r="C1477" s="2">
        <v>0.81</v>
      </c>
      <c r="D1477" s="2">
        <v>0.14960000000000001</v>
      </c>
      <c r="E1477" s="2">
        <v>1.2117600000000001E-3</v>
      </c>
      <c r="F1477" s="2" t="s">
        <v>7</v>
      </c>
    </row>
    <row r="1478" spans="1:6" ht="22.5" hidden="1" customHeight="1" x14ac:dyDescent="0.25">
      <c r="A1478" s="3">
        <v>43983</v>
      </c>
      <c r="B1478" s="2" t="s">
        <v>15</v>
      </c>
      <c r="C1478" s="2">
        <v>2.61</v>
      </c>
      <c r="D1478" s="2">
        <v>7.1000000000000004E-3</v>
      </c>
      <c r="E1478" s="2">
        <v>1.8531E-4</v>
      </c>
      <c r="F1478" s="2" t="s">
        <v>7</v>
      </c>
    </row>
    <row r="1479" spans="1:6" ht="22.5" hidden="1" customHeight="1" x14ac:dyDescent="0.25">
      <c r="A1479" s="3">
        <v>43983</v>
      </c>
      <c r="B1479" s="2" t="s">
        <v>16</v>
      </c>
      <c r="C1479" s="2">
        <v>-0.99</v>
      </c>
      <c r="D1479" s="2">
        <v>9.5999999999999992E-3</v>
      </c>
      <c r="E1479" s="2">
        <v>-9.5039999999999998E-5</v>
      </c>
      <c r="F1479" s="2" t="s">
        <v>7</v>
      </c>
    </row>
    <row r="1480" spans="1:6" ht="22.5" hidden="1" customHeight="1" x14ac:dyDescent="0.25">
      <c r="A1480" s="3">
        <v>43983</v>
      </c>
      <c r="B1480" s="2" t="s">
        <v>17</v>
      </c>
      <c r="C1480" s="2">
        <v>2.5299999999999998</v>
      </c>
      <c r="D1480" s="2">
        <v>4.8300000000000003E-2</v>
      </c>
      <c r="E1480" s="2">
        <v>1.2219900000000001E-3</v>
      </c>
      <c r="F1480" s="2" t="s">
        <v>7</v>
      </c>
    </row>
    <row r="1481" spans="1:6" ht="22.5" hidden="1" customHeight="1" x14ac:dyDescent="0.25">
      <c r="A1481" s="3">
        <v>43983</v>
      </c>
      <c r="B1481" s="2" t="s">
        <v>18</v>
      </c>
      <c r="C1481" s="2">
        <v>1.44</v>
      </c>
      <c r="D1481" s="2">
        <v>9.8699999999999996E-2</v>
      </c>
      <c r="E1481" s="2">
        <v>1.42128E-3</v>
      </c>
      <c r="F1481" s="2" t="s">
        <v>7</v>
      </c>
    </row>
    <row r="1482" spans="1:6" ht="22.5" hidden="1" customHeight="1" x14ac:dyDescent="0.25">
      <c r="A1482" s="3">
        <v>43983</v>
      </c>
      <c r="B1482" s="2" t="s">
        <v>19</v>
      </c>
      <c r="C1482" s="2">
        <v>-1.53</v>
      </c>
      <c r="D1482" s="2">
        <v>0.1216</v>
      </c>
      <c r="E1482" s="2">
        <v>-1.8604800000000001E-3</v>
      </c>
      <c r="F1482" s="2" t="s">
        <v>7</v>
      </c>
    </row>
    <row r="1483" spans="1:6" ht="22.5" hidden="1" customHeight="1" x14ac:dyDescent="0.25">
      <c r="A1483" s="3">
        <v>43983</v>
      </c>
      <c r="B1483" s="2" t="s">
        <v>20</v>
      </c>
      <c r="C1483" s="2">
        <v>2.44</v>
      </c>
      <c r="D1483" s="2">
        <v>2.5600000000000001E-2</v>
      </c>
      <c r="E1483" s="2">
        <v>6.2463999999999998E-4</v>
      </c>
      <c r="F1483" s="2" t="s">
        <v>7</v>
      </c>
    </row>
    <row r="1484" spans="1:6" ht="22.5" hidden="1" customHeight="1" x14ac:dyDescent="0.25">
      <c r="A1484" s="3">
        <v>43983</v>
      </c>
      <c r="B1484" s="2" t="s">
        <v>21</v>
      </c>
      <c r="C1484" s="2">
        <v>-3.78</v>
      </c>
      <c r="D1484" s="2">
        <v>2.8400000000000002E-2</v>
      </c>
      <c r="E1484" s="2">
        <v>-1.0735199999999999E-3</v>
      </c>
      <c r="F1484" s="2" t="s">
        <v>7</v>
      </c>
    </row>
    <row r="1485" spans="1:6" ht="22.5" hidden="1" customHeight="1" x14ac:dyDescent="0.25">
      <c r="A1485" s="3">
        <v>43983</v>
      </c>
      <c r="B1485" s="2" t="s">
        <v>22</v>
      </c>
      <c r="C1485" s="2">
        <v>16.84</v>
      </c>
      <c r="D1485" s="2">
        <v>0.21560000000000001</v>
      </c>
      <c r="E1485" s="2">
        <v>3.6307039999999999E-2</v>
      </c>
      <c r="F1485" s="2" t="s">
        <v>7</v>
      </c>
    </row>
    <row r="1486" spans="1:6" ht="22.5" hidden="1" customHeight="1" x14ac:dyDescent="0.25">
      <c r="A1486" s="3">
        <v>43983</v>
      </c>
      <c r="B1486" s="2" t="s">
        <v>23</v>
      </c>
      <c r="C1486" s="2">
        <v>-0.17</v>
      </c>
      <c r="D1486" s="2">
        <v>1.43E-2</v>
      </c>
      <c r="E1486" s="2">
        <v>-2.4309999999999999E-5</v>
      </c>
      <c r="F1486" s="2" t="s">
        <v>7</v>
      </c>
    </row>
    <row r="1487" spans="1:6" ht="22.5" hidden="1" customHeight="1" x14ac:dyDescent="0.25">
      <c r="A1487" s="3">
        <v>43983</v>
      </c>
      <c r="B1487" s="2" t="s">
        <v>24</v>
      </c>
      <c r="C1487" s="2">
        <v>-8.83</v>
      </c>
      <c r="D1487" s="2">
        <v>8.8000000000000005E-3</v>
      </c>
      <c r="E1487" s="2">
        <v>-7.7704E-4</v>
      </c>
      <c r="F1487" s="2" t="s">
        <v>7</v>
      </c>
    </row>
    <row r="1488" spans="1:6" ht="22.5" hidden="1" customHeight="1" x14ac:dyDescent="0.25">
      <c r="A1488" s="3">
        <v>43983</v>
      </c>
      <c r="B1488" s="2" t="s">
        <v>25</v>
      </c>
      <c r="C1488" s="2">
        <v>11.68</v>
      </c>
      <c r="D1488" s="2">
        <v>2.8999999999999998E-3</v>
      </c>
      <c r="E1488" s="2">
        <v>3.3871999999999998E-4</v>
      </c>
      <c r="F1488" s="2" t="s">
        <v>7</v>
      </c>
    </row>
    <row r="1489" spans="1:6" ht="22.5" hidden="1" customHeight="1" x14ac:dyDescent="0.25">
      <c r="A1489" s="3">
        <v>43983</v>
      </c>
      <c r="B1489" s="2" t="s">
        <v>26</v>
      </c>
      <c r="C1489" s="2">
        <v>3.44</v>
      </c>
      <c r="D1489" s="2">
        <v>1.43E-2</v>
      </c>
      <c r="E1489" s="2">
        <v>4.9191999999999997E-4</v>
      </c>
      <c r="F1489" s="2" t="s">
        <v>7</v>
      </c>
    </row>
    <row r="1490" spans="1:6" ht="22.5" hidden="1" customHeight="1" x14ac:dyDescent="0.25">
      <c r="A1490" s="3">
        <v>43983</v>
      </c>
      <c r="B1490" s="2" t="s">
        <v>27</v>
      </c>
      <c r="C1490" s="2">
        <v>-12.36</v>
      </c>
      <c r="D1490" s="2">
        <v>0.26629999999999998</v>
      </c>
      <c r="E1490" s="2">
        <v>-3.2914680000000002E-2</v>
      </c>
      <c r="F1490" s="2" t="s">
        <v>7</v>
      </c>
    </row>
    <row r="1491" spans="1:6" ht="22.5" hidden="1" customHeight="1" x14ac:dyDescent="0.25">
      <c r="A1491" s="3">
        <v>43983</v>
      </c>
      <c r="B1491" s="2" t="s">
        <v>28</v>
      </c>
      <c r="C1491" s="2">
        <v>14.05</v>
      </c>
      <c r="D1491" s="2">
        <v>0.1794</v>
      </c>
      <c r="E1491" s="2">
        <v>2.5205700000000001E-2</v>
      </c>
      <c r="F1491" s="2" t="s">
        <v>7</v>
      </c>
    </row>
    <row r="1492" spans="1:6" ht="22.5" hidden="1" customHeight="1" x14ac:dyDescent="0.25">
      <c r="A1492" s="3">
        <v>43983</v>
      </c>
      <c r="B1492" s="2" t="s">
        <v>29</v>
      </c>
      <c r="C1492" s="2">
        <v>-12.05</v>
      </c>
      <c r="D1492" s="2">
        <v>7.6100000000000001E-2</v>
      </c>
      <c r="E1492" s="2">
        <v>-9.1700500000000008E-3</v>
      </c>
      <c r="F1492" s="2" t="s">
        <v>7</v>
      </c>
    </row>
    <row r="1493" spans="1:6" ht="22.5" hidden="1" customHeight="1" x14ac:dyDescent="0.25">
      <c r="A1493" s="3">
        <v>43983</v>
      </c>
      <c r="B1493" s="2" t="s">
        <v>30</v>
      </c>
      <c r="C1493" s="2">
        <v>2.16</v>
      </c>
      <c r="D1493" s="2">
        <v>9.0499999999999997E-2</v>
      </c>
      <c r="E1493" s="2">
        <v>1.9548E-3</v>
      </c>
      <c r="F1493" s="2" t="s">
        <v>7</v>
      </c>
    </row>
    <row r="1494" spans="1:6" ht="22.5" hidden="1" customHeight="1" x14ac:dyDescent="0.25">
      <c r="A1494" s="3">
        <v>43983</v>
      </c>
      <c r="B1494" s="2" t="s">
        <v>31</v>
      </c>
      <c r="C1494" s="2">
        <v>-0.51</v>
      </c>
      <c r="D1494" s="2">
        <v>0.1003</v>
      </c>
      <c r="E1494" s="2">
        <v>-5.1152999999999995E-4</v>
      </c>
      <c r="F1494" s="2" t="s">
        <v>7</v>
      </c>
    </row>
    <row r="1495" spans="1:6" ht="22.5" hidden="1" customHeight="1" x14ac:dyDescent="0.25">
      <c r="A1495" s="3">
        <v>43983</v>
      </c>
      <c r="B1495" s="2" t="s">
        <v>32</v>
      </c>
      <c r="C1495" s="2">
        <v>-0.84</v>
      </c>
      <c r="D1495" s="2">
        <v>1.6299999999999999E-2</v>
      </c>
      <c r="E1495" s="2">
        <v>-1.3692000000000001E-4</v>
      </c>
      <c r="F1495" s="2" t="s">
        <v>7</v>
      </c>
    </row>
    <row r="1496" spans="1:6" ht="22.5" hidden="1" customHeight="1" x14ac:dyDescent="0.25">
      <c r="A1496" s="3">
        <v>43983</v>
      </c>
      <c r="B1496" s="2" t="s">
        <v>33</v>
      </c>
      <c r="C1496" s="2">
        <v>0.5</v>
      </c>
      <c r="D1496" s="2">
        <v>0.18890000000000001</v>
      </c>
      <c r="E1496" s="2">
        <v>9.4450000000000003E-4</v>
      </c>
      <c r="F1496" s="2" t="s">
        <v>7</v>
      </c>
    </row>
    <row r="1497" spans="1:6" ht="22.5" hidden="1" customHeight="1" x14ac:dyDescent="0.25">
      <c r="A1497" s="3">
        <v>43983</v>
      </c>
      <c r="B1497" s="2" t="s">
        <v>34</v>
      </c>
      <c r="C1497" s="2">
        <v>1.83</v>
      </c>
      <c r="D1497" s="2">
        <v>0.13639999999999999</v>
      </c>
      <c r="E1497" s="2">
        <v>2.4961200000000001E-3</v>
      </c>
      <c r="F1497" s="2" t="s">
        <v>7</v>
      </c>
    </row>
    <row r="1498" spans="1:6" ht="22.5" hidden="1" customHeight="1" x14ac:dyDescent="0.25">
      <c r="A1498" s="3">
        <v>43983</v>
      </c>
      <c r="B1498" s="2" t="s">
        <v>35</v>
      </c>
      <c r="C1498" s="2">
        <v>0.71</v>
      </c>
      <c r="D1498" s="2">
        <v>0.1079</v>
      </c>
      <c r="E1498" s="2">
        <v>7.6608999999999998E-4</v>
      </c>
      <c r="F1498" s="2" t="s">
        <v>7</v>
      </c>
    </row>
    <row r="1499" spans="1:6" ht="22.5" hidden="1" customHeight="1" x14ac:dyDescent="0.25">
      <c r="A1499" s="3">
        <v>43983</v>
      </c>
      <c r="B1499" s="2" t="s">
        <v>36</v>
      </c>
      <c r="C1499" s="2">
        <v>-0.21</v>
      </c>
      <c r="D1499" s="2">
        <v>1.6999999999999999E-3</v>
      </c>
      <c r="E1499" s="2">
        <v>-3.5700000000000001E-6</v>
      </c>
      <c r="F1499" s="2" t="s">
        <v>7</v>
      </c>
    </row>
    <row r="1500" spans="1:6" ht="22.5" hidden="1" customHeight="1" x14ac:dyDescent="0.25">
      <c r="A1500" s="3">
        <v>43983</v>
      </c>
      <c r="B1500" s="2" t="s">
        <v>37</v>
      </c>
      <c r="C1500" s="2">
        <v>-4.07</v>
      </c>
      <c r="D1500" s="2">
        <v>9.0700000000000003E-2</v>
      </c>
      <c r="E1500" s="2">
        <v>-3.69149E-3</v>
      </c>
      <c r="F1500" s="2" t="s">
        <v>7</v>
      </c>
    </row>
    <row r="1501" spans="1:6" ht="22.5" hidden="1" customHeight="1" x14ac:dyDescent="0.25">
      <c r="A1501" s="3">
        <v>43983</v>
      </c>
      <c r="B1501" s="2" t="s">
        <v>38</v>
      </c>
      <c r="C1501" s="2">
        <v>3.79</v>
      </c>
      <c r="D1501" s="2">
        <v>1.04E-2</v>
      </c>
      <c r="E1501" s="2">
        <v>3.9416000000000001E-4</v>
      </c>
      <c r="F1501" s="2" t="s">
        <v>7</v>
      </c>
    </row>
    <row r="1502" spans="1:6" ht="22.5" hidden="1" customHeight="1" x14ac:dyDescent="0.25">
      <c r="A1502" s="3">
        <v>43983</v>
      </c>
      <c r="B1502" s="2" t="s">
        <v>39</v>
      </c>
      <c r="C1502" s="2">
        <v>-3.29</v>
      </c>
      <c r="D1502" s="2">
        <v>1.9199999999999998E-2</v>
      </c>
      <c r="E1502" s="2">
        <v>-6.3168000000000002E-4</v>
      </c>
      <c r="F1502" s="2" t="s">
        <v>7</v>
      </c>
    </row>
    <row r="1503" spans="1:6" ht="22.5" hidden="1" customHeight="1" x14ac:dyDescent="0.25">
      <c r="A1503" s="3">
        <v>43983</v>
      </c>
      <c r="B1503" s="2" t="s">
        <v>40</v>
      </c>
      <c r="C1503" s="2">
        <v>5.82</v>
      </c>
      <c r="D1503" s="2">
        <v>3.3E-3</v>
      </c>
      <c r="E1503" s="2">
        <v>1.9206E-4</v>
      </c>
      <c r="F1503" s="2" t="s">
        <v>7</v>
      </c>
    </row>
    <row r="1504" spans="1:6" ht="22.5" hidden="1" customHeight="1" x14ac:dyDescent="0.25">
      <c r="A1504" s="3">
        <v>43983</v>
      </c>
      <c r="B1504" s="2" t="s">
        <v>41</v>
      </c>
      <c r="C1504" s="2">
        <v>2.09</v>
      </c>
      <c r="D1504" s="2">
        <v>1.61E-2</v>
      </c>
      <c r="E1504" s="2">
        <v>3.3649E-4</v>
      </c>
      <c r="F1504" s="2" t="s">
        <v>7</v>
      </c>
    </row>
    <row r="1505" spans="1:6" ht="22.5" hidden="1" customHeight="1" x14ac:dyDescent="0.25">
      <c r="A1505" s="3">
        <v>43983</v>
      </c>
      <c r="B1505" s="2" t="s">
        <v>42</v>
      </c>
      <c r="C1505" s="2">
        <v>2.5499999999999998</v>
      </c>
      <c r="D1505" s="2">
        <v>4.5400000000000003E-2</v>
      </c>
      <c r="E1505" s="2">
        <v>1.1577E-3</v>
      </c>
      <c r="F1505" s="2" t="s">
        <v>7</v>
      </c>
    </row>
    <row r="1506" spans="1:6" ht="22.5" hidden="1" customHeight="1" x14ac:dyDescent="0.25">
      <c r="A1506" s="3">
        <v>43983</v>
      </c>
      <c r="B1506" s="2" t="s">
        <v>43</v>
      </c>
      <c r="C1506" s="2">
        <v>4.75</v>
      </c>
      <c r="D1506" s="2">
        <v>2.7799999999999998E-2</v>
      </c>
      <c r="E1506" s="2">
        <v>1.3205000000000001E-3</v>
      </c>
      <c r="F1506" s="2" t="s">
        <v>7</v>
      </c>
    </row>
    <row r="1507" spans="1:6" ht="22.5" hidden="1" customHeight="1" x14ac:dyDescent="0.25">
      <c r="A1507" s="3">
        <v>43983</v>
      </c>
      <c r="B1507" s="2" t="s">
        <v>44</v>
      </c>
      <c r="C1507" s="2">
        <v>5.19</v>
      </c>
      <c r="D1507" s="2">
        <v>1.5900000000000001E-2</v>
      </c>
      <c r="E1507" s="2">
        <v>8.2521000000000005E-4</v>
      </c>
      <c r="F1507" s="2" t="s">
        <v>7</v>
      </c>
    </row>
    <row r="1508" spans="1:6" ht="22.5" hidden="1" customHeight="1" x14ac:dyDescent="0.25">
      <c r="A1508" s="3">
        <v>43983</v>
      </c>
      <c r="B1508" s="2" t="s">
        <v>45</v>
      </c>
      <c r="C1508" s="2">
        <v>0.78</v>
      </c>
      <c r="D1508" s="2">
        <v>1.83E-2</v>
      </c>
      <c r="E1508" s="2">
        <v>1.4274000000000001E-4</v>
      </c>
      <c r="F1508" s="2" t="s">
        <v>7</v>
      </c>
    </row>
    <row r="1509" spans="1:6" ht="22.5" hidden="1" customHeight="1" x14ac:dyDescent="0.25">
      <c r="A1509" s="3">
        <v>43983</v>
      </c>
      <c r="B1509" s="2" t="s">
        <v>46</v>
      </c>
      <c r="C1509" s="2">
        <v>-0.62</v>
      </c>
      <c r="D1509" s="2">
        <v>1.2999999999999999E-3</v>
      </c>
      <c r="E1509" s="2">
        <v>-8.0600000000000008E-6</v>
      </c>
      <c r="F1509" s="2" t="s">
        <v>7</v>
      </c>
    </row>
    <row r="1510" spans="1:6" ht="22.5" hidden="1" customHeight="1" x14ac:dyDescent="0.25">
      <c r="A1510" s="3">
        <v>43983</v>
      </c>
      <c r="B1510" s="2" t="s">
        <v>47</v>
      </c>
      <c r="C1510" s="2">
        <v>-6.9</v>
      </c>
      <c r="D1510" s="2">
        <v>9.69E-2</v>
      </c>
      <c r="E1510" s="2">
        <v>-6.6861000000000004E-3</v>
      </c>
      <c r="F1510" s="2" t="s">
        <v>7</v>
      </c>
    </row>
    <row r="1511" spans="1:6" ht="22.5" hidden="1" customHeight="1" x14ac:dyDescent="0.25">
      <c r="A1511" s="3">
        <v>43983</v>
      </c>
      <c r="B1511" s="2" t="s">
        <v>48</v>
      </c>
      <c r="C1511" s="2">
        <v>9.5299999999999994</v>
      </c>
      <c r="D1511" s="2">
        <v>3.2000000000000002E-3</v>
      </c>
      <c r="E1511" s="2">
        <v>3.0496000000000001E-4</v>
      </c>
      <c r="F1511" s="2" t="s">
        <v>7</v>
      </c>
    </row>
    <row r="1512" spans="1:6" ht="22.5" hidden="1" customHeight="1" x14ac:dyDescent="0.25">
      <c r="A1512" s="3">
        <v>43983</v>
      </c>
      <c r="B1512" s="2" t="s">
        <v>49</v>
      </c>
      <c r="C1512" s="2">
        <v>-5.04</v>
      </c>
      <c r="D1512" s="2">
        <v>0.1661</v>
      </c>
      <c r="E1512" s="2">
        <v>-8.3714400000000008E-3</v>
      </c>
      <c r="F1512" s="2" t="s">
        <v>7</v>
      </c>
    </row>
    <row r="1513" spans="1:6" ht="22.5" hidden="1" customHeight="1" x14ac:dyDescent="0.25">
      <c r="A1513" s="3">
        <v>43983</v>
      </c>
      <c r="B1513" s="2" t="s">
        <v>50</v>
      </c>
      <c r="C1513" s="2">
        <v>-1.47</v>
      </c>
      <c r="D1513" s="2">
        <v>4.7000000000000002E-3</v>
      </c>
      <c r="E1513" s="2">
        <v>-6.9090000000000004E-5</v>
      </c>
      <c r="F1513" s="2" t="s">
        <v>7</v>
      </c>
    </row>
    <row r="1514" spans="1:6" ht="22.5" hidden="1" customHeight="1" x14ac:dyDescent="0.25">
      <c r="A1514" s="3">
        <v>43983</v>
      </c>
      <c r="B1514" s="2" t="s">
        <v>51</v>
      </c>
      <c r="C1514" s="2">
        <v>-5.22</v>
      </c>
      <c r="D1514" s="2">
        <v>4.1999999999999997E-3</v>
      </c>
      <c r="E1514" s="2">
        <v>-2.1923999999999999E-4</v>
      </c>
      <c r="F1514" s="2" t="s">
        <v>7</v>
      </c>
    </row>
    <row r="1515" spans="1:6" ht="22.5" hidden="1" customHeight="1" x14ac:dyDescent="0.25">
      <c r="A1515" s="3">
        <v>43983</v>
      </c>
      <c r="B1515" s="2" t="s">
        <v>52</v>
      </c>
      <c r="C1515" s="2">
        <v>12.92</v>
      </c>
      <c r="D1515" s="2">
        <v>2.3E-2</v>
      </c>
      <c r="E1515" s="2">
        <v>2.9716E-3</v>
      </c>
      <c r="F1515" s="2" t="s">
        <v>7</v>
      </c>
    </row>
    <row r="1516" spans="1:6" ht="22.5" hidden="1" customHeight="1" x14ac:dyDescent="0.25">
      <c r="A1516" s="3">
        <v>43983</v>
      </c>
      <c r="B1516" s="2" t="s">
        <v>53</v>
      </c>
      <c r="C1516" s="2">
        <v>1.87</v>
      </c>
      <c r="D1516" s="2">
        <v>0.1434</v>
      </c>
      <c r="E1516" s="2">
        <v>2.6815799999999998E-3</v>
      </c>
      <c r="F1516" s="2" t="s">
        <v>7</v>
      </c>
    </row>
    <row r="1517" spans="1:6" ht="22.5" hidden="1" customHeight="1" x14ac:dyDescent="0.25">
      <c r="A1517" s="3">
        <v>43983</v>
      </c>
      <c r="B1517" s="2" t="s">
        <v>54</v>
      </c>
      <c r="C1517" s="2">
        <v>-10.69</v>
      </c>
      <c r="D1517" s="2">
        <v>9.2399999999999996E-2</v>
      </c>
      <c r="E1517" s="2">
        <v>-9.8775600000000005E-3</v>
      </c>
      <c r="F1517" s="2" t="s">
        <v>7</v>
      </c>
    </row>
    <row r="1518" spans="1:6" ht="22.5" hidden="1" customHeight="1" x14ac:dyDescent="0.25">
      <c r="A1518" s="3">
        <v>43983</v>
      </c>
      <c r="B1518" s="2" t="s">
        <v>55</v>
      </c>
      <c r="C1518" s="2">
        <v>22.14</v>
      </c>
      <c r="D1518" s="2">
        <v>6.3299999999999995E-2</v>
      </c>
      <c r="E1518" s="2">
        <v>1.401462E-2</v>
      </c>
      <c r="F1518" s="2" t="s">
        <v>7</v>
      </c>
    </row>
    <row r="1519" spans="1:6" ht="22.5" hidden="1" customHeight="1" x14ac:dyDescent="0.25">
      <c r="A1519" s="3">
        <v>43983</v>
      </c>
      <c r="B1519" s="2" t="s">
        <v>56</v>
      </c>
      <c r="C1519" s="2">
        <v>-5.8</v>
      </c>
      <c r="D1519" s="2">
        <v>7.4999999999999997E-3</v>
      </c>
      <c r="E1519" s="2">
        <v>-4.35E-4</v>
      </c>
      <c r="F1519" s="2" t="s">
        <v>7</v>
      </c>
    </row>
    <row r="1520" spans="1:6" ht="22.5" hidden="1" customHeight="1" x14ac:dyDescent="0.25">
      <c r="A1520" s="3">
        <v>43983</v>
      </c>
      <c r="B1520" s="2" t="s">
        <v>57</v>
      </c>
      <c r="C1520" s="2">
        <v>2.77</v>
      </c>
      <c r="D1520" s="2">
        <v>2.7099999999999999E-2</v>
      </c>
      <c r="E1520" s="2">
        <v>7.5067000000000005E-4</v>
      </c>
      <c r="F1520" s="2" t="s">
        <v>7</v>
      </c>
    </row>
    <row r="1521" spans="1:6" ht="22.5" hidden="1" customHeight="1" x14ac:dyDescent="0.25">
      <c r="A1521" s="3">
        <v>43983</v>
      </c>
      <c r="B1521" s="2" t="s">
        <v>58</v>
      </c>
      <c r="C1521" s="2">
        <v>2.0099999999999998</v>
      </c>
      <c r="D1521" s="2">
        <v>1.61E-2</v>
      </c>
      <c r="E1521" s="2">
        <v>3.2361E-4</v>
      </c>
      <c r="F1521" s="2" t="s">
        <v>7</v>
      </c>
    </row>
    <row r="1522" spans="1:6" ht="22.5" hidden="1" customHeight="1" x14ac:dyDescent="0.25">
      <c r="A1522" s="3">
        <v>43983</v>
      </c>
      <c r="B1522" s="2" t="s">
        <v>59</v>
      </c>
      <c r="C1522" s="2">
        <v>5.47</v>
      </c>
      <c r="D1522" s="2">
        <v>1.9699999999999999E-2</v>
      </c>
      <c r="E1522" s="2">
        <v>1.07759E-3</v>
      </c>
      <c r="F1522" s="2" t="s">
        <v>7</v>
      </c>
    </row>
    <row r="1523" spans="1:6" ht="22.5" hidden="1" customHeight="1" x14ac:dyDescent="0.25">
      <c r="A1523" s="3">
        <v>43983</v>
      </c>
      <c r="B1523" s="2" t="s">
        <v>60</v>
      </c>
      <c r="C1523" s="2">
        <v>-1.73</v>
      </c>
      <c r="D1523" s="2">
        <v>3.2199999999999999E-2</v>
      </c>
      <c r="E1523" s="2">
        <v>-5.5705999999999996E-4</v>
      </c>
      <c r="F1523" s="2" t="s">
        <v>7</v>
      </c>
    </row>
    <row r="1524" spans="1:6" ht="22.5" hidden="1" customHeight="1" x14ac:dyDescent="0.25">
      <c r="A1524" s="3">
        <v>43983</v>
      </c>
      <c r="B1524" s="2" t="s">
        <v>61</v>
      </c>
      <c r="C1524" s="2">
        <v>1.38</v>
      </c>
      <c r="D1524" s="2">
        <v>7.1499999999999994E-2</v>
      </c>
      <c r="E1524" s="2">
        <v>9.8670000000000008E-4</v>
      </c>
      <c r="F1524" s="2" t="s">
        <v>7</v>
      </c>
    </row>
    <row r="1525" spans="1:6" ht="22.5" hidden="1" customHeight="1" x14ac:dyDescent="0.25">
      <c r="A1525" s="3">
        <v>43983</v>
      </c>
      <c r="B1525" s="2" t="s">
        <v>62</v>
      </c>
      <c r="C1525" s="2">
        <v>-6.47</v>
      </c>
      <c r="D1525" s="2">
        <v>9.8799999999999999E-2</v>
      </c>
      <c r="E1525" s="2">
        <v>-6.3923599999999997E-3</v>
      </c>
      <c r="F1525" s="2" t="s">
        <v>7</v>
      </c>
    </row>
    <row r="1526" spans="1:6" ht="22.5" hidden="1" customHeight="1" x14ac:dyDescent="0.25">
      <c r="A1526" s="3">
        <v>43983</v>
      </c>
      <c r="B1526" s="2" t="s">
        <v>63</v>
      </c>
      <c r="C1526" s="2">
        <v>11.67</v>
      </c>
      <c r="D1526" s="2">
        <v>0.01</v>
      </c>
      <c r="E1526" s="2">
        <v>1.1670000000000001E-3</v>
      </c>
      <c r="F1526" s="2" t="s">
        <v>7</v>
      </c>
    </row>
    <row r="1527" spans="1:6" ht="22.5" hidden="1" customHeight="1" x14ac:dyDescent="0.25">
      <c r="A1527" s="3">
        <v>43983</v>
      </c>
      <c r="B1527" s="2" t="s">
        <v>64</v>
      </c>
      <c r="C1527" s="2">
        <v>-0.94</v>
      </c>
      <c r="D1527" s="2">
        <v>4.7999999999999996E-3</v>
      </c>
      <c r="E1527" s="2">
        <v>-4.5120000000000002E-5</v>
      </c>
      <c r="F1527" s="2" t="s">
        <v>7</v>
      </c>
    </row>
    <row r="1528" spans="1:6" ht="22.5" hidden="1" customHeight="1" x14ac:dyDescent="0.25">
      <c r="A1528" s="3">
        <v>43983</v>
      </c>
      <c r="B1528" s="2" t="s">
        <v>65</v>
      </c>
      <c r="C1528" s="2">
        <v>6.73</v>
      </c>
      <c r="D1528" s="2">
        <v>1.7999999999999999E-2</v>
      </c>
      <c r="E1528" s="2">
        <v>1.2114000000000001E-3</v>
      </c>
      <c r="F1528" s="2" t="s">
        <v>7</v>
      </c>
    </row>
    <row r="1529" spans="1:6" ht="22.5" hidden="1" customHeight="1" x14ac:dyDescent="0.25">
      <c r="A1529" s="3">
        <v>43983</v>
      </c>
      <c r="B1529" s="2" t="s">
        <v>66</v>
      </c>
      <c r="C1529" s="2">
        <v>0.51</v>
      </c>
      <c r="D1529" s="2">
        <v>0.30909999999999999</v>
      </c>
      <c r="E1529" s="2">
        <v>1.5764100000000001E-3</v>
      </c>
      <c r="F1529" s="2" t="s">
        <v>7</v>
      </c>
    </row>
    <row r="1530" spans="1:6" ht="22.5" hidden="1" customHeight="1" x14ac:dyDescent="0.25">
      <c r="A1530" s="3">
        <v>43983</v>
      </c>
      <c r="B1530" s="2" t="s">
        <v>67</v>
      </c>
      <c r="C1530" s="2">
        <v>0.63</v>
      </c>
      <c r="D1530" s="2">
        <v>3.2000000000000002E-3</v>
      </c>
      <c r="E1530" s="2">
        <v>2.016E-5</v>
      </c>
      <c r="F1530" s="2" t="s">
        <v>7</v>
      </c>
    </row>
    <row r="1531" spans="1:6" ht="22.5" hidden="1" customHeight="1" x14ac:dyDescent="0.25">
      <c r="A1531" s="3">
        <v>43983</v>
      </c>
      <c r="B1531" s="2" t="s">
        <v>68</v>
      </c>
      <c r="C1531" s="2">
        <v>-0.7</v>
      </c>
      <c r="D1531" s="2">
        <v>1.04E-2</v>
      </c>
      <c r="E1531" s="2">
        <v>-7.2799999999999994E-5</v>
      </c>
      <c r="F1531" s="2" t="s">
        <v>7</v>
      </c>
    </row>
    <row r="1532" spans="1:6" ht="22.5" hidden="1" customHeight="1" x14ac:dyDescent="0.25">
      <c r="A1532" s="3">
        <v>43983</v>
      </c>
      <c r="B1532" s="2" t="s">
        <v>69</v>
      </c>
      <c r="C1532" s="2">
        <v>1.97</v>
      </c>
      <c r="D1532" s="2">
        <v>0.39219999999999999</v>
      </c>
      <c r="E1532" s="2">
        <v>7.7263399999999999E-3</v>
      </c>
      <c r="F1532" s="2" t="s">
        <v>7</v>
      </c>
    </row>
    <row r="1533" spans="1:6" ht="22.5" hidden="1" customHeight="1" x14ac:dyDescent="0.25">
      <c r="A1533" s="3">
        <v>43983</v>
      </c>
      <c r="B1533" s="2" t="s">
        <v>70</v>
      </c>
      <c r="C1533" s="2">
        <v>-5.79</v>
      </c>
      <c r="D1533" s="2">
        <v>2.5000000000000001E-2</v>
      </c>
      <c r="E1533" s="2">
        <v>-1.4475E-3</v>
      </c>
      <c r="F1533" s="2" t="s">
        <v>7</v>
      </c>
    </row>
    <row r="1534" spans="1:6" ht="22.5" hidden="1" customHeight="1" x14ac:dyDescent="0.25">
      <c r="A1534" s="3">
        <v>43983</v>
      </c>
      <c r="B1534" s="2" t="s">
        <v>71</v>
      </c>
      <c r="C1534" s="2">
        <v>0.16</v>
      </c>
      <c r="D1534" s="2">
        <v>0.27860000000000001</v>
      </c>
      <c r="E1534" s="2">
        <v>4.4576000000000001E-4</v>
      </c>
      <c r="F1534" s="2" t="s">
        <v>7</v>
      </c>
    </row>
    <row r="1535" spans="1:6" ht="22.5" hidden="1" customHeight="1" x14ac:dyDescent="0.25">
      <c r="A1535" s="3">
        <v>43983</v>
      </c>
      <c r="B1535" s="2" t="s">
        <v>72</v>
      </c>
      <c r="C1535" s="2">
        <v>3.73</v>
      </c>
      <c r="D1535" s="2">
        <v>0.29409999999999997</v>
      </c>
      <c r="E1535" s="2">
        <v>1.0969929999999999E-2</v>
      </c>
      <c r="F1535" s="2" t="s">
        <v>7</v>
      </c>
    </row>
    <row r="1536" spans="1:6" ht="22.5" hidden="1" customHeight="1" x14ac:dyDescent="0.25">
      <c r="A1536" s="3">
        <v>43983</v>
      </c>
      <c r="B1536" s="2" t="s">
        <v>73</v>
      </c>
      <c r="C1536" s="2">
        <v>1.34</v>
      </c>
      <c r="D1536" s="2">
        <v>0.1479</v>
      </c>
      <c r="E1536" s="2">
        <v>1.9818599999999998E-3</v>
      </c>
      <c r="F1536" s="2" t="s">
        <v>7</v>
      </c>
    </row>
    <row r="1537" spans="1:6" ht="22.5" hidden="1" customHeight="1" x14ac:dyDescent="0.25">
      <c r="A1537" s="3">
        <v>43983</v>
      </c>
      <c r="B1537" s="2" t="s">
        <v>74</v>
      </c>
      <c r="C1537" s="2">
        <v>-3.06</v>
      </c>
      <c r="D1537" s="2">
        <v>8.3999999999999995E-3</v>
      </c>
      <c r="E1537" s="2">
        <v>-2.5703999999999999E-4</v>
      </c>
      <c r="F1537" s="2" t="s">
        <v>7</v>
      </c>
    </row>
    <row r="1538" spans="1:6" ht="22.5" hidden="1" customHeight="1" x14ac:dyDescent="0.25">
      <c r="A1538" s="3">
        <v>43983</v>
      </c>
      <c r="B1538" s="2" t="s">
        <v>75</v>
      </c>
      <c r="C1538" s="2">
        <v>-0.05</v>
      </c>
      <c r="D1538" s="2">
        <v>6.3299999999999995E-2</v>
      </c>
      <c r="E1538" s="2">
        <v>-3.1649999999999997E-5</v>
      </c>
      <c r="F1538" s="2" t="s">
        <v>7</v>
      </c>
    </row>
    <row r="1539" spans="1:6" ht="22.5" hidden="1" customHeight="1" x14ac:dyDescent="0.25">
      <c r="A1539" s="3">
        <v>43983</v>
      </c>
      <c r="B1539" s="2" t="s">
        <v>76</v>
      </c>
      <c r="C1539" s="2">
        <v>-0.12</v>
      </c>
      <c r="D1539" s="2">
        <v>0.1305</v>
      </c>
      <c r="E1539" s="2">
        <v>-1.5660000000000001E-4</v>
      </c>
      <c r="F1539" s="2" t="s">
        <v>7</v>
      </c>
    </row>
    <row r="1540" spans="1:6" ht="22.5" hidden="1" customHeight="1" x14ac:dyDescent="0.25">
      <c r="A1540" s="3">
        <v>43983</v>
      </c>
      <c r="B1540" s="2" t="s">
        <v>77</v>
      </c>
      <c r="C1540" s="2">
        <v>-1.64</v>
      </c>
      <c r="D1540" s="2">
        <v>9.3899999999999997E-2</v>
      </c>
      <c r="E1540" s="2">
        <v>-1.5399599999999999E-3</v>
      </c>
      <c r="F1540" s="2" t="s">
        <v>7</v>
      </c>
    </row>
    <row r="1541" spans="1:6" ht="22.5" hidden="1" customHeight="1" x14ac:dyDescent="0.25">
      <c r="A1541" s="3">
        <v>43983</v>
      </c>
      <c r="B1541" s="2" t="s">
        <v>78</v>
      </c>
      <c r="C1541" s="2">
        <v>1.34</v>
      </c>
      <c r="D1541" s="2">
        <v>0.2447</v>
      </c>
      <c r="E1541" s="2">
        <v>3.2789799999999999E-3</v>
      </c>
      <c r="F1541" s="2" t="s">
        <v>7</v>
      </c>
    </row>
    <row r="1542" spans="1:6" ht="22.5" hidden="1" customHeight="1" x14ac:dyDescent="0.25">
      <c r="A1542" s="3">
        <v>43983</v>
      </c>
      <c r="B1542" s="2" t="s">
        <v>79</v>
      </c>
      <c r="C1542" s="2">
        <v>2.31</v>
      </c>
      <c r="D1542" s="2">
        <v>9.2999999999999992E-3</v>
      </c>
      <c r="E1542" s="2">
        <v>2.1483E-4</v>
      </c>
      <c r="F1542" s="2" t="s">
        <v>7</v>
      </c>
    </row>
    <row r="1543" spans="1:6" ht="22.5" hidden="1" customHeight="1" x14ac:dyDescent="0.25">
      <c r="A1543" s="3">
        <v>43983</v>
      </c>
      <c r="B1543" s="2" t="s">
        <v>80</v>
      </c>
      <c r="C1543" s="2">
        <v>1.48</v>
      </c>
      <c r="D1543" s="2">
        <v>3.2899999999999999E-2</v>
      </c>
      <c r="E1543" s="2">
        <v>4.8692000000000001E-4</v>
      </c>
      <c r="F1543" s="2" t="s">
        <v>7</v>
      </c>
    </row>
    <row r="1544" spans="1:6" ht="22.5" hidden="1" customHeight="1" x14ac:dyDescent="0.25">
      <c r="A1544" s="3">
        <v>43983</v>
      </c>
      <c r="B1544" s="2" t="s">
        <v>81</v>
      </c>
      <c r="C1544" s="2">
        <v>0.48</v>
      </c>
      <c r="D1544" s="2">
        <v>0.30359999999999998</v>
      </c>
      <c r="E1544" s="2">
        <v>1.45728E-3</v>
      </c>
      <c r="F1544" s="2" t="s">
        <v>7</v>
      </c>
    </row>
    <row r="1545" spans="1:6" ht="22.5" hidden="1" customHeight="1" x14ac:dyDescent="0.25">
      <c r="A1545" s="3">
        <v>43983</v>
      </c>
      <c r="B1545" s="2" t="s">
        <v>82</v>
      </c>
      <c r="C1545" s="2">
        <v>0.2</v>
      </c>
      <c r="D1545" s="2">
        <v>3.9399999999999998E-2</v>
      </c>
      <c r="E1545" s="2">
        <v>7.8800000000000004E-5</v>
      </c>
      <c r="F1545" s="2" t="s">
        <v>7</v>
      </c>
    </row>
    <row r="1546" spans="1:6" ht="22.5" hidden="1" customHeight="1" x14ac:dyDescent="0.25">
      <c r="A1546" s="3">
        <v>43983</v>
      </c>
      <c r="B1546" s="2" t="s">
        <v>83</v>
      </c>
      <c r="C1546" s="2">
        <v>0.23</v>
      </c>
      <c r="D1546" s="2">
        <v>6.9999999999999999E-4</v>
      </c>
      <c r="E1546" s="2">
        <v>1.61E-6</v>
      </c>
      <c r="F1546" s="2" t="s">
        <v>7</v>
      </c>
    </row>
    <row r="1547" spans="1:6" ht="22.5" hidden="1" customHeight="1" x14ac:dyDescent="0.25">
      <c r="A1547" s="3">
        <v>43983</v>
      </c>
      <c r="B1547" s="2" t="s">
        <v>84</v>
      </c>
      <c r="C1547" s="2">
        <v>5.3</v>
      </c>
      <c r="D1547" s="2">
        <v>2.2599999999999999E-2</v>
      </c>
      <c r="E1547" s="2">
        <v>1.1977999999999999E-3</v>
      </c>
      <c r="F1547" s="2" t="s">
        <v>7</v>
      </c>
    </row>
    <row r="1548" spans="1:6" ht="22.5" hidden="1" customHeight="1" x14ac:dyDescent="0.25">
      <c r="A1548" s="3">
        <v>43983</v>
      </c>
      <c r="B1548" s="2" t="s">
        <v>85</v>
      </c>
      <c r="C1548" s="2">
        <v>-2.09</v>
      </c>
      <c r="D1548" s="2">
        <v>5.7999999999999996E-3</v>
      </c>
      <c r="E1548" s="2">
        <v>-1.2121999999999999E-4</v>
      </c>
      <c r="F1548" s="2" t="s">
        <v>7</v>
      </c>
    </row>
    <row r="1549" spans="1:6" ht="22.5" hidden="1" customHeight="1" x14ac:dyDescent="0.25">
      <c r="A1549" s="3">
        <v>43983</v>
      </c>
      <c r="B1549" s="2" t="s">
        <v>86</v>
      </c>
      <c r="C1549" s="2">
        <v>-2.06</v>
      </c>
      <c r="D1549" s="2">
        <v>2.5999999999999999E-2</v>
      </c>
      <c r="E1549" s="2">
        <v>-5.3560000000000001E-4</v>
      </c>
      <c r="F1549" s="2" t="s">
        <v>7</v>
      </c>
    </row>
    <row r="1550" spans="1:6" ht="22.5" hidden="1" customHeight="1" x14ac:dyDescent="0.25">
      <c r="A1550" s="3">
        <v>43983</v>
      </c>
      <c r="B1550" s="2" t="s">
        <v>87</v>
      </c>
      <c r="C1550" s="2">
        <v>-0.63</v>
      </c>
      <c r="D1550" s="2">
        <v>1E-3</v>
      </c>
      <c r="E1550" s="2">
        <v>-6.2999999999999998E-6</v>
      </c>
      <c r="F1550" s="2" t="s">
        <v>7</v>
      </c>
    </row>
    <row r="1551" spans="1:6" ht="22.5" hidden="1" customHeight="1" x14ac:dyDescent="0.25">
      <c r="A1551" s="3">
        <v>43983</v>
      </c>
      <c r="B1551" s="2" t="s">
        <v>88</v>
      </c>
      <c r="C1551" s="2">
        <v>0.96</v>
      </c>
      <c r="D1551" s="2">
        <v>7.1000000000000004E-3</v>
      </c>
      <c r="E1551" s="2">
        <v>6.8159999999999998E-5</v>
      </c>
      <c r="F1551" s="2" t="s">
        <v>7</v>
      </c>
    </row>
    <row r="1552" spans="1:6" ht="22.5" hidden="1" customHeight="1" x14ac:dyDescent="0.25">
      <c r="A1552" s="3">
        <v>43983</v>
      </c>
      <c r="B1552" s="2" t="s">
        <v>89</v>
      </c>
      <c r="C1552" s="2">
        <v>0.84</v>
      </c>
      <c r="D1552" s="2">
        <v>1.78E-2</v>
      </c>
      <c r="E1552" s="2">
        <v>1.4951999999999999E-4</v>
      </c>
      <c r="F1552" s="2" t="s">
        <v>7</v>
      </c>
    </row>
    <row r="1553" spans="1:6" ht="22.5" hidden="1" customHeight="1" x14ac:dyDescent="0.25">
      <c r="A1553" s="3">
        <v>43983</v>
      </c>
      <c r="B1553" s="2" t="s">
        <v>90</v>
      </c>
      <c r="C1553" s="2">
        <v>2.34</v>
      </c>
      <c r="D1553" s="2">
        <v>1.5E-3</v>
      </c>
      <c r="E1553" s="2">
        <v>3.5099999999999999E-5</v>
      </c>
      <c r="F1553" s="2" t="s">
        <v>7</v>
      </c>
    </row>
    <row r="1554" spans="1:6" ht="22.5" hidden="1" customHeight="1" x14ac:dyDescent="0.25">
      <c r="A1554" s="3">
        <v>43983</v>
      </c>
      <c r="B1554" s="2" t="s">
        <v>91</v>
      </c>
      <c r="C1554" s="2">
        <v>0.04</v>
      </c>
      <c r="D1554" s="2">
        <v>2.5899999999999999E-2</v>
      </c>
      <c r="E1554" s="2">
        <v>1.0360000000000001E-5</v>
      </c>
      <c r="F1554" s="2" t="s">
        <v>7</v>
      </c>
    </row>
    <row r="1555" spans="1:6" ht="22.5" hidden="1" customHeight="1" x14ac:dyDescent="0.25">
      <c r="A1555" s="3">
        <v>43983</v>
      </c>
      <c r="B1555" s="2" t="s">
        <v>92</v>
      </c>
      <c r="C1555" s="2">
        <v>0</v>
      </c>
      <c r="D1555" s="2">
        <v>5.4999999999999997E-3</v>
      </c>
      <c r="E1555" s="2">
        <v>0</v>
      </c>
      <c r="F1555" s="2" t="s">
        <v>7</v>
      </c>
    </row>
    <row r="1556" spans="1:6" ht="22.5" hidden="1" customHeight="1" x14ac:dyDescent="0.25">
      <c r="A1556" s="3">
        <v>43983</v>
      </c>
      <c r="B1556" s="2" t="s">
        <v>93</v>
      </c>
      <c r="C1556" s="2">
        <v>0.23</v>
      </c>
      <c r="D1556" s="2">
        <v>1.1999999999999999E-3</v>
      </c>
      <c r="E1556" s="2">
        <v>2.7599999999999998E-6</v>
      </c>
      <c r="F1556" s="2" t="s">
        <v>7</v>
      </c>
    </row>
    <row r="1557" spans="1:6" ht="22.5" hidden="1" customHeight="1" x14ac:dyDescent="0.25">
      <c r="A1557" s="3">
        <v>43983</v>
      </c>
      <c r="B1557" s="2" t="s">
        <v>94</v>
      </c>
      <c r="C1557" s="2">
        <v>0.83</v>
      </c>
      <c r="D1557" s="2">
        <v>1E-3</v>
      </c>
      <c r="E1557" s="2">
        <v>8.3000000000000002E-6</v>
      </c>
      <c r="F1557" s="2" t="s">
        <v>7</v>
      </c>
    </row>
    <row r="1558" spans="1:6" ht="22.5" hidden="1" customHeight="1" x14ac:dyDescent="0.25">
      <c r="A1558" s="3">
        <v>43983</v>
      </c>
      <c r="B1558" s="2" t="s">
        <v>95</v>
      </c>
      <c r="C1558" s="2">
        <v>1.79</v>
      </c>
      <c r="D1558" s="2">
        <v>1.7600000000000001E-2</v>
      </c>
      <c r="E1558" s="2">
        <v>3.1503999999999999E-4</v>
      </c>
      <c r="F1558" s="2" t="s">
        <v>7</v>
      </c>
    </row>
    <row r="1559" spans="1:6" ht="22.5" hidden="1" customHeight="1" x14ac:dyDescent="0.25">
      <c r="A1559" s="3">
        <v>43983</v>
      </c>
      <c r="B1559" s="2" t="s">
        <v>96</v>
      </c>
      <c r="C1559" s="2">
        <v>0.03</v>
      </c>
      <c r="D1559" s="2">
        <v>4.9700000000000001E-2</v>
      </c>
      <c r="E1559" s="2">
        <v>1.491E-5</v>
      </c>
      <c r="F1559" s="2" t="s">
        <v>7</v>
      </c>
    </row>
    <row r="1560" spans="1:6" ht="22.5" hidden="1" customHeight="1" x14ac:dyDescent="0.25">
      <c r="A1560" s="3">
        <v>43983</v>
      </c>
      <c r="B1560" s="2" t="s">
        <v>97</v>
      </c>
      <c r="C1560" s="2">
        <v>-0.76</v>
      </c>
      <c r="D1560" s="2">
        <v>1.14E-2</v>
      </c>
      <c r="E1560" s="2">
        <v>-8.6639999999999997E-5</v>
      </c>
      <c r="F1560" s="2" t="s">
        <v>7</v>
      </c>
    </row>
    <row r="1561" spans="1:6" ht="22.5" hidden="1" customHeight="1" x14ac:dyDescent="0.25">
      <c r="A1561" s="3">
        <v>43983</v>
      </c>
      <c r="B1561" s="2" t="s">
        <v>98</v>
      </c>
      <c r="C1561" s="2">
        <v>-0.78</v>
      </c>
      <c r="D1561" s="2">
        <v>7.1000000000000004E-3</v>
      </c>
      <c r="E1561" s="2">
        <v>-5.5380000000000002E-5</v>
      </c>
      <c r="F1561" s="2" t="s">
        <v>7</v>
      </c>
    </row>
    <row r="1562" spans="1:6" ht="22.5" hidden="1" customHeight="1" x14ac:dyDescent="0.25">
      <c r="A1562" s="3">
        <v>43983</v>
      </c>
      <c r="B1562" s="2" t="s">
        <v>99</v>
      </c>
      <c r="C1562" s="2">
        <v>-0.97</v>
      </c>
      <c r="D1562" s="2">
        <v>3.7000000000000002E-3</v>
      </c>
      <c r="E1562" s="2">
        <v>-3.5889999999999997E-5</v>
      </c>
      <c r="F1562" s="2" t="s">
        <v>7</v>
      </c>
    </row>
    <row r="1563" spans="1:6" ht="22.5" hidden="1" customHeight="1" x14ac:dyDescent="0.25">
      <c r="A1563" s="3">
        <v>43983</v>
      </c>
      <c r="B1563" s="2" t="s">
        <v>100</v>
      </c>
      <c r="C1563" s="2">
        <v>-0.49</v>
      </c>
      <c r="D1563" s="2">
        <v>6.9999999999999999E-4</v>
      </c>
      <c r="E1563" s="2">
        <v>-3.4300000000000002E-6</v>
      </c>
      <c r="F1563" s="2" t="s">
        <v>7</v>
      </c>
    </row>
    <row r="1564" spans="1:6" ht="22.5" hidden="1" customHeight="1" x14ac:dyDescent="0.25">
      <c r="A1564" s="3">
        <v>43983</v>
      </c>
      <c r="B1564" s="2" t="s">
        <v>101</v>
      </c>
      <c r="C1564" s="2">
        <v>-0.95</v>
      </c>
      <c r="D1564" s="2">
        <v>0.1009</v>
      </c>
      <c r="E1564" s="2">
        <v>-9.5854999999999996E-4</v>
      </c>
      <c r="F1564" s="2" t="s">
        <v>7</v>
      </c>
    </row>
    <row r="1565" spans="1:6" ht="22.5" hidden="1" customHeight="1" x14ac:dyDescent="0.25">
      <c r="A1565" s="3">
        <v>43983</v>
      </c>
      <c r="B1565" s="2" t="s">
        <v>102</v>
      </c>
      <c r="C1565" s="2">
        <v>-1.1299999999999999</v>
      </c>
      <c r="D1565" s="2">
        <v>4.4400000000000002E-2</v>
      </c>
      <c r="E1565" s="2">
        <v>-5.0171999999999999E-4</v>
      </c>
      <c r="F1565" s="2" t="s">
        <v>7</v>
      </c>
    </row>
    <row r="1566" spans="1:6" ht="22.5" hidden="1" customHeight="1" x14ac:dyDescent="0.25">
      <c r="A1566" s="3">
        <v>43983</v>
      </c>
      <c r="B1566" s="2" t="s">
        <v>103</v>
      </c>
      <c r="C1566" s="2">
        <v>0.75</v>
      </c>
      <c r="D1566" s="2">
        <v>0.29870000000000002</v>
      </c>
      <c r="E1566" s="2">
        <v>2.2402500000000001E-3</v>
      </c>
      <c r="F1566" s="2" t="s">
        <v>7</v>
      </c>
    </row>
    <row r="1567" spans="1:6" ht="22.5" hidden="1" customHeight="1" x14ac:dyDescent="0.25">
      <c r="A1567" s="3">
        <v>43983</v>
      </c>
      <c r="B1567" s="2" t="s">
        <v>104</v>
      </c>
      <c r="C1567" s="2">
        <v>-7.0000000000000007E-2</v>
      </c>
      <c r="D1567" s="2">
        <v>5.3199999999999997E-2</v>
      </c>
      <c r="E1567" s="2">
        <v>-3.7240000000000003E-5</v>
      </c>
      <c r="F1567" s="2" t="s">
        <v>7</v>
      </c>
    </row>
    <row r="1568" spans="1:6" ht="22.5" hidden="1" customHeight="1" x14ac:dyDescent="0.25">
      <c r="A1568" s="3">
        <v>43983</v>
      </c>
      <c r="B1568" s="2" t="s">
        <v>105</v>
      </c>
      <c r="C1568" s="2">
        <v>-1.1299999999999999</v>
      </c>
      <c r="D1568" s="2">
        <v>8.8999999999999999E-3</v>
      </c>
      <c r="E1568" s="2">
        <v>-1.0056999999999999E-4</v>
      </c>
      <c r="F1568" s="2" t="s">
        <v>7</v>
      </c>
    </row>
    <row r="1569" spans="1:6" ht="22.5" hidden="1" customHeight="1" x14ac:dyDescent="0.25">
      <c r="A1569" s="3">
        <v>43983</v>
      </c>
      <c r="B1569" s="2" t="s">
        <v>106</v>
      </c>
      <c r="C1569" s="2">
        <v>-1.27</v>
      </c>
      <c r="D1569" s="2">
        <v>8.8000000000000005E-3</v>
      </c>
      <c r="E1569" s="2">
        <v>-1.1176E-4</v>
      </c>
      <c r="F1569" s="2" t="s">
        <v>7</v>
      </c>
    </row>
    <row r="1570" spans="1:6" ht="22.5" hidden="1" customHeight="1" x14ac:dyDescent="0.25">
      <c r="A1570" s="3">
        <v>43983</v>
      </c>
      <c r="B1570" s="2" t="s">
        <v>107</v>
      </c>
      <c r="C1570" s="2">
        <v>1.28</v>
      </c>
      <c r="D1570" s="2">
        <v>0.1163</v>
      </c>
      <c r="E1570" s="2">
        <v>1.4886400000000001E-3</v>
      </c>
      <c r="F1570" s="2" t="s">
        <v>7</v>
      </c>
    </row>
    <row r="1571" spans="1:6" ht="22.5" hidden="1" customHeight="1" x14ac:dyDescent="0.25">
      <c r="A1571" s="3">
        <v>43983</v>
      </c>
      <c r="B1571" s="2" t="s">
        <v>108</v>
      </c>
      <c r="C1571" s="2">
        <v>-1.83</v>
      </c>
      <c r="D1571" s="2">
        <v>7.7999999999999996E-3</v>
      </c>
      <c r="E1571" s="2">
        <v>-1.4274000000000001E-4</v>
      </c>
      <c r="F1571" s="2" t="s">
        <v>7</v>
      </c>
    </row>
    <row r="1572" spans="1:6" ht="22.5" hidden="1" customHeight="1" x14ac:dyDescent="0.25">
      <c r="A1572" s="3">
        <v>43983</v>
      </c>
      <c r="B1572" s="2" t="s">
        <v>109</v>
      </c>
      <c r="C1572" s="2">
        <v>-0.67</v>
      </c>
      <c r="D1572" s="2">
        <v>0.33660000000000001</v>
      </c>
      <c r="E1572" s="2">
        <v>-2.2552200000000001E-3</v>
      </c>
      <c r="F1572" s="2" t="s">
        <v>7</v>
      </c>
    </row>
    <row r="1573" spans="1:6" ht="22.5" hidden="1" customHeight="1" x14ac:dyDescent="0.25">
      <c r="A1573" s="3">
        <v>43983</v>
      </c>
      <c r="B1573" s="2" t="s">
        <v>110</v>
      </c>
      <c r="C1573" s="2">
        <v>-0.65</v>
      </c>
      <c r="D1573" s="2">
        <v>0.57979999999999998</v>
      </c>
      <c r="E1573" s="2">
        <v>-3.7686999999999998E-3</v>
      </c>
      <c r="F1573" s="2" t="s">
        <v>7</v>
      </c>
    </row>
    <row r="1574" spans="1:6" ht="22.5" hidden="1" customHeight="1" x14ac:dyDescent="0.25">
      <c r="A1574" s="3">
        <v>43983</v>
      </c>
      <c r="B1574" s="2" t="s">
        <v>111</v>
      </c>
      <c r="C1574" s="2">
        <v>-0.68</v>
      </c>
      <c r="D1574" s="2">
        <v>0.24909999999999999</v>
      </c>
      <c r="E1574" s="2">
        <v>-1.69388E-3</v>
      </c>
      <c r="F1574" s="2" t="s">
        <v>7</v>
      </c>
    </row>
    <row r="1575" spans="1:6" ht="22.5" hidden="1" customHeight="1" x14ac:dyDescent="0.25">
      <c r="A1575" s="3">
        <v>43983</v>
      </c>
      <c r="B1575" s="2" t="s">
        <v>112</v>
      </c>
      <c r="C1575" s="2">
        <v>0.28999999999999998</v>
      </c>
      <c r="D1575" s="2">
        <v>0.68120000000000003</v>
      </c>
      <c r="E1575" s="2">
        <v>1.9754799999999999E-3</v>
      </c>
      <c r="F1575" s="2" t="s">
        <v>7</v>
      </c>
    </row>
    <row r="1576" spans="1:6" ht="22.5" hidden="1" customHeight="1" x14ac:dyDescent="0.25">
      <c r="A1576" s="3">
        <v>43983</v>
      </c>
      <c r="B1576" s="2" t="s">
        <v>113</v>
      </c>
      <c r="C1576" s="2">
        <v>-1.9</v>
      </c>
      <c r="D1576" s="2">
        <v>0.02</v>
      </c>
      <c r="E1576" s="2">
        <v>-3.8000000000000002E-4</v>
      </c>
      <c r="F1576" s="2" t="s">
        <v>7</v>
      </c>
    </row>
    <row r="1577" spans="1:6" ht="22.5" hidden="1" customHeight="1" x14ac:dyDescent="0.25">
      <c r="A1577" s="3">
        <v>43983</v>
      </c>
      <c r="B1577" s="2" t="s">
        <v>114</v>
      </c>
      <c r="C1577" s="2">
        <v>-0.22</v>
      </c>
      <c r="D1577" s="2">
        <v>0.1855</v>
      </c>
      <c r="E1577" s="2">
        <v>-4.081E-4</v>
      </c>
      <c r="F1577" s="2" t="s">
        <v>7</v>
      </c>
    </row>
    <row r="1578" spans="1:6" ht="22.5" hidden="1" customHeight="1" x14ac:dyDescent="0.25">
      <c r="A1578" s="3">
        <v>43983</v>
      </c>
      <c r="B1578" s="2" t="s">
        <v>115</v>
      </c>
      <c r="C1578" s="2">
        <v>0.69</v>
      </c>
      <c r="D1578" s="2">
        <v>0.49830000000000002</v>
      </c>
      <c r="E1578" s="2">
        <v>3.4382700000000002E-3</v>
      </c>
      <c r="F1578" s="2" t="s">
        <v>7</v>
      </c>
    </row>
    <row r="1579" spans="1:6" ht="22.5" hidden="1" customHeight="1" x14ac:dyDescent="0.25">
      <c r="A1579" s="3">
        <v>43983</v>
      </c>
      <c r="B1579" s="2" t="s">
        <v>116</v>
      </c>
      <c r="C1579" s="2">
        <v>-1.1100000000000001</v>
      </c>
      <c r="D1579" s="2">
        <v>0.1517</v>
      </c>
      <c r="E1579" s="2">
        <v>-1.6838700000000001E-3</v>
      </c>
      <c r="F1579" s="2" t="s">
        <v>7</v>
      </c>
    </row>
    <row r="1580" spans="1:6" ht="22.5" hidden="1" customHeight="1" x14ac:dyDescent="0.25">
      <c r="A1580" s="3">
        <v>43983</v>
      </c>
      <c r="B1580" s="2" t="s">
        <v>117</v>
      </c>
      <c r="C1580" s="2">
        <v>0.56000000000000005</v>
      </c>
      <c r="D1580" s="2">
        <v>5.2900000000000003E-2</v>
      </c>
      <c r="E1580" s="2">
        <v>2.9624000000000002E-4</v>
      </c>
      <c r="F1580" s="2" t="s">
        <v>7</v>
      </c>
    </row>
    <row r="1581" spans="1:6" ht="22.5" hidden="1" customHeight="1" x14ac:dyDescent="0.25">
      <c r="A1581" s="3">
        <v>43983</v>
      </c>
      <c r="B1581" s="2" t="s">
        <v>118</v>
      </c>
      <c r="C1581" s="2">
        <v>-0.33</v>
      </c>
      <c r="D1581" s="2">
        <v>6.0499999999999998E-2</v>
      </c>
      <c r="E1581" s="2">
        <v>-1.9965E-4</v>
      </c>
      <c r="F1581" s="2" t="s">
        <v>7</v>
      </c>
    </row>
    <row r="1582" spans="1:6" ht="22.5" hidden="1" customHeight="1" x14ac:dyDescent="0.25">
      <c r="A1582" s="3">
        <v>43983</v>
      </c>
      <c r="B1582" s="2" t="s">
        <v>119</v>
      </c>
      <c r="C1582" s="2">
        <v>-1.0900000000000001</v>
      </c>
      <c r="D1582" s="2">
        <v>1.0699999999999999E-2</v>
      </c>
      <c r="E1582" s="2">
        <v>-1.1663E-4</v>
      </c>
      <c r="F1582" s="2" t="s">
        <v>7</v>
      </c>
    </row>
    <row r="1583" spans="1:6" ht="22.5" hidden="1" customHeight="1" x14ac:dyDescent="0.25">
      <c r="A1583" s="3">
        <v>43983</v>
      </c>
      <c r="B1583" s="2" t="s">
        <v>120</v>
      </c>
      <c r="C1583" s="2">
        <v>1.45</v>
      </c>
      <c r="D1583" s="2">
        <v>0.44940000000000002</v>
      </c>
      <c r="E1583" s="2">
        <v>6.5163E-3</v>
      </c>
      <c r="F1583" s="2" t="s">
        <v>7</v>
      </c>
    </row>
    <row r="1584" spans="1:6" ht="22.5" hidden="1" customHeight="1" x14ac:dyDescent="0.25">
      <c r="A1584" s="3">
        <v>43983</v>
      </c>
      <c r="B1584" s="2" t="s">
        <v>121</v>
      </c>
      <c r="C1584" s="2">
        <v>-0.17</v>
      </c>
      <c r="D1584" s="2">
        <v>0.80100000000000005</v>
      </c>
      <c r="E1584" s="2">
        <v>-1.3617E-3</v>
      </c>
      <c r="F1584" s="2" t="s">
        <v>7</v>
      </c>
    </row>
    <row r="1585" spans="1:6" ht="22.5" hidden="1" customHeight="1" x14ac:dyDescent="0.25">
      <c r="A1585" s="3">
        <v>43983</v>
      </c>
      <c r="B1585" s="2" t="s">
        <v>122</v>
      </c>
      <c r="C1585" s="2">
        <v>-2.4300000000000002</v>
      </c>
      <c r="D1585" s="2">
        <v>8.5900000000000004E-2</v>
      </c>
      <c r="E1585" s="2">
        <v>-2.0873699999999999E-3</v>
      </c>
      <c r="F1585" s="2" t="s">
        <v>7</v>
      </c>
    </row>
    <row r="1586" spans="1:6" ht="22.5" hidden="1" customHeight="1" x14ac:dyDescent="0.25">
      <c r="A1586" s="3">
        <v>43983</v>
      </c>
      <c r="B1586" s="2" t="s">
        <v>123</v>
      </c>
      <c r="C1586" s="2">
        <v>0.45</v>
      </c>
      <c r="D1586" s="2">
        <v>9.8299999999999998E-2</v>
      </c>
      <c r="E1586" s="2">
        <v>4.4234999999999999E-4</v>
      </c>
      <c r="F1586" s="2" t="s">
        <v>7</v>
      </c>
    </row>
    <row r="1587" spans="1:6" ht="22.5" hidden="1" customHeight="1" x14ac:dyDescent="0.25">
      <c r="A1587" s="3">
        <v>43983</v>
      </c>
      <c r="B1587" s="2" t="s">
        <v>124</v>
      </c>
      <c r="C1587" s="2">
        <v>-1.07</v>
      </c>
      <c r="D1587" s="2">
        <v>0.1416</v>
      </c>
      <c r="E1587" s="2">
        <v>-1.51512E-3</v>
      </c>
      <c r="F1587" s="2" t="s">
        <v>7</v>
      </c>
    </row>
    <row r="1588" spans="1:6" ht="22.5" hidden="1" customHeight="1" x14ac:dyDescent="0.25">
      <c r="A1588" s="3">
        <v>43983</v>
      </c>
      <c r="B1588" s="2" t="s">
        <v>125</v>
      </c>
      <c r="C1588" s="2">
        <v>2.73</v>
      </c>
      <c r="D1588" s="2">
        <v>3.1800000000000002E-2</v>
      </c>
      <c r="E1588" s="2">
        <v>8.6813999999999999E-4</v>
      </c>
      <c r="F1588" s="2" t="s">
        <v>7</v>
      </c>
    </row>
    <row r="1589" spans="1:6" ht="22.5" hidden="1" customHeight="1" x14ac:dyDescent="0.25">
      <c r="A1589" s="3">
        <v>43983</v>
      </c>
      <c r="B1589" s="2" t="s">
        <v>126</v>
      </c>
      <c r="C1589" s="2">
        <v>-0.26</v>
      </c>
      <c r="D1589" s="2">
        <v>0.1835</v>
      </c>
      <c r="E1589" s="2">
        <v>-4.771E-4</v>
      </c>
      <c r="F1589" s="2" t="s">
        <v>7</v>
      </c>
    </row>
    <row r="1590" spans="1:6" ht="22.5" hidden="1" customHeight="1" x14ac:dyDescent="0.25">
      <c r="A1590" s="3">
        <v>43983</v>
      </c>
      <c r="B1590" s="2" t="s">
        <v>127</v>
      </c>
      <c r="C1590" s="2">
        <v>2.48</v>
      </c>
      <c r="D1590" s="2">
        <v>6.0699999999999997E-2</v>
      </c>
      <c r="E1590" s="2">
        <v>1.5053600000000001E-3</v>
      </c>
      <c r="F1590" s="2" t="s">
        <v>7</v>
      </c>
    </row>
    <row r="1591" spans="1:6" ht="22.5" hidden="1" customHeight="1" x14ac:dyDescent="0.25">
      <c r="A1591" s="3">
        <v>43983</v>
      </c>
      <c r="B1591" s="2" t="s">
        <v>128</v>
      </c>
      <c r="C1591" s="2">
        <v>-0.84</v>
      </c>
      <c r="D1591" s="2">
        <v>9.1600000000000001E-2</v>
      </c>
      <c r="E1591" s="2">
        <v>-7.6944000000000003E-4</v>
      </c>
      <c r="F1591" s="2" t="s">
        <v>7</v>
      </c>
    </row>
    <row r="1592" spans="1:6" ht="22.5" hidden="1" customHeight="1" x14ac:dyDescent="0.25">
      <c r="A1592" s="3">
        <v>43983</v>
      </c>
      <c r="B1592" s="2" t="s">
        <v>129</v>
      </c>
      <c r="C1592" s="2">
        <v>0.15</v>
      </c>
      <c r="D1592" s="2">
        <v>0.13569999999999999</v>
      </c>
      <c r="E1592" s="2">
        <v>2.0354999999999999E-4</v>
      </c>
      <c r="F1592" s="2" t="s">
        <v>7</v>
      </c>
    </row>
    <row r="1593" spans="1:6" ht="22.5" hidden="1" customHeight="1" x14ac:dyDescent="0.25">
      <c r="A1593" s="3">
        <v>43983</v>
      </c>
      <c r="B1593" s="2" t="s">
        <v>130</v>
      </c>
      <c r="C1593" s="2">
        <v>0.41</v>
      </c>
      <c r="D1593" s="2">
        <v>1.35E-2</v>
      </c>
      <c r="E1593" s="2">
        <v>5.5349999999999997E-5</v>
      </c>
      <c r="F1593" s="2" t="s">
        <v>7</v>
      </c>
    </row>
    <row r="1594" spans="1:6" ht="22.5" hidden="1" customHeight="1" x14ac:dyDescent="0.25">
      <c r="A1594" s="3">
        <v>43983</v>
      </c>
      <c r="B1594" s="2" t="s">
        <v>131</v>
      </c>
      <c r="C1594" s="2">
        <v>-0.19</v>
      </c>
      <c r="D1594" s="2">
        <v>6.6000000000000003E-2</v>
      </c>
      <c r="E1594" s="2">
        <v>-1.2540000000000001E-4</v>
      </c>
      <c r="F1594" s="2" t="s">
        <v>7</v>
      </c>
    </row>
    <row r="1595" spans="1:6" ht="22.5" hidden="1" customHeight="1" x14ac:dyDescent="0.25">
      <c r="A1595" s="3">
        <v>43983</v>
      </c>
      <c r="B1595" s="2" t="s">
        <v>132</v>
      </c>
      <c r="C1595" s="2">
        <v>0.67</v>
      </c>
      <c r="D1595" s="2">
        <v>0.28960000000000002</v>
      </c>
      <c r="E1595" s="2">
        <v>1.9403199999999999E-3</v>
      </c>
      <c r="F1595" s="2" t="s">
        <v>7</v>
      </c>
    </row>
    <row r="1596" spans="1:6" ht="22.5" hidden="1" customHeight="1" x14ac:dyDescent="0.25">
      <c r="A1596" s="3">
        <v>43983</v>
      </c>
      <c r="B1596" s="2" t="s">
        <v>133</v>
      </c>
      <c r="C1596" s="2">
        <v>0.37</v>
      </c>
      <c r="D1596" s="2">
        <v>8.9999999999999993E-3</v>
      </c>
      <c r="E1596" s="2">
        <v>3.3300000000000003E-5</v>
      </c>
      <c r="F1596" s="2" t="s">
        <v>7</v>
      </c>
    </row>
    <row r="1597" spans="1:6" ht="22.5" hidden="1" customHeight="1" x14ac:dyDescent="0.25">
      <c r="A1597" s="3">
        <v>43983</v>
      </c>
      <c r="B1597" s="2" t="s">
        <v>134</v>
      </c>
      <c r="C1597" s="2">
        <v>-0.87</v>
      </c>
      <c r="D1597" s="2">
        <v>0.52110000000000001</v>
      </c>
      <c r="E1597" s="2">
        <v>-4.5335699999999998E-3</v>
      </c>
      <c r="F1597" s="2" t="s">
        <v>7</v>
      </c>
    </row>
    <row r="1598" spans="1:6" ht="22.5" hidden="1" customHeight="1" x14ac:dyDescent="0.25">
      <c r="A1598" s="3">
        <v>43983</v>
      </c>
      <c r="B1598" s="2" t="s">
        <v>135</v>
      </c>
      <c r="C1598" s="2">
        <v>-0.56000000000000005</v>
      </c>
      <c r="D1598" s="2">
        <v>0.41170000000000001</v>
      </c>
      <c r="E1598" s="2">
        <v>-2.3055200000000001E-3</v>
      </c>
      <c r="F1598" s="2" t="s">
        <v>7</v>
      </c>
    </row>
    <row r="1599" spans="1:6" ht="22.5" hidden="1" customHeight="1" x14ac:dyDescent="0.25">
      <c r="A1599" s="3">
        <v>43983</v>
      </c>
      <c r="B1599" s="2" t="s">
        <v>136</v>
      </c>
      <c r="C1599" s="2">
        <v>-0.79</v>
      </c>
      <c r="D1599" s="2">
        <v>3.7600000000000001E-2</v>
      </c>
      <c r="E1599" s="2">
        <v>-2.9703999999999999E-4</v>
      </c>
      <c r="F1599" s="2" t="s">
        <v>7</v>
      </c>
    </row>
    <row r="1600" spans="1:6" ht="22.5" hidden="1" customHeight="1" x14ac:dyDescent="0.25">
      <c r="A1600" s="3">
        <v>43983</v>
      </c>
      <c r="B1600" s="2" t="s">
        <v>137</v>
      </c>
      <c r="C1600" s="2">
        <v>-1.41</v>
      </c>
      <c r="D1600" s="2">
        <v>7.22E-2</v>
      </c>
      <c r="E1600" s="2">
        <v>-1.0180199999999999E-3</v>
      </c>
      <c r="F1600" s="2" t="s">
        <v>7</v>
      </c>
    </row>
    <row r="1601" spans="1:6" ht="22.5" hidden="1" customHeight="1" x14ac:dyDescent="0.25">
      <c r="A1601" s="3">
        <v>43983</v>
      </c>
      <c r="B1601" s="2" t="s">
        <v>138</v>
      </c>
      <c r="C1601" s="2">
        <v>0.55000000000000004</v>
      </c>
      <c r="D1601" s="2">
        <v>4.9200000000000001E-2</v>
      </c>
      <c r="E1601" s="2">
        <v>2.7060000000000002E-4</v>
      </c>
      <c r="F1601" s="2" t="s">
        <v>7</v>
      </c>
    </row>
    <row r="1602" spans="1:6" ht="22.5" hidden="1" customHeight="1" x14ac:dyDescent="0.25">
      <c r="A1602" s="3">
        <v>43983</v>
      </c>
      <c r="B1602" s="2" t="s">
        <v>139</v>
      </c>
      <c r="C1602" s="2">
        <v>2.2799999999999998</v>
      </c>
      <c r="D1602" s="2">
        <v>2.7199999999999998E-2</v>
      </c>
      <c r="E1602" s="2">
        <v>6.2016000000000003E-4</v>
      </c>
      <c r="F1602" s="2" t="s">
        <v>7</v>
      </c>
    </row>
    <row r="1603" spans="1:6" ht="22.5" hidden="1" customHeight="1" x14ac:dyDescent="0.25">
      <c r="A1603" s="3">
        <v>43983</v>
      </c>
      <c r="B1603" s="2" t="s">
        <v>140</v>
      </c>
      <c r="C1603" s="2">
        <v>-0.04</v>
      </c>
      <c r="D1603" s="2">
        <v>2.3E-3</v>
      </c>
      <c r="E1603" s="2">
        <v>-9.1999999999999998E-7</v>
      </c>
      <c r="F1603" s="2" t="s">
        <v>7</v>
      </c>
    </row>
    <row r="1604" spans="1:6" ht="22.5" hidden="1" customHeight="1" x14ac:dyDescent="0.25">
      <c r="A1604" s="3">
        <v>43983</v>
      </c>
      <c r="B1604" s="2" t="s">
        <v>141</v>
      </c>
      <c r="C1604" s="2">
        <v>-0.51</v>
      </c>
      <c r="D1604" s="2">
        <v>1.9300000000000001E-2</v>
      </c>
      <c r="E1604" s="2">
        <v>-9.8430000000000005E-5</v>
      </c>
      <c r="F1604" s="2" t="s">
        <v>7</v>
      </c>
    </row>
    <row r="1605" spans="1:6" ht="22.5" hidden="1" customHeight="1" x14ac:dyDescent="0.25">
      <c r="A1605" s="3">
        <v>43983</v>
      </c>
      <c r="B1605" s="2" t="s">
        <v>142</v>
      </c>
      <c r="C1605" s="2">
        <v>1.04</v>
      </c>
      <c r="D1605" s="2">
        <v>4.4999999999999997E-3</v>
      </c>
      <c r="E1605" s="2">
        <v>4.6799999999999999E-5</v>
      </c>
      <c r="F1605" s="2" t="s">
        <v>7</v>
      </c>
    </row>
    <row r="1606" spans="1:6" ht="22.5" hidden="1" customHeight="1" x14ac:dyDescent="0.25">
      <c r="A1606" s="3">
        <v>43983</v>
      </c>
      <c r="B1606" s="2" t="s">
        <v>143</v>
      </c>
      <c r="C1606" s="2">
        <v>0.76</v>
      </c>
      <c r="D1606" s="2">
        <v>3.8199999999999998E-2</v>
      </c>
      <c r="E1606" s="2">
        <v>2.9032E-4</v>
      </c>
      <c r="F1606" s="2" t="s">
        <v>7</v>
      </c>
    </row>
    <row r="1607" spans="1:6" ht="22.5" hidden="1" customHeight="1" x14ac:dyDescent="0.25">
      <c r="A1607" s="3">
        <v>43983</v>
      </c>
      <c r="B1607" s="2" t="s">
        <v>144</v>
      </c>
      <c r="C1607" s="2">
        <v>-0.33</v>
      </c>
      <c r="D1607" s="2">
        <v>1.4E-3</v>
      </c>
      <c r="E1607" s="2">
        <v>-4.6199999999999998E-6</v>
      </c>
      <c r="F1607" s="2" t="s">
        <v>7</v>
      </c>
    </row>
    <row r="1608" spans="1:6" ht="22.5" hidden="1" customHeight="1" x14ac:dyDescent="0.25">
      <c r="A1608" s="3">
        <v>43983</v>
      </c>
      <c r="B1608" s="2" t="s">
        <v>145</v>
      </c>
      <c r="C1608" s="2">
        <v>1.1399999999999999</v>
      </c>
      <c r="D1608" s="2">
        <v>1.6000000000000001E-3</v>
      </c>
      <c r="E1608" s="2">
        <v>1.8240000000000002E-5</v>
      </c>
      <c r="F1608" s="2" t="s">
        <v>7</v>
      </c>
    </row>
    <row r="1609" spans="1:6" ht="22.5" hidden="1" customHeight="1" x14ac:dyDescent="0.25">
      <c r="A1609" s="3">
        <v>43983</v>
      </c>
      <c r="B1609" s="2" t="s">
        <v>146</v>
      </c>
      <c r="C1609" s="2">
        <v>1.39</v>
      </c>
      <c r="D1609" s="2">
        <v>3.2399999999999998E-2</v>
      </c>
      <c r="E1609" s="2">
        <v>4.5036000000000002E-4</v>
      </c>
      <c r="F1609" s="2" t="s">
        <v>7</v>
      </c>
    </row>
    <row r="1610" spans="1:6" ht="22.5" hidden="1" customHeight="1" x14ac:dyDescent="0.25">
      <c r="A1610" s="3">
        <v>43983</v>
      </c>
      <c r="B1610" s="2" t="s">
        <v>147</v>
      </c>
      <c r="C1610" s="2">
        <v>-0.77</v>
      </c>
      <c r="D1610" s="2">
        <v>2.6499999999999999E-2</v>
      </c>
      <c r="E1610" s="2">
        <v>-2.0405E-4</v>
      </c>
      <c r="F1610" s="2" t="s">
        <v>7</v>
      </c>
    </row>
    <row r="1611" spans="1:6" ht="22.5" hidden="1" customHeight="1" x14ac:dyDescent="0.25">
      <c r="A1611" s="3">
        <v>43983</v>
      </c>
      <c r="B1611" s="2" t="s">
        <v>148</v>
      </c>
      <c r="C1611" s="2">
        <v>0.61</v>
      </c>
      <c r="D1611" s="2">
        <v>2.29E-2</v>
      </c>
      <c r="E1611" s="2">
        <v>1.3969000000000001E-4</v>
      </c>
      <c r="F1611" s="2" t="s">
        <v>7</v>
      </c>
    </row>
    <row r="1612" spans="1:6" ht="22.5" hidden="1" customHeight="1" x14ac:dyDescent="0.25">
      <c r="A1612" s="3">
        <v>43983</v>
      </c>
      <c r="B1612" s="2" t="s">
        <v>149</v>
      </c>
      <c r="C1612" s="2">
        <v>-1.05</v>
      </c>
      <c r="D1612" s="2">
        <v>2.5999999999999999E-3</v>
      </c>
      <c r="E1612" s="2">
        <v>-2.73E-5</v>
      </c>
      <c r="F1612" s="2" t="s">
        <v>7</v>
      </c>
    </row>
    <row r="1613" spans="1:6" ht="22.5" hidden="1" customHeight="1" x14ac:dyDescent="0.25">
      <c r="A1613" s="3">
        <v>43983</v>
      </c>
      <c r="B1613" s="2" t="s">
        <v>150</v>
      </c>
      <c r="C1613" s="2">
        <v>0.89</v>
      </c>
      <c r="D1613" s="2">
        <v>0.1143</v>
      </c>
      <c r="E1613" s="2">
        <v>1.01727E-3</v>
      </c>
      <c r="F1613" s="2" t="s">
        <v>7</v>
      </c>
    </row>
    <row r="1614" spans="1:6" ht="22.5" hidden="1" customHeight="1" x14ac:dyDescent="0.25">
      <c r="A1614" s="3">
        <v>43983</v>
      </c>
      <c r="B1614" s="2" t="s">
        <v>151</v>
      </c>
      <c r="C1614" s="2">
        <v>5.14</v>
      </c>
      <c r="D1614" s="2">
        <v>0.14030000000000001</v>
      </c>
      <c r="E1614" s="2">
        <v>7.2114199999999996E-3</v>
      </c>
      <c r="F1614" s="2" t="s">
        <v>7</v>
      </c>
    </row>
    <row r="1615" spans="1:6" ht="22.5" hidden="1" customHeight="1" x14ac:dyDescent="0.25">
      <c r="A1615" s="3">
        <v>43983</v>
      </c>
      <c r="B1615" s="2" t="s">
        <v>152</v>
      </c>
      <c r="C1615" s="2">
        <v>-0.56000000000000005</v>
      </c>
      <c r="D1615" s="2">
        <v>3.0999999999999999E-3</v>
      </c>
      <c r="E1615" s="2">
        <v>-1.736E-5</v>
      </c>
      <c r="F1615" s="2" t="s">
        <v>7</v>
      </c>
    </row>
    <row r="1616" spans="1:6" ht="22.5" hidden="1" customHeight="1" x14ac:dyDescent="0.25">
      <c r="A1616" s="3">
        <v>43983</v>
      </c>
      <c r="B1616" s="2" t="s">
        <v>153</v>
      </c>
      <c r="C1616" s="2">
        <v>-0.36</v>
      </c>
      <c r="D1616" s="2">
        <v>8.9999999999999998E-4</v>
      </c>
      <c r="E1616" s="2">
        <v>-3.2399999999999999E-6</v>
      </c>
      <c r="F1616" s="2" t="s">
        <v>7</v>
      </c>
    </row>
    <row r="1617" spans="1:6" ht="22.5" hidden="1" customHeight="1" x14ac:dyDescent="0.25">
      <c r="A1617" s="3">
        <v>43983</v>
      </c>
      <c r="B1617" s="2" t="s">
        <v>154</v>
      </c>
      <c r="C1617" s="2">
        <v>0</v>
      </c>
      <c r="D1617" s="2">
        <v>1.1000000000000001E-3</v>
      </c>
      <c r="E1617" s="2">
        <v>0</v>
      </c>
      <c r="F1617" s="2" t="s">
        <v>7</v>
      </c>
    </row>
    <row r="1618" spans="1:6" ht="22.5" hidden="1" customHeight="1" x14ac:dyDescent="0.25">
      <c r="A1618" s="3">
        <v>43983</v>
      </c>
      <c r="B1618" s="2" t="s">
        <v>155</v>
      </c>
      <c r="C1618" s="2">
        <v>-0.72</v>
      </c>
      <c r="D1618" s="2">
        <v>5.8999999999999999E-3</v>
      </c>
      <c r="E1618" s="2">
        <v>-4.248E-5</v>
      </c>
      <c r="F1618" s="2" t="s">
        <v>7</v>
      </c>
    </row>
    <row r="1619" spans="1:6" ht="22.5" hidden="1" customHeight="1" x14ac:dyDescent="0.25">
      <c r="A1619" s="3">
        <v>43983</v>
      </c>
      <c r="B1619" s="2" t="s">
        <v>156</v>
      </c>
      <c r="C1619" s="2">
        <v>1.55</v>
      </c>
      <c r="D1619" s="2">
        <v>4.5100000000000001E-2</v>
      </c>
      <c r="E1619" s="2">
        <v>6.9905E-4</v>
      </c>
      <c r="F1619" s="2" t="s">
        <v>7</v>
      </c>
    </row>
    <row r="1620" spans="1:6" ht="22.5" hidden="1" customHeight="1" x14ac:dyDescent="0.25">
      <c r="A1620" s="3">
        <v>43983</v>
      </c>
      <c r="B1620" s="2" t="s">
        <v>157</v>
      </c>
      <c r="C1620" s="2">
        <v>0.66</v>
      </c>
      <c r="D1620" s="2">
        <v>1.7299999999999999E-2</v>
      </c>
      <c r="E1620" s="2">
        <v>1.1417999999999999E-4</v>
      </c>
      <c r="F1620" s="2" t="s">
        <v>7</v>
      </c>
    </row>
    <row r="1621" spans="1:6" ht="22.5" hidden="1" customHeight="1" x14ac:dyDescent="0.25">
      <c r="A1621" s="3">
        <v>43983</v>
      </c>
      <c r="B1621" s="2" t="s">
        <v>158</v>
      </c>
      <c r="C1621" s="2">
        <v>-0.32</v>
      </c>
      <c r="D1621" s="2">
        <v>1.0200000000000001E-2</v>
      </c>
      <c r="E1621" s="2">
        <v>-3.2639999999999999E-5</v>
      </c>
      <c r="F1621" s="2" t="s">
        <v>7</v>
      </c>
    </row>
    <row r="1622" spans="1:6" ht="22.5" hidden="1" customHeight="1" x14ac:dyDescent="0.25">
      <c r="A1622" s="3">
        <v>43983</v>
      </c>
      <c r="B1622" s="2" t="s">
        <v>159</v>
      </c>
      <c r="C1622" s="2">
        <v>0.63</v>
      </c>
      <c r="D1622" s="2">
        <v>5.4100000000000002E-2</v>
      </c>
      <c r="E1622" s="2">
        <v>3.4082999999999997E-4</v>
      </c>
      <c r="F1622" s="2" t="s">
        <v>7</v>
      </c>
    </row>
    <row r="1623" spans="1:6" ht="22.5" hidden="1" customHeight="1" x14ac:dyDescent="0.25">
      <c r="A1623" s="3">
        <v>43983</v>
      </c>
      <c r="B1623" s="2" t="s">
        <v>160</v>
      </c>
      <c r="C1623" s="2">
        <v>0</v>
      </c>
      <c r="D1623" s="2">
        <v>3.8132999999999999</v>
      </c>
      <c r="E1623" s="2">
        <v>0</v>
      </c>
      <c r="F1623" s="2" t="s">
        <v>7</v>
      </c>
    </row>
    <row r="1624" spans="1:6" ht="22.5" hidden="1" customHeight="1" x14ac:dyDescent="0.25">
      <c r="A1624" s="3">
        <v>43983</v>
      </c>
      <c r="B1624" s="2" t="s">
        <v>161</v>
      </c>
      <c r="C1624" s="2">
        <v>0.82</v>
      </c>
      <c r="D1624" s="2">
        <v>1.7132000000000001</v>
      </c>
      <c r="E1624" s="2">
        <v>1.404824E-2</v>
      </c>
      <c r="F1624" s="2" t="s">
        <v>7</v>
      </c>
    </row>
    <row r="1625" spans="1:6" ht="22.5" hidden="1" customHeight="1" x14ac:dyDescent="0.25">
      <c r="A1625" s="3">
        <v>43983</v>
      </c>
      <c r="B1625" s="2" t="s">
        <v>134</v>
      </c>
      <c r="C1625" s="2">
        <v>-0.42</v>
      </c>
      <c r="D1625" s="2">
        <v>0.12640000000000001</v>
      </c>
      <c r="E1625" s="2">
        <v>-5.3087999999999996E-4</v>
      </c>
      <c r="F1625" s="2" t="s">
        <v>7</v>
      </c>
    </row>
    <row r="1626" spans="1:6" ht="22.5" hidden="1" customHeight="1" x14ac:dyDescent="0.25">
      <c r="A1626" s="3">
        <v>43983</v>
      </c>
      <c r="B1626" s="2" t="s">
        <v>162</v>
      </c>
      <c r="C1626" s="2">
        <v>2.89</v>
      </c>
      <c r="D1626" s="2">
        <v>4.2799999999999998E-2</v>
      </c>
      <c r="E1626" s="2">
        <v>1.2369200000000001E-3</v>
      </c>
      <c r="F1626" s="2" t="s">
        <v>7</v>
      </c>
    </row>
    <row r="1627" spans="1:6" ht="22.5" hidden="1" customHeight="1" x14ac:dyDescent="0.25">
      <c r="A1627" s="3">
        <v>43983</v>
      </c>
      <c r="B1627" s="2" t="s">
        <v>135</v>
      </c>
      <c r="C1627" s="2">
        <v>0.45</v>
      </c>
      <c r="D1627" s="2">
        <v>0.2954</v>
      </c>
      <c r="E1627" s="2">
        <v>1.3293000000000001E-3</v>
      </c>
      <c r="F1627" s="2" t="s">
        <v>7</v>
      </c>
    </row>
    <row r="1628" spans="1:6" ht="22.5" hidden="1" customHeight="1" x14ac:dyDescent="0.25">
      <c r="A1628" s="3">
        <v>43983</v>
      </c>
      <c r="B1628" s="2" t="s">
        <v>136</v>
      </c>
      <c r="C1628" s="2">
        <v>-2.0299999999999998</v>
      </c>
      <c r="D1628" s="2">
        <v>4.4000000000000003E-3</v>
      </c>
      <c r="E1628" s="2">
        <v>-8.9320000000000005E-5</v>
      </c>
      <c r="F1628" s="2" t="s">
        <v>7</v>
      </c>
    </row>
    <row r="1629" spans="1:6" ht="22.5" hidden="1" customHeight="1" x14ac:dyDescent="0.25">
      <c r="A1629" s="3">
        <v>43983</v>
      </c>
      <c r="B1629" s="2" t="s">
        <v>137</v>
      </c>
      <c r="C1629" s="2">
        <v>1.89</v>
      </c>
      <c r="D1629" s="2">
        <v>8.3999999999999995E-3</v>
      </c>
      <c r="E1629" s="2">
        <v>1.5876E-4</v>
      </c>
      <c r="F1629" s="2" t="s">
        <v>7</v>
      </c>
    </row>
    <row r="1630" spans="1:6" ht="22.5" hidden="1" customHeight="1" x14ac:dyDescent="0.25">
      <c r="A1630" s="3">
        <v>43983</v>
      </c>
      <c r="B1630" s="2" t="s">
        <v>163</v>
      </c>
      <c r="C1630" s="2">
        <v>-2</v>
      </c>
      <c r="D1630" s="2">
        <v>4.4999999999999997E-3</v>
      </c>
      <c r="E1630" s="2">
        <v>-9.0000000000000006E-5</v>
      </c>
      <c r="F1630" s="2" t="s">
        <v>7</v>
      </c>
    </row>
    <row r="1631" spans="1:6" ht="22.5" hidden="1" customHeight="1" x14ac:dyDescent="0.25">
      <c r="A1631" s="3">
        <v>43983</v>
      </c>
      <c r="B1631" s="2" t="s">
        <v>34</v>
      </c>
      <c r="C1631" s="2">
        <v>-0.22</v>
      </c>
      <c r="D1631" s="2">
        <v>5.21E-2</v>
      </c>
      <c r="E1631" s="2">
        <v>-1.1462E-4</v>
      </c>
      <c r="F1631" s="2" t="s">
        <v>7</v>
      </c>
    </row>
    <row r="1632" spans="1:6" ht="22.5" hidden="1" customHeight="1" x14ac:dyDescent="0.25">
      <c r="A1632" s="3">
        <v>43983</v>
      </c>
      <c r="B1632" s="2" t="s">
        <v>164</v>
      </c>
      <c r="C1632" s="2">
        <v>0.08</v>
      </c>
      <c r="D1632" s="2">
        <v>3.8553000000000002</v>
      </c>
      <c r="E1632" s="2">
        <v>3.0842399999999998E-3</v>
      </c>
      <c r="F1632" s="2" t="s">
        <v>165</v>
      </c>
    </row>
    <row r="1633" spans="1:6" ht="22.5" hidden="1" customHeight="1" x14ac:dyDescent="0.25">
      <c r="A1633" s="3">
        <v>43983</v>
      </c>
      <c r="B1633" s="2" t="s">
        <v>166</v>
      </c>
      <c r="C1633" s="2">
        <v>-0.09</v>
      </c>
      <c r="D1633" s="2">
        <v>2.4083000000000001</v>
      </c>
      <c r="E1633" s="2">
        <v>-2.1674699999999999E-3</v>
      </c>
      <c r="F1633" s="2" t="s">
        <v>165</v>
      </c>
    </row>
    <row r="1634" spans="1:6" ht="22.5" hidden="1" customHeight="1" x14ac:dyDescent="0.25">
      <c r="A1634" s="3">
        <v>44287</v>
      </c>
      <c r="B1634" s="2" t="s">
        <v>298</v>
      </c>
      <c r="C1634" s="2">
        <v>0.9</v>
      </c>
      <c r="D1634" s="2">
        <v>0.58740000000000003</v>
      </c>
      <c r="E1634" s="2">
        <v>5.2865999999999998E-3</v>
      </c>
      <c r="F1634" s="2" t="s">
        <v>168</v>
      </c>
    </row>
    <row r="1635" spans="1:6" ht="22.5" hidden="1" customHeight="1" x14ac:dyDescent="0.25">
      <c r="A1635" s="3">
        <v>43983</v>
      </c>
      <c r="B1635" s="2" t="s">
        <v>169</v>
      </c>
      <c r="C1635" s="2">
        <v>-0.91</v>
      </c>
      <c r="D1635" s="2">
        <v>9.9000000000000008E-3</v>
      </c>
      <c r="E1635" s="2">
        <v>-9.009E-5</v>
      </c>
      <c r="F1635" s="2" t="s">
        <v>170</v>
      </c>
    </row>
    <row r="1636" spans="1:6" ht="22.5" hidden="1" customHeight="1" x14ac:dyDescent="0.25">
      <c r="A1636" s="3">
        <v>43983</v>
      </c>
      <c r="B1636" s="2" t="s">
        <v>171</v>
      </c>
      <c r="C1636" s="2">
        <v>-0.4</v>
      </c>
      <c r="D1636" s="2">
        <v>1.44E-2</v>
      </c>
      <c r="E1636" s="2">
        <v>-5.7599999999999997E-5</v>
      </c>
      <c r="F1636" s="2" t="s">
        <v>170</v>
      </c>
    </row>
    <row r="1637" spans="1:6" ht="22.5" hidden="1" customHeight="1" x14ac:dyDescent="0.25">
      <c r="A1637" s="3">
        <v>43983</v>
      </c>
      <c r="B1637" s="2" t="s">
        <v>172</v>
      </c>
      <c r="C1637" s="2">
        <v>1.61</v>
      </c>
      <c r="D1637" s="2">
        <v>3.3999999999999998E-3</v>
      </c>
      <c r="E1637" s="2">
        <v>5.4740000000000001E-5</v>
      </c>
      <c r="F1637" s="2" t="s">
        <v>170</v>
      </c>
    </row>
    <row r="1638" spans="1:6" ht="22.5" hidden="1" customHeight="1" x14ac:dyDescent="0.25">
      <c r="A1638" s="3">
        <v>43983</v>
      </c>
      <c r="B1638" s="2" t="s">
        <v>173</v>
      </c>
      <c r="C1638" s="2">
        <v>0.88</v>
      </c>
      <c r="D1638" s="2">
        <v>0.25409999999999999</v>
      </c>
      <c r="E1638" s="2">
        <v>2.2360800000000001E-3</v>
      </c>
      <c r="F1638" s="2" t="s">
        <v>174</v>
      </c>
    </row>
    <row r="1639" spans="1:6" ht="22.5" hidden="1" customHeight="1" x14ac:dyDescent="0.25">
      <c r="A1639" s="3">
        <v>43983</v>
      </c>
      <c r="B1639" s="2" t="s">
        <v>175</v>
      </c>
      <c r="C1639" s="2">
        <v>-0.33</v>
      </c>
      <c r="D1639" s="2">
        <v>0.2175</v>
      </c>
      <c r="E1639" s="2">
        <v>-7.1774999999999996E-4</v>
      </c>
      <c r="F1639" s="2" t="s">
        <v>174</v>
      </c>
    </row>
    <row r="1640" spans="1:6" ht="22.5" hidden="1" customHeight="1" x14ac:dyDescent="0.25">
      <c r="A1640" s="3">
        <v>43983</v>
      </c>
      <c r="B1640" s="2" t="s">
        <v>176</v>
      </c>
      <c r="C1640" s="2">
        <v>3.59</v>
      </c>
      <c r="D1640" s="2">
        <v>1.3299999999999999E-2</v>
      </c>
      <c r="E1640" s="2">
        <v>4.7747000000000002E-4</v>
      </c>
      <c r="F1640" s="2" t="s">
        <v>170</v>
      </c>
    </row>
    <row r="1641" spans="1:6" ht="22.5" hidden="1" customHeight="1" x14ac:dyDescent="0.25">
      <c r="A1641" s="3">
        <v>43983</v>
      </c>
      <c r="B1641" s="2" t="s">
        <v>177</v>
      </c>
      <c r="C1641" s="2">
        <v>1.26</v>
      </c>
      <c r="D1641" s="2">
        <v>2.01E-2</v>
      </c>
      <c r="E1641" s="2">
        <v>2.5326E-4</v>
      </c>
      <c r="F1641" s="2" t="s">
        <v>170</v>
      </c>
    </row>
    <row r="1642" spans="1:6" ht="22.5" hidden="1" customHeight="1" x14ac:dyDescent="0.25">
      <c r="A1642" s="3">
        <v>43983</v>
      </c>
      <c r="B1642" s="2" t="s">
        <v>178</v>
      </c>
      <c r="C1642" s="2">
        <v>1.63</v>
      </c>
      <c r="D1642" s="2">
        <v>1.7299999999999999E-2</v>
      </c>
      <c r="E1642" s="2">
        <v>2.8198999999999998E-4</v>
      </c>
      <c r="F1642" s="2" t="s">
        <v>170</v>
      </c>
    </row>
    <row r="1643" spans="1:6" ht="22.5" hidden="1" customHeight="1" x14ac:dyDescent="0.25">
      <c r="A1643" s="3">
        <v>43983</v>
      </c>
      <c r="B1643" s="2" t="s">
        <v>179</v>
      </c>
      <c r="C1643" s="2">
        <v>-0.33</v>
      </c>
      <c r="D1643" s="2">
        <v>3.7199999999999997E-2</v>
      </c>
      <c r="E1643" s="2">
        <v>-1.2276E-4</v>
      </c>
      <c r="F1643" s="2" t="s">
        <v>170</v>
      </c>
    </row>
    <row r="1644" spans="1:6" ht="22.5" hidden="1" customHeight="1" x14ac:dyDescent="0.25">
      <c r="A1644" s="3">
        <v>43983</v>
      </c>
      <c r="B1644" s="2" t="s">
        <v>180</v>
      </c>
      <c r="C1644" s="2">
        <v>-0.21</v>
      </c>
      <c r="D1644" s="2">
        <v>0.67589999999999995</v>
      </c>
      <c r="E1644" s="2">
        <v>-1.41939E-3</v>
      </c>
      <c r="F1644" s="2" t="s">
        <v>165</v>
      </c>
    </row>
    <row r="1645" spans="1:6" ht="22.5" hidden="1" customHeight="1" x14ac:dyDescent="0.25">
      <c r="A1645" s="3">
        <v>43983</v>
      </c>
      <c r="B1645" s="2" t="s">
        <v>181</v>
      </c>
      <c r="C1645" s="2">
        <v>1.65</v>
      </c>
      <c r="D1645" s="2">
        <v>1.2200000000000001E-2</v>
      </c>
      <c r="E1645" s="2">
        <v>2.0129999999999999E-4</v>
      </c>
      <c r="F1645" s="2" t="s">
        <v>174</v>
      </c>
    </row>
    <row r="1646" spans="1:6" ht="22.5" hidden="1" customHeight="1" x14ac:dyDescent="0.25">
      <c r="A1646" s="3">
        <v>43983</v>
      </c>
      <c r="B1646" s="2" t="s">
        <v>182</v>
      </c>
      <c r="C1646" s="2">
        <v>-0.46</v>
      </c>
      <c r="D1646" s="2">
        <v>3.6799999999999999E-2</v>
      </c>
      <c r="E1646" s="2">
        <v>-1.6928000000000001E-4</v>
      </c>
      <c r="F1646" s="2" t="s">
        <v>170</v>
      </c>
    </row>
    <row r="1647" spans="1:6" ht="22.5" hidden="1" customHeight="1" x14ac:dyDescent="0.25">
      <c r="A1647" s="3">
        <v>43983</v>
      </c>
      <c r="B1647" s="2" t="s">
        <v>183</v>
      </c>
      <c r="C1647" s="2">
        <v>2.1800000000000002</v>
      </c>
      <c r="D1647" s="2">
        <v>4.3E-3</v>
      </c>
      <c r="E1647" s="2">
        <v>9.3739999999999994E-5</v>
      </c>
      <c r="F1647" s="2" t="s">
        <v>174</v>
      </c>
    </row>
    <row r="1648" spans="1:6" ht="22.5" hidden="1" customHeight="1" x14ac:dyDescent="0.25">
      <c r="A1648" s="3">
        <v>43983</v>
      </c>
      <c r="B1648" s="2" t="s">
        <v>184</v>
      </c>
      <c r="C1648" s="2">
        <v>0</v>
      </c>
      <c r="D1648" s="2">
        <v>6.4500000000000002E-2</v>
      </c>
      <c r="E1648" s="2">
        <v>0</v>
      </c>
      <c r="F1648" s="2" t="s">
        <v>174</v>
      </c>
    </row>
    <row r="1649" spans="1:6" ht="22.5" hidden="1" customHeight="1" x14ac:dyDescent="0.25">
      <c r="A1649" s="3">
        <v>43983</v>
      </c>
      <c r="B1649" s="2" t="s">
        <v>185</v>
      </c>
      <c r="C1649" s="2">
        <v>-0.19</v>
      </c>
      <c r="D1649" s="2">
        <v>0.15390000000000001</v>
      </c>
      <c r="E1649" s="2">
        <v>-2.9241E-4</v>
      </c>
      <c r="F1649" s="2" t="s">
        <v>174</v>
      </c>
    </row>
    <row r="1650" spans="1:6" ht="22.5" hidden="1" customHeight="1" x14ac:dyDescent="0.25">
      <c r="A1650" s="3">
        <v>43983</v>
      </c>
      <c r="B1650" s="2" t="s">
        <v>186</v>
      </c>
      <c r="C1650" s="2">
        <v>0.76</v>
      </c>
      <c r="D1650" s="2">
        <v>0.22370000000000001</v>
      </c>
      <c r="E1650" s="2">
        <v>1.7001200000000001E-3</v>
      </c>
      <c r="F1650" s="2" t="s">
        <v>174</v>
      </c>
    </row>
    <row r="1651" spans="1:6" ht="22.5" hidden="1" customHeight="1" x14ac:dyDescent="0.25">
      <c r="A1651" s="3">
        <v>43983</v>
      </c>
      <c r="B1651" s="2" t="s">
        <v>187</v>
      </c>
      <c r="C1651" s="2">
        <v>-0.35</v>
      </c>
      <c r="D1651" s="2">
        <v>6.1800000000000001E-2</v>
      </c>
      <c r="E1651" s="2">
        <v>-2.163E-4</v>
      </c>
      <c r="F1651" s="2" t="s">
        <v>174</v>
      </c>
    </row>
    <row r="1652" spans="1:6" ht="22.5" hidden="1" customHeight="1" x14ac:dyDescent="0.25">
      <c r="A1652" s="3">
        <v>43983</v>
      </c>
      <c r="B1652" s="2" t="s">
        <v>188</v>
      </c>
      <c r="C1652" s="2">
        <v>0.81</v>
      </c>
      <c r="D1652" s="2">
        <v>2.6100000000000002E-2</v>
      </c>
      <c r="E1652" s="2">
        <v>2.1141000000000001E-4</v>
      </c>
      <c r="F1652" s="2" t="s">
        <v>174</v>
      </c>
    </row>
    <row r="1653" spans="1:6" ht="22.5" hidden="1" customHeight="1" x14ac:dyDescent="0.25">
      <c r="A1653" s="3">
        <v>43983</v>
      </c>
      <c r="B1653" s="2" t="s">
        <v>189</v>
      </c>
      <c r="C1653" s="2">
        <v>0.79</v>
      </c>
      <c r="D1653" s="2">
        <v>3.5999999999999999E-3</v>
      </c>
      <c r="E1653" s="2">
        <v>2.8439999999999999E-5</v>
      </c>
      <c r="F1653" s="2" t="s">
        <v>174</v>
      </c>
    </row>
    <row r="1654" spans="1:6" ht="22.5" hidden="1" customHeight="1" x14ac:dyDescent="0.25">
      <c r="A1654" s="3">
        <v>43983</v>
      </c>
      <c r="B1654" s="2" t="s">
        <v>190</v>
      </c>
      <c r="C1654" s="2">
        <v>-2.59</v>
      </c>
      <c r="D1654" s="2">
        <v>5.1000000000000004E-3</v>
      </c>
      <c r="E1654" s="2">
        <v>-1.3208999999999999E-4</v>
      </c>
      <c r="F1654" s="2" t="s">
        <v>174</v>
      </c>
    </row>
    <row r="1655" spans="1:6" ht="22.5" hidden="1" customHeight="1" x14ac:dyDescent="0.25">
      <c r="A1655" s="3">
        <v>43983</v>
      </c>
      <c r="B1655" s="2" t="s">
        <v>191</v>
      </c>
      <c r="C1655" s="2">
        <v>0.52</v>
      </c>
      <c r="D1655" s="2">
        <v>2.7400000000000001E-2</v>
      </c>
      <c r="E1655" s="2">
        <v>1.4248E-4</v>
      </c>
      <c r="F1655" s="2" t="s">
        <v>174</v>
      </c>
    </row>
    <row r="1656" spans="1:6" ht="22.5" hidden="1" customHeight="1" x14ac:dyDescent="0.25">
      <c r="A1656" s="3">
        <v>43983</v>
      </c>
      <c r="B1656" s="2" t="s">
        <v>192</v>
      </c>
      <c r="C1656" s="2">
        <v>3.58</v>
      </c>
      <c r="D1656" s="2">
        <v>5.1000000000000004E-3</v>
      </c>
      <c r="E1656" s="2">
        <v>1.8258E-4</v>
      </c>
      <c r="F1656" s="2" t="s">
        <v>174</v>
      </c>
    </row>
    <row r="1657" spans="1:6" ht="22.5" hidden="1" customHeight="1" x14ac:dyDescent="0.25">
      <c r="A1657" s="3">
        <v>43983</v>
      </c>
      <c r="B1657" s="2" t="s">
        <v>193</v>
      </c>
      <c r="C1657" s="2">
        <v>-0.19</v>
      </c>
      <c r="D1657" s="2">
        <v>0.17169999999999999</v>
      </c>
      <c r="E1657" s="2">
        <v>-3.2623E-4</v>
      </c>
      <c r="F1657" s="2" t="s">
        <v>174</v>
      </c>
    </row>
    <row r="1658" spans="1:6" ht="22.5" hidden="1" customHeight="1" x14ac:dyDescent="0.25">
      <c r="A1658" s="3">
        <v>43983</v>
      </c>
      <c r="B1658" s="2" t="s">
        <v>194</v>
      </c>
      <c r="C1658" s="2">
        <v>-0.76</v>
      </c>
      <c r="D1658" s="2">
        <v>3.3999999999999998E-3</v>
      </c>
      <c r="E1658" s="2">
        <v>-2.584E-5</v>
      </c>
      <c r="F1658" s="2" t="s">
        <v>174</v>
      </c>
    </row>
    <row r="1659" spans="1:6" ht="22.5" hidden="1" customHeight="1" x14ac:dyDescent="0.25">
      <c r="A1659" s="3">
        <v>44228</v>
      </c>
      <c r="B1659" s="2" t="s">
        <v>286</v>
      </c>
      <c r="C1659" s="2">
        <v>2.89</v>
      </c>
      <c r="D1659" s="2">
        <v>0.1825</v>
      </c>
      <c r="E1659" s="2">
        <v>5.2742500000000003E-3</v>
      </c>
      <c r="F1659" s="2" t="s">
        <v>168</v>
      </c>
    </row>
    <row r="1660" spans="1:6" ht="22.5" hidden="1" customHeight="1" x14ac:dyDescent="0.25">
      <c r="A1660" s="3">
        <v>44287</v>
      </c>
      <c r="B1660" s="2" t="s">
        <v>289</v>
      </c>
      <c r="C1660" s="2">
        <v>0.98</v>
      </c>
      <c r="D1660" s="2">
        <v>0.53669999999999995</v>
      </c>
      <c r="E1660" s="2">
        <v>5.2596600000000002E-3</v>
      </c>
      <c r="F1660" s="2" t="s">
        <v>168</v>
      </c>
    </row>
    <row r="1661" spans="1:6" ht="22.5" hidden="1" customHeight="1" x14ac:dyDescent="0.25">
      <c r="A1661" s="3">
        <v>44562</v>
      </c>
      <c r="B1661" s="2" t="s">
        <v>367</v>
      </c>
      <c r="C1661" s="2">
        <v>0.37</v>
      </c>
      <c r="D1661" s="2">
        <v>1.4149</v>
      </c>
      <c r="E1661" s="2">
        <v>5.2351300000000002E-3</v>
      </c>
      <c r="F1661" s="2" t="s">
        <v>168</v>
      </c>
    </row>
    <row r="1662" spans="1:6" ht="22.5" hidden="1" customHeight="1" x14ac:dyDescent="0.25">
      <c r="A1662" s="3">
        <v>43983</v>
      </c>
      <c r="B1662" s="2" t="s">
        <v>198</v>
      </c>
      <c r="C1662" s="2">
        <v>-2.96</v>
      </c>
      <c r="D1662" s="2">
        <v>0.3483</v>
      </c>
      <c r="E1662" s="2">
        <v>-1.030968E-2</v>
      </c>
      <c r="F1662" s="2" t="s">
        <v>170</v>
      </c>
    </row>
    <row r="1663" spans="1:6" ht="22.5" hidden="1" customHeight="1" x14ac:dyDescent="0.25">
      <c r="A1663" s="3">
        <v>43983</v>
      </c>
      <c r="B1663" s="2" t="s">
        <v>199</v>
      </c>
      <c r="C1663" s="2">
        <v>-2.09</v>
      </c>
      <c r="D1663" s="2">
        <v>0.46500000000000002</v>
      </c>
      <c r="E1663" s="2">
        <v>-9.7184999999999997E-3</v>
      </c>
      <c r="F1663" s="2" t="s">
        <v>170</v>
      </c>
    </row>
    <row r="1664" spans="1:6" ht="22.5" hidden="1" customHeight="1" x14ac:dyDescent="0.25">
      <c r="A1664" s="3">
        <v>43983</v>
      </c>
      <c r="B1664" s="2" t="s">
        <v>200</v>
      </c>
      <c r="C1664" s="2">
        <v>-2.2200000000000002</v>
      </c>
      <c r="D1664" s="2">
        <v>0.1938</v>
      </c>
      <c r="E1664" s="2">
        <v>-4.3023599999999999E-3</v>
      </c>
      <c r="F1664" s="2" t="s">
        <v>170</v>
      </c>
    </row>
    <row r="1665" spans="1:6" ht="22.5" hidden="1" customHeight="1" x14ac:dyDescent="0.25">
      <c r="A1665" s="3">
        <v>43983</v>
      </c>
      <c r="B1665" s="2" t="s">
        <v>201</v>
      </c>
      <c r="C1665" s="2">
        <v>-0.53</v>
      </c>
      <c r="D1665" s="2">
        <v>2.6599999999999999E-2</v>
      </c>
      <c r="E1665" s="2">
        <v>-1.4098E-4</v>
      </c>
      <c r="F1665" s="2" t="s">
        <v>170</v>
      </c>
    </row>
    <row r="1666" spans="1:6" ht="22.5" hidden="1" customHeight="1" x14ac:dyDescent="0.25">
      <c r="A1666" s="3">
        <v>43983</v>
      </c>
      <c r="B1666" s="2" t="s">
        <v>202</v>
      </c>
      <c r="C1666" s="2">
        <v>1.02</v>
      </c>
      <c r="D1666" s="2">
        <v>1.3599999999999999E-2</v>
      </c>
      <c r="E1666" s="2">
        <v>1.3872E-4</v>
      </c>
      <c r="F1666" s="2" t="s">
        <v>170</v>
      </c>
    </row>
    <row r="1667" spans="1:6" ht="22.5" hidden="1" customHeight="1" x14ac:dyDescent="0.25">
      <c r="A1667" s="3">
        <v>43983</v>
      </c>
      <c r="B1667" s="2" t="s">
        <v>203</v>
      </c>
      <c r="C1667" s="2">
        <v>-0.61</v>
      </c>
      <c r="D1667" s="2">
        <v>8.3599999999999994E-2</v>
      </c>
      <c r="E1667" s="2">
        <v>-5.0995999999999995E-4</v>
      </c>
      <c r="F1667" s="2" t="s">
        <v>170</v>
      </c>
    </row>
    <row r="1668" spans="1:6" ht="22.5" hidden="1" customHeight="1" x14ac:dyDescent="0.25">
      <c r="A1668" s="3">
        <v>43983</v>
      </c>
      <c r="B1668" s="2" t="s">
        <v>204</v>
      </c>
      <c r="C1668" s="2">
        <v>0.44</v>
      </c>
      <c r="D1668" s="2">
        <v>6.1899999999999997E-2</v>
      </c>
      <c r="E1668" s="2">
        <v>2.7235999999999997E-4</v>
      </c>
      <c r="F1668" s="2" t="s">
        <v>174</v>
      </c>
    </row>
    <row r="1669" spans="1:6" ht="22.5" hidden="1" customHeight="1" x14ac:dyDescent="0.25">
      <c r="A1669" s="3">
        <v>43983</v>
      </c>
      <c r="B1669" s="2" t="s">
        <v>205</v>
      </c>
      <c r="C1669" s="2">
        <v>0.5</v>
      </c>
      <c r="D1669" s="2">
        <v>9.6000000000000002E-2</v>
      </c>
      <c r="E1669" s="2">
        <v>4.8000000000000001E-4</v>
      </c>
      <c r="F1669" s="2" t="s">
        <v>174</v>
      </c>
    </row>
    <row r="1670" spans="1:6" ht="22.5" hidden="1" customHeight="1" x14ac:dyDescent="0.25">
      <c r="A1670" s="3">
        <v>43983</v>
      </c>
      <c r="B1670" s="2" t="s">
        <v>206</v>
      </c>
      <c r="C1670" s="2">
        <v>0.47</v>
      </c>
      <c r="D1670" s="2">
        <v>0.15890000000000001</v>
      </c>
      <c r="E1670" s="2">
        <v>7.4682999999999998E-4</v>
      </c>
      <c r="F1670" s="2" t="s">
        <v>174</v>
      </c>
    </row>
    <row r="1671" spans="1:6" ht="22.5" hidden="1" customHeight="1" x14ac:dyDescent="0.25">
      <c r="A1671" s="3">
        <v>43983</v>
      </c>
      <c r="B1671" s="2" t="s">
        <v>207</v>
      </c>
      <c r="C1671" s="2">
        <v>-0.36</v>
      </c>
      <c r="D1671" s="2">
        <v>5.0200000000000002E-2</v>
      </c>
      <c r="E1671" s="2">
        <v>-1.8071999999999999E-4</v>
      </c>
      <c r="F1671" s="2" t="s">
        <v>174</v>
      </c>
    </row>
    <row r="1672" spans="1:6" ht="22.5" hidden="1" customHeight="1" x14ac:dyDescent="0.25">
      <c r="A1672" s="3">
        <v>43983</v>
      </c>
      <c r="B1672" s="2" t="s">
        <v>208</v>
      </c>
      <c r="C1672" s="2">
        <v>-0.45</v>
      </c>
      <c r="D1672" s="2">
        <v>8.8999999999999999E-3</v>
      </c>
      <c r="E1672" s="2">
        <v>-4.0049999999999998E-5</v>
      </c>
      <c r="F1672" s="2" t="s">
        <v>174</v>
      </c>
    </row>
    <row r="1673" spans="1:6" ht="22.5" hidden="1" customHeight="1" x14ac:dyDescent="0.25">
      <c r="A1673" s="3">
        <v>43983</v>
      </c>
      <c r="B1673" s="2" t="s">
        <v>209</v>
      </c>
      <c r="C1673" s="2">
        <v>3.07</v>
      </c>
      <c r="D1673" s="2">
        <v>5.5999999999999999E-3</v>
      </c>
      <c r="E1673" s="2">
        <v>1.7191999999999999E-4</v>
      </c>
      <c r="F1673" s="2" t="s">
        <v>174</v>
      </c>
    </row>
    <row r="1674" spans="1:6" ht="22.5" hidden="1" customHeight="1" x14ac:dyDescent="0.25">
      <c r="A1674" s="3">
        <v>43983</v>
      </c>
      <c r="B1674" s="2" t="s">
        <v>210</v>
      </c>
      <c r="C1674" s="2">
        <v>-0.54</v>
      </c>
      <c r="D1674" s="2">
        <v>1.47E-2</v>
      </c>
      <c r="E1674" s="2">
        <v>-7.9380000000000002E-5</v>
      </c>
      <c r="F1674" s="2" t="s">
        <v>170</v>
      </c>
    </row>
    <row r="1675" spans="1:6" ht="22.5" hidden="1" customHeight="1" x14ac:dyDescent="0.25">
      <c r="A1675" s="3">
        <v>43983</v>
      </c>
      <c r="B1675" s="2" t="s">
        <v>211</v>
      </c>
      <c r="C1675" s="2">
        <v>0.64</v>
      </c>
      <c r="D1675" s="2">
        <v>0.18909999999999999</v>
      </c>
      <c r="E1675" s="2">
        <v>1.21024E-3</v>
      </c>
      <c r="F1675" s="2" t="s">
        <v>174</v>
      </c>
    </row>
    <row r="1676" spans="1:6" ht="22.5" hidden="1" customHeight="1" x14ac:dyDescent="0.25">
      <c r="A1676" s="3">
        <v>43983</v>
      </c>
      <c r="B1676" s="2" t="s">
        <v>212</v>
      </c>
      <c r="C1676" s="2">
        <v>-1.42</v>
      </c>
      <c r="D1676" s="2">
        <v>4.5999999999999999E-3</v>
      </c>
      <c r="E1676" s="2">
        <v>-6.5320000000000005E-5</v>
      </c>
      <c r="F1676" s="2" t="s">
        <v>174</v>
      </c>
    </row>
    <row r="1677" spans="1:6" ht="22.5" hidden="1" customHeight="1" x14ac:dyDescent="0.25">
      <c r="A1677" s="3">
        <v>43983</v>
      </c>
      <c r="B1677" s="2" t="s">
        <v>213</v>
      </c>
      <c r="C1677" s="2">
        <v>4</v>
      </c>
      <c r="D1677" s="2">
        <v>0.31819999999999998</v>
      </c>
      <c r="E1677" s="2">
        <v>1.2728E-2</v>
      </c>
      <c r="F1677" s="2" t="s">
        <v>170</v>
      </c>
    </row>
    <row r="1678" spans="1:6" ht="22.5" hidden="1" customHeight="1" x14ac:dyDescent="0.25">
      <c r="A1678" s="3">
        <v>43983</v>
      </c>
      <c r="B1678" s="2" t="s">
        <v>214</v>
      </c>
      <c r="C1678" s="2">
        <v>0.67</v>
      </c>
      <c r="D1678" s="2">
        <v>9.6100000000000005E-2</v>
      </c>
      <c r="E1678" s="2">
        <v>6.4386999999999995E-4</v>
      </c>
      <c r="F1678" s="2" t="s">
        <v>170</v>
      </c>
    </row>
    <row r="1679" spans="1:6" ht="22.5" hidden="1" customHeight="1" x14ac:dyDescent="0.25">
      <c r="A1679" s="3">
        <v>43983</v>
      </c>
      <c r="B1679" s="2" t="s">
        <v>215</v>
      </c>
      <c r="C1679" s="2">
        <v>3.61</v>
      </c>
      <c r="D1679" s="2">
        <v>0.24060000000000001</v>
      </c>
      <c r="E1679" s="2">
        <v>8.6856599999999996E-3</v>
      </c>
      <c r="F1679" s="2" t="s">
        <v>170</v>
      </c>
    </row>
    <row r="1680" spans="1:6" ht="22.5" hidden="1" customHeight="1" x14ac:dyDescent="0.25">
      <c r="A1680" s="3">
        <v>43983</v>
      </c>
      <c r="B1680" s="2" t="s">
        <v>216</v>
      </c>
      <c r="C1680" s="2">
        <v>1</v>
      </c>
      <c r="D1680" s="2">
        <v>1.46E-2</v>
      </c>
      <c r="E1680" s="2">
        <v>1.46E-4</v>
      </c>
      <c r="F1680" s="2" t="s">
        <v>170</v>
      </c>
    </row>
    <row r="1681" spans="1:6" ht="22.5" hidden="1" customHeight="1" x14ac:dyDescent="0.25">
      <c r="A1681" s="3">
        <v>43983</v>
      </c>
      <c r="B1681" s="2" t="s">
        <v>217</v>
      </c>
      <c r="C1681" s="2">
        <v>3.59</v>
      </c>
      <c r="D1681" s="2">
        <v>0.158</v>
      </c>
      <c r="E1681" s="2">
        <v>5.6721999999999996E-3</v>
      </c>
      <c r="F1681" s="2" t="s">
        <v>170</v>
      </c>
    </row>
    <row r="1682" spans="1:6" ht="22.5" hidden="1" customHeight="1" x14ac:dyDescent="0.25">
      <c r="A1682" s="3">
        <v>43983</v>
      </c>
      <c r="B1682" s="2" t="s">
        <v>218</v>
      </c>
      <c r="C1682" s="2">
        <v>2.0499999999999998</v>
      </c>
      <c r="D1682" s="2">
        <v>7.0000000000000001E-3</v>
      </c>
      <c r="E1682" s="2">
        <v>1.4349999999999999E-4</v>
      </c>
      <c r="F1682" s="2" t="s">
        <v>170</v>
      </c>
    </row>
    <row r="1683" spans="1:6" ht="22.5" hidden="1" customHeight="1" x14ac:dyDescent="0.25">
      <c r="A1683" s="3">
        <v>43983</v>
      </c>
      <c r="B1683" s="2" t="s">
        <v>219</v>
      </c>
      <c r="C1683" s="2">
        <v>5.55</v>
      </c>
      <c r="D1683" s="2">
        <v>0.44119999999999998</v>
      </c>
      <c r="E1683" s="2">
        <v>2.4486600000000001E-2</v>
      </c>
      <c r="F1683" s="2" t="s">
        <v>170</v>
      </c>
    </row>
    <row r="1684" spans="1:6" ht="22.5" hidden="1" customHeight="1" x14ac:dyDescent="0.25">
      <c r="A1684" s="3">
        <v>43983</v>
      </c>
      <c r="B1684" s="2" t="s">
        <v>220</v>
      </c>
      <c r="C1684" s="2">
        <v>3.26</v>
      </c>
      <c r="D1684" s="2">
        <v>1.1299999999999999E-2</v>
      </c>
      <c r="E1684" s="2">
        <v>3.6838000000000002E-4</v>
      </c>
      <c r="F1684" s="2" t="s">
        <v>170</v>
      </c>
    </row>
    <row r="1685" spans="1:6" ht="22.5" hidden="1" customHeight="1" x14ac:dyDescent="0.25">
      <c r="A1685" s="3">
        <v>43983</v>
      </c>
      <c r="B1685" s="2" t="s">
        <v>221</v>
      </c>
      <c r="C1685" s="2">
        <v>5.73</v>
      </c>
      <c r="D1685" s="2">
        <v>3.3E-3</v>
      </c>
      <c r="E1685" s="2">
        <v>1.8908999999999999E-4</v>
      </c>
      <c r="F1685" s="2" t="s">
        <v>170</v>
      </c>
    </row>
    <row r="1686" spans="1:6" ht="22.5" hidden="1" customHeight="1" x14ac:dyDescent="0.25">
      <c r="A1686" s="3">
        <v>43983</v>
      </c>
      <c r="B1686" s="2" t="s">
        <v>222</v>
      </c>
      <c r="C1686" s="2">
        <v>5.01</v>
      </c>
      <c r="D1686" s="2">
        <v>0.31409999999999999</v>
      </c>
      <c r="E1686" s="2">
        <v>1.5736409999999999E-2</v>
      </c>
      <c r="F1686" s="2" t="s">
        <v>170</v>
      </c>
    </row>
    <row r="1687" spans="1:6" ht="22.5" hidden="1" customHeight="1" x14ac:dyDescent="0.25">
      <c r="A1687" s="3">
        <v>43983</v>
      </c>
      <c r="B1687" s="2" t="s">
        <v>223</v>
      </c>
      <c r="C1687" s="2">
        <v>0.39</v>
      </c>
      <c r="D1687" s="2">
        <v>1.7299999999999999E-2</v>
      </c>
      <c r="E1687" s="2">
        <v>6.7470000000000003E-5</v>
      </c>
      <c r="F1687" s="2" t="s">
        <v>165</v>
      </c>
    </row>
    <row r="1688" spans="1:6" ht="22.5" hidden="1" customHeight="1" x14ac:dyDescent="0.25">
      <c r="A1688" s="3">
        <v>43983</v>
      </c>
      <c r="B1688" s="2" t="s">
        <v>224</v>
      </c>
      <c r="C1688" s="2">
        <v>-1.84</v>
      </c>
      <c r="D1688" s="2">
        <v>2.3999999999999998E-3</v>
      </c>
      <c r="E1688" s="2">
        <v>-4.4159999999999997E-5</v>
      </c>
      <c r="F1688" s="2" t="s">
        <v>165</v>
      </c>
    </row>
    <row r="1689" spans="1:6" ht="22.5" hidden="1" customHeight="1" x14ac:dyDescent="0.25">
      <c r="A1689" s="3">
        <v>43983</v>
      </c>
      <c r="B1689" s="2" t="s">
        <v>225</v>
      </c>
      <c r="C1689" s="2">
        <v>0.15</v>
      </c>
      <c r="D1689" s="2">
        <v>4.7000000000000002E-3</v>
      </c>
      <c r="E1689" s="2">
        <v>7.0500000000000003E-6</v>
      </c>
      <c r="F1689" s="2" t="s">
        <v>165</v>
      </c>
    </row>
    <row r="1690" spans="1:6" ht="22.5" hidden="1" customHeight="1" x14ac:dyDescent="0.25">
      <c r="A1690" s="3">
        <v>43983</v>
      </c>
      <c r="B1690" s="2" t="s">
        <v>226</v>
      </c>
      <c r="C1690" s="2">
        <v>1.07</v>
      </c>
      <c r="D1690" s="2">
        <v>4.8300000000000003E-2</v>
      </c>
      <c r="E1690" s="2">
        <v>5.1681000000000003E-4</v>
      </c>
      <c r="F1690" s="2" t="s">
        <v>165</v>
      </c>
    </row>
    <row r="1691" spans="1:6" ht="22.5" hidden="1" customHeight="1" x14ac:dyDescent="0.25">
      <c r="A1691" s="3">
        <v>43983</v>
      </c>
      <c r="B1691" s="2" t="s">
        <v>227</v>
      </c>
      <c r="C1691" s="2">
        <v>0.65</v>
      </c>
      <c r="D1691" s="2">
        <v>6.6500000000000004E-2</v>
      </c>
      <c r="E1691" s="2">
        <v>4.3225000000000002E-4</v>
      </c>
      <c r="F1691" s="2" t="s">
        <v>165</v>
      </c>
    </row>
    <row r="1692" spans="1:6" ht="22.5" hidden="1" customHeight="1" x14ac:dyDescent="0.25">
      <c r="A1692" s="3">
        <v>43983</v>
      </c>
      <c r="B1692" s="2" t="s">
        <v>228</v>
      </c>
      <c r="C1692" s="2">
        <v>1.19</v>
      </c>
      <c r="D1692" s="2">
        <v>0.1797</v>
      </c>
      <c r="E1692" s="2">
        <v>2.1384300000000002E-3</v>
      </c>
      <c r="F1692" s="2" t="s">
        <v>165</v>
      </c>
    </row>
    <row r="1693" spans="1:6" ht="22.5" hidden="1" customHeight="1" x14ac:dyDescent="0.25">
      <c r="A1693" s="3">
        <v>43983</v>
      </c>
      <c r="B1693" s="2" t="s">
        <v>229</v>
      </c>
      <c r="C1693" s="2">
        <v>0.45</v>
      </c>
      <c r="D1693" s="2">
        <v>0.29499999999999998</v>
      </c>
      <c r="E1693" s="2">
        <v>1.3274999999999999E-3</v>
      </c>
      <c r="F1693" s="2" t="s">
        <v>174</v>
      </c>
    </row>
    <row r="1694" spans="1:6" ht="22.5" hidden="1" customHeight="1" x14ac:dyDescent="0.25">
      <c r="A1694" s="3">
        <v>43983</v>
      </c>
      <c r="B1694" s="2" t="s">
        <v>230</v>
      </c>
      <c r="C1694" s="2">
        <v>0.53</v>
      </c>
      <c r="D1694" s="2">
        <v>2.3300000000000001E-2</v>
      </c>
      <c r="E1694" s="2">
        <v>1.2349E-4</v>
      </c>
      <c r="F1694" s="2" t="s">
        <v>174</v>
      </c>
    </row>
    <row r="1695" spans="1:6" ht="22.5" hidden="1" customHeight="1" x14ac:dyDescent="0.25">
      <c r="A1695" s="3">
        <v>43983</v>
      </c>
      <c r="B1695" s="2" t="s">
        <v>231</v>
      </c>
      <c r="C1695" s="2">
        <v>-0.15</v>
      </c>
      <c r="D1695" s="2">
        <v>0.17080000000000001</v>
      </c>
      <c r="E1695" s="2">
        <v>-2.5619999999999999E-4</v>
      </c>
      <c r="F1695" s="2" t="s">
        <v>174</v>
      </c>
    </row>
    <row r="1696" spans="1:6" ht="22.5" hidden="1" customHeight="1" x14ac:dyDescent="0.25">
      <c r="A1696" s="3">
        <v>43983</v>
      </c>
      <c r="B1696" s="2" t="s">
        <v>232</v>
      </c>
      <c r="C1696" s="2">
        <v>-1.53</v>
      </c>
      <c r="D1696" s="2">
        <v>5.5999999999999999E-3</v>
      </c>
      <c r="E1696" s="2">
        <v>-8.5680000000000006E-5</v>
      </c>
      <c r="F1696" s="2" t="s">
        <v>174</v>
      </c>
    </row>
    <row r="1697" spans="1:6" ht="22.5" hidden="1" customHeight="1" x14ac:dyDescent="0.25">
      <c r="A1697" s="3">
        <v>43983</v>
      </c>
      <c r="B1697" s="2" t="s">
        <v>233</v>
      </c>
      <c r="C1697" s="2">
        <v>-0.11</v>
      </c>
      <c r="D1697" s="2">
        <v>0.58009999999999995</v>
      </c>
      <c r="E1697" s="2">
        <v>-6.3811E-4</v>
      </c>
      <c r="F1697" s="2" t="s">
        <v>174</v>
      </c>
    </row>
    <row r="1698" spans="1:6" ht="22.5" hidden="1" customHeight="1" x14ac:dyDescent="0.25">
      <c r="A1698" s="3">
        <v>43983</v>
      </c>
      <c r="B1698" s="2" t="s">
        <v>234</v>
      </c>
      <c r="C1698" s="2">
        <v>-0.84</v>
      </c>
      <c r="D1698" s="2">
        <v>0.32679999999999998</v>
      </c>
      <c r="E1698" s="2">
        <v>-2.7451200000000002E-3</v>
      </c>
      <c r="F1698" s="2" t="s">
        <v>174</v>
      </c>
    </row>
    <row r="1699" spans="1:6" ht="22.5" hidden="1" customHeight="1" x14ac:dyDescent="0.25">
      <c r="A1699" s="3">
        <v>43983</v>
      </c>
      <c r="B1699" s="2" t="s">
        <v>235</v>
      </c>
      <c r="C1699" s="2">
        <v>-0.82</v>
      </c>
      <c r="D1699" s="2">
        <v>2.81E-2</v>
      </c>
      <c r="E1699" s="2">
        <v>-2.3042000000000001E-4</v>
      </c>
      <c r="F1699" s="2" t="s">
        <v>174</v>
      </c>
    </row>
    <row r="1700" spans="1:6" ht="22.5" hidden="1" customHeight="1" x14ac:dyDescent="0.25">
      <c r="A1700" s="3">
        <v>43983</v>
      </c>
      <c r="B1700" s="2" t="s">
        <v>236</v>
      </c>
      <c r="C1700" s="2">
        <v>1.48</v>
      </c>
      <c r="D1700" s="2">
        <v>7.9000000000000008E-3</v>
      </c>
      <c r="E1700" s="2">
        <v>1.1692E-4</v>
      </c>
      <c r="F1700" s="2" t="s">
        <v>174</v>
      </c>
    </row>
    <row r="1701" spans="1:6" ht="22.5" hidden="1" customHeight="1" x14ac:dyDescent="0.25">
      <c r="A1701" s="3">
        <v>43983</v>
      </c>
      <c r="B1701" s="2" t="s">
        <v>237</v>
      </c>
      <c r="C1701" s="2">
        <v>-0.09</v>
      </c>
      <c r="D1701" s="2">
        <v>0.30020000000000002</v>
      </c>
      <c r="E1701" s="2">
        <v>-2.7018000000000002E-4</v>
      </c>
      <c r="F1701" s="2" t="s">
        <v>174</v>
      </c>
    </row>
    <row r="1702" spans="1:6" ht="22.5" hidden="1" customHeight="1" x14ac:dyDescent="0.25">
      <c r="A1702" s="3">
        <v>43983</v>
      </c>
      <c r="B1702" s="2" t="s">
        <v>238</v>
      </c>
      <c r="C1702" s="2">
        <v>-0.27</v>
      </c>
      <c r="D1702" s="2">
        <v>0.54269999999999996</v>
      </c>
      <c r="E1702" s="2">
        <v>-1.46529E-3</v>
      </c>
      <c r="F1702" s="2" t="s">
        <v>174</v>
      </c>
    </row>
    <row r="1703" spans="1:6" ht="22.5" hidden="1" customHeight="1" x14ac:dyDescent="0.25">
      <c r="A1703" s="3">
        <v>43983</v>
      </c>
      <c r="B1703" s="2" t="s">
        <v>239</v>
      </c>
      <c r="C1703" s="2">
        <v>-0.71</v>
      </c>
      <c r="D1703" s="2">
        <v>0.1124</v>
      </c>
      <c r="E1703" s="2">
        <v>-7.9803999999999997E-4</v>
      </c>
      <c r="F1703" s="2" t="s">
        <v>174</v>
      </c>
    </row>
    <row r="1704" spans="1:6" ht="22.5" hidden="1" customHeight="1" x14ac:dyDescent="0.25">
      <c r="A1704" s="3">
        <v>43983</v>
      </c>
      <c r="B1704" s="2" t="s">
        <v>240</v>
      </c>
      <c r="C1704" s="2">
        <v>-1.43</v>
      </c>
      <c r="D1704" s="2">
        <v>6.6299999999999998E-2</v>
      </c>
      <c r="E1704" s="2">
        <v>-9.4808999999999996E-4</v>
      </c>
      <c r="F1704" s="2" t="s">
        <v>174</v>
      </c>
    </row>
    <row r="1705" spans="1:6" ht="22.5" hidden="1" customHeight="1" x14ac:dyDescent="0.25">
      <c r="A1705" s="3">
        <v>43983</v>
      </c>
      <c r="B1705" s="2" t="s">
        <v>241</v>
      </c>
      <c r="C1705" s="2">
        <v>0.37</v>
      </c>
      <c r="D1705" s="2">
        <v>8.5999999999999993E-2</v>
      </c>
      <c r="E1705" s="2">
        <v>3.1819999999999998E-4</v>
      </c>
      <c r="F1705" s="2" t="s">
        <v>174</v>
      </c>
    </row>
    <row r="1706" spans="1:6" ht="22.5" hidden="1" customHeight="1" x14ac:dyDescent="0.25">
      <c r="A1706" s="3">
        <v>43983</v>
      </c>
      <c r="B1706" s="2" t="s">
        <v>242</v>
      </c>
      <c r="C1706" s="2">
        <v>0.49</v>
      </c>
      <c r="D1706" s="2">
        <v>7.6300000000000007E-2</v>
      </c>
      <c r="E1706" s="2">
        <v>3.7387E-4</v>
      </c>
      <c r="F1706" s="2" t="s">
        <v>174</v>
      </c>
    </row>
    <row r="1707" spans="1:6" ht="22.5" hidden="1" customHeight="1" x14ac:dyDescent="0.25">
      <c r="A1707" s="3">
        <v>43983</v>
      </c>
      <c r="B1707" s="2" t="s">
        <v>243</v>
      </c>
      <c r="C1707" s="2">
        <v>-0.6</v>
      </c>
      <c r="D1707" s="2">
        <v>8.6999999999999994E-3</v>
      </c>
      <c r="E1707" s="2">
        <v>-5.2200000000000002E-5</v>
      </c>
      <c r="F1707" s="2" t="s">
        <v>174</v>
      </c>
    </row>
    <row r="1708" spans="1:6" ht="22.5" hidden="1" customHeight="1" x14ac:dyDescent="0.25">
      <c r="A1708" s="3">
        <v>43983</v>
      </c>
      <c r="B1708" s="2" t="s">
        <v>244</v>
      </c>
      <c r="C1708" s="2">
        <v>0</v>
      </c>
      <c r="D1708" s="2">
        <v>5.5399999999999998E-2</v>
      </c>
      <c r="E1708" s="2">
        <v>0</v>
      </c>
      <c r="F1708" s="2" t="s">
        <v>174</v>
      </c>
    </row>
    <row r="1709" spans="1:6" ht="22.5" hidden="1" customHeight="1" x14ac:dyDescent="0.25">
      <c r="A1709" s="3">
        <v>43983</v>
      </c>
      <c r="B1709" s="2" t="s">
        <v>245</v>
      </c>
      <c r="C1709" s="2">
        <v>-0.85</v>
      </c>
      <c r="D1709" s="2">
        <v>5.3999999999999999E-2</v>
      </c>
      <c r="E1709" s="2">
        <v>-4.5899999999999999E-4</v>
      </c>
      <c r="F1709" s="2" t="s">
        <v>174</v>
      </c>
    </row>
    <row r="1710" spans="1:6" ht="22.5" hidden="1" customHeight="1" x14ac:dyDescent="0.25">
      <c r="A1710" s="3">
        <v>43983</v>
      </c>
      <c r="B1710" s="2" t="s">
        <v>246</v>
      </c>
      <c r="C1710" s="2">
        <v>-0.54</v>
      </c>
      <c r="D1710" s="2">
        <v>0.19850000000000001</v>
      </c>
      <c r="E1710" s="2">
        <v>-1.0719E-3</v>
      </c>
      <c r="F1710" s="2" t="s">
        <v>174</v>
      </c>
    </row>
    <row r="1711" spans="1:6" ht="22.5" hidden="1" customHeight="1" x14ac:dyDescent="0.25">
      <c r="A1711" s="3">
        <v>43983</v>
      </c>
      <c r="B1711" s="2" t="s">
        <v>247</v>
      </c>
      <c r="C1711" s="2">
        <v>1.24</v>
      </c>
      <c r="D1711" s="2">
        <v>0.13900000000000001</v>
      </c>
      <c r="E1711" s="2">
        <v>1.7236E-3</v>
      </c>
      <c r="F1711" s="2" t="s">
        <v>174</v>
      </c>
    </row>
    <row r="1712" spans="1:6" ht="22.5" hidden="1" customHeight="1" x14ac:dyDescent="0.25">
      <c r="A1712" s="3">
        <v>43983</v>
      </c>
      <c r="B1712" s="2" t="s">
        <v>248</v>
      </c>
      <c r="C1712" s="2">
        <v>0.06</v>
      </c>
      <c r="D1712" s="2">
        <v>0.153</v>
      </c>
      <c r="E1712" s="2">
        <v>9.1799999999999995E-5</v>
      </c>
      <c r="F1712" s="2" t="s">
        <v>174</v>
      </c>
    </row>
    <row r="1713" spans="1:6" ht="22.5" hidden="1" customHeight="1" x14ac:dyDescent="0.25">
      <c r="A1713" s="3">
        <v>43983</v>
      </c>
      <c r="B1713" s="2" t="s">
        <v>249</v>
      </c>
      <c r="C1713" s="2">
        <v>0.22</v>
      </c>
      <c r="D1713" s="2">
        <v>0.28039999999999998</v>
      </c>
      <c r="E1713" s="2">
        <v>6.1687999999999999E-4</v>
      </c>
      <c r="F1713" s="2" t="s">
        <v>174</v>
      </c>
    </row>
    <row r="1714" spans="1:6" ht="22.5" hidden="1" customHeight="1" x14ac:dyDescent="0.25">
      <c r="A1714" s="3">
        <v>43983</v>
      </c>
      <c r="B1714" s="2" t="s">
        <v>250</v>
      </c>
      <c r="C1714" s="2">
        <v>-0.17</v>
      </c>
      <c r="D1714" s="2">
        <v>2.7400000000000001E-2</v>
      </c>
      <c r="E1714" s="2">
        <v>-4.6579999999999998E-5</v>
      </c>
      <c r="F1714" s="2" t="s">
        <v>174</v>
      </c>
    </row>
    <row r="1715" spans="1:6" ht="22.5" hidden="1" customHeight="1" x14ac:dyDescent="0.25">
      <c r="A1715" s="3">
        <v>43983</v>
      </c>
      <c r="B1715" s="2" t="s">
        <v>251</v>
      </c>
      <c r="C1715" s="2">
        <v>-0.61</v>
      </c>
      <c r="D1715" s="2">
        <v>6.3600000000000004E-2</v>
      </c>
      <c r="E1715" s="2">
        <v>-3.8796000000000002E-4</v>
      </c>
      <c r="F1715" s="2" t="s">
        <v>174</v>
      </c>
    </row>
    <row r="1716" spans="1:6" ht="22.5" hidden="1" customHeight="1" x14ac:dyDescent="0.25">
      <c r="A1716" s="3">
        <v>43983</v>
      </c>
      <c r="B1716" s="2" t="s">
        <v>252</v>
      </c>
      <c r="C1716" s="2">
        <v>-1.46</v>
      </c>
      <c r="D1716" s="2">
        <v>9.1000000000000004E-3</v>
      </c>
      <c r="E1716" s="2">
        <v>-1.3286E-4</v>
      </c>
      <c r="F1716" s="2" t="s">
        <v>174</v>
      </c>
    </row>
    <row r="1717" spans="1:6" ht="22.5" hidden="1" customHeight="1" x14ac:dyDescent="0.25">
      <c r="A1717" s="3">
        <v>43983</v>
      </c>
      <c r="B1717" s="2" t="s">
        <v>253</v>
      </c>
      <c r="C1717" s="2">
        <v>-0.28999999999999998</v>
      </c>
      <c r="D1717" s="2">
        <v>0.44619999999999999</v>
      </c>
      <c r="E1717" s="2">
        <v>-1.2939799999999999E-3</v>
      </c>
      <c r="F1717" s="2" t="s">
        <v>174</v>
      </c>
    </row>
    <row r="1718" spans="1:6" ht="22.5" hidden="1" customHeight="1" x14ac:dyDescent="0.25">
      <c r="A1718" s="3">
        <v>43983</v>
      </c>
      <c r="B1718" s="2" t="s">
        <v>254</v>
      </c>
      <c r="C1718" s="2">
        <v>-1.37</v>
      </c>
      <c r="D1718" s="2">
        <v>0.19489999999999999</v>
      </c>
      <c r="E1718" s="2">
        <v>-2.6701300000000002E-3</v>
      </c>
      <c r="F1718" s="2" t="s">
        <v>174</v>
      </c>
    </row>
    <row r="1719" spans="1:6" ht="22.5" hidden="1" customHeight="1" x14ac:dyDescent="0.25">
      <c r="A1719" s="3">
        <v>43983</v>
      </c>
      <c r="B1719" s="2" t="s">
        <v>255</v>
      </c>
      <c r="C1719" s="2">
        <v>0.55000000000000004</v>
      </c>
      <c r="D1719" s="2">
        <v>1.7500000000000002E-2</v>
      </c>
      <c r="E1719" s="2">
        <v>9.6249999999999995E-5</v>
      </c>
      <c r="F1719" s="2" t="s">
        <v>170</v>
      </c>
    </row>
    <row r="1720" spans="1:6" ht="22.5" hidden="1" customHeight="1" x14ac:dyDescent="0.25">
      <c r="A1720" s="3">
        <v>43983</v>
      </c>
      <c r="B1720" s="2" t="s">
        <v>256</v>
      </c>
      <c r="C1720" s="2">
        <v>0.67</v>
      </c>
      <c r="D1720" s="2">
        <v>0.1321</v>
      </c>
      <c r="E1720" s="2">
        <v>8.8506999999999995E-4</v>
      </c>
      <c r="F1720" s="2" t="s">
        <v>170</v>
      </c>
    </row>
    <row r="1721" spans="1:6" ht="22.5" hidden="1" customHeight="1" x14ac:dyDescent="0.25">
      <c r="A1721" s="3">
        <v>43983</v>
      </c>
      <c r="B1721" s="2" t="s">
        <v>257</v>
      </c>
      <c r="C1721" s="2">
        <v>1.65</v>
      </c>
      <c r="D1721" s="2">
        <v>4.8500000000000001E-2</v>
      </c>
      <c r="E1721" s="2">
        <v>8.0024999999999996E-4</v>
      </c>
      <c r="F1721" s="2" t="s">
        <v>170</v>
      </c>
    </row>
    <row r="1722" spans="1:6" ht="22.5" hidden="1" customHeight="1" x14ac:dyDescent="0.25">
      <c r="A1722" s="3">
        <v>43983</v>
      </c>
      <c r="B1722" s="2" t="s">
        <v>258</v>
      </c>
      <c r="C1722" s="2">
        <v>0.95</v>
      </c>
      <c r="D1722" s="2">
        <v>4.5499999999999999E-2</v>
      </c>
      <c r="E1722" s="2">
        <v>4.3225000000000002E-4</v>
      </c>
      <c r="F1722" s="2" t="s">
        <v>174</v>
      </c>
    </row>
    <row r="1723" spans="1:6" ht="22.5" hidden="1" customHeight="1" x14ac:dyDescent="0.25">
      <c r="A1723" s="3">
        <v>43983</v>
      </c>
      <c r="B1723" s="2" t="s">
        <v>259</v>
      </c>
      <c r="C1723" s="2">
        <v>-0.96</v>
      </c>
      <c r="D1723" s="2">
        <v>1.01E-2</v>
      </c>
      <c r="E1723" s="2">
        <v>-9.6959999999999993E-5</v>
      </c>
      <c r="F1723" s="2" t="s">
        <v>174</v>
      </c>
    </row>
    <row r="1724" spans="1:6" ht="22.5" hidden="1" customHeight="1" x14ac:dyDescent="0.25">
      <c r="A1724" s="3">
        <v>44287</v>
      </c>
      <c r="B1724" s="2" t="s">
        <v>286</v>
      </c>
      <c r="C1724" s="2">
        <v>2.54</v>
      </c>
      <c r="D1724" s="2">
        <v>0.20469999999999999</v>
      </c>
      <c r="E1724" s="2">
        <v>5.19938E-3</v>
      </c>
      <c r="F1724" s="2" t="s">
        <v>168</v>
      </c>
    </row>
    <row r="1725" spans="1:6" ht="22.5" hidden="1" customHeight="1" x14ac:dyDescent="0.25">
      <c r="A1725" s="3">
        <v>44075</v>
      </c>
      <c r="B1725" s="2" t="s">
        <v>286</v>
      </c>
      <c r="C1725" s="2">
        <v>2.93</v>
      </c>
      <c r="D1725" s="2">
        <v>0.17519999999999999</v>
      </c>
      <c r="E1725" s="2">
        <v>5.13336E-3</v>
      </c>
      <c r="F1725" s="2" t="s">
        <v>168</v>
      </c>
    </row>
    <row r="1726" spans="1:6" ht="22.5" hidden="1" customHeight="1" x14ac:dyDescent="0.25">
      <c r="A1726" s="3">
        <v>44317</v>
      </c>
      <c r="B1726" s="2" t="s">
        <v>286</v>
      </c>
      <c r="C1726" s="2">
        <v>2.46</v>
      </c>
      <c r="D1726" s="2">
        <v>0.20860000000000001</v>
      </c>
      <c r="E1726" s="2">
        <v>5.1315600000000003E-3</v>
      </c>
      <c r="F1726" s="2" t="s">
        <v>168</v>
      </c>
    </row>
    <row r="1727" spans="1:6" ht="22.5" hidden="1" customHeight="1" x14ac:dyDescent="0.25">
      <c r="A1727" s="3">
        <v>44317</v>
      </c>
      <c r="B1727" s="2" t="s">
        <v>167</v>
      </c>
      <c r="C1727" s="2">
        <v>0.28999999999999998</v>
      </c>
      <c r="D1727" s="2">
        <v>1.7555000000000001</v>
      </c>
      <c r="E1727" s="2">
        <v>5.0909500000000003E-3</v>
      </c>
      <c r="F1727" s="2" t="s">
        <v>168</v>
      </c>
    </row>
    <row r="1728" spans="1:6" ht="22.5" hidden="1" customHeight="1" x14ac:dyDescent="0.25">
      <c r="A1728" s="3">
        <v>43922</v>
      </c>
      <c r="B1728" s="2" t="s">
        <v>167</v>
      </c>
      <c r="C1728" s="2">
        <v>0.28000000000000003</v>
      </c>
      <c r="D1728" s="2">
        <v>1.8011999999999999</v>
      </c>
      <c r="E1728" s="2">
        <v>5.0433600000000002E-3</v>
      </c>
      <c r="F1728" s="2" t="s">
        <v>168</v>
      </c>
    </row>
    <row r="1729" spans="1:6" ht="22.5" hidden="1" customHeight="1" x14ac:dyDescent="0.25">
      <c r="A1729" s="3">
        <v>43922</v>
      </c>
      <c r="B1729" s="2" t="s">
        <v>260</v>
      </c>
      <c r="C1729" s="2">
        <v>0.36</v>
      </c>
      <c r="D1729" s="2">
        <v>1.3837999999999999</v>
      </c>
      <c r="E1729" s="2">
        <v>4.9816799999999996E-3</v>
      </c>
      <c r="F1729" s="2" t="s">
        <v>168</v>
      </c>
    </row>
    <row r="1730" spans="1:6" ht="22.5" hidden="1" customHeight="1" x14ac:dyDescent="0.25">
      <c r="A1730" s="3">
        <v>43862</v>
      </c>
      <c r="B1730" s="2" t="s">
        <v>365</v>
      </c>
      <c r="C1730" s="2">
        <v>8.26</v>
      </c>
      <c r="D1730" s="2">
        <v>0.06</v>
      </c>
      <c r="E1730" s="2">
        <v>4.9560000000000003E-3</v>
      </c>
      <c r="F1730" s="2" t="s">
        <v>168</v>
      </c>
    </row>
    <row r="1731" spans="1:6" ht="22.5" hidden="1" customHeight="1" x14ac:dyDescent="0.25">
      <c r="A1731" s="3">
        <v>43983</v>
      </c>
      <c r="B1731" s="2" t="s">
        <v>267</v>
      </c>
      <c r="C1731" s="2">
        <v>0</v>
      </c>
      <c r="D1731" s="2">
        <v>0.13739999999999999</v>
      </c>
      <c r="E1731" s="2">
        <v>0</v>
      </c>
      <c r="F1731" s="2" t="s">
        <v>165</v>
      </c>
    </row>
    <row r="1732" spans="1:6" ht="22.5" hidden="1" customHeight="1" x14ac:dyDescent="0.25">
      <c r="A1732" s="3">
        <v>43983</v>
      </c>
      <c r="B1732" s="2" t="s">
        <v>268</v>
      </c>
      <c r="C1732" s="2">
        <v>-0.96</v>
      </c>
      <c r="D1732" s="2">
        <v>0.21129999999999999</v>
      </c>
      <c r="E1732" s="2">
        <v>-2.02848E-3</v>
      </c>
      <c r="F1732" s="2" t="s">
        <v>165</v>
      </c>
    </row>
    <row r="1733" spans="1:6" ht="22.5" hidden="1" customHeight="1" x14ac:dyDescent="0.25">
      <c r="A1733" s="3">
        <v>43983</v>
      </c>
      <c r="B1733" s="2" t="s">
        <v>269</v>
      </c>
      <c r="C1733" s="2">
        <v>0</v>
      </c>
      <c r="D1733" s="2">
        <v>7.0599999999999996E-2</v>
      </c>
      <c r="E1733" s="2">
        <v>0</v>
      </c>
      <c r="F1733" s="2" t="s">
        <v>165</v>
      </c>
    </row>
    <row r="1734" spans="1:6" ht="22.5" hidden="1" customHeight="1" x14ac:dyDescent="0.25">
      <c r="A1734" s="3">
        <v>43983</v>
      </c>
      <c r="B1734" s="2" t="s">
        <v>270</v>
      </c>
      <c r="C1734" s="2">
        <v>0.27</v>
      </c>
      <c r="D1734" s="2">
        <v>2.9754999999999998</v>
      </c>
      <c r="E1734" s="2">
        <v>8.0338500000000004E-3</v>
      </c>
      <c r="F1734" s="2" t="s">
        <v>170</v>
      </c>
    </row>
    <row r="1735" spans="1:6" ht="22.5" hidden="1" customHeight="1" x14ac:dyDescent="0.25">
      <c r="A1735" s="3">
        <v>44105</v>
      </c>
      <c r="B1735" s="2" t="s">
        <v>197</v>
      </c>
      <c r="C1735" s="2">
        <v>0.11</v>
      </c>
      <c r="D1735" s="2">
        <v>4.3209</v>
      </c>
      <c r="E1735" s="2">
        <v>4.7529900000000003E-3</v>
      </c>
      <c r="F1735" s="2" t="s">
        <v>168</v>
      </c>
    </row>
    <row r="1736" spans="1:6" ht="22.5" hidden="1" customHeight="1" x14ac:dyDescent="0.25">
      <c r="A1736" s="3">
        <v>43983</v>
      </c>
      <c r="B1736" s="2" t="s">
        <v>272</v>
      </c>
      <c r="C1736" s="2">
        <v>-2.27</v>
      </c>
      <c r="D1736" s="2">
        <v>0.81120000000000003</v>
      </c>
      <c r="E1736" s="2">
        <v>-1.8414239999999998E-2</v>
      </c>
      <c r="F1736" s="2" t="s">
        <v>165</v>
      </c>
    </row>
    <row r="1737" spans="1:6" ht="22.5" hidden="1" customHeight="1" x14ac:dyDescent="0.25">
      <c r="A1737" s="3">
        <v>44562</v>
      </c>
      <c r="B1737" s="2" t="s">
        <v>167</v>
      </c>
      <c r="C1737" s="2">
        <v>0.28000000000000003</v>
      </c>
      <c r="D1737" s="2">
        <v>1.6882999999999999</v>
      </c>
      <c r="E1737" s="2">
        <v>4.7272399999999997E-3</v>
      </c>
      <c r="F1737" s="2" t="s">
        <v>168</v>
      </c>
    </row>
    <row r="1738" spans="1:6" ht="22.5" hidden="1" customHeight="1" x14ac:dyDescent="0.25">
      <c r="A1738" s="3">
        <v>43983</v>
      </c>
      <c r="B1738" s="2" t="s">
        <v>274</v>
      </c>
      <c r="C1738" s="2">
        <v>0.79</v>
      </c>
      <c r="D1738" s="2">
        <v>0.12790000000000001</v>
      </c>
      <c r="E1738" s="2">
        <v>1.01041E-3</v>
      </c>
      <c r="F1738" s="2" t="s">
        <v>170</v>
      </c>
    </row>
    <row r="1739" spans="1:6" ht="22.5" hidden="1" customHeight="1" x14ac:dyDescent="0.25">
      <c r="A1739" s="3">
        <v>43983</v>
      </c>
      <c r="B1739" s="2" t="s">
        <v>275</v>
      </c>
      <c r="C1739" s="2">
        <v>0.7</v>
      </c>
      <c r="D1739" s="2">
        <v>0.17219999999999999</v>
      </c>
      <c r="E1739" s="2">
        <v>1.2053999999999999E-3</v>
      </c>
      <c r="F1739" s="2" t="s">
        <v>170</v>
      </c>
    </row>
    <row r="1740" spans="1:6" ht="22.5" hidden="1" customHeight="1" x14ac:dyDescent="0.25">
      <c r="A1740" s="3">
        <v>43983</v>
      </c>
      <c r="B1740" s="2" t="s">
        <v>276</v>
      </c>
      <c r="C1740" s="2">
        <v>-0.42</v>
      </c>
      <c r="D1740" s="2">
        <v>0.20219999999999999</v>
      </c>
      <c r="E1740" s="2">
        <v>-8.4924000000000002E-4</v>
      </c>
      <c r="F1740" s="2" t="s">
        <v>170</v>
      </c>
    </row>
    <row r="1741" spans="1:6" ht="22.5" hidden="1" customHeight="1" x14ac:dyDescent="0.25">
      <c r="A1741" s="3">
        <v>43983</v>
      </c>
      <c r="B1741" s="2" t="s">
        <v>277</v>
      </c>
      <c r="C1741" s="2">
        <v>-0.23</v>
      </c>
      <c r="D1741" s="2">
        <v>1.7078</v>
      </c>
      <c r="E1741" s="2">
        <v>-3.9279400000000004E-3</v>
      </c>
      <c r="F1741" s="2" t="s">
        <v>165</v>
      </c>
    </row>
    <row r="1742" spans="1:6" ht="22.5" hidden="1" customHeight="1" x14ac:dyDescent="0.25">
      <c r="A1742" s="3">
        <v>43983</v>
      </c>
      <c r="B1742" s="2" t="s">
        <v>278</v>
      </c>
      <c r="C1742" s="2">
        <v>-0.25</v>
      </c>
      <c r="D1742" s="2">
        <v>7.1499999999999994E-2</v>
      </c>
      <c r="E1742" s="2">
        <v>-1.7875000000000001E-4</v>
      </c>
      <c r="F1742" s="2" t="s">
        <v>165</v>
      </c>
    </row>
    <row r="1743" spans="1:6" ht="22.5" hidden="1" customHeight="1" x14ac:dyDescent="0.25">
      <c r="A1743" s="3">
        <v>44166</v>
      </c>
      <c r="B1743" s="2" t="s">
        <v>367</v>
      </c>
      <c r="C1743" s="2">
        <v>0.3</v>
      </c>
      <c r="D1743" s="2">
        <v>1.5707</v>
      </c>
      <c r="E1743" s="2">
        <v>4.7121000000000003E-3</v>
      </c>
      <c r="F1743" s="2" t="s">
        <v>168</v>
      </c>
    </row>
    <row r="1744" spans="1:6" ht="22.5" hidden="1" customHeight="1" x14ac:dyDescent="0.25">
      <c r="A1744" s="3">
        <v>43983</v>
      </c>
      <c r="B1744" s="2" t="s">
        <v>280</v>
      </c>
      <c r="C1744" s="2">
        <v>0.06</v>
      </c>
      <c r="D1744" s="2">
        <v>1.8982000000000001</v>
      </c>
      <c r="E1744" s="2">
        <v>1.1389200000000001E-3</v>
      </c>
      <c r="F1744" s="2" t="s">
        <v>170</v>
      </c>
    </row>
    <row r="1745" spans="1:6" ht="22.5" hidden="1" customHeight="1" x14ac:dyDescent="0.25">
      <c r="A1745" s="3">
        <v>43983</v>
      </c>
      <c r="B1745" s="2" t="s">
        <v>281</v>
      </c>
      <c r="C1745" s="2">
        <v>-0.62</v>
      </c>
      <c r="D1745" s="2">
        <v>1.66E-2</v>
      </c>
      <c r="E1745" s="2">
        <v>-1.0292E-4</v>
      </c>
      <c r="F1745" s="2" t="s">
        <v>165</v>
      </c>
    </row>
    <row r="1746" spans="1:6" ht="22.5" hidden="1" customHeight="1" x14ac:dyDescent="0.25">
      <c r="A1746" s="3">
        <v>43983</v>
      </c>
      <c r="B1746" s="2" t="s">
        <v>282</v>
      </c>
      <c r="C1746" s="2">
        <v>-0.32</v>
      </c>
      <c r="D1746" s="2">
        <v>1.9599999999999999E-2</v>
      </c>
      <c r="E1746" s="2">
        <v>-6.2719999999999996E-5</v>
      </c>
      <c r="F1746" s="2" t="s">
        <v>165</v>
      </c>
    </row>
    <row r="1747" spans="1:6" ht="22.5" hidden="1" customHeight="1" x14ac:dyDescent="0.25">
      <c r="A1747" s="3">
        <v>43983</v>
      </c>
      <c r="B1747" s="2" t="s">
        <v>283</v>
      </c>
      <c r="C1747" s="2">
        <v>1.07</v>
      </c>
      <c r="D1747" s="2">
        <v>0.57210000000000005</v>
      </c>
      <c r="E1747" s="2">
        <v>6.1214700000000004E-3</v>
      </c>
      <c r="F1747" s="2" t="s">
        <v>170</v>
      </c>
    </row>
    <row r="1748" spans="1:6" ht="22.5" hidden="1" customHeight="1" x14ac:dyDescent="0.25">
      <c r="A1748" s="3">
        <v>44593</v>
      </c>
      <c r="B1748" s="2" t="s">
        <v>260</v>
      </c>
      <c r="C1748" s="2">
        <v>0.38</v>
      </c>
      <c r="D1748" s="2">
        <v>1.2256</v>
      </c>
      <c r="E1748" s="2">
        <v>4.6572799999999998E-3</v>
      </c>
      <c r="F1748" s="2" t="s">
        <v>168</v>
      </c>
    </row>
    <row r="1749" spans="1:6" ht="22.5" hidden="1" customHeight="1" x14ac:dyDescent="0.25">
      <c r="A1749" s="3">
        <v>43983</v>
      </c>
      <c r="B1749" s="2" t="s">
        <v>195</v>
      </c>
      <c r="C1749" s="2">
        <v>0.43</v>
      </c>
      <c r="D1749" s="2">
        <v>1.0523</v>
      </c>
      <c r="E1749" s="2">
        <v>4.5248900000000002E-3</v>
      </c>
      <c r="F1749" s="2" t="s">
        <v>168</v>
      </c>
    </row>
    <row r="1750" spans="1:6" ht="22.5" hidden="1" customHeight="1" x14ac:dyDescent="0.25">
      <c r="A1750" s="3">
        <v>44531</v>
      </c>
      <c r="B1750" s="2" t="s">
        <v>298</v>
      </c>
      <c r="C1750" s="2">
        <v>0.8</v>
      </c>
      <c r="D1750" s="2">
        <v>0.56489999999999996</v>
      </c>
      <c r="E1750" s="2">
        <v>4.5192000000000001E-3</v>
      </c>
      <c r="F1750" s="2" t="s">
        <v>168</v>
      </c>
    </row>
    <row r="1751" spans="1:6" ht="22.5" hidden="1" customHeight="1" x14ac:dyDescent="0.25">
      <c r="A1751" s="3">
        <v>43891</v>
      </c>
      <c r="B1751" s="2" t="s">
        <v>195</v>
      </c>
      <c r="C1751" s="2">
        <v>0.41</v>
      </c>
      <c r="D1751" s="2">
        <v>1.0450999999999999</v>
      </c>
      <c r="E1751" s="2">
        <v>4.2849100000000003E-3</v>
      </c>
      <c r="F1751" s="2" t="s">
        <v>168</v>
      </c>
    </row>
    <row r="1752" spans="1:6" ht="22.5" hidden="1" customHeight="1" x14ac:dyDescent="0.25">
      <c r="A1752" s="3">
        <v>44593</v>
      </c>
      <c r="B1752" s="2" t="s">
        <v>289</v>
      </c>
      <c r="C1752" s="2">
        <v>0.8</v>
      </c>
      <c r="D1752" s="2">
        <v>0.52390000000000003</v>
      </c>
      <c r="E1752" s="2">
        <v>4.1912E-3</v>
      </c>
      <c r="F1752" s="2" t="s">
        <v>168</v>
      </c>
    </row>
    <row r="1753" spans="1:6" ht="22.5" hidden="1" customHeight="1" x14ac:dyDescent="0.25">
      <c r="A1753" s="3">
        <v>44013</v>
      </c>
      <c r="B1753" s="2" t="s">
        <v>286</v>
      </c>
      <c r="C1753" s="2">
        <v>2.5</v>
      </c>
      <c r="D1753" s="2">
        <v>0.16600000000000001</v>
      </c>
      <c r="E1753" s="2">
        <v>4.15E-3</v>
      </c>
      <c r="F1753" s="2" t="s">
        <v>168</v>
      </c>
    </row>
    <row r="1754" spans="1:6" ht="22.5" hidden="1" customHeight="1" x14ac:dyDescent="0.25">
      <c r="A1754" s="3">
        <v>44501</v>
      </c>
      <c r="B1754" s="2" t="s">
        <v>297</v>
      </c>
      <c r="C1754" s="2">
        <v>1.45</v>
      </c>
      <c r="D1754" s="2">
        <v>0.2853</v>
      </c>
      <c r="E1754" s="2">
        <v>4.1368500000000001E-3</v>
      </c>
      <c r="F1754" s="2" t="s">
        <v>168</v>
      </c>
    </row>
    <row r="1755" spans="1:6" ht="22.5" hidden="1" customHeight="1" x14ac:dyDescent="0.25">
      <c r="A1755" s="3">
        <v>44166</v>
      </c>
      <c r="B1755" s="2" t="s">
        <v>286</v>
      </c>
      <c r="C1755" s="2">
        <v>2.29</v>
      </c>
      <c r="D1755" s="2">
        <v>0.17849999999999999</v>
      </c>
      <c r="E1755" s="2">
        <v>4.08765E-3</v>
      </c>
      <c r="F1755" s="2" t="s">
        <v>168</v>
      </c>
    </row>
    <row r="1756" spans="1:6" ht="22.5" hidden="1" customHeight="1" x14ac:dyDescent="0.25">
      <c r="A1756" s="3">
        <v>44013</v>
      </c>
      <c r="B1756" s="2" t="s">
        <v>295</v>
      </c>
      <c r="C1756" s="2">
        <v>1.79</v>
      </c>
      <c r="D1756" s="2">
        <v>0.22670000000000001</v>
      </c>
      <c r="E1756" s="2">
        <v>4.0579300000000004E-3</v>
      </c>
      <c r="F1756" s="2" t="s">
        <v>168</v>
      </c>
    </row>
    <row r="1757" spans="1:6" ht="22.5" hidden="1" customHeight="1" x14ac:dyDescent="0.25">
      <c r="A1757" s="3">
        <v>44378</v>
      </c>
      <c r="B1757" s="2" t="s">
        <v>196</v>
      </c>
      <c r="C1757" s="2">
        <v>2.79</v>
      </c>
      <c r="D1757" s="2">
        <v>0.14199999999999999</v>
      </c>
      <c r="E1757" s="2">
        <v>3.9617999999999997E-3</v>
      </c>
      <c r="F1757" s="2" t="s">
        <v>168</v>
      </c>
    </row>
    <row r="1758" spans="1:6" ht="22.5" hidden="1" customHeight="1" x14ac:dyDescent="0.25">
      <c r="A1758" s="3">
        <v>44166</v>
      </c>
      <c r="B1758" s="2" t="s">
        <v>167</v>
      </c>
      <c r="C1758" s="2">
        <v>0.22</v>
      </c>
      <c r="D1758" s="2">
        <v>1.7999000000000001</v>
      </c>
      <c r="E1758" s="2">
        <v>3.9597800000000004E-3</v>
      </c>
      <c r="F1758" s="2" t="s">
        <v>168</v>
      </c>
    </row>
    <row r="1759" spans="1:6" ht="22.5" hidden="1" customHeight="1" x14ac:dyDescent="0.25">
      <c r="A1759" s="3">
        <v>44013</v>
      </c>
      <c r="B1759" s="2" t="s">
        <v>290</v>
      </c>
      <c r="C1759" s="2">
        <v>2.5</v>
      </c>
      <c r="D1759" s="2">
        <v>0.15670000000000001</v>
      </c>
      <c r="E1759" s="2">
        <v>3.9175E-3</v>
      </c>
      <c r="F1759" s="2" t="s">
        <v>168</v>
      </c>
    </row>
    <row r="1760" spans="1:6" ht="22.5" hidden="1" customHeight="1" x14ac:dyDescent="0.25">
      <c r="A1760" s="3">
        <v>44317</v>
      </c>
      <c r="B1760" s="2" t="s">
        <v>294</v>
      </c>
      <c r="C1760" s="2">
        <v>2.9</v>
      </c>
      <c r="D1760" s="2">
        <v>0.13139999999999999</v>
      </c>
      <c r="E1760" s="2">
        <v>3.8105999999999999E-3</v>
      </c>
      <c r="F1760" s="2" t="s">
        <v>168</v>
      </c>
    </row>
    <row r="1761" spans="1:6" ht="22.5" hidden="1" customHeight="1" x14ac:dyDescent="0.25">
      <c r="A1761" s="3">
        <v>44378</v>
      </c>
      <c r="B1761" s="2" t="s">
        <v>167</v>
      </c>
      <c r="C1761" s="2">
        <v>0.21</v>
      </c>
      <c r="D1761" s="2">
        <v>1.7807999999999999</v>
      </c>
      <c r="E1761" s="2">
        <v>3.73968E-3</v>
      </c>
      <c r="F1761" s="2" t="s">
        <v>168</v>
      </c>
    </row>
    <row r="1762" spans="1:6" ht="22.5" hidden="1" customHeight="1" x14ac:dyDescent="0.25">
      <c r="A1762" s="3">
        <v>44044</v>
      </c>
      <c r="B1762" s="2" t="s">
        <v>289</v>
      </c>
      <c r="C1762" s="2">
        <v>0.67</v>
      </c>
      <c r="D1762" s="2">
        <v>0.55810000000000004</v>
      </c>
      <c r="E1762" s="2">
        <v>3.7392699999999998E-3</v>
      </c>
      <c r="F1762" s="2" t="s">
        <v>168</v>
      </c>
    </row>
    <row r="1763" spans="1:6" ht="22.5" hidden="1" customHeight="1" x14ac:dyDescent="0.25">
      <c r="A1763" s="3">
        <v>44531</v>
      </c>
      <c r="B1763" s="2" t="s">
        <v>196</v>
      </c>
      <c r="C1763" s="2">
        <v>2.58</v>
      </c>
      <c r="D1763" s="2">
        <v>0.14399999999999999</v>
      </c>
      <c r="E1763" s="2">
        <v>3.7152000000000001E-3</v>
      </c>
      <c r="F1763" s="2" t="s">
        <v>168</v>
      </c>
    </row>
    <row r="1764" spans="1:6" ht="22.5" hidden="1" customHeight="1" x14ac:dyDescent="0.25">
      <c r="A1764" s="3">
        <v>44593</v>
      </c>
      <c r="B1764" s="2" t="s">
        <v>298</v>
      </c>
      <c r="C1764" s="2">
        <v>0.66</v>
      </c>
      <c r="D1764" s="2">
        <v>0.56020000000000003</v>
      </c>
      <c r="E1764" s="2">
        <v>3.69732E-3</v>
      </c>
      <c r="F1764" s="2" t="s">
        <v>168</v>
      </c>
    </row>
    <row r="1765" spans="1:6" ht="22.5" hidden="1" customHeight="1" x14ac:dyDescent="0.25">
      <c r="A1765" s="3">
        <v>44562</v>
      </c>
      <c r="B1765" s="2" t="s">
        <v>264</v>
      </c>
      <c r="C1765" s="2">
        <v>3.74</v>
      </c>
      <c r="D1765" s="2">
        <v>9.7699999999999995E-2</v>
      </c>
      <c r="E1765" s="2">
        <v>3.6539799999999998E-3</v>
      </c>
      <c r="F1765" s="2" t="s">
        <v>168</v>
      </c>
    </row>
    <row r="1766" spans="1:6" ht="22.5" hidden="1" customHeight="1" x14ac:dyDescent="0.25">
      <c r="A1766" s="3">
        <v>43983</v>
      </c>
      <c r="B1766" s="2" t="s">
        <v>302</v>
      </c>
      <c r="C1766" s="2">
        <v>-2.38</v>
      </c>
      <c r="D1766" s="2">
        <v>0.30149999999999999</v>
      </c>
      <c r="E1766" s="2">
        <v>-7.1757000000000001E-3</v>
      </c>
      <c r="F1766" s="2" t="s">
        <v>170</v>
      </c>
    </row>
    <row r="1767" spans="1:6" ht="22.5" hidden="1" customHeight="1" x14ac:dyDescent="0.25">
      <c r="A1767" s="3">
        <v>43983</v>
      </c>
      <c r="B1767" s="2" t="s">
        <v>303</v>
      </c>
      <c r="C1767" s="2">
        <v>0.17</v>
      </c>
      <c r="D1767" s="2">
        <v>0.55669999999999997</v>
      </c>
      <c r="E1767" s="2">
        <v>9.4638999999999997E-4</v>
      </c>
      <c r="F1767" s="2" t="s">
        <v>165</v>
      </c>
    </row>
    <row r="1768" spans="1:6" ht="22.5" hidden="1" customHeight="1" x14ac:dyDescent="0.25">
      <c r="A1768" s="3">
        <v>43983</v>
      </c>
      <c r="B1768" s="2" t="s">
        <v>304</v>
      </c>
      <c r="C1768" s="2">
        <v>7.0000000000000007E-2</v>
      </c>
      <c r="D1768" s="2">
        <v>0.52939999999999998</v>
      </c>
      <c r="E1768" s="2">
        <v>3.7058000000000002E-4</v>
      </c>
      <c r="F1768" s="2" t="s">
        <v>165</v>
      </c>
    </row>
    <row r="1769" spans="1:6" ht="22.5" hidden="1" customHeight="1" x14ac:dyDescent="0.25">
      <c r="A1769" s="3">
        <v>43983</v>
      </c>
      <c r="B1769" s="2" t="s">
        <v>305</v>
      </c>
      <c r="C1769" s="2">
        <v>0.08</v>
      </c>
      <c r="D1769" s="2">
        <v>1.9199999999999998E-2</v>
      </c>
      <c r="E1769" s="2">
        <v>1.5359999999999999E-5</v>
      </c>
      <c r="F1769" s="2" t="s">
        <v>170</v>
      </c>
    </row>
    <row r="1770" spans="1:6" ht="22.5" hidden="1" customHeight="1" x14ac:dyDescent="0.25">
      <c r="A1770" s="3">
        <v>43983</v>
      </c>
      <c r="B1770" s="2" t="s">
        <v>306</v>
      </c>
      <c r="C1770" s="2">
        <v>1.36</v>
      </c>
      <c r="D1770" s="2">
        <v>4.8800000000000003E-2</v>
      </c>
      <c r="E1770" s="2">
        <v>6.6368000000000004E-4</v>
      </c>
      <c r="F1770" s="2" t="s">
        <v>165</v>
      </c>
    </row>
    <row r="1771" spans="1:6" ht="22.5" hidden="1" customHeight="1" x14ac:dyDescent="0.25">
      <c r="A1771" s="3">
        <v>43983</v>
      </c>
      <c r="B1771" s="2" t="s">
        <v>307</v>
      </c>
      <c r="C1771" s="2">
        <v>0.01</v>
      </c>
      <c r="D1771" s="2">
        <v>0.1103</v>
      </c>
      <c r="E1771" s="2">
        <v>1.1029999999999999E-5</v>
      </c>
      <c r="F1771" s="2" t="s">
        <v>165</v>
      </c>
    </row>
    <row r="1772" spans="1:6" ht="22.5" hidden="1" customHeight="1" x14ac:dyDescent="0.25">
      <c r="A1772" s="3">
        <v>43983</v>
      </c>
      <c r="B1772" s="2" t="s">
        <v>308</v>
      </c>
      <c r="C1772" s="2">
        <v>-0.18</v>
      </c>
      <c r="D1772" s="2">
        <v>0.38890000000000002</v>
      </c>
      <c r="E1772" s="2">
        <v>-7.0001999999999998E-4</v>
      </c>
      <c r="F1772" s="2" t="s">
        <v>165</v>
      </c>
    </row>
    <row r="1773" spans="1:6" ht="22.5" hidden="1" customHeight="1" x14ac:dyDescent="0.25">
      <c r="A1773" s="3">
        <v>43983</v>
      </c>
      <c r="B1773" s="2" t="s">
        <v>309</v>
      </c>
      <c r="C1773" s="2">
        <v>0.08</v>
      </c>
      <c r="D1773" s="2">
        <v>0.13519999999999999</v>
      </c>
      <c r="E1773" s="2">
        <v>1.0815999999999999E-4</v>
      </c>
      <c r="F1773" s="2" t="s">
        <v>165</v>
      </c>
    </row>
    <row r="1774" spans="1:6" ht="22.5" hidden="1" customHeight="1" x14ac:dyDescent="0.25">
      <c r="A1774" s="3">
        <v>44440</v>
      </c>
      <c r="B1774" s="2" t="s">
        <v>286</v>
      </c>
      <c r="C1774" s="2">
        <v>1.63</v>
      </c>
      <c r="D1774" s="2">
        <v>0.21829999999999999</v>
      </c>
      <c r="E1774" s="2">
        <v>3.55829E-3</v>
      </c>
      <c r="F1774" s="2" t="s">
        <v>168</v>
      </c>
    </row>
    <row r="1775" spans="1:6" ht="22.5" hidden="1" customHeight="1" x14ac:dyDescent="0.25">
      <c r="A1775" s="3">
        <v>43983</v>
      </c>
      <c r="B1775" s="2" t="s">
        <v>311</v>
      </c>
      <c r="C1775" s="2">
        <v>-0.02</v>
      </c>
      <c r="D1775" s="2">
        <v>0.6351</v>
      </c>
      <c r="E1775" s="2">
        <v>-1.2701999999999999E-4</v>
      </c>
      <c r="F1775" s="2" t="s">
        <v>174</v>
      </c>
    </row>
    <row r="1776" spans="1:6" ht="22.5" hidden="1" customHeight="1" x14ac:dyDescent="0.25">
      <c r="A1776" s="3">
        <v>43983</v>
      </c>
      <c r="B1776" s="2" t="s">
        <v>312</v>
      </c>
      <c r="C1776" s="2">
        <v>-1.02</v>
      </c>
      <c r="D1776" s="2">
        <v>0.2213</v>
      </c>
      <c r="E1776" s="2">
        <v>-2.2572600000000001E-3</v>
      </c>
      <c r="F1776" s="2" t="s">
        <v>174</v>
      </c>
    </row>
    <row r="1777" spans="1:6" ht="22.5" hidden="1" customHeight="1" x14ac:dyDescent="0.25">
      <c r="A1777" s="3">
        <v>43983</v>
      </c>
      <c r="B1777" s="2" t="s">
        <v>313</v>
      </c>
      <c r="C1777" s="2">
        <v>-0.19</v>
      </c>
      <c r="D1777" s="2">
        <v>0.13519999999999999</v>
      </c>
      <c r="E1777" s="2">
        <v>-2.5688000000000002E-4</v>
      </c>
      <c r="F1777" s="2" t="s">
        <v>174</v>
      </c>
    </row>
    <row r="1778" spans="1:6" ht="22.5" hidden="1" customHeight="1" x14ac:dyDescent="0.25">
      <c r="A1778" s="3">
        <v>43983</v>
      </c>
      <c r="B1778" s="2" t="s">
        <v>314</v>
      </c>
      <c r="C1778" s="2">
        <v>3.11</v>
      </c>
      <c r="D1778" s="2">
        <v>0.38769999999999999</v>
      </c>
      <c r="E1778" s="2">
        <v>1.2057470000000001E-2</v>
      </c>
      <c r="F1778" s="2" t="s">
        <v>174</v>
      </c>
    </row>
    <row r="1779" spans="1:6" ht="22.5" hidden="1" customHeight="1" x14ac:dyDescent="0.25">
      <c r="A1779" s="3">
        <v>43983</v>
      </c>
      <c r="B1779" s="2" t="s">
        <v>315</v>
      </c>
      <c r="C1779" s="2">
        <v>-7.0000000000000007E-2</v>
      </c>
      <c r="D1779" s="2">
        <v>0.26279999999999998</v>
      </c>
      <c r="E1779" s="2">
        <v>-1.8395999999999999E-4</v>
      </c>
      <c r="F1779" s="2" t="s">
        <v>174</v>
      </c>
    </row>
    <row r="1780" spans="1:6" ht="22.5" hidden="1" customHeight="1" x14ac:dyDescent="0.25">
      <c r="A1780" s="3">
        <v>43983</v>
      </c>
      <c r="B1780" s="2" t="s">
        <v>316</v>
      </c>
      <c r="C1780" s="2">
        <v>-2.5099999999999998</v>
      </c>
      <c r="D1780" s="2">
        <v>4.1000000000000003E-3</v>
      </c>
      <c r="E1780" s="2">
        <v>-1.0291E-4</v>
      </c>
      <c r="F1780" s="2" t="s">
        <v>174</v>
      </c>
    </row>
    <row r="1781" spans="1:6" ht="22.5" hidden="1" customHeight="1" x14ac:dyDescent="0.25">
      <c r="A1781" s="3">
        <v>43983</v>
      </c>
      <c r="B1781" s="2" t="s">
        <v>317</v>
      </c>
      <c r="C1781" s="2">
        <v>-3.04</v>
      </c>
      <c r="D1781" s="2">
        <v>1.0264</v>
      </c>
      <c r="E1781" s="2">
        <v>-3.1202560000000001E-2</v>
      </c>
      <c r="F1781" s="2" t="s">
        <v>174</v>
      </c>
    </row>
    <row r="1782" spans="1:6" ht="22.5" hidden="1" customHeight="1" x14ac:dyDescent="0.25">
      <c r="A1782" s="3">
        <v>43983</v>
      </c>
      <c r="B1782" s="2" t="s">
        <v>318</v>
      </c>
      <c r="C1782" s="2">
        <v>-0.62</v>
      </c>
      <c r="D1782" s="2">
        <v>0.45619999999999999</v>
      </c>
      <c r="E1782" s="2">
        <v>-2.8284400000000002E-3</v>
      </c>
      <c r="F1782" s="2" t="s">
        <v>174</v>
      </c>
    </row>
    <row r="1783" spans="1:6" ht="22.5" hidden="1" customHeight="1" x14ac:dyDescent="0.25">
      <c r="A1783" s="3">
        <v>43983</v>
      </c>
      <c r="B1783" s="2" t="s">
        <v>319</v>
      </c>
      <c r="C1783" s="2">
        <v>-0.23</v>
      </c>
      <c r="D1783" s="2">
        <v>0.11210000000000001</v>
      </c>
      <c r="E1783" s="2">
        <v>-2.5783000000000002E-4</v>
      </c>
      <c r="F1783" s="2" t="s">
        <v>174</v>
      </c>
    </row>
    <row r="1784" spans="1:6" ht="22.5" hidden="1" customHeight="1" x14ac:dyDescent="0.25">
      <c r="A1784" s="3">
        <v>43983</v>
      </c>
      <c r="B1784" s="2" t="s">
        <v>320</v>
      </c>
      <c r="C1784" s="2">
        <v>-0.76</v>
      </c>
      <c r="D1784" s="2">
        <v>0.29559999999999997</v>
      </c>
      <c r="E1784" s="2">
        <v>-2.2465599999999999E-3</v>
      </c>
      <c r="F1784" s="2" t="s">
        <v>174</v>
      </c>
    </row>
    <row r="1785" spans="1:6" ht="22.5" hidden="1" customHeight="1" x14ac:dyDescent="0.25">
      <c r="A1785" s="3">
        <v>43983</v>
      </c>
      <c r="B1785" s="2" t="s">
        <v>321</v>
      </c>
      <c r="C1785" s="2">
        <v>-0.03</v>
      </c>
      <c r="D1785" s="2">
        <v>0.2132</v>
      </c>
      <c r="E1785" s="2">
        <v>-6.3960000000000004E-5</v>
      </c>
      <c r="F1785" s="2" t="s">
        <v>174</v>
      </c>
    </row>
    <row r="1786" spans="1:6" ht="22.5" hidden="1" customHeight="1" x14ac:dyDescent="0.25">
      <c r="A1786" s="3">
        <v>43983</v>
      </c>
      <c r="B1786" s="2" t="s">
        <v>322</v>
      </c>
      <c r="C1786" s="2">
        <v>5.17</v>
      </c>
      <c r="D1786" s="2">
        <v>0.1711</v>
      </c>
      <c r="E1786" s="2">
        <v>8.8458700000000005E-3</v>
      </c>
      <c r="F1786" s="2" t="s">
        <v>174</v>
      </c>
    </row>
    <row r="1787" spans="1:6" ht="22.5" hidden="1" customHeight="1" x14ac:dyDescent="0.25">
      <c r="A1787" s="3">
        <v>43983</v>
      </c>
      <c r="B1787" s="2" t="s">
        <v>323</v>
      </c>
      <c r="C1787" s="2">
        <v>-0.28000000000000003</v>
      </c>
      <c r="D1787" s="2">
        <v>1.15E-2</v>
      </c>
      <c r="E1787" s="2">
        <v>-3.2199999999999997E-5</v>
      </c>
      <c r="F1787" s="2" t="s">
        <v>165</v>
      </c>
    </row>
    <row r="1788" spans="1:6" ht="22.5" hidden="1" customHeight="1" x14ac:dyDescent="0.25">
      <c r="A1788" s="3">
        <v>43983</v>
      </c>
      <c r="B1788" s="2" t="s">
        <v>324</v>
      </c>
      <c r="C1788" s="2">
        <v>-0.24</v>
      </c>
      <c r="D1788" s="2">
        <v>0.40029999999999999</v>
      </c>
      <c r="E1788" s="2">
        <v>-9.6071999999999998E-4</v>
      </c>
      <c r="F1788" s="2" t="s">
        <v>165</v>
      </c>
    </row>
    <row r="1789" spans="1:6" ht="22.5" hidden="1" customHeight="1" x14ac:dyDescent="0.25">
      <c r="A1789" s="3">
        <v>43983</v>
      </c>
      <c r="B1789" s="2" t="s">
        <v>325</v>
      </c>
      <c r="C1789" s="2">
        <v>0.25</v>
      </c>
      <c r="D1789" s="2">
        <v>3.2315999999999998</v>
      </c>
      <c r="E1789" s="2">
        <v>8.0789999999999994E-3</v>
      </c>
      <c r="F1789" s="2" t="s">
        <v>165</v>
      </c>
    </row>
    <row r="1790" spans="1:6" ht="22.5" hidden="1" customHeight="1" x14ac:dyDescent="0.25">
      <c r="A1790" s="3">
        <v>43983</v>
      </c>
      <c r="B1790" s="2" t="s">
        <v>326</v>
      </c>
      <c r="C1790" s="2">
        <v>-0.15</v>
      </c>
      <c r="D1790" s="2">
        <v>1.0764</v>
      </c>
      <c r="E1790" s="2">
        <v>-1.6146000000000001E-3</v>
      </c>
      <c r="F1790" s="2" t="s">
        <v>165</v>
      </c>
    </row>
    <row r="1791" spans="1:6" ht="22.5" hidden="1" customHeight="1" x14ac:dyDescent="0.25">
      <c r="A1791" s="3">
        <v>43983</v>
      </c>
      <c r="B1791" s="2" t="s">
        <v>327</v>
      </c>
      <c r="C1791" s="2">
        <v>0.47</v>
      </c>
      <c r="D1791" s="2">
        <v>6.1400000000000003E-2</v>
      </c>
      <c r="E1791" s="2">
        <v>2.8857999999999998E-4</v>
      </c>
      <c r="F1791" s="2" t="s">
        <v>165</v>
      </c>
    </row>
    <row r="1792" spans="1:6" ht="22.5" hidden="1" customHeight="1" x14ac:dyDescent="0.25">
      <c r="A1792" s="3">
        <v>43983</v>
      </c>
      <c r="B1792" s="2" t="s">
        <v>328</v>
      </c>
      <c r="C1792" s="2">
        <v>0</v>
      </c>
      <c r="D1792" s="2">
        <v>1.8800000000000001E-2</v>
      </c>
      <c r="E1792" s="2">
        <v>0</v>
      </c>
      <c r="F1792" s="2" t="s">
        <v>165</v>
      </c>
    </row>
    <row r="1793" spans="1:6" ht="22.5" hidden="1" customHeight="1" x14ac:dyDescent="0.25">
      <c r="A1793" s="3">
        <v>43983</v>
      </c>
      <c r="B1793" s="2" t="s">
        <v>329</v>
      </c>
      <c r="C1793" s="2">
        <v>0.26</v>
      </c>
      <c r="D1793" s="2">
        <v>9.9599999999999994E-2</v>
      </c>
      <c r="E1793" s="2">
        <v>2.5895999999999997E-4</v>
      </c>
      <c r="F1793" s="2" t="s">
        <v>165</v>
      </c>
    </row>
    <row r="1794" spans="1:6" ht="22.5" hidden="1" customHeight="1" x14ac:dyDescent="0.25">
      <c r="A1794" s="3">
        <v>43983</v>
      </c>
      <c r="B1794" s="2" t="s">
        <v>330</v>
      </c>
      <c r="C1794" s="2">
        <v>0.06</v>
      </c>
      <c r="D1794" s="2">
        <v>1.8131999999999999</v>
      </c>
      <c r="E1794" s="2">
        <v>1.08792E-3</v>
      </c>
      <c r="F1794" s="2" t="s">
        <v>165</v>
      </c>
    </row>
    <row r="1795" spans="1:6" ht="22.5" hidden="1" customHeight="1" x14ac:dyDescent="0.25">
      <c r="A1795" s="3">
        <v>43983</v>
      </c>
      <c r="B1795" s="2" t="s">
        <v>331</v>
      </c>
      <c r="C1795" s="2">
        <v>0.14000000000000001</v>
      </c>
      <c r="D1795" s="2">
        <v>5.9400000000000001E-2</v>
      </c>
      <c r="E1795" s="2">
        <v>8.3159999999999997E-5</v>
      </c>
      <c r="F1795" s="2" t="s">
        <v>165</v>
      </c>
    </row>
    <row r="1796" spans="1:6" ht="22.5" hidden="1" customHeight="1" x14ac:dyDescent="0.25">
      <c r="A1796" s="3">
        <v>43983</v>
      </c>
      <c r="B1796" s="2" t="s">
        <v>332</v>
      </c>
      <c r="C1796" s="2">
        <v>-0.28999999999999998</v>
      </c>
      <c r="D1796" s="2">
        <v>0.1104</v>
      </c>
      <c r="E1796" s="2">
        <v>-3.2016E-4</v>
      </c>
      <c r="F1796" s="2" t="s">
        <v>165</v>
      </c>
    </row>
    <row r="1797" spans="1:6" ht="22.5" hidden="1" customHeight="1" x14ac:dyDescent="0.25">
      <c r="A1797" s="3">
        <v>43983</v>
      </c>
      <c r="B1797" s="2" t="s">
        <v>333</v>
      </c>
      <c r="C1797" s="2">
        <v>0.3</v>
      </c>
      <c r="D1797" s="2">
        <v>8.6999999999999994E-2</v>
      </c>
      <c r="E1797" s="2">
        <v>2.61E-4</v>
      </c>
      <c r="F1797" s="2" t="s">
        <v>165</v>
      </c>
    </row>
    <row r="1798" spans="1:6" ht="22.5" hidden="1" customHeight="1" x14ac:dyDescent="0.25">
      <c r="A1798" s="3">
        <v>43983</v>
      </c>
      <c r="B1798" s="2" t="s">
        <v>334</v>
      </c>
      <c r="C1798" s="2">
        <v>1.31</v>
      </c>
      <c r="D1798" s="2">
        <v>1.95E-2</v>
      </c>
      <c r="E1798" s="2">
        <v>2.5545E-4</v>
      </c>
      <c r="F1798" s="2" t="s">
        <v>170</v>
      </c>
    </row>
    <row r="1799" spans="1:6" ht="22.5" hidden="1" customHeight="1" x14ac:dyDescent="0.25">
      <c r="A1799" s="3">
        <v>43983</v>
      </c>
      <c r="B1799" s="2" t="s">
        <v>335</v>
      </c>
      <c r="C1799" s="2">
        <v>-0.62</v>
      </c>
      <c r="D1799" s="2">
        <v>0.3039</v>
      </c>
      <c r="E1799" s="2">
        <v>-1.8841800000000001E-3</v>
      </c>
      <c r="F1799" s="2" t="s">
        <v>165</v>
      </c>
    </row>
    <row r="1800" spans="1:6" ht="22.5" hidden="1" customHeight="1" x14ac:dyDescent="0.25">
      <c r="A1800" s="3">
        <v>43983</v>
      </c>
      <c r="B1800" s="2" t="s">
        <v>336</v>
      </c>
      <c r="C1800" s="2">
        <v>2.52</v>
      </c>
      <c r="D1800" s="2">
        <v>9.3299999999999994E-2</v>
      </c>
      <c r="E1800" s="2">
        <v>2.3511600000000001E-3</v>
      </c>
      <c r="F1800" s="2" t="s">
        <v>170</v>
      </c>
    </row>
    <row r="1801" spans="1:6" ht="22.5" hidden="1" customHeight="1" x14ac:dyDescent="0.25">
      <c r="A1801" s="3">
        <v>43983</v>
      </c>
      <c r="B1801" s="2" t="s">
        <v>337</v>
      </c>
      <c r="C1801" s="2">
        <v>0.32</v>
      </c>
      <c r="D1801" s="2">
        <v>0.34389999999999998</v>
      </c>
      <c r="E1801" s="2">
        <v>1.10048E-3</v>
      </c>
      <c r="F1801" s="2" t="s">
        <v>174</v>
      </c>
    </row>
    <row r="1802" spans="1:6" ht="22.5" hidden="1" customHeight="1" x14ac:dyDescent="0.25">
      <c r="A1802" s="3">
        <v>43983</v>
      </c>
      <c r="B1802" s="2" t="s">
        <v>338</v>
      </c>
      <c r="C1802" s="2">
        <v>-0.3</v>
      </c>
      <c r="D1802" s="2">
        <v>0.21879999999999999</v>
      </c>
      <c r="E1802" s="2">
        <v>-6.5640000000000002E-4</v>
      </c>
      <c r="F1802" s="2" t="s">
        <v>174</v>
      </c>
    </row>
    <row r="1803" spans="1:6" ht="22.5" hidden="1" customHeight="1" x14ac:dyDescent="0.25">
      <c r="A1803" s="3">
        <v>43983</v>
      </c>
      <c r="B1803" s="2" t="s">
        <v>339</v>
      </c>
      <c r="C1803" s="2">
        <v>0</v>
      </c>
      <c r="D1803" s="2">
        <v>4.5400000000000003E-2</v>
      </c>
      <c r="E1803" s="2">
        <v>0</v>
      </c>
      <c r="F1803" s="2" t="s">
        <v>165</v>
      </c>
    </row>
    <row r="1804" spans="1:6" ht="22.5" hidden="1" customHeight="1" x14ac:dyDescent="0.25">
      <c r="A1804" s="3">
        <v>44593</v>
      </c>
      <c r="B1804" s="2" t="s">
        <v>261</v>
      </c>
      <c r="C1804" s="2">
        <v>1.99</v>
      </c>
      <c r="D1804" s="2">
        <v>0.1754</v>
      </c>
      <c r="E1804" s="2">
        <v>3.4904599999999999E-3</v>
      </c>
      <c r="F1804" s="2" t="s">
        <v>168</v>
      </c>
    </row>
    <row r="1805" spans="1:6" ht="22.5" hidden="1" customHeight="1" x14ac:dyDescent="0.25">
      <c r="A1805" s="3">
        <v>43983</v>
      </c>
      <c r="B1805" s="2" t="s">
        <v>341</v>
      </c>
      <c r="C1805" s="2">
        <v>-2.69</v>
      </c>
      <c r="D1805" s="2">
        <v>1.1599999999999999E-2</v>
      </c>
      <c r="E1805" s="2">
        <v>-3.1203999999999997E-4</v>
      </c>
      <c r="F1805" s="2" t="s">
        <v>174</v>
      </c>
    </row>
    <row r="1806" spans="1:6" ht="22.5" hidden="1" customHeight="1" x14ac:dyDescent="0.25">
      <c r="A1806" s="3">
        <v>43983</v>
      </c>
      <c r="B1806" s="2" t="s">
        <v>342</v>
      </c>
      <c r="C1806" s="2">
        <v>-1.38</v>
      </c>
      <c r="D1806" s="2">
        <v>0.57799999999999996</v>
      </c>
      <c r="E1806" s="2">
        <v>-7.9763999999999998E-3</v>
      </c>
      <c r="F1806" s="2" t="s">
        <v>165</v>
      </c>
    </row>
    <row r="1807" spans="1:6" ht="22.5" hidden="1" customHeight="1" x14ac:dyDescent="0.25">
      <c r="A1807" s="3">
        <v>43983</v>
      </c>
      <c r="B1807" s="2" t="s">
        <v>343</v>
      </c>
      <c r="C1807" s="2">
        <v>-0.75</v>
      </c>
      <c r="D1807" s="2">
        <v>0.47849999999999998</v>
      </c>
      <c r="E1807" s="2">
        <v>-3.5887499999999999E-3</v>
      </c>
      <c r="F1807" s="2" t="s">
        <v>165</v>
      </c>
    </row>
    <row r="1808" spans="1:6" ht="22.5" hidden="1" customHeight="1" x14ac:dyDescent="0.25">
      <c r="A1808" s="3">
        <v>43983</v>
      </c>
      <c r="B1808" s="2" t="s">
        <v>344</v>
      </c>
      <c r="C1808" s="2">
        <v>0.48</v>
      </c>
      <c r="D1808" s="2">
        <v>0.1474</v>
      </c>
      <c r="E1808" s="2">
        <v>7.0752E-4</v>
      </c>
      <c r="F1808" s="2" t="s">
        <v>165</v>
      </c>
    </row>
    <row r="1809" spans="1:6" ht="22.5" hidden="1" customHeight="1" x14ac:dyDescent="0.25">
      <c r="A1809" s="3">
        <v>43983</v>
      </c>
      <c r="B1809" s="2" t="s">
        <v>345</v>
      </c>
      <c r="C1809" s="2">
        <v>0</v>
      </c>
      <c r="D1809" s="2">
        <v>0.55030000000000001</v>
      </c>
      <c r="E1809" s="2">
        <v>0</v>
      </c>
      <c r="F1809" s="2" t="s">
        <v>165</v>
      </c>
    </row>
    <row r="1810" spans="1:6" ht="22.5" hidden="1" customHeight="1" x14ac:dyDescent="0.25">
      <c r="A1810" s="3">
        <v>43983</v>
      </c>
      <c r="B1810" s="2" t="s">
        <v>346</v>
      </c>
      <c r="C1810" s="2">
        <v>-0.13</v>
      </c>
      <c r="D1810" s="2">
        <v>0.55430000000000001</v>
      </c>
      <c r="E1810" s="2">
        <v>-7.2059000000000001E-4</v>
      </c>
      <c r="F1810" s="2" t="s">
        <v>174</v>
      </c>
    </row>
    <row r="1811" spans="1:6" ht="22.5" hidden="1" customHeight="1" x14ac:dyDescent="0.25">
      <c r="A1811" s="3">
        <v>43983</v>
      </c>
      <c r="B1811" s="2" t="s">
        <v>347</v>
      </c>
      <c r="C1811" s="2">
        <v>0</v>
      </c>
      <c r="D1811" s="2">
        <v>0.20799999999999999</v>
      </c>
      <c r="E1811" s="2">
        <v>0</v>
      </c>
      <c r="F1811" s="2" t="s">
        <v>165</v>
      </c>
    </row>
    <row r="1812" spans="1:6" ht="22.5" hidden="1" customHeight="1" x14ac:dyDescent="0.25">
      <c r="A1812" s="3">
        <v>43983</v>
      </c>
      <c r="B1812" s="2" t="s">
        <v>348</v>
      </c>
      <c r="C1812" s="2">
        <v>0</v>
      </c>
      <c r="D1812" s="2">
        <v>0.35</v>
      </c>
      <c r="E1812" s="2">
        <v>0</v>
      </c>
      <c r="F1812" s="2" t="s">
        <v>165</v>
      </c>
    </row>
    <row r="1813" spans="1:6" ht="22.5" hidden="1" customHeight="1" x14ac:dyDescent="0.25">
      <c r="A1813" s="3">
        <v>43983</v>
      </c>
      <c r="B1813" s="2" t="s">
        <v>349</v>
      </c>
      <c r="C1813" s="2">
        <v>0</v>
      </c>
      <c r="D1813" s="2">
        <v>1.6292</v>
      </c>
      <c r="E1813" s="2">
        <v>0</v>
      </c>
      <c r="F1813" s="2" t="s">
        <v>165</v>
      </c>
    </row>
    <row r="1814" spans="1:6" ht="22.5" hidden="1" customHeight="1" x14ac:dyDescent="0.25">
      <c r="A1814" s="3">
        <v>43983</v>
      </c>
      <c r="B1814" s="2" t="s">
        <v>350</v>
      </c>
      <c r="C1814" s="2">
        <v>0</v>
      </c>
      <c r="D1814" s="2">
        <v>0.40460000000000002</v>
      </c>
      <c r="E1814" s="2">
        <v>0</v>
      </c>
      <c r="F1814" s="2" t="s">
        <v>165</v>
      </c>
    </row>
    <row r="1815" spans="1:6" ht="22.5" hidden="1" customHeight="1" x14ac:dyDescent="0.25">
      <c r="A1815" s="3">
        <v>43983</v>
      </c>
      <c r="B1815" s="2" t="s">
        <v>351</v>
      </c>
      <c r="C1815" s="2">
        <v>0</v>
      </c>
      <c r="D1815" s="2">
        <v>1.9348000000000001</v>
      </c>
      <c r="E1815" s="2">
        <v>0</v>
      </c>
      <c r="F1815" s="2" t="s">
        <v>165</v>
      </c>
    </row>
    <row r="1816" spans="1:6" ht="22.5" hidden="1" customHeight="1" x14ac:dyDescent="0.25">
      <c r="A1816" s="3">
        <v>43983</v>
      </c>
      <c r="B1816" s="2" t="s">
        <v>352</v>
      </c>
      <c r="C1816" s="2">
        <v>0</v>
      </c>
      <c r="D1816" s="2">
        <v>0.31259999999999999</v>
      </c>
      <c r="E1816" s="2">
        <v>0</v>
      </c>
      <c r="F1816" s="2" t="s">
        <v>165</v>
      </c>
    </row>
    <row r="1817" spans="1:6" ht="22.5" hidden="1" customHeight="1" x14ac:dyDescent="0.25">
      <c r="A1817" s="3">
        <v>43983</v>
      </c>
      <c r="B1817" s="2" t="s">
        <v>353</v>
      </c>
      <c r="C1817" s="2">
        <v>0</v>
      </c>
      <c r="D1817" s="2">
        <v>4.48E-2</v>
      </c>
      <c r="E1817" s="2">
        <v>0</v>
      </c>
      <c r="F1817" s="2" t="s">
        <v>165</v>
      </c>
    </row>
    <row r="1818" spans="1:6" ht="22.5" hidden="1" customHeight="1" x14ac:dyDescent="0.25">
      <c r="A1818" s="3">
        <v>43983</v>
      </c>
      <c r="B1818" s="2" t="s">
        <v>354</v>
      </c>
      <c r="C1818" s="2">
        <v>0</v>
      </c>
      <c r="D1818" s="2">
        <v>3.2599999999999997E-2</v>
      </c>
      <c r="E1818" s="2">
        <v>0</v>
      </c>
      <c r="F1818" s="2" t="s">
        <v>165</v>
      </c>
    </row>
    <row r="1819" spans="1:6" ht="22.5" hidden="1" customHeight="1" x14ac:dyDescent="0.25">
      <c r="A1819" s="3">
        <v>43983</v>
      </c>
      <c r="B1819" s="2" t="s">
        <v>355</v>
      </c>
      <c r="C1819" s="2">
        <v>0</v>
      </c>
      <c r="D1819" s="2">
        <v>3.0800000000000001E-2</v>
      </c>
      <c r="E1819" s="2">
        <v>0</v>
      </c>
      <c r="F1819" s="2" t="s">
        <v>174</v>
      </c>
    </row>
    <row r="1820" spans="1:6" ht="22.5" hidden="1" customHeight="1" x14ac:dyDescent="0.25">
      <c r="A1820" s="3">
        <v>43983</v>
      </c>
      <c r="B1820" s="2" t="s">
        <v>356</v>
      </c>
      <c r="C1820" s="2">
        <v>3.18</v>
      </c>
      <c r="D1820" s="2">
        <v>2.8799999999999999E-2</v>
      </c>
      <c r="E1820" s="2">
        <v>9.1584000000000001E-4</v>
      </c>
      <c r="F1820" s="2" t="s">
        <v>174</v>
      </c>
    </row>
    <row r="1821" spans="1:6" ht="22.5" hidden="1" customHeight="1" x14ac:dyDescent="0.25">
      <c r="A1821" s="3">
        <v>43983</v>
      </c>
      <c r="B1821" s="2" t="s">
        <v>357</v>
      </c>
      <c r="C1821" s="2">
        <v>0</v>
      </c>
      <c r="D1821" s="2">
        <v>0.39119999999999999</v>
      </c>
      <c r="E1821" s="2">
        <v>0</v>
      </c>
      <c r="F1821" s="2" t="s">
        <v>174</v>
      </c>
    </row>
    <row r="1822" spans="1:6" ht="22.5" hidden="1" customHeight="1" x14ac:dyDescent="0.25">
      <c r="A1822" s="3">
        <v>43983</v>
      </c>
      <c r="B1822" s="2" t="s">
        <v>358</v>
      </c>
      <c r="C1822" s="2">
        <v>1.46</v>
      </c>
      <c r="D1822" s="2">
        <v>0.1008</v>
      </c>
      <c r="E1822" s="2">
        <v>1.47168E-3</v>
      </c>
      <c r="F1822" s="2" t="s">
        <v>174</v>
      </c>
    </row>
    <row r="1823" spans="1:6" ht="22.5" hidden="1" customHeight="1" x14ac:dyDescent="0.25">
      <c r="A1823" s="3">
        <v>43983</v>
      </c>
      <c r="B1823" s="2" t="s">
        <v>359</v>
      </c>
      <c r="C1823" s="2">
        <v>-0.87</v>
      </c>
      <c r="D1823" s="2">
        <v>5.16E-2</v>
      </c>
      <c r="E1823" s="2">
        <v>-4.4892E-4</v>
      </c>
      <c r="F1823" s="2" t="s">
        <v>174</v>
      </c>
    </row>
    <row r="1824" spans="1:6" ht="22.5" hidden="1" customHeight="1" x14ac:dyDescent="0.25">
      <c r="A1824" s="3">
        <v>43983</v>
      </c>
      <c r="B1824" s="2" t="s">
        <v>360</v>
      </c>
      <c r="C1824" s="2">
        <v>-0.38</v>
      </c>
      <c r="D1824" s="2">
        <v>9.2299999999999993E-2</v>
      </c>
      <c r="E1824" s="2">
        <v>-3.5073999999999999E-4</v>
      </c>
      <c r="F1824" s="2" t="s">
        <v>174</v>
      </c>
    </row>
    <row r="1825" spans="1:6" ht="22.5" hidden="1" customHeight="1" x14ac:dyDescent="0.25">
      <c r="A1825" s="3">
        <v>43983</v>
      </c>
      <c r="B1825" s="2" t="s">
        <v>361</v>
      </c>
      <c r="C1825" s="2">
        <v>0</v>
      </c>
      <c r="D1825" s="2">
        <v>8.2600000000000007E-2</v>
      </c>
      <c r="E1825" s="2">
        <v>0</v>
      </c>
      <c r="F1825" s="2" t="s">
        <v>165</v>
      </c>
    </row>
    <row r="1826" spans="1:6" ht="22.5" hidden="1" customHeight="1" x14ac:dyDescent="0.25">
      <c r="A1826" s="3">
        <v>43983</v>
      </c>
      <c r="B1826" s="2" t="s">
        <v>362</v>
      </c>
      <c r="C1826" s="2">
        <v>0</v>
      </c>
      <c r="D1826" s="2">
        <v>0.32900000000000001</v>
      </c>
      <c r="E1826" s="2">
        <v>0</v>
      </c>
      <c r="F1826" s="2" t="s">
        <v>165</v>
      </c>
    </row>
    <row r="1827" spans="1:6" ht="22.5" hidden="1" customHeight="1" x14ac:dyDescent="0.25">
      <c r="A1827" s="3">
        <v>43983</v>
      </c>
      <c r="B1827" s="2" t="s">
        <v>363</v>
      </c>
      <c r="C1827" s="2">
        <v>0.72</v>
      </c>
      <c r="D1827" s="2">
        <v>5.0299999999999997E-2</v>
      </c>
      <c r="E1827" s="2">
        <v>3.6215999999999999E-4</v>
      </c>
      <c r="F1827" s="2" t="s">
        <v>165</v>
      </c>
    </row>
    <row r="1828" spans="1:6" ht="22.5" hidden="1" customHeight="1" x14ac:dyDescent="0.25">
      <c r="A1828" s="3">
        <v>43983</v>
      </c>
      <c r="B1828" s="2" t="s">
        <v>364</v>
      </c>
      <c r="C1828" s="2">
        <v>-0.05</v>
      </c>
      <c r="D1828" s="2">
        <v>0.41930000000000001</v>
      </c>
      <c r="E1828" s="2">
        <v>-2.0965E-4</v>
      </c>
      <c r="F1828" s="2" t="s">
        <v>165</v>
      </c>
    </row>
    <row r="1829" spans="1:6" ht="22.5" hidden="1" customHeight="1" x14ac:dyDescent="0.25">
      <c r="A1829" s="3">
        <v>44256</v>
      </c>
      <c r="B1829" s="2" t="s">
        <v>196</v>
      </c>
      <c r="C1829" s="2">
        <v>2.52</v>
      </c>
      <c r="D1829" s="2">
        <v>0.13200000000000001</v>
      </c>
      <c r="E1829" s="2">
        <v>3.3264000000000002E-3</v>
      </c>
      <c r="F1829" s="2" t="s">
        <v>168</v>
      </c>
    </row>
    <row r="1830" spans="1:6" ht="22.5" hidden="1" customHeight="1" x14ac:dyDescent="0.25">
      <c r="A1830" s="3">
        <v>44317</v>
      </c>
      <c r="B1830" s="2" t="s">
        <v>260</v>
      </c>
      <c r="C1830" s="2">
        <v>0.25</v>
      </c>
      <c r="D1830" s="2">
        <v>1.3110999999999999</v>
      </c>
      <c r="E1830" s="2">
        <v>3.2777499999999998E-3</v>
      </c>
      <c r="F1830" s="2" t="s">
        <v>168</v>
      </c>
    </row>
    <row r="1831" spans="1:6" ht="22.5" hidden="1" customHeight="1" x14ac:dyDescent="0.25">
      <c r="A1831" s="3">
        <v>44348</v>
      </c>
      <c r="B1831" s="2" t="s">
        <v>293</v>
      </c>
      <c r="C1831" s="2">
        <v>1.91</v>
      </c>
      <c r="D1831" s="2">
        <v>0.17069999999999999</v>
      </c>
      <c r="E1831" s="2">
        <v>3.2603699999999998E-3</v>
      </c>
      <c r="F1831" s="2" t="s">
        <v>168</v>
      </c>
    </row>
    <row r="1832" spans="1:6" ht="22.5" hidden="1" customHeight="1" x14ac:dyDescent="0.25">
      <c r="A1832" s="3">
        <v>43983</v>
      </c>
      <c r="B1832" s="2" t="s">
        <v>368</v>
      </c>
      <c r="C1832" s="2">
        <v>0</v>
      </c>
      <c r="D1832" s="2">
        <v>0.40849999999999997</v>
      </c>
      <c r="E1832" s="2">
        <v>0</v>
      </c>
      <c r="F1832" s="2" t="s">
        <v>165</v>
      </c>
    </row>
    <row r="1833" spans="1:6" ht="22.5" hidden="1" customHeight="1" x14ac:dyDescent="0.25">
      <c r="A1833" s="3">
        <v>43983</v>
      </c>
      <c r="B1833" s="2" t="s">
        <v>369</v>
      </c>
      <c r="C1833" s="2">
        <v>0</v>
      </c>
      <c r="D1833" s="2">
        <v>0.54700000000000004</v>
      </c>
      <c r="E1833" s="2">
        <v>0</v>
      </c>
      <c r="F1833" s="2" t="s">
        <v>165</v>
      </c>
    </row>
    <row r="1834" spans="1:6" ht="22.5" hidden="1" customHeight="1" x14ac:dyDescent="0.25">
      <c r="A1834" s="3">
        <v>43983</v>
      </c>
      <c r="B1834" s="2" t="s">
        <v>370</v>
      </c>
      <c r="C1834" s="2">
        <v>1.31</v>
      </c>
      <c r="D1834" s="2">
        <v>1.0099</v>
      </c>
      <c r="E1834" s="2">
        <v>1.3229690000000001E-2</v>
      </c>
      <c r="F1834" s="2" t="s">
        <v>170</v>
      </c>
    </row>
    <row r="1835" spans="1:6" ht="22.5" hidden="1" customHeight="1" x14ac:dyDescent="0.25">
      <c r="A1835" s="3">
        <v>43983</v>
      </c>
      <c r="B1835" s="2" t="s">
        <v>371</v>
      </c>
      <c r="C1835" s="2">
        <v>0</v>
      </c>
      <c r="D1835" s="2">
        <v>7.0099999999999996E-2</v>
      </c>
      <c r="E1835" s="2">
        <v>0</v>
      </c>
      <c r="F1835" s="2" t="s">
        <v>165</v>
      </c>
    </row>
    <row r="1836" spans="1:6" ht="22.5" hidden="1" customHeight="1" x14ac:dyDescent="0.25">
      <c r="A1836" s="3">
        <v>43983</v>
      </c>
      <c r="B1836" s="2" t="s">
        <v>372</v>
      </c>
      <c r="C1836" s="2">
        <v>1.42</v>
      </c>
      <c r="D1836" s="2">
        <v>1.7298</v>
      </c>
      <c r="E1836" s="2">
        <v>2.4563160000000001E-2</v>
      </c>
      <c r="F1836" s="2" t="s">
        <v>165</v>
      </c>
    </row>
    <row r="1837" spans="1:6" ht="22.5" hidden="1" customHeight="1" x14ac:dyDescent="0.25">
      <c r="A1837" s="3">
        <v>44013</v>
      </c>
      <c r="B1837" s="2" t="s">
        <v>6</v>
      </c>
      <c r="C1837" s="2">
        <v>2.58</v>
      </c>
      <c r="D1837" s="2">
        <v>0.501</v>
      </c>
      <c r="E1837" s="2">
        <v>1.2925799999999999E-2</v>
      </c>
      <c r="F1837" s="2" t="s">
        <v>7</v>
      </c>
    </row>
    <row r="1838" spans="1:6" ht="22.5" hidden="1" customHeight="1" x14ac:dyDescent="0.25">
      <c r="A1838" s="3">
        <v>44013</v>
      </c>
      <c r="B1838" s="2" t="s">
        <v>8</v>
      </c>
      <c r="C1838" s="2">
        <v>3.12</v>
      </c>
      <c r="D1838" s="2">
        <v>1.41E-2</v>
      </c>
      <c r="E1838" s="2">
        <v>4.3992E-4</v>
      </c>
      <c r="F1838" s="2" t="s">
        <v>7</v>
      </c>
    </row>
    <row r="1839" spans="1:6" ht="22.5" hidden="1" customHeight="1" x14ac:dyDescent="0.25">
      <c r="A1839" s="3">
        <v>44013</v>
      </c>
      <c r="B1839" s="2" t="s">
        <v>9</v>
      </c>
      <c r="C1839" s="2">
        <v>0.8</v>
      </c>
      <c r="D1839" s="2">
        <v>5.8900000000000001E-2</v>
      </c>
      <c r="E1839" s="2">
        <v>4.7120000000000002E-4</v>
      </c>
      <c r="F1839" s="2" t="s">
        <v>7</v>
      </c>
    </row>
    <row r="1840" spans="1:6" ht="22.5" hidden="1" customHeight="1" x14ac:dyDescent="0.25">
      <c r="A1840" s="3">
        <v>44013</v>
      </c>
      <c r="B1840" s="2" t="s">
        <v>10</v>
      </c>
      <c r="C1840" s="2">
        <v>3.38</v>
      </c>
      <c r="D1840" s="2">
        <v>1.7899999999999999E-2</v>
      </c>
      <c r="E1840" s="2">
        <v>6.0501999999999995E-4</v>
      </c>
      <c r="F1840" s="2" t="s">
        <v>7</v>
      </c>
    </row>
    <row r="1841" spans="1:6" ht="22.5" hidden="1" customHeight="1" x14ac:dyDescent="0.25">
      <c r="A1841" s="3">
        <v>44013</v>
      </c>
      <c r="B1841" s="2" t="s">
        <v>11</v>
      </c>
      <c r="C1841" s="2">
        <v>-7.0000000000000007E-2</v>
      </c>
      <c r="D1841" s="2">
        <v>0.1671</v>
      </c>
      <c r="E1841" s="2">
        <v>-1.1697E-4</v>
      </c>
      <c r="F1841" s="2" t="s">
        <v>7</v>
      </c>
    </row>
    <row r="1842" spans="1:6" ht="22.5" hidden="1" customHeight="1" x14ac:dyDescent="0.25">
      <c r="A1842" s="3">
        <v>44013</v>
      </c>
      <c r="B1842" s="2" t="s">
        <v>12</v>
      </c>
      <c r="C1842" s="2">
        <v>0.09</v>
      </c>
      <c r="D1842" s="2">
        <v>1.0800000000000001E-2</v>
      </c>
      <c r="E1842" s="2">
        <v>9.7200000000000001E-6</v>
      </c>
      <c r="F1842" s="2" t="s">
        <v>7</v>
      </c>
    </row>
    <row r="1843" spans="1:6" ht="22.5" hidden="1" customHeight="1" x14ac:dyDescent="0.25">
      <c r="A1843" s="3">
        <v>44013</v>
      </c>
      <c r="B1843" s="2" t="s">
        <v>13</v>
      </c>
      <c r="C1843" s="2">
        <v>0.4</v>
      </c>
      <c r="D1843" s="2">
        <v>3.2000000000000002E-3</v>
      </c>
      <c r="E1843" s="2">
        <v>1.2799999999999999E-5</v>
      </c>
      <c r="F1843" s="2" t="s">
        <v>7</v>
      </c>
    </row>
    <row r="1844" spans="1:6" ht="22.5" hidden="1" customHeight="1" x14ac:dyDescent="0.25">
      <c r="A1844" s="3">
        <v>44013</v>
      </c>
      <c r="B1844" s="2" t="s">
        <v>14</v>
      </c>
      <c r="C1844" s="2">
        <v>-0.77</v>
      </c>
      <c r="D1844" s="2">
        <v>0.15079999999999999</v>
      </c>
      <c r="E1844" s="2">
        <v>-1.1611600000000001E-3</v>
      </c>
      <c r="F1844" s="2" t="s">
        <v>7</v>
      </c>
    </row>
    <row r="1845" spans="1:6" ht="22.5" hidden="1" customHeight="1" x14ac:dyDescent="0.25">
      <c r="A1845" s="3">
        <v>44013</v>
      </c>
      <c r="B1845" s="2" t="s">
        <v>15</v>
      </c>
      <c r="C1845" s="2">
        <v>0.77</v>
      </c>
      <c r="D1845" s="2">
        <v>7.3000000000000001E-3</v>
      </c>
      <c r="E1845" s="2">
        <v>5.6209999999999999E-5</v>
      </c>
      <c r="F1845" s="2" t="s">
        <v>7</v>
      </c>
    </row>
    <row r="1846" spans="1:6" ht="22.5" hidden="1" customHeight="1" x14ac:dyDescent="0.25">
      <c r="A1846" s="3">
        <v>44013</v>
      </c>
      <c r="B1846" s="2" t="s">
        <v>16</v>
      </c>
      <c r="C1846" s="2">
        <v>-1.05</v>
      </c>
      <c r="D1846" s="2">
        <v>9.4999999999999998E-3</v>
      </c>
      <c r="E1846" s="2">
        <v>-9.9749999999999999E-5</v>
      </c>
      <c r="F1846" s="2" t="s">
        <v>7</v>
      </c>
    </row>
    <row r="1847" spans="1:6" ht="22.5" hidden="1" customHeight="1" x14ac:dyDescent="0.25">
      <c r="A1847" s="3">
        <v>44013</v>
      </c>
      <c r="B1847" s="2" t="s">
        <v>17</v>
      </c>
      <c r="C1847" s="2">
        <v>0.63</v>
      </c>
      <c r="D1847" s="2">
        <v>4.9500000000000002E-2</v>
      </c>
      <c r="E1847" s="2">
        <v>3.1185000000000002E-4</v>
      </c>
      <c r="F1847" s="2" t="s">
        <v>7</v>
      </c>
    </row>
    <row r="1848" spans="1:6" ht="22.5" hidden="1" customHeight="1" x14ac:dyDescent="0.25">
      <c r="A1848" s="3">
        <v>44013</v>
      </c>
      <c r="B1848" s="2" t="s">
        <v>18</v>
      </c>
      <c r="C1848" s="2">
        <v>1.46</v>
      </c>
      <c r="D1848" s="2">
        <v>0.1002</v>
      </c>
      <c r="E1848" s="2">
        <v>1.4629199999999999E-3</v>
      </c>
      <c r="F1848" s="2" t="s">
        <v>7</v>
      </c>
    </row>
    <row r="1849" spans="1:6" ht="22.5" hidden="1" customHeight="1" x14ac:dyDescent="0.25">
      <c r="A1849" s="3">
        <v>44013</v>
      </c>
      <c r="B1849" s="2" t="s">
        <v>19</v>
      </c>
      <c r="C1849" s="2">
        <v>1</v>
      </c>
      <c r="D1849" s="2">
        <v>0.1197</v>
      </c>
      <c r="E1849" s="2">
        <v>1.1969999999999999E-3</v>
      </c>
      <c r="F1849" s="2" t="s">
        <v>7</v>
      </c>
    </row>
    <row r="1850" spans="1:6" ht="22.5" hidden="1" customHeight="1" x14ac:dyDescent="0.25">
      <c r="A1850" s="3">
        <v>44013</v>
      </c>
      <c r="B1850" s="2" t="s">
        <v>20</v>
      </c>
      <c r="C1850" s="2">
        <v>1.05</v>
      </c>
      <c r="D1850" s="2">
        <v>2.6200000000000001E-2</v>
      </c>
      <c r="E1850" s="2">
        <v>2.7510000000000002E-4</v>
      </c>
      <c r="F1850" s="2" t="s">
        <v>7</v>
      </c>
    </row>
    <row r="1851" spans="1:6" ht="22.5" hidden="1" customHeight="1" x14ac:dyDescent="0.25">
      <c r="A1851" s="3">
        <v>44013</v>
      </c>
      <c r="B1851" s="2" t="s">
        <v>21</v>
      </c>
      <c r="C1851" s="2">
        <v>4.68</v>
      </c>
      <c r="D1851" s="2">
        <v>2.7300000000000001E-2</v>
      </c>
      <c r="E1851" s="2">
        <v>1.27764E-3</v>
      </c>
      <c r="F1851" s="2" t="s">
        <v>7</v>
      </c>
    </row>
    <row r="1852" spans="1:6" ht="22.5" hidden="1" customHeight="1" x14ac:dyDescent="0.25">
      <c r="A1852" s="3">
        <v>44013</v>
      </c>
      <c r="B1852" s="2" t="s">
        <v>22</v>
      </c>
      <c r="C1852" s="2">
        <v>-20.7</v>
      </c>
      <c r="D1852" s="2">
        <v>0.25180000000000002</v>
      </c>
      <c r="E1852" s="2">
        <v>-5.2122599999999998E-2</v>
      </c>
      <c r="F1852" s="2" t="s">
        <v>7</v>
      </c>
    </row>
    <row r="1853" spans="1:6" ht="22.5" hidden="1" customHeight="1" x14ac:dyDescent="0.25">
      <c r="A1853" s="3">
        <v>44013</v>
      </c>
      <c r="B1853" s="2" t="s">
        <v>23</v>
      </c>
      <c r="C1853" s="2">
        <v>-2.31</v>
      </c>
      <c r="D1853" s="2">
        <v>1.4200000000000001E-2</v>
      </c>
      <c r="E1853" s="2">
        <v>-3.2801999999999999E-4</v>
      </c>
      <c r="F1853" s="2" t="s">
        <v>7</v>
      </c>
    </row>
    <row r="1854" spans="1:6" ht="22.5" hidden="1" customHeight="1" x14ac:dyDescent="0.25">
      <c r="A1854" s="3">
        <v>44013</v>
      </c>
      <c r="B1854" s="2" t="s">
        <v>24</v>
      </c>
      <c r="C1854" s="2">
        <v>10.11</v>
      </c>
      <c r="D1854" s="2">
        <v>8.0000000000000002E-3</v>
      </c>
      <c r="E1854" s="2">
        <v>8.0880000000000004E-4</v>
      </c>
      <c r="F1854" s="2" t="s">
        <v>7</v>
      </c>
    </row>
    <row r="1855" spans="1:6" ht="22.5" hidden="1" customHeight="1" x14ac:dyDescent="0.25">
      <c r="A1855" s="3">
        <v>44013</v>
      </c>
      <c r="B1855" s="2" t="s">
        <v>25</v>
      </c>
      <c r="C1855" s="2">
        <v>8.11</v>
      </c>
      <c r="D1855" s="2">
        <v>3.2000000000000002E-3</v>
      </c>
      <c r="E1855" s="2">
        <v>2.5952000000000001E-4</v>
      </c>
      <c r="F1855" s="2" t="s">
        <v>7</v>
      </c>
    </row>
    <row r="1856" spans="1:6" ht="22.5" hidden="1" customHeight="1" x14ac:dyDescent="0.25">
      <c r="A1856" s="3">
        <v>44013</v>
      </c>
      <c r="B1856" s="2" t="s">
        <v>26</v>
      </c>
      <c r="C1856" s="2">
        <v>1.91</v>
      </c>
      <c r="D1856" s="2">
        <v>1.4800000000000001E-2</v>
      </c>
      <c r="E1856" s="2">
        <v>2.8268E-4</v>
      </c>
      <c r="F1856" s="2" t="s">
        <v>7</v>
      </c>
    </row>
    <row r="1857" spans="1:6" ht="22.5" hidden="1" customHeight="1" x14ac:dyDescent="0.25">
      <c r="A1857" s="3">
        <v>44013</v>
      </c>
      <c r="B1857" s="2" t="s">
        <v>27</v>
      </c>
      <c r="C1857" s="2">
        <v>-22.75</v>
      </c>
      <c r="D1857" s="2">
        <v>0.23330000000000001</v>
      </c>
      <c r="E1857" s="2">
        <v>-5.3075749999999998E-2</v>
      </c>
      <c r="F1857" s="2" t="s">
        <v>7</v>
      </c>
    </row>
    <row r="1858" spans="1:6" ht="22.5" hidden="1" customHeight="1" x14ac:dyDescent="0.25">
      <c r="A1858" s="3">
        <v>44013</v>
      </c>
      <c r="B1858" s="2" t="s">
        <v>28</v>
      </c>
      <c r="C1858" s="2">
        <v>-7.09</v>
      </c>
      <c r="D1858" s="2">
        <v>0.20449999999999999</v>
      </c>
      <c r="E1858" s="2">
        <v>-1.4499049999999999E-2</v>
      </c>
      <c r="F1858" s="2" t="s">
        <v>7</v>
      </c>
    </row>
    <row r="1859" spans="1:6" ht="22.5" hidden="1" customHeight="1" x14ac:dyDescent="0.25">
      <c r="A1859" s="3">
        <v>44013</v>
      </c>
      <c r="B1859" s="2" t="s">
        <v>29</v>
      </c>
      <c r="C1859" s="2">
        <v>-18.600000000000001</v>
      </c>
      <c r="D1859" s="2">
        <v>6.6900000000000001E-2</v>
      </c>
      <c r="E1859" s="2">
        <v>-1.24434E-2</v>
      </c>
      <c r="F1859" s="2" t="s">
        <v>7</v>
      </c>
    </row>
    <row r="1860" spans="1:6" ht="22.5" hidden="1" customHeight="1" x14ac:dyDescent="0.25">
      <c r="A1860" s="3">
        <v>44013</v>
      </c>
      <c r="B1860" s="2" t="s">
        <v>30</v>
      </c>
      <c r="C1860" s="2">
        <v>0.28000000000000003</v>
      </c>
      <c r="D1860" s="2">
        <v>9.2399999999999996E-2</v>
      </c>
      <c r="E1860" s="2">
        <v>2.5871999999999999E-4</v>
      </c>
      <c r="F1860" s="2" t="s">
        <v>7</v>
      </c>
    </row>
    <row r="1861" spans="1:6" ht="22.5" hidden="1" customHeight="1" x14ac:dyDescent="0.25">
      <c r="A1861" s="3">
        <v>44013</v>
      </c>
      <c r="B1861" s="2" t="s">
        <v>31</v>
      </c>
      <c r="C1861" s="2">
        <v>-1.25</v>
      </c>
      <c r="D1861" s="2">
        <v>9.9900000000000003E-2</v>
      </c>
      <c r="E1861" s="2">
        <v>-1.2487500000000001E-3</v>
      </c>
      <c r="F1861" s="2" t="s">
        <v>7</v>
      </c>
    </row>
    <row r="1862" spans="1:6" ht="22.5" hidden="1" customHeight="1" x14ac:dyDescent="0.25">
      <c r="A1862" s="3">
        <v>44013</v>
      </c>
      <c r="B1862" s="2" t="s">
        <v>32</v>
      </c>
      <c r="C1862" s="2">
        <v>-0.37</v>
      </c>
      <c r="D1862" s="2">
        <v>1.6199999999999999E-2</v>
      </c>
      <c r="E1862" s="2">
        <v>-5.9939999999999999E-5</v>
      </c>
      <c r="F1862" s="2" t="s">
        <v>7</v>
      </c>
    </row>
    <row r="1863" spans="1:6" ht="22.5" hidden="1" customHeight="1" x14ac:dyDescent="0.25">
      <c r="A1863" s="3">
        <v>44013</v>
      </c>
      <c r="B1863" s="2" t="s">
        <v>33</v>
      </c>
      <c r="C1863" s="2">
        <v>-0.81</v>
      </c>
      <c r="D1863" s="2">
        <v>0.18990000000000001</v>
      </c>
      <c r="E1863" s="2">
        <v>-1.53819E-3</v>
      </c>
      <c r="F1863" s="2" t="s">
        <v>7</v>
      </c>
    </row>
    <row r="1864" spans="1:6" ht="22.5" hidden="1" customHeight="1" x14ac:dyDescent="0.25">
      <c r="A1864" s="3">
        <v>44013</v>
      </c>
      <c r="B1864" s="2" t="s">
        <v>34</v>
      </c>
      <c r="C1864" s="2">
        <v>1.33</v>
      </c>
      <c r="D1864" s="2">
        <v>0.1389</v>
      </c>
      <c r="E1864" s="2">
        <v>1.8473700000000001E-3</v>
      </c>
      <c r="F1864" s="2" t="s">
        <v>7</v>
      </c>
    </row>
    <row r="1865" spans="1:6" ht="22.5" hidden="1" customHeight="1" x14ac:dyDescent="0.25">
      <c r="A1865" s="3">
        <v>44013</v>
      </c>
      <c r="B1865" s="2" t="s">
        <v>35</v>
      </c>
      <c r="C1865" s="2">
        <v>-1.5</v>
      </c>
      <c r="D1865" s="2">
        <v>0.1086</v>
      </c>
      <c r="E1865" s="2">
        <v>-1.629E-3</v>
      </c>
      <c r="F1865" s="2" t="s">
        <v>7</v>
      </c>
    </row>
    <row r="1866" spans="1:6" ht="22.5" hidden="1" customHeight="1" x14ac:dyDescent="0.25">
      <c r="A1866" s="3">
        <v>44013</v>
      </c>
      <c r="B1866" s="2" t="s">
        <v>36</v>
      </c>
      <c r="C1866" s="2">
        <v>-4.9000000000000004</v>
      </c>
      <c r="D1866" s="2">
        <v>1.6999999999999999E-3</v>
      </c>
      <c r="E1866" s="2">
        <v>-8.3300000000000005E-5</v>
      </c>
      <c r="F1866" s="2" t="s">
        <v>7</v>
      </c>
    </row>
    <row r="1867" spans="1:6" ht="22.5" hidden="1" customHeight="1" x14ac:dyDescent="0.25">
      <c r="A1867" s="3">
        <v>44013</v>
      </c>
      <c r="B1867" s="2" t="s">
        <v>37</v>
      </c>
      <c r="C1867" s="2">
        <v>-1.47</v>
      </c>
      <c r="D1867" s="2">
        <v>8.6999999999999994E-2</v>
      </c>
      <c r="E1867" s="2">
        <v>-1.2788999999999999E-3</v>
      </c>
      <c r="F1867" s="2" t="s">
        <v>7</v>
      </c>
    </row>
    <row r="1868" spans="1:6" ht="22.5" hidden="1" customHeight="1" x14ac:dyDescent="0.25">
      <c r="A1868" s="3">
        <v>44013</v>
      </c>
      <c r="B1868" s="2" t="s">
        <v>38</v>
      </c>
      <c r="C1868" s="2">
        <v>-2.66</v>
      </c>
      <c r="D1868" s="2">
        <v>1.0800000000000001E-2</v>
      </c>
      <c r="E1868" s="2">
        <v>-2.8728E-4</v>
      </c>
      <c r="F1868" s="2" t="s">
        <v>7</v>
      </c>
    </row>
    <row r="1869" spans="1:6" ht="22.5" hidden="1" customHeight="1" x14ac:dyDescent="0.25">
      <c r="A1869" s="3">
        <v>44013</v>
      </c>
      <c r="B1869" s="2" t="s">
        <v>39</v>
      </c>
      <c r="C1869" s="2">
        <v>-12.83</v>
      </c>
      <c r="D1869" s="2">
        <v>1.8499999999999999E-2</v>
      </c>
      <c r="E1869" s="2">
        <v>-2.3735499999999999E-3</v>
      </c>
      <c r="F1869" s="2" t="s">
        <v>7</v>
      </c>
    </row>
    <row r="1870" spans="1:6" ht="22.5" hidden="1" customHeight="1" x14ac:dyDescent="0.25">
      <c r="A1870" s="3">
        <v>44013</v>
      </c>
      <c r="B1870" s="2" t="s">
        <v>40</v>
      </c>
      <c r="C1870" s="2">
        <v>-7.53</v>
      </c>
      <c r="D1870" s="2">
        <v>3.5000000000000001E-3</v>
      </c>
      <c r="E1870" s="2">
        <v>-2.6354999999999998E-4</v>
      </c>
      <c r="F1870" s="2" t="s">
        <v>7</v>
      </c>
    </row>
    <row r="1871" spans="1:6" ht="22.5" hidden="1" customHeight="1" x14ac:dyDescent="0.25">
      <c r="A1871" s="3">
        <v>44013</v>
      </c>
      <c r="B1871" s="2" t="s">
        <v>41</v>
      </c>
      <c r="C1871" s="2">
        <v>-4.4800000000000004</v>
      </c>
      <c r="D1871" s="2">
        <v>1.6500000000000001E-2</v>
      </c>
      <c r="E1871" s="2">
        <v>-7.3919999999999997E-4</v>
      </c>
      <c r="F1871" s="2" t="s">
        <v>7</v>
      </c>
    </row>
    <row r="1872" spans="1:6" ht="22.5" hidden="1" customHeight="1" x14ac:dyDescent="0.25">
      <c r="A1872" s="3">
        <v>44013</v>
      </c>
      <c r="B1872" s="2" t="s">
        <v>42</v>
      </c>
      <c r="C1872" s="2">
        <v>-0.95</v>
      </c>
      <c r="D1872" s="2">
        <v>4.6600000000000003E-2</v>
      </c>
      <c r="E1872" s="2">
        <v>-4.4270000000000003E-4</v>
      </c>
      <c r="F1872" s="2" t="s">
        <v>7</v>
      </c>
    </row>
    <row r="1873" spans="1:6" ht="22.5" hidden="1" customHeight="1" x14ac:dyDescent="0.25">
      <c r="A1873" s="3">
        <v>44013</v>
      </c>
      <c r="B1873" s="2" t="s">
        <v>43</v>
      </c>
      <c r="C1873" s="2">
        <v>-6.76</v>
      </c>
      <c r="D1873" s="2">
        <v>2.92E-2</v>
      </c>
      <c r="E1873" s="2">
        <v>-1.9739200000000001E-3</v>
      </c>
      <c r="F1873" s="2" t="s">
        <v>7</v>
      </c>
    </row>
    <row r="1874" spans="1:6" ht="22.5" hidden="1" customHeight="1" x14ac:dyDescent="0.25">
      <c r="A1874" s="3">
        <v>44013</v>
      </c>
      <c r="B1874" s="2" t="s">
        <v>44</v>
      </c>
      <c r="C1874" s="2">
        <v>12.01</v>
      </c>
      <c r="D1874" s="2">
        <v>1.67E-2</v>
      </c>
      <c r="E1874" s="2">
        <v>2.0056700000000002E-3</v>
      </c>
      <c r="F1874" s="2" t="s">
        <v>7</v>
      </c>
    </row>
    <row r="1875" spans="1:6" ht="22.5" hidden="1" customHeight="1" x14ac:dyDescent="0.25">
      <c r="A1875" s="3">
        <v>44013</v>
      </c>
      <c r="B1875" s="2" t="s">
        <v>45</v>
      </c>
      <c r="C1875" s="2">
        <v>-3.14</v>
      </c>
      <c r="D1875" s="2">
        <v>1.84E-2</v>
      </c>
      <c r="E1875" s="2">
        <v>-5.7775999999999997E-4</v>
      </c>
      <c r="F1875" s="2" t="s">
        <v>7</v>
      </c>
    </row>
    <row r="1876" spans="1:6" ht="22.5" hidden="1" customHeight="1" x14ac:dyDescent="0.25">
      <c r="A1876" s="3">
        <v>44013</v>
      </c>
      <c r="B1876" s="2" t="s">
        <v>46</v>
      </c>
      <c r="C1876" s="2">
        <v>-0.35</v>
      </c>
      <c r="D1876" s="2">
        <v>1.1999999999999999E-3</v>
      </c>
      <c r="E1876" s="2">
        <v>-4.1999999999999996E-6</v>
      </c>
      <c r="F1876" s="2" t="s">
        <v>7</v>
      </c>
    </row>
    <row r="1877" spans="1:6" ht="22.5" hidden="1" customHeight="1" x14ac:dyDescent="0.25">
      <c r="A1877" s="3">
        <v>44013</v>
      </c>
      <c r="B1877" s="2" t="s">
        <v>47</v>
      </c>
      <c r="C1877" s="2">
        <v>-1.25</v>
      </c>
      <c r="D1877" s="2">
        <v>9.0200000000000002E-2</v>
      </c>
      <c r="E1877" s="2">
        <v>-1.1275E-3</v>
      </c>
      <c r="F1877" s="2" t="s">
        <v>7</v>
      </c>
    </row>
    <row r="1878" spans="1:6" ht="22.5" hidden="1" customHeight="1" x14ac:dyDescent="0.25">
      <c r="A1878" s="3">
        <v>44013</v>
      </c>
      <c r="B1878" s="2" t="s">
        <v>48</v>
      </c>
      <c r="C1878" s="2">
        <v>7.57</v>
      </c>
      <c r="D1878" s="2">
        <v>3.5000000000000001E-3</v>
      </c>
      <c r="E1878" s="2">
        <v>2.6495000000000002E-4</v>
      </c>
      <c r="F1878" s="2" t="s">
        <v>7</v>
      </c>
    </row>
    <row r="1879" spans="1:6" ht="22.5" hidden="1" customHeight="1" x14ac:dyDescent="0.25">
      <c r="A1879" s="3">
        <v>44013</v>
      </c>
      <c r="B1879" s="2" t="s">
        <v>49</v>
      </c>
      <c r="C1879" s="2">
        <v>-1.94</v>
      </c>
      <c r="D1879" s="2">
        <v>0.15770000000000001</v>
      </c>
      <c r="E1879" s="2">
        <v>-3.05938E-3</v>
      </c>
      <c r="F1879" s="2" t="s">
        <v>7</v>
      </c>
    </row>
    <row r="1880" spans="1:6" ht="22.5" hidden="1" customHeight="1" x14ac:dyDescent="0.25">
      <c r="A1880" s="3">
        <v>44013</v>
      </c>
      <c r="B1880" s="2" t="s">
        <v>50</v>
      </c>
      <c r="C1880" s="2">
        <v>-6.05</v>
      </c>
      <c r="D1880" s="2">
        <v>4.5999999999999999E-3</v>
      </c>
      <c r="E1880" s="2">
        <v>-2.7829999999999999E-4</v>
      </c>
      <c r="F1880" s="2" t="s">
        <v>7</v>
      </c>
    </row>
    <row r="1881" spans="1:6" ht="22.5" hidden="1" customHeight="1" x14ac:dyDescent="0.25">
      <c r="A1881" s="3">
        <v>44013</v>
      </c>
      <c r="B1881" s="2" t="s">
        <v>51</v>
      </c>
      <c r="C1881" s="2">
        <v>-6.22</v>
      </c>
      <c r="D1881" s="2">
        <v>4.0000000000000001E-3</v>
      </c>
      <c r="E1881" s="2">
        <v>-2.4879999999999998E-4</v>
      </c>
      <c r="F1881" s="2" t="s">
        <v>7</v>
      </c>
    </row>
    <row r="1882" spans="1:6" ht="22.5" hidden="1" customHeight="1" x14ac:dyDescent="0.25">
      <c r="A1882" s="3">
        <v>44013</v>
      </c>
      <c r="B1882" s="2" t="s">
        <v>52</v>
      </c>
      <c r="C1882" s="2">
        <v>10.85</v>
      </c>
      <c r="D1882" s="2">
        <v>2.5899999999999999E-2</v>
      </c>
      <c r="E1882" s="2">
        <v>2.81015E-3</v>
      </c>
      <c r="F1882" s="2" t="s">
        <v>7</v>
      </c>
    </row>
    <row r="1883" spans="1:6" ht="22.5" hidden="1" customHeight="1" x14ac:dyDescent="0.25">
      <c r="A1883" s="3">
        <v>44013</v>
      </c>
      <c r="B1883" s="2" t="s">
        <v>53</v>
      </c>
      <c r="C1883" s="2">
        <v>0.9</v>
      </c>
      <c r="D1883" s="2">
        <v>0.14610000000000001</v>
      </c>
      <c r="E1883" s="2">
        <v>1.3148999999999999E-3</v>
      </c>
      <c r="F1883" s="2" t="s">
        <v>7</v>
      </c>
    </row>
    <row r="1884" spans="1:6" ht="22.5" hidden="1" customHeight="1" x14ac:dyDescent="0.25">
      <c r="A1884" s="3">
        <v>44013</v>
      </c>
      <c r="B1884" s="2" t="s">
        <v>54</v>
      </c>
      <c r="C1884" s="2">
        <v>4.2300000000000004</v>
      </c>
      <c r="D1884" s="2">
        <v>8.2500000000000004E-2</v>
      </c>
      <c r="E1884" s="2">
        <v>3.4897499999999998E-3</v>
      </c>
      <c r="F1884" s="2" t="s">
        <v>7</v>
      </c>
    </row>
    <row r="1885" spans="1:6" ht="22.5" hidden="1" customHeight="1" x14ac:dyDescent="0.25">
      <c r="A1885" s="3">
        <v>44013</v>
      </c>
      <c r="B1885" s="2" t="s">
        <v>55</v>
      </c>
      <c r="C1885" s="2">
        <v>3.8</v>
      </c>
      <c r="D1885" s="2">
        <v>7.7299999999999994E-2</v>
      </c>
      <c r="E1885" s="2">
        <v>2.9374000000000002E-3</v>
      </c>
      <c r="F1885" s="2" t="s">
        <v>7</v>
      </c>
    </row>
    <row r="1886" spans="1:6" ht="22.5" hidden="1" customHeight="1" x14ac:dyDescent="0.25">
      <c r="A1886" s="3">
        <v>44013</v>
      </c>
      <c r="B1886" s="2" t="s">
        <v>56</v>
      </c>
      <c r="C1886" s="2">
        <v>-2.4</v>
      </c>
      <c r="D1886" s="2">
        <v>7.1000000000000004E-3</v>
      </c>
      <c r="E1886" s="2">
        <v>-1.7039999999999999E-4</v>
      </c>
      <c r="F1886" s="2" t="s">
        <v>7</v>
      </c>
    </row>
    <row r="1887" spans="1:6" ht="22.5" hidden="1" customHeight="1" x14ac:dyDescent="0.25">
      <c r="A1887" s="3">
        <v>44013</v>
      </c>
      <c r="B1887" s="2" t="s">
        <v>57</v>
      </c>
      <c r="C1887" s="2">
        <v>2.48</v>
      </c>
      <c r="D1887" s="2">
        <v>2.7900000000000001E-2</v>
      </c>
      <c r="E1887" s="2">
        <v>6.9191999999999995E-4</v>
      </c>
      <c r="F1887" s="2" t="s">
        <v>7</v>
      </c>
    </row>
    <row r="1888" spans="1:6" ht="22.5" hidden="1" customHeight="1" x14ac:dyDescent="0.25">
      <c r="A1888" s="3">
        <v>44013</v>
      </c>
      <c r="B1888" s="2" t="s">
        <v>58</v>
      </c>
      <c r="C1888" s="2">
        <v>1.58</v>
      </c>
      <c r="D1888" s="2">
        <v>1.6400000000000001E-2</v>
      </c>
      <c r="E1888" s="2">
        <v>2.5912E-4</v>
      </c>
      <c r="F1888" s="2" t="s">
        <v>7</v>
      </c>
    </row>
    <row r="1889" spans="1:6" ht="22.5" hidden="1" customHeight="1" x14ac:dyDescent="0.25">
      <c r="A1889" s="3">
        <v>44013</v>
      </c>
      <c r="B1889" s="2" t="s">
        <v>59</v>
      </c>
      <c r="C1889" s="2">
        <v>2.91</v>
      </c>
      <c r="D1889" s="2">
        <v>2.0799999999999999E-2</v>
      </c>
      <c r="E1889" s="2">
        <v>6.0528000000000003E-4</v>
      </c>
      <c r="F1889" s="2" t="s">
        <v>7</v>
      </c>
    </row>
    <row r="1890" spans="1:6" ht="22.5" hidden="1" customHeight="1" x14ac:dyDescent="0.25">
      <c r="A1890" s="3">
        <v>44013</v>
      </c>
      <c r="B1890" s="2" t="s">
        <v>60</v>
      </c>
      <c r="C1890" s="2">
        <v>1.61</v>
      </c>
      <c r="D1890" s="2">
        <v>3.1600000000000003E-2</v>
      </c>
      <c r="E1890" s="2">
        <v>5.0876000000000003E-4</v>
      </c>
      <c r="F1890" s="2" t="s">
        <v>7</v>
      </c>
    </row>
    <row r="1891" spans="1:6" ht="22.5" hidden="1" customHeight="1" x14ac:dyDescent="0.25">
      <c r="A1891" s="3">
        <v>44013</v>
      </c>
      <c r="B1891" s="2" t="s">
        <v>61</v>
      </c>
      <c r="C1891" s="2">
        <v>2.4900000000000002</v>
      </c>
      <c r="D1891" s="2">
        <v>7.2499999999999995E-2</v>
      </c>
      <c r="E1891" s="2">
        <v>1.80525E-3</v>
      </c>
      <c r="F1891" s="2" t="s">
        <v>7</v>
      </c>
    </row>
    <row r="1892" spans="1:6" ht="22.5" hidden="1" customHeight="1" x14ac:dyDescent="0.25">
      <c r="A1892" s="3">
        <v>44013</v>
      </c>
      <c r="B1892" s="2" t="s">
        <v>62</v>
      </c>
      <c r="C1892" s="2">
        <v>0.21</v>
      </c>
      <c r="D1892" s="2">
        <v>9.2399999999999996E-2</v>
      </c>
      <c r="E1892" s="2">
        <v>1.9404000000000001E-4</v>
      </c>
      <c r="F1892" s="2" t="s">
        <v>7</v>
      </c>
    </row>
    <row r="1893" spans="1:6" ht="22.5" hidden="1" customHeight="1" x14ac:dyDescent="0.25">
      <c r="A1893" s="3">
        <v>44013</v>
      </c>
      <c r="B1893" s="2" t="s">
        <v>63</v>
      </c>
      <c r="C1893" s="2">
        <v>-4.4800000000000004</v>
      </c>
      <c r="D1893" s="2">
        <v>1.12E-2</v>
      </c>
      <c r="E1893" s="2">
        <v>-5.0175999999999997E-4</v>
      </c>
      <c r="F1893" s="2" t="s">
        <v>7</v>
      </c>
    </row>
    <row r="1894" spans="1:6" ht="22.5" hidden="1" customHeight="1" x14ac:dyDescent="0.25">
      <c r="A1894" s="3">
        <v>44013</v>
      </c>
      <c r="B1894" s="2" t="s">
        <v>64</v>
      </c>
      <c r="C1894" s="2">
        <v>0.9</v>
      </c>
      <c r="D1894" s="2">
        <v>4.7999999999999996E-3</v>
      </c>
      <c r="E1894" s="2">
        <v>4.32E-5</v>
      </c>
      <c r="F1894" s="2" t="s">
        <v>7</v>
      </c>
    </row>
    <row r="1895" spans="1:6" ht="22.5" hidden="1" customHeight="1" x14ac:dyDescent="0.25">
      <c r="A1895" s="3">
        <v>44013</v>
      </c>
      <c r="B1895" s="2" t="s">
        <v>65</v>
      </c>
      <c r="C1895" s="2">
        <v>6.95</v>
      </c>
      <c r="D1895" s="2">
        <v>1.9199999999999998E-2</v>
      </c>
      <c r="E1895" s="2">
        <v>1.3343999999999999E-3</v>
      </c>
      <c r="F1895" s="2" t="s">
        <v>7</v>
      </c>
    </row>
    <row r="1896" spans="1:6" ht="22.5" hidden="1" customHeight="1" x14ac:dyDescent="0.25">
      <c r="A1896" s="3">
        <v>44013</v>
      </c>
      <c r="B1896" s="2" t="s">
        <v>66</v>
      </c>
      <c r="C1896" s="2">
        <v>1.42</v>
      </c>
      <c r="D1896" s="2">
        <v>0.31069999999999998</v>
      </c>
      <c r="E1896" s="2">
        <v>4.4119399999999996E-3</v>
      </c>
      <c r="F1896" s="2" t="s">
        <v>7</v>
      </c>
    </row>
    <row r="1897" spans="1:6" ht="22.5" hidden="1" customHeight="1" x14ac:dyDescent="0.25">
      <c r="A1897" s="3">
        <v>44013</v>
      </c>
      <c r="B1897" s="2" t="s">
        <v>67</v>
      </c>
      <c r="C1897" s="2">
        <v>0.15</v>
      </c>
      <c r="D1897" s="2">
        <v>3.2000000000000002E-3</v>
      </c>
      <c r="E1897" s="2">
        <v>4.7999999999999998E-6</v>
      </c>
      <c r="F1897" s="2" t="s">
        <v>7</v>
      </c>
    </row>
    <row r="1898" spans="1:6" ht="22.5" hidden="1" customHeight="1" x14ac:dyDescent="0.25">
      <c r="A1898" s="3">
        <v>44013</v>
      </c>
      <c r="B1898" s="2" t="s">
        <v>68</v>
      </c>
      <c r="C1898" s="2">
        <v>-1.19</v>
      </c>
      <c r="D1898" s="2">
        <v>1.03E-2</v>
      </c>
      <c r="E1898" s="2">
        <v>-1.2256999999999999E-4</v>
      </c>
      <c r="F1898" s="2" t="s">
        <v>7</v>
      </c>
    </row>
    <row r="1899" spans="1:6" ht="22.5" hidden="1" customHeight="1" x14ac:dyDescent="0.25">
      <c r="A1899" s="3">
        <v>44013</v>
      </c>
      <c r="B1899" s="2" t="s">
        <v>69</v>
      </c>
      <c r="C1899" s="2">
        <v>1.98</v>
      </c>
      <c r="D1899" s="2">
        <v>0.39979999999999999</v>
      </c>
      <c r="E1899" s="2">
        <v>7.9160399999999992E-3</v>
      </c>
      <c r="F1899" s="2" t="s">
        <v>7</v>
      </c>
    </row>
    <row r="1900" spans="1:6" ht="22.5" hidden="1" customHeight="1" x14ac:dyDescent="0.25">
      <c r="A1900" s="3">
        <v>44013</v>
      </c>
      <c r="B1900" s="2" t="s">
        <v>70</v>
      </c>
      <c r="C1900" s="2">
        <v>2.4900000000000002</v>
      </c>
      <c r="D1900" s="2">
        <v>2.35E-2</v>
      </c>
      <c r="E1900" s="2">
        <v>5.8514999999999999E-4</v>
      </c>
      <c r="F1900" s="2" t="s">
        <v>7</v>
      </c>
    </row>
    <row r="1901" spans="1:6" ht="22.5" hidden="1" customHeight="1" x14ac:dyDescent="0.25">
      <c r="A1901" s="3">
        <v>44013</v>
      </c>
      <c r="B1901" s="2" t="s">
        <v>71</v>
      </c>
      <c r="C1901" s="2">
        <v>1.36</v>
      </c>
      <c r="D1901" s="2">
        <v>0.27900000000000003</v>
      </c>
      <c r="E1901" s="2">
        <v>3.7943999999999999E-3</v>
      </c>
      <c r="F1901" s="2" t="s">
        <v>7</v>
      </c>
    </row>
    <row r="1902" spans="1:6" ht="22.5" hidden="1" customHeight="1" x14ac:dyDescent="0.25">
      <c r="A1902" s="3">
        <v>44013</v>
      </c>
      <c r="B1902" s="2" t="s">
        <v>72</v>
      </c>
      <c r="C1902" s="2">
        <v>1.66</v>
      </c>
      <c r="D1902" s="2">
        <v>0.30499999999999999</v>
      </c>
      <c r="E1902" s="2">
        <v>5.0629999999999998E-3</v>
      </c>
      <c r="F1902" s="2" t="s">
        <v>7</v>
      </c>
    </row>
    <row r="1903" spans="1:6" ht="22.5" hidden="1" customHeight="1" x14ac:dyDescent="0.25">
      <c r="A1903" s="3">
        <v>44013</v>
      </c>
      <c r="B1903" s="2" t="s">
        <v>73</v>
      </c>
      <c r="C1903" s="2">
        <v>0.82</v>
      </c>
      <c r="D1903" s="2">
        <v>0.14990000000000001</v>
      </c>
      <c r="E1903" s="2">
        <v>1.2291800000000001E-3</v>
      </c>
      <c r="F1903" s="2" t="s">
        <v>7</v>
      </c>
    </row>
    <row r="1904" spans="1:6" ht="22.5" hidden="1" customHeight="1" x14ac:dyDescent="0.25">
      <c r="A1904" s="3">
        <v>44013</v>
      </c>
      <c r="B1904" s="2" t="s">
        <v>74</v>
      </c>
      <c r="C1904" s="2">
        <v>3.22</v>
      </c>
      <c r="D1904" s="2">
        <v>8.2000000000000007E-3</v>
      </c>
      <c r="E1904" s="2">
        <v>2.6404E-4</v>
      </c>
      <c r="F1904" s="2" t="s">
        <v>7</v>
      </c>
    </row>
    <row r="1905" spans="1:6" ht="22.5" hidden="1" customHeight="1" x14ac:dyDescent="0.25">
      <c r="A1905" s="3">
        <v>44013</v>
      </c>
      <c r="B1905" s="2" t="s">
        <v>75</v>
      </c>
      <c r="C1905" s="2">
        <v>3.85</v>
      </c>
      <c r="D1905" s="2">
        <v>6.3299999999999995E-2</v>
      </c>
      <c r="E1905" s="2">
        <v>2.4370500000000001E-3</v>
      </c>
      <c r="F1905" s="2" t="s">
        <v>7</v>
      </c>
    </row>
    <row r="1906" spans="1:6" ht="22.5" hidden="1" customHeight="1" x14ac:dyDescent="0.25">
      <c r="A1906" s="3">
        <v>44013</v>
      </c>
      <c r="B1906" s="2" t="s">
        <v>76</v>
      </c>
      <c r="C1906" s="2">
        <v>5.29</v>
      </c>
      <c r="D1906" s="2">
        <v>0.13039999999999999</v>
      </c>
      <c r="E1906" s="2">
        <v>6.8981600000000004E-3</v>
      </c>
      <c r="F1906" s="2" t="s">
        <v>7</v>
      </c>
    </row>
    <row r="1907" spans="1:6" ht="22.5" hidden="1" customHeight="1" x14ac:dyDescent="0.25">
      <c r="A1907" s="3">
        <v>44013</v>
      </c>
      <c r="B1907" s="2" t="s">
        <v>77</v>
      </c>
      <c r="C1907" s="2">
        <v>4.24</v>
      </c>
      <c r="D1907" s="2">
        <v>9.2399999999999996E-2</v>
      </c>
      <c r="E1907" s="2">
        <v>3.9177600000000002E-3</v>
      </c>
      <c r="F1907" s="2" t="s">
        <v>7</v>
      </c>
    </row>
    <row r="1908" spans="1:6" ht="22.5" hidden="1" customHeight="1" x14ac:dyDescent="0.25">
      <c r="A1908" s="3">
        <v>44013</v>
      </c>
      <c r="B1908" s="2" t="s">
        <v>78</v>
      </c>
      <c r="C1908" s="2">
        <v>2.4</v>
      </c>
      <c r="D1908" s="2">
        <v>0.24790000000000001</v>
      </c>
      <c r="E1908" s="2">
        <v>5.9496000000000002E-3</v>
      </c>
      <c r="F1908" s="2" t="s">
        <v>7</v>
      </c>
    </row>
    <row r="1909" spans="1:6" ht="22.5" hidden="1" customHeight="1" x14ac:dyDescent="0.25">
      <c r="A1909" s="3">
        <v>44013</v>
      </c>
      <c r="B1909" s="2" t="s">
        <v>79</v>
      </c>
      <c r="C1909" s="2">
        <v>2.56</v>
      </c>
      <c r="D1909" s="2">
        <v>9.5999999999999992E-3</v>
      </c>
      <c r="E1909" s="2">
        <v>2.4575999999999998E-4</v>
      </c>
      <c r="F1909" s="2" t="s">
        <v>7</v>
      </c>
    </row>
    <row r="1910" spans="1:6" ht="22.5" hidden="1" customHeight="1" x14ac:dyDescent="0.25">
      <c r="A1910" s="3">
        <v>44013</v>
      </c>
      <c r="B1910" s="2" t="s">
        <v>80</v>
      </c>
      <c r="C1910" s="2">
        <v>3.21</v>
      </c>
      <c r="D1910" s="2">
        <v>3.3399999999999999E-2</v>
      </c>
      <c r="E1910" s="2">
        <v>1.0721400000000001E-3</v>
      </c>
      <c r="F1910" s="2" t="s">
        <v>7</v>
      </c>
    </row>
    <row r="1911" spans="1:6" ht="22.5" hidden="1" customHeight="1" x14ac:dyDescent="0.25">
      <c r="A1911" s="3">
        <v>44013</v>
      </c>
      <c r="B1911" s="2" t="s">
        <v>81</v>
      </c>
      <c r="C1911" s="2">
        <v>2.54</v>
      </c>
      <c r="D1911" s="2">
        <v>0.30499999999999999</v>
      </c>
      <c r="E1911" s="2">
        <v>7.7470000000000004E-3</v>
      </c>
      <c r="F1911" s="2" t="s">
        <v>7</v>
      </c>
    </row>
    <row r="1912" spans="1:6" ht="22.5" hidden="1" customHeight="1" x14ac:dyDescent="0.25">
      <c r="A1912" s="3">
        <v>44013</v>
      </c>
      <c r="B1912" s="2" t="s">
        <v>82</v>
      </c>
      <c r="C1912" s="2">
        <v>1.78</v>
      </c>
      <c r="D1912" s="2">
        <v>3.95E-2</v>
      </c>
      <c r="E1912" s="2">
        <v>7.0310000000000001E-4</v>
      </c>
      <c r="F1912" s="2" t="s">
        <v>7</v>
      </c>
    </row>
    <row r="1913" spans="1:6" ht="22.5" hidden="1" customHeight="1" x14ac:dyDescent="0.25">
      <c r="A1913" s="3">
        <v>44013</v>
      </c>
      <c r="B1913" s="2" t="s">
        <v>83</v>
      </c>
      <c r="C1913" s="2">
        <v>0.4</v>
      </c>
      <c r="D1913" s="2">
        <v>6.9999999999999999E-4</v>
      </c>
      <c r="E1913" s="2">
        <v>2.7999999999999999E-6</v>
      </c>
      <c r="F1913" s="2" t="s">
        <v>7</v>
      </c>
    </row>
    <row r="1914" spans="1:6" ht="22.5" hidden="1" customHeight="1" x14ac:dyDescent="0.25">
      <c r="A1914" s="3">
        <v>44013</v>
      </c>
      <c r="B1914" s="2" t="s">
        <v>84</v>
      </c>
      <c r="C1914" s="2">
        <v>-3.3</v>
      </c>
      <c r="D1914" s="2">
        <v>2.3699999999999999E-2</v>
      </c>
      <c r="E1914" s="2">
        <v>-7.8209999999999998E-4</v>
      </c>
      <c r="F1914" s="2" t="s">
        <v>7</v>
      </c>
    </row>
    <row r="1915" spans="1:6" ht="22.5" hidden="1" customHeight="1" x14ac:dyDescent="0.25">
      <c r="A1915" s="3">
        <v>44013</v>
      </c>
      <c r="B1915" s="2" t="s">
        <v>85</v>
      </c>
      <c r="C1915" s="2">
        <v>-0.86</v>
      </c>
      <c r="D1915" s="2">
        <v>5.7000000000000002E-3</v>
      </c>
      <c r="E1915" s="2">
        <v>-4.9020000000000002E-5</v>
      </c>
      <c r="F1915" s="2" t="s">
        <v>7</v>
      </c>
    </row>
    <row r="1916" spans="1:6" ht="22.5" hidden="1" customHeight="1" x14ac:dyDescent="0.25">
      <c r="A1916" s="3">
        <v>44013</v>
      </c>
      <c r="B1916" s="2" t="s">
        <v>86</v>
      </c>
      <c r="C1916" s="2">
        <v>0.68</v>
      </c>
      <c r="D1916" s="2">
        <v>2.5499999999999998E-2</v>
      </c>
      <c r="E1916" s="2">
        <v>1.7340000000000001E-4</v>
      </c>
      <c r="F1916" s="2" t="s">
        <v>7</v>
      </c>
    </row>
    <row r="1917" spans="1:6" ht="22.5" hidden="1" customHeight="1" x14ac:dyDescent="0.25">
      <c r="A1917" s="3">
        <v>44013</v>
      </c>
      <c r="B1917" s="2" t="s">
        <v>87</v>
      </c>
      <c r="C1917" s="2">
        <v>1.28</v>
      </c>
      <c r="D1917" s="2">
        <v>1E-3</v>
      </c>
      <c r="E1917" s="2">
        <v>1.2799999999999999E-5</v>
      </c>
      <c r="F1917" s="2" t="s">
        <v>7</v>
      </c>
    </row>
    <row r="1918" spans="1:6" ht="22.5" hidden="1" customHeight="1" x14ac:dyDescent="0.25">
      <c r="A1918" s="3">
        <v>44013</v>
      </c>
      <c r="B1918" s="2" t="s">
        <v>88</v>
      </c>
      <c r="C1918" s="2">
        <v>-1</v>
      </c>
      <c r="D1918" s="2">
        <v>7.1999999999999998E-3</v>
      </c>
      <c r="E1918" s="2">
        <v>-7.2000000000000002E-5</v>
      </c>
      <c r="F1918" s="2" t="s">
        <v>7</v>
      </c>
    </row>
    <row r="1919" spans="1:6" ht="22.5" hidden="1" customHeight="1" x14ac:dyDescent="0.25">
      <c r="A1919" s="3">
        <v>44013</v>
      </c>
      <c r="B1919" s="2" t="s">
        <v>89</v>
      </c>
      <c r="C1919" s="2">
        <v>-1.31</v>
      </c>
      <c r="D1919" s="2">
        <v>1.7899999999999999E-2</v>
      </c>
      <c r="E1919" s="2">
        <v>-2.3449000000000001E-4</v>
      </c>
      <c r="F1919" s="2" t="s">
        <v>7</v>
      </c>
    </row>
    <row r="1920" spans="1:6" ht="22.5" hidden="1" customHeight="1" x14ac:dyDescent="0.25">
      <c r="A1920" s="3">
        <v>44013</v>
      </c>
      <c r="B1920" s="2" t="s">
        <v>90</v>
      </c>
      <c r="C1920" s="2">
        <v>4.59</v>
      </c>
      <c r="D1920" s="2">
        <v>1.6000000000000001E-3</v>
      </c>
      <c r="E1920" s="2">
        <v>7.3440000000000002E-5</v>
      </c>
      <c r="F1920" s="2" t="s">
        <v>7</v>
      </c>
    </row>
    <row r="1921" spans="1:6" ht="22.5" hidden="1" customHeight="1" x14ac:dyDescent="0.25">
      <c r="A1921" s="3">
        <v>44013</v>
      </c>
      <c r="B1921" s="2" t="s">
        <v>91</v>
      </c>
      <c r="C1921" s="2">
        <v>-1.63</v>
      </c>
      <c r="D1921" s="2">
        <v>2.5999999999999999E-2</v>
      </c>
      <c r="E1921" s="2">
        <v>-4.238E-4</v>
      </c>
      <c r="F1921" s="2" t="s">
        <v>7</v>
      </c>
    </row>
    <row r="1922" spans="1:6" ht="22.5" hidden="1" customHeight="1" x14ac:dyDescent="0.25">
      <c r="A1922" s="3">
        <v>44013</v>
      </c>
      <c r="B1922" s="2" t="s">
        <v>92</v>
      </c>
      <c r="C1922" s="2">
        <v>0</v>
      </c>
      <c r="D1922" s="2">
        <v>5.4999999999999997E-3</v>
      </c>
      <c r="E1922" s="2">
        <v>0</v>
      </c>
      <c r="F1922" s="2" t="s">
        <v>7</v>
      </c>
    </row>
    <row r="1923" spans="1:6" ht="22.5" hidden="1" customHeight="1" x14ac:dyDescent="0.25">
      <c r="A1923" s="3">
        <v>44013</v>
      </c>
      <c r="B1923" s="2" t="s">
        <v>93</v>
      </c>
      <c r="C1923" s="2">
        <v>-4.4000000000000004</v>
      </c>
      <c r="D1923" s="2">
        <v>1.1999999999999999E-3</v>
      </c>
      <c r="E1923" s="2">
        <v>-5.2800000000000003E-5</v>
      </c>
      <c r="F1923" s="2" t="s">
        <v>7</v>
      </c>
    </row>
    <row r="1924" spans="1:6" ht="22.5" hidden="1" customHeight="1" x14ac:dyDescent="0.25">
      <c r="A1924" s="3">
        <v>44013</v>
      </c>
      <c r="B1924" s="2" t="s">
        <v>94</v>
      </c>
      <c r="C1924" s="2">
        <v>-3.3</v>
      </c>
      <c r="D1924" s="2">
        <v>1E-3</v>
      </c>
      <c r="E1924" s="2">
        <v>-3.3000000000000003E-5</v>
      </c>
      <c r="F1924" s="2" t="s">
        <v>7</v>
      </c>
    </row>
    <row r="1925" spans="1:6" ht="22.5" hidden="1" customHeight="1" x14ac:dyDescent="0.25">
      <c r="A1925" s="3">
        <v>44013</v>
      </c>
      <c r="B1925" s="2" t="s">
        <v>95</v>
      </c>
      <c r="C1925" s="2">
        <v>-1.22</v>
      </c>
      <c r="D1925" s="2">
        <v>1.7899999999999999E-2</v>
      </c>
      <c r="E1925" s="2">
        <v>-2.1838000000000001E-4</v>
      </c>
      <c r="F1925" s="2" t="s">
        <v>7</v>
      </c>
    </row>
    <row r="1926" spans="1:6" ht="22.5" hidden="1" customHeight="1" x14ac:dyDescent="0.25">
      <c r="A1926" s="3">
        <v>44013</v>
      </c>
      <c r="B1926" s="2" t="s">
        <v>96</v>
      </c>
      <c r="C1926" s="2">
        <v>-0.51</v>
      </c>
      <c r="D1926" s="2">
        <v>4.9700000000000001E-2</v>
      </c>
      <c r="E1926" s="2">
        <v>-2.5347E-4</v>
      </c>
      <c r="F1926" s="2" t="s">
        <v>7</v>
      </c>
    </row>
    <row r="1927" spans="1:6" ht="22.5" hidden="1" customHeight="1" x14ac:dyDescent="0.25">
      <c r="A1927" s="3">
        <v>44013</v>
      </c>
      <c r="B1927" s="2" t="s">
        <v>97</v>
      </c>
      <c r="C1927" s="2">
        <v>-0.52</v>
      </c>
      <c r="D1927" s="2">
        <v>1.1299999999999999E-2</v>
      </c>
      <c r="E1927" s="2">
        <v>-5.876E-5</v>
      </c>
      <c r="F1927" s="2" t="s">
        <v>7</v>
      </c>
    </row>
    <row r="1928" spans="1:6" ht="22.5" hidden="1" customHeight="1" x14ac:dyDescent="0.25">
      <c r="A1928" s="3">
        <v>44013</v>
      </c>
      <c r="B1928" s="2" t="s">
        <v>98</v>
      </c>
      <c r="C1928" s="2">
        <v>1.1599999999999999</v>
      </c>
      <c r="D1928" s="2">
        <v>7.0000000000000001E-3</v>
      </c>
      <c r="E1928" s="2">
        <v>8.1199999999999995E-5</v>
      </c>
      <c r="F1928" s="2" t="s">
        <v>7</v>
      </c>
    </row>
    <row r="1929" spans="1:6" ht="22.5" hidden="1" customHeight="1" x14ac:dyDescent="0.25">
      <c r="A1929" s="3">
        <v>44013</v>
      </c>
      <c r="B1929" s="2" t="s">
        <v>99</v>
      </c>
      <c r="C1929" s="2">
        <v>0.13</v>
      </c>
      <c r="D1929" s="2">
        <v>3.7000000000000002E-3</v>
      </c>
      <c r="E1929" s="2">
        <v>4.8099999999999997E-6</v>
      </c>
      <c r="F1929" s="2" t="s">
        <v>7</v>
      </c>
    </row>
    <row r="1930" spans="1:6" ht="22.5" hidden="1" customHeight="1" x14ac:dyDescent="0.25">
      <c r="A1930" s="3">
        <v>44013</v>
      </c>
      <c r="B1930" s="2" t="s">
        <v>100</v>
      </c>
      <c r="C1930" s="2">
        <v>0.61</v>
      </c>
      <c r="D1930" s="2">
        <v>6.9999999999999999E-4</v>
      </c>
      <c r="E1930" s="2">
        <v>4.2699999999999998E-6</v>
      </c>
      <c r="F1930" s="2" t="s">
        <v>7</v>
      </c>
    </row>
    <row r="1931" spans="1:6" ht="22.5" hidden="1" customHeight="1" x14ac:dyDescent="0.25">
      <c r="A1931" s="3">
        <v>44013</v>
      </c>
      <c r="B1931" s="2" t="s">
        <v>101</v>
      </c>
      <c r="C1931" s="2">
        <v>0.52</v>
      </c>
      <c r="D1931" s="2">
        <v>9.9900000000000003E-2</v>
      </c>
      <c r="E1931" s="2">
        <v>5.1948000000000001E-4</v>
      </c>
      <c r="F1931" s="2" t="s">
        <v>7</v>
      </c>
    </row>
    <row r="1932" spans="1:6" ht="22.5" hidden="1" customHeight="1" x14ac:dyDescent="0.25">
      <c r="A1932" s="3">
        <v>44013</v>
      </c>
      <c r="B1932" s="2" t="s">
        <v>102</v>
      </c>
      <c r="C1932" s="2">
        <v>0.98</v>
      </c>
      <c r="D1932" s="2">
        <v>4.3900000000000002E-2</v>
      </c>
      <c r="E1932" s="2">
        <v>4.3021999999999998E-4</v>
      </c>
      <c r="F1932" s="2" t="s">
        <v>7</v>
      </c>
    </row>
    <row r="1933" spans="1:6" ht="22.5" hidden="1" customHeight="1" x14ac:dyDescent="0.25">
      <c r="A1933" s="3">
        <v>44013</v>
      </c>
      <c r="B1933" s="2" t="s">
        <v>103</v>
      </c>
      <c r="C1933" s="2">
        <v>3.02</v>
      </c>
      <c r="D1933" s="2">
        <v>0.30099999999999999</v>
      </c>
      <c r="E1933" s="2">
        <v>9.0901999999999997E-3</v>
      </c>
      <c r="F1933" s="2" t="s">
        <v>7</v>
      </c>
    </row>
    <row r="1934" spans="1:6" ht="22.5" hidden="1" customHeight="1" x14ac:dyDescent="0.25">
      <c r="A1934" s="3">
        <v>44013</v>
      </c>
      <c r="B1934" s="2" t="s">
        <v>104</v>
      </c>
      <c r="C1934" s="2">
        <v>1.49</v>
      </c>
      <c r="D1934" s="2">
        <v>5.3100000000000001E-2</v>
      </c>
      <c r="E1934" s="2">
        <v>7.9118999999999999E-4</v>
      </c>
      <c r="F1934" s="2" t="s">
        <v>7</v>
      </c>
    </row>
    <row r="1935" spans="1:6" ht="22.5" hidden="1" customHeight="1" x14ac:dyDescent="0.25">
      <c r="A1935" s="3">
        <v>44013</v>
      </c>
      <c r="B1935" s="2" t="s">
        <v>105</v>
      </c>
      <c r="C1935" s="2">
        <v>1.39</v>
      </c>
      <c r="D1935" s="2">
        <v>8.8000000000000005E-3</v>
      </c>
      <c r="E1935" s="2">
        <v>1.2232000000000001E-4</v>
      </c>
      <c r="F1935" s="2" t="s">
        <v>7</v>
      </c>
    </row>
    <row r="1936" spans="1:6" ht="22.5" hidden="1" customHeight="1" x14ac:dyDescent="0.25">
      <c r="A1936" s="3">
        <v>44013</v>
      </c>
      <c r="B1936" s="2" t="s">
        <v>106</v>
      </c>
      <c r="C1936" s="2">
        <v>2.15</v>
      </c>
      <c r="D1936" s="2">
        <v>8.6999999999999994E-3</v>
      </c>
      <c r="E1936" s="2">
        <v>1.8704999999999999E-4</v>
      </c>
      <c r="F1936" s="2" t="s">
        <v>7</v>
      </c>
    </row>
    <row r="1937" spans="1:6" ht="22.5" hidden="1" customHeight="1" x14ac:dyDescent="0.25">
      <c r="A1937" s="3">
        <v>44013</v>
      </c>
      <c r="B1937" s="2" t="s">
        <v>107</v>
      </c>
      <c r="C1937" s="2">
        <v>-1.0900000000000001</v>
      </c>
      <c r="D1937" s="2">
        <v>0.1177</v>
      </c>
      <c r="E1937" s="2">
        <v>-1.2829300000000001E-3</v>
      </c>
      <c r="F1937" s="2" t="s">
        <v>7</v>
      </c>
    </row>
    <row r="1938" spans="1:6" ht="22.5" hidden="1" customHeight="1" x14ac:dyDescent="0.25">
      <c r="A1938" s="3">
        <v>44013</v>
      </c>
      <c r="B1938" s="2" t="s">
        <v>108</v>
      </c>
      <c r="C1938" s="2">
        <v>-0.45</v>
      </c>
      <c r="D1938" s="2">
        <v>7.7000000000000002E-3</v>
      </c>
      <c r="E1938" s="2">
        <v>-3.4650000000000002E-5</v>
      </c>
      <c r="F1938" s="2" t="s">
        <v>7</v>
      </c>
    </row>
    <row r="1939" spans="1:6" ht="22.5" hidden="1" customHeight="1" x14ac:dyDescent="0.25">
      <c r="A1939" s="3">
        <v>44013</v>
      </c>
      <c r="B1939" s="2" t="s">
        <v>109</v>
      </c>
      <c r="C1939" s="2">
        <v>-1.22</v>
      </c>
      <c r="D1939" s="2">
        <v>0.33450000000000002</v>
      </c>
      <c r="E1939" s="2">
        <v>-4.0809000000000002E-3</v>
      </c>
      <c r="F1939" s="2" t="s">
        <v>7</v>
      </c>
    </row>
    <row r="1940" spans="1:6" ht="22.5" hidden="1" customHeight="1" x14ac:dyDescent="0.25">
      <c r="A1940" s="3">
        <v>44013</v>
      </c>
      <c r="B1940" s="2" t="s">
        <v>110</v>
      </c>
      <c r="C1940" s="2">
        <v>0.43</v>
      </c>
      <c r="D1940" s="2">
        <v>0.57589999999999997</v>
      </c>
      <c r="E1940" s="2">
        <v>2.4763699999999999E-3</v>
      </c>
      <c r="F1940" s="2" t="s">
        <v>7</v>
      </c>
    </row>
    <row r="1941" spans="1:6" ht="22.5" hidden="1" customHeight="1" x14ac:dyDescent="0.25">
      <c r="A1941" s="3">
        <v>44013</v>
      </c>
      <c r="B1941" s="2" t="s">
        <v>111</v>
      </c>
      <c r="C1941" s="2">
        <v>-1.82</v>
      </c>
      <c r="D1941" s="2">
        <v>0.24740000000000001</v>
      </c>
      <c r="E1941" s="2">
        <v>-4.5026800000000002E-3</v>
      </c>
      <c r="F1941" s="2" t="s">
        <v>7</v>
      </c>
    </row>
    <row r="1942" spans="1:6" ht="22.5" hidden="1" customHeight="1" x14ac:dyDescent="0.25">
      <c r="A1942" s="3">
        <v>44013</v>
      </c>
      <c r="B1942" s="2" t="s">
        <v>112</v>
      </c>
      <c r="C1942" s="2">
        <v>3.61</v>
      </c>
      <c r="D1942" s="2">
        <v>0.68310000000000004</v>
      </c>
      <c r="E1942" s="2">
        <v>2.465991E-2</v>
      </c>
      <c r="F1942" s="2" t="s">
        <v>7</v>
      </c>
    </row>
    <row r="1943" spans="1:6" ht="22.5" hidden="1" customHeight="1" x14ac:dyDescent="0.25">
      <c r="A1943" s="3">
        <v>44013</v>
      </c>
      <c r="B1943" s="2" t="s">
        <v>113</v>
      </c>
      <c r="C1943" s="2">
        <v>1.1499999999999999</v>
      </c>
      <c r="D1943" s="2">
        <v>1.9599999999999999E-2</v>
      </c>
      <c r="E1943" s="2">
        <v>2.254E-4</v>
      </c>
      <c r="F1943" s="2" t="s">
        <v>7</v>
      </c>
    </row>
    <row r="1944" spans="1:6" ht="22.5" hidden="1" customHeight="1" x14ac:dyDescent="0.25">
      <c r="A1944" s="3">
        <v>44013</v>
      </c>
      <c r="B1944" s="2" t="s">
        <v>114</v>
      </c>
      <c r="C1944" s="2">
        <v>1.25</v>
      </c>
      <c r="D1944" s="2">
        <v>0.18509999999999999</v>
      </c>
      <c r="E1944" s="2">
        <v>2.3137499999999998E-3</v>
      </c>
      <c r="F1944" s="2" t="s">
        <v>7</v>
      </c>
    </row>
    <row r="1945" spans="1:6" ht="22.5" hidden="1" customHeight="1" x14ac:dyDescent="0.25">
      <c r="A1945" s="3">
        <v>44013</v>
      </c>
      <c r="B1945" s="2" t="s">
        <v>115</v>
      </c>
      <c r="C1945" s="2">
        <v>1.66</v>
      </c>
      <c r="D1945" s="2">
        <v>0.50149999999999995</v>
      </c>
      <c r="E1945" s="2">
        <v>8.3248999999999997E-3</v>
      </c>
      <c r="F1945" s="2" t="s">
        <v>7</v>
      </c>
    </row>
    <row r="1946" spans="1:6" ht="22.5" hidden="1" customHeight="1" x14ac:dyDescent="0.25">
      <c r="A1946" s="3">
        <v>44013</v>
      </c>
      <c r="B1946" s="2" t="s">
        <v>116</v>
      </c>
      <c r="C1946" s="2">
        <v>-0.77</v>
      </c>
      <c r="D1946" s="2">
        <v>0.15</v>
      </c>
      <c r="E1946" s="2">
        <v>-1.155E-3</v>
      </c>
      <c r="F1946" s="2" t="s">
        <v>7</v>
      </c>
    </row>
    <row r="1947" spans="1:6" ht="22.5" hidden="1" customHeight="1" x14ac:dyDescent="0.25">
      <c r="A1947" s="3">
        <v>44013</v>
      </c>
      <c r="B1947" s="2" t="s">
        <v>117</v>
      </c>
      <c r="C1947" s="2">
        <v>-0.4</v>
      </c>
      <c r="D1947" s="2">
        <v>5.3199999999999997E-2</v>
      </c>
      <c r="E1947" s="2">
        <v>-2.128E-4</v>
      </c>
      <c r="F1947" s="2" t="s">
        <v>7</v>
      </c>
    </row>
    <row r="1948" spans="1:6" ht="22.5" hidden="1" customHeight="1" x14ac:dyDescent="0.25">
      <c r="A1948" s="3">
        <v>44013</v>
      </c>
      <c r="B1948" s="2" t="s">
        <v>118</v>
      </c>
      <c r="C1948" s="2">
        <v>7.0000000000000007E-2</v>
      </c>
      <c r="D1948" s="2">
        <v>6.0299999999999999E-2</v>
      </c>
      <c r="E1948" s="2">
        <v>4.2209999999999997E-5</v>
      </c>
      <c r="F1948" s="2" t="s">
        <v>7</v>
      </c>
    </row>
    <row r="1949" spans="1:6" ht="22.5" hidden="1" customHeight="1" x14ac:dyDescent="0.25">
      <c r="A1949" s="3">
        <v>44013</v>
      </c>
      <c r="B1949" s="2" t="s">
        <v>119</v>
      </c>
      <c r="C1949" s="2">
        <v>-0.18</v>
      </c>
      <c r="D1949" s="2">
        <v>1.06E-2</v>
      </c>
      <c r="E1949" s="2">
        <v>-1.908E-5</v>
      </c>
      <c r="F1949" s="2" t="s">
        <v>7</v>
      </c>
    </row>
    <row r="1950" spans="1:6" ht="22.5" hidden="1" customHeight="1" x14ac:dyDescent="0.25">
      <c r="A1950" s="3">
        <v>44013</v>
      </c>
      <c r="B1950" s="2" t="s">
        <v>120</v>
      </c>
      <c r="C1950" s="2">
        <v>-0.75</v>
      </c>
      <c r="D1950" s="2">
        <v>0.45579999999999998</v>
      </c>
      <c r="E1950" s="2">
        <v>-3.4185000000000001E-3</v>
      </c>
      <c r="F1950" s="2" t="s">
        <v>7</v>
      </c>
    </row>
    <row r="1951" spans="1:6" ht="22.5" hidden="1" customHeight="1" x14ac:dyDescent="0.25">
      <c r="A1951" s="3">
        <v>44013</v>
      </c>
      <c r="B1951" s="2" t="s">
        <v>121</v>
      </c>
      <c r="C1951" s="2">
        <v>-0.8</v>
      </c>
      <c r="D1951" s="2">
        <v>0.79959999999999998</v>
      </c>
      <c r="E1951" s="2">
        <v>-6.3968000000000002E-3</v>
      </c>
      <c r="F1951" s="2" t="s">
        <v>7</v>
      </c>
    </row>
    <row r="1952" spans="1:6" ht="22.5" hidden="1" customHeight="1" x14ac:dyDescent="0.25">
      <c r="A1952" s="3">
        <v>44013</v>
      </c>
      <c r="B1952" s="2" t="s">
        <v>122</v>
      </c>
      <c r="C1952" s="2">
        <v>0.7</v>
      </c>
      <c r="D1952" s="2">
        <v>8.3799999999999999E-2</v>
      </c>
      <c r="E1952" s="2">
        <v>5.8659999999999995E-4</v>
      </c>
      <c r="F1952" s="2" t="s">
        <v>7</v>
      </c>
    </row>
    <row r="1953" spans="1:6" ht="22.5" hidden="1" customHeight="1" x14ac:dyDescent="0.25">
      <c r="A1953" s="3">
        <v>44013</v>
      </c>
      <c r="B1953" s="2" t="s">
        <v>123</v>
      </c>
      <c r="C1953" s="2">
        <v>-2.29</v>
      </c>
      <c r="D1953" s="2">
        <v>9.8699999999999996E-2</v>
      </c>
      <c r="E1953" s="2">
        <v>-2.2602299999999998E-3</v>
      </c>
      <c r="F1953" s="2" t="s">
        <v>7</v>
      </c>
    </row>
    <row r="1954" spans="1:6" ht="22.5" hidden="1" customHeight="1" x14ac:dyDescent="0.25">
      <c r="A1954" s="3">
        <v>44013</v>
      </c>
      <c r="B1954" s="2" t="s">
        <v>124</v>
      </c>
      <c r="C1954" s="2">
        <v>0.54</v>
      </c>
      <c r="D1954" s="2">
        <v>0.1401</v>
      </c>
      <c r="E1954" s="2">
        <v>7.5653999999999999E-4</v>
      </c>
      <c r="F1954" s="2" t="s">
        <v>7</v>
      </c>
    </row>
    <row r="1955" spans="1:6" ht="22.5" hidden="1" customHeight="1" x14ac:dyDescent="0.25">
      <c r="A1955" s="3">
        <v>44013</v>
      </c>
      <c r="B1955" s="2" t="s">
        <v>125</v>
      </c>
      <c r="C1955" s="2">
        <v>0.86</v>
      </c>
      <c r="D1955" s="2">
        <v>3.2599999999999997E-2</v>
      </c>
      <c r="E1955" s="2">
        <v>2.8036000000000001E-4</v>
      </c>
      <c r="F1955" s="2" t="s">
        <v>7</v>
      </c>
    </row>
    <row r="1956" spans="1:6" ht="22.5" hidden="1" customHeight="1" x14ac:dyDescent="0.25">
      <c r="A1956" s="3">
        <v>44013</v>
      </c>
      <c r="B1956" s="2" t="s">
        <v>126</v>
      </c>
      <c r="C1956" s="2">
        <v>1.39</v>
      </c>
      <c r="D1956" s="2">
        <v>0.183</v>
      </c>
      <c r="E1956" s="2">
        <v>2.5436999999999999E-3</v>
      </c>
      <c r="F1956" s="2" t="s">
        <v>7</v>
      </c>
    </row>
    <row r="1957" spans="1:6" ht="22.5" hidden="1" customHeight="1" x14ac:dyDescent="0.25">
      <c r="A1957" s="3">
        <v>44013</v>
      </c>
      <c r="B1957" s="2" t="s">
        <v>127</v>
      </c>
      <c r="C1957" s="2">
        <v>0.13</v>
      </c>
      <c r="D1957" s="2">
        <v>6.2199999999999998E-2</v>
      </c>
      <c r="E1957" s="2">
        <v>8.0859999999999995E-5</v>
      </c>
      <c r="F1957" s="2" t="s">
        <v>7</v>
      </c>
    </row>
    <row r="1958" spans="1:6" ht="22.5" hidden="1" customHeight="1" x14ac:dyDescent="0.25">
      <c r="A1958" s="3">
        <v>44013</v>
      </c>
      <c r="B1958" s="2" t="s">
        <v>128</v>
      </c>
      <c r="C1958" s="2">
        <v>2.0299999999999998</v>
      </c>
      <c r="D1958" s="2">
        <v>9.0800000000000006E-2</v>
      </c>
      <c r="E1958" s="2">
        <v>1.8432399999999999E-3</v>
      </c>
      <c r="F1958" s="2" t="s">
        <v>7</v>
      </c>
    </row>
    <row r="1959" spans="1:6" ht="22.5" hidden="1" customHeight="1" x14ac:dyDescent="0.25">
      <c r="A1959" s="3">
        <v>44013</v>
      </c>
      <c r="B1959" s="2" t="s">
        <v>129</v>
      </c>
      <c r="C1959" s="2">
        <v>-0.24</v>
      </c>
      <c r="D1959" s="2">
        <v>0.1358</v>
      </c>
      <c r="E1959" s="2">
        <v>-3.2592E-4</v>
      </c>
      <c r="F1959" s="2" t="s">
        <v>7</v>
      </c>
    </row>
    <row r="1960" spans="1:6" ht="22.5" hidden="1" customHeight="1" x14ac:dyDescent="0.25">
      <c r="A1960" s="3">
        <v>44013</v>
      </c>
      <c r="B1960" s="2" t="s">
        <v>130</v>
      </c>
      <c r="C1960" s="2">
        <v>-0.79</v>
      </c>
      <c r="D1960" s="2">
        <v>1.3599999999999999E-2</v>
      </c>
      <c r="E1960" s="2">
        <v>-1.0744E-4</v>
      </c>
      <c r="F1960" s="2" t="s">
        <v>7</v>
      </c>
    </row>
    <row r="1961" spans="1:6" ht="22.5" hidden="1" customHeight="1" x14ac:dyDescent="0.25">
      <c r="A1961" s="3">
        <v>44013</v>
      </c>
      <c r="B1961" s="2" t="s">
        <v>131</v>
      </c>
      <c r="C1961" s="2">
        <v>-0.09</v>
      </c>
      <c r="D1961" s="2">
        <v>6.6100000000000006E-2</v>
      </c>
      <c r="E1961" s="2">
        <v>-5.9490000000000001E-5</v>
      </c>
      <c r="F1961" s="2" t="s">
        <v>7</v>
      </c>
    </row>
    <row r="1962" spans="1:6" ht="22.5" hidden="1" customHeight="1" x14ac:dyDescent="0.25">
      <c r="A1962" s="3">
        <v>44013</v>
      </c>
      <c r="B1962" s="2" t="s">
        <v>132</v>
      </c>
      <c r="C1962" s="2">
        <v>0.62</v>
      </c>
      <c r="D1962" s="2">
        <v>0.29149999999999998</v>
      </c>
      <c r="E1962" s="2">
        <v>1.8073E-3</v>
      </c>
      <c r="F1962" s="2" t="s">
        <v>7</v>
      </c>
    </row>
    <row r="1963" spans="1:6" ht="22.5" hidden="1" customHeight="1" x14ac:dyDescent="0.25">
      <c r="A1963" s="3">
        <v>44013</v>
      </c>
      <c r="B1963" s="2" t="s">
        <v>133</v>
      </c>
      <c r="C1963" s="2">
        <v>-0.86</v>
      </c>
      <c r="D1963" s="2">
        <v>8.9999999999999993E-3</v>
      </c>
      <c r="E1963" s="2">
        <v>-7.7399999999999998E-5</v>
      </c>
      <c r="F1963" s="2" t="s">
        <v>7</v>
      </c>
    </row>
    <row r="1964" spans="1:6" ht="22.5" hidden="1" customHeight="1" x14ac:dyDescent="0.25">
      <c r="A1964" s="3">
        <v>44013</v>
      </c>
      <c r="B1964" s="2" t="s">
        <v>134</v>
      </c>
      <c r="C1964" s="2">
        <v>-0.21</v>
      </c>
      <c r="D1964" s="2">
        <v>0.51649999999999996</v>
      </c>
      <c r="E1964" s="2">
        <v>-1.0846499999999999E-3</v>
      </c>
      <c r="F1964" s="2" t="s">
        <v>7</v>
      </c>
    </row>
    <row r="1965" spans="1:6" ht="22.5" hidden="1" customHeight="1" x14ac:dyDescent="0.25">
      <c r="A1965" s="3">
        <v>44013</v>
      </c>
      <c r="B1965" s="2" t="s">
        <v>135</v>
      </c>
      <c r="C1965" s="2">
        <v>-0.25</v>
      </c>
      <c r="D1965" s="2">
        <v>0.4093</v>
      </c>
      <c r="E1965" s="2">
        <v>-1.0232500000000001E-3</v>
      </c>
      <c r="F1965" s="2" t="s">
        <v>7</v>
      </c>
    </row>
    <row r="1966" spans="1:6" ht="22.5" hidden="1" customHeight="1" x14ac:dyDescent="0.25">
      <c r="A1966" s="3">
        <v>44013</v>
      </c>
      <c r="B1966" s="2" t="s">
        <v>136</v>
      </c>
      <c r="C1966" s="2">
        <v>0.78</v>
      </c>
      <c r="D1966" s="2">
        <v>3.7400000000000003E-2</v>
      </c>
      <c r="E1966" s="2">
        <v>2.9171999999999998E-4</v>
      </c>
      <c r="F1966" s="2" t="s">
        <v>7</v>
      </c>
    </row>
    <row r="1967" spans="1:6" ht="22.5" hidden="1" customHeight="1" x14ac:dyDescent="0.25">
      <c r="A1967" s="3">
        <v>44013</v>
      </c>
      <c r="B1967" s="2" t="s">
        <v>137</v>
      </c>
      <c r="C1967" s="2">
        <v>0.27</v>
      </c>
      <c r="D1967" s="2">
        <v>7.1099999999999997E-2</v>
      </c>
      <c r="E1967" s="2">
        <v>1.9196999999999999E-4</v>
      </c>
      <c r="F1967" s="2" t="s">
        <v>7</v>
      </c>
    </row>
    <row r="1968" spans="1:6" ht="22.5" hidden="1" customHeight="1" x14ac:dyDescent="0.25">
      <c r="A1968" s="3">
        <v>44013</v>
      </c>
      <c r="B1968" s="2" t="s">
        <v>138</v>
      </c>
      <c r="C1968" s="2">
        <v>-0.25</v>
      </c>
      <c r="D1968" s="2">
        <v>4.9500000000000002E-2</v>
      </c>
      <c r="E1968" s="2">
        <v>-1.2375E-4</v>
      </c>
      <c r="F1968" s="2" t="s">
        <v>7</v>
      </c>
    </row>
    <row r="1969" spans="1:6" ht="22.5" hidden="1" customHeight="1" x14ac:dyDescent="0.25">
      <c r="A1969" s="3">
        <v>44013</v>
      </c>
      <c r="B1969" s="2" t="s">
        <v>139</v>
      </c>
      <c r="C1969" s="2">
        <v>0.55000000000000004</v>
      </c>
      <c r="D1969" s="2">
        <v>2.7799999999999998E-2</v>
      </c>
      <c r="E1969" s="2">
        <v>1.529E-4</v>
      </c>
      <c r="F1969" s="2" t="s">
        <v>7</v>
      </c>
    </row>
    <row r="1970" spans="1:6" ht="22.5" hidden="1" customHeight="1" x14ac:dyDescent="0.25">
      <c r="A1970" s="3">
        <v>44013</v>
      </c>
      <c r="B1970" s="2" t="s">
        <v>140</v>
      </c>
      <c r="C1970" s="2">
        <v>1.22</v>
      </c>
      <c r="D1970" s="2">
        <v>2.3E-3</v>
      </c>
      <c r="E1970" s="2">
        <v>2.8059999999999999E-5</v>
      </c>
      <c r="F1970" s="2" t="s">
        <v>7</v>
      </c>
    </row>
    <row r="1971" spans="1:6" ht="22.5" hidden="1" customHeight="1" x14ac:dyDescent="0.25">
      <c r="A1971" s="3">
        <v>44013</v>
      </c>
      <c r="B1971" s="2" t="s">
        <v>141</v>
      </c>
      <c r="C1971" s="2">
        <v>0.78</v>
      </c>
      <c r="D1971" s="2">
        <v>1.9199999999999998E-2</v>
      </c>
      <c r="E1971" s="2">
        <v>1.4976E-4</v>
      </c>
      <c r="F1971" s="2" t="s">
        <v>7</v>
      </c>
    </row>
    <row r="1972" spans="1:6" ht="22.5" hidden="1" customHeight="1" x14ac:dyDescent="0.25">
      <c r="A1972" s="3">
        <v>44013</v>
      </c>
      <c r="B1972" s="2" t="s">
        <v>142</v>
      </c>
      <c r="C1972" s="2">
        <v>-0.38</v>
      </c>
      <c r="D1972" s="2">
        <v>4.4999999999999997E-3</v>
      </c>
      <c r="E1972" s="2">
        <v>-1.7099999999999999E-5</v>
      </c>
      <c r="F1972" s="2" t="s">
        <v>7</v>
      </c>
    </row>
    <row r="1973" spans="1:6" ht="22.5" hidden="1" customHeight="1" x14ac:dyDescent="0.25">
      <c r="A1973" s="3">
        <v>44013</v>
      </c>
      <c r="B1973" s="2" t="s">
        <v>143</v>
      </c>
      <c r="C1973" s="2">
        <v>0.83</v>
      </c>
      <c r="D1973" s="2">
        <v>3.85E-2</v>
      </c>
      <c r="E1973" s="2">
        <v>3.1954999999999999E-4</v>
      </c>
      <c r="F1973" s="2" t="s">
        <v>7</v>
      </c>
    </row>
    <row r="1974" spans="1:6" ht="22.5" hidden="1" customHeight="1" x14ac:dyDescent="0.25">
      <c r="A1974" s="3">
        <v>44013</v>
      </c>
      <c r="B1974" s="2" t="s">
        <v>144</v>
      </c>
      <c r="C1974" s="2">
        <v>0.67</v>
      </c>
      <c r="D1974" s="2">
        <v>1.4E-3</v>
      </c>
      <c r="E1974" s="2">
        <v>9.38E-6</v>
      </c>
      <c r="F1974" s="2" t="s">
        <v>7</v>
      </c>
    </row>
    <row r="1975" spans="1:6" ht="22.5" hidden="1" customHeight="1" x14ac:dyDescent="0.25">
      <c r="A1975" s="3">
        <v>44013</v>
      </c>
      <c r="B1975" s="2" t="s">
        <v>145</v>
      </c>
      <c r="C1975" s="2">
        <v>-0.17</v>
      </c>
      <c r="D1975" s="2">
        <v>1.6000000000000001E-3</v>
      </c>
      <c r="E1975" s="2">
        <v>-2.7199999999999998E-6</v>
      </c>
      <c r="F1975" s="2" t="s">
        <v>7</v>
      </c>
    </row>
    <row r="1976" spans="1:6" ht="22.5" hidden="1" customHeight="1" x14ac:dyDescent="0.25">
      <c r="A1976" s="3">
        <v>44013</v>
      </c>
      <c r="B1976" s="2" t="s">
        <v>146</v>
      </c>
      <c r="C1976" s="2">
        <v>-0.62</v>
      </c>
      <c r="D1976" s="2">
        <v>3.2800000000000003E-2</v>
      </c>
      <c r="E1976" s="2">
        <v>-2.0336E-4</v>
      </c>
      <c r="F1976" s="2" t="s">
        <v>7</v>
      </c>
    </row>
    <row r="1977" spans="1:6" ht="22.5" hidden="1" customHeight="1" x14ac:dyDescent="0.25">
      <c r="A1977" s="3">
        <v>44013</v>
      </c>
      <c r="B1977" s="2" t="s">
        <v>147</v>
      </c>
      <c r="C1977" s="2">
        <v>0.09</v>
      </c>
      <c r="D1977" s="2">
        <v>2.63E-2</v>
      </c>
      <c r="E1977" s="2">
        <v>2.3669999999999999E-5</v>
      </c>
      <c r="F1977" s="2" t="s">
        <v>7</v>
      </c>
    </row>
    <row r="1978" spans="1:6" ht="22.5" hidden="1" customHeight="1" x14ac:dyDescent="0.25">
      <c r="A1978" s="3">
        <v>44013</v>
      </c>
      <c r="B1978" s="2" t="s">
        <v>148</v>
      </c>
      <c r="C1978" s="2">
        <v>-0.21</v>
      </c>
      <c r="D1978" s="2">
        <v>2.3E-2</v>
      </c>
      <c r="E1978" s="2">
        <v>-4.8300000000000002E-5</v>
      </c>
      <c r="F1978" s="2" t="s">
        <v>7</v>
      </c>
    </row>
    <row r="1979" spans="1:6" ht="22.5" hidden="1" customHeight="1" x14ac:dyDescent="0.25">
      <c r="A1979" s="3">
        <v>44013</v>
      </c>
      <c r="B1979" s="2" t="s">
        <v>149</v>
      </c>
      <c r="C1979" s="2">
        <v>-1.07</v>
      </c>
      <c r="D1979" s="2">
        <v>2.5000000000000001E-3</v>
      </c>
      <c r="E1979" s="2">
        <v>-2.675E-5</v>
      </c>
      <c r="F1979" s="2" t="s">
        <v>7</v>
      </c>
    </row>
    <row r="1980" spans="1:6" ht="22.5" hidden="1" customHeight="1" x14ac:dyDescent="0.25">
      <c r="A1980" s="3">
        <v>44013</v>
      </c>
      <c r="B1980" s="2" t="s">
        <v>150</v>
      </c>
      <c r="C1980" s="2">
        <v>1.03</v>
      </c>
      <c r="D1980" s="2">
        <v>0.1153</v>
      </c>
      <c r="E1980" s="2">
        <v>1.1875900000000001E-3</v>
      </c>
      <c r="F1980" s="2" t="s">
        <v>7</v>
      </c>
    </row>
    <row r="1981" spans="1:6" ht="22.5" hidden="1" customHeight="1" x14ac:dyDescent="0.25">
      <c r="A1981" s="3">
        <v>44013</v>
      </c>
      <c r="B1981" s="2" t="s">
        <v>151</v>
      </c>
      <c r="C1981" s="2">
        <v>-0.09</v>
      </c>
      <c r="D1981" s="2">
        <v>0.14749999999999999</v>
      </c>
      <c r="E1981" s="2">
        <v>-1.3275E-4</v>
      </c>
      <c r="F1981" s="2" t="s">
        <v>7</v>
      </c>
    </row>
    <row r="1982" spans="1:6" ht="22.5" hidden="1" customHeight="1" x14ac:dyDescent="0.25">
      <c r="A1982" s="3">
        <v>44013</v>
      </c>
      <c r="B1982" s="2" t="s">
        <v>152</v>
      </c>
      <c r="C1982" s="2">
        <v>0.13</v>
      </c>
      <c r="D1982" s="2">
        <v>3.0999999999999999E-3</v>
      </c>
      <c r="E1982" s="2">
        <v>4.0300000000000004E-6</v>
      </c>
      <c r="F1982" s="2" t="s">
        <v>7</v>
      </c>
    </row>
    <row r="1983" spans="1:6" ht="22.5" hidden="1" customHeight="1" x14ac:dyDescent="0.25">
      <c r="A1983" s="3">
        <v>44013</v>
      </c>
      <c r="B1983" s="2" t="s">
        <v>153</v>
      </c>
      <c r="C1983" s="2">
        <v>0.26</v>
      </c>
      <c r="D1983" s="2">
        <v>8.9999999999999998E-4</v>
      </c>
      <c r="E1983" s="2">
        <v>2.34E-6</v>
      </c>
      <c r="F1983" s="2" t="s">
        <v>7</v>
      </c>
    </row>
    <row r="1984" spans="1:6" ht="22.5" hidden="1" customHeight="1" x14ac:dyDescent="0.25">
      <c r="A1984" s="3">
        <v>44013</v>
      </c>
      <c r="B1984" s="2" t="s">
        <v>154</v>
      </c>
      <c r="C1984" s="2">
        <v>-0.02</v>
      </c>
      <c r="D1984" s="2">
        <v>1.1000000000000001E-3</v>
      </c>
      <c r="E1984" s="2">
        <v>-2.2000000000000001E-7</v>
      </c>
      <c r="F1984" s="2" t="s">
        <v>7</v>
      </c>
    </row>
    <row r="1985" spans="1:6" ht="22.5" hidden="1" customHeight="1" x14ac:dyDescent="0.25">
      <c r="A1985" s="3">
        <v>44013</v>
      </c>
      <c r="B1985" s="2" t="s">
        <v>155</v>
      </c>
      <c r="C1985" s="2">
        <v>0.76</v>
      </c>
      <c r="D1985" s="2">
        <v>5.7999999999999996E-3</v>
      </c>
      <c r="E1985" s="2">
        <v>4.4079999999999998E-5</v>
      </c>
      <c r="F1985" s="2" t="s">
        <v>7</v>
      </c>
    </row>
    <row r="1986" spans="1:6" ht="22.5" hidden="1" customHeight="1" x14ac:dyDescent="0.25">
      <c r="A1986" s="3">
        <v>44013</v>
      </c>
      <c r="B1986" s="2" t="s">
        <v>156</v>
      </c>
      <c r="C1986" s="2">
        <v>-0.04</v>
      </c>
      <c r="D1986" s="2">
        <v>4.58E-2</v>
      </c>
      <c r="E1986" s="2">
        <v>-1.8320000000000001E-5</v>
      </c>
      <c r="F1986" s="2" t="s">
        <v>7</v>
      </c>
    </row>
    <row r="1987" spans="1:6" ht="22.5" hidden="1" customHeight="1" x14ac:dyDescent="0.25">
      <c r="A1987" s="3">
        <v>44013</v>
      </c>
      <c r="B1987" s="2" t="s">
        <v>157</v>
      </c>
      <c r="C1987" s="2">
        <v>0.49</v>
      </c>
      <c r="D1987" s="2">
        <v>1.7399999999999999E-2</v>
      </c>
      <c r="E1987" s="2">
        <v>8.5259999999999993E-5</v>
      </c>
      <c r="F1987" s="2" t="s">
        <v>7</v>
      </c>
    </row>
    <row r="1988" spans="1:6" ht="22.5" hidden="1" customHeight="1" x14ac:dyDescent="0.25">
      <c r="A1988" s="3">
        <v>44013</v>
      </c>
      <c r="B1988" s="2" t="s">
        <v>158</v>
      </c>
      <c r="C1988" s="2">
        <v>-0.08</v>
      </c>
      <c r="D1988" s="2">
        <v>1.0200000000000001E-2</v>
      </c>
      <c r="E1988" s="2">
        <v>-8.1599999999999998E-6</v>
      </c>
      <c r="F1988" s="2" t="s">
        <v>7</v>
      </c>
    </row>
    <row r="1989" spans="1:6" ht="22.5" hidden="1" customHeight="1" x14ac:dyDescent="0.25">
      <c r="A1989" s="3">
        <v>44013</v>
      </c>
      <c r="B1989" s="2" t="s">
        <v>159</v>
      </c>
      <c r="C1989" s="2">
        <v>0.33</v>
      </c>
      <c r="D1989" s="2">
        <v>5.45E-2</v>
      </c>
      <c r="E1989" s="2">
        <v>1.7985000000000001E-4</v>
      </c>
      <c r="F1989" s="2" t="s">
        <v>7</v>
      </c>
    </row>
    <row r="1990" spans="1:6" ht="22.5" hidden="1" customHeight="1" x14ac:dyDescent="0.25">
      <c r="A1990" s="3">
        <v>44013</v>
      </c>
      <c r="B1990" s="2" t="s">
        <v>160</v>
      </c>
      <c r="C1990" s="2">
        <v>0.02</v>
      </c>
      <c r="D1990" s="2">
        <v>3.8123999999999998</v>
      </c>
      <c r="E1990" s="2">
        <v>7.6247999999999995E-4</v>
      </c>
      <c r="F1990" s="2" t="s">
        <v>7</v>
      </c>
    </row>
    <row r="1991" spans="1:6" ht="22.5" hidden="1" customHeight="1" x14ac:dyDescent="0.25">
      <c r="A1991" s="3">
        <v>44013</v>
      </c>
      <c r="B1991" s="2" t="s">
        <v>161</v>
      </c>
      <c r="C1991" s="2">
        <v>0.2</v>
      </c>
      <c r="D1991" s="2">
        <v>1.7269000000000001</v>
      </c>
      <c r="E1991" s="2">
        <v>3.4537999999999999E-3</v>
      </c>
      <c r="F1991" s="2" t="s">
        <v>7</v>
      </c>
    </row>
    <row r="1992" spans="1:6" ht="22.5" hidden="1" customHeight="1" x14ac:dyDescent="0.25">
      <c r="A1992" s="3">
        <v>44013</v>
      </c>
      <c r="B1992" s="2" t="s">
        <v>134</v>
      </c>
      <c r="C1992" s="2">
        <v>-0.35</v>
      </c>
      <c r="D1992" s="2">
        <v>0.12590000000000001</v>
      </c>
      <c r="E1992" s="2">
        <v>-4.4065E-4</v>
      </c>
      <c r="F1992" s="2" t="s">
        <v>7</v>
      </c>
    </row>
    <row r="1993" spans="1:6" ht="22.5" hidden="1" customHeight="1" x14ac:dyDescent="0.25">
      <c r="A1993" s="3">
        <v>44013</v>
      </c>
      <c r="B1993" s="2" t="s">
        <v>162</v>
      </c>
      <c r="C1993" s="2">
        <v>-1.67</v>
      </c>
      <c r="D1993" s="2">
        <v>4.3999999999999997E-2</v>
      </c>
      <c r="E1993" s="2">
        <v>-7.3479999999999997E-4</v>
      </c>
      <c r="F1993" s="2" t="s">
        <v>7</v>
      </c>
    </row>
    <row r="1994" spans="1:6" ht="22.5" hidden="1" customHeight="1" x14ac:dyDescent="0.25">
      <c r="A1994" s="3">
        <v>44013</v>
      </c>
      <c r="B1994" s="2" t="s">
        <v>135</v>
      </c>
      <c r="C1994" s="2">
        <v>-0.64</v>
      </c>
      <c r="D1994" s="2">
        <v>0.29670000000000002</v>
      </c>
      <c r="E1994" s="2">
        <v>-1.8988799999999999E-3</v>
      </c>
      <c r="F1994" s="2" t="s">
        <v>7</v>
      </c>
    </row>
    <row r="1995" spans="1:6" ht="22.5" hidden="1" customHeight="1" x14ac:dyDescent="0.25">
      <c r="A1995" s="3">
        <v>44013</v>
      </c>
      <c r="B1995" s="2" t="s">
        <v>136</v>
      </c>
      <c r="C1995" s="2">
        <v>0.76</v>
      </c>
      <c r="D1995" s="2">
        <v>4.3E-3</v>
      </c>
      <c r="E1995" s="2">
        <v>3.2679999999999999E-5</v>
      </c>
      <c r="F1995" s="2" t="s">
        <v>7</v>
      </c>
    </row>
    <row r="1996" spans="1:6" ht="22.5" hidden="1" customHeight="1" x14ac:dyDescent="0.25">
      <c r="A1996" s="3">
        <v>44013</v>
      </c>
      <c r="B1996" s="2" t="s">
        <v>137</v>
      </c>
      <c r="C1996" s="2">
        <v>2.3199999999999998</v>
      </c>
      <c r="D1996" s="2">
        <v>8.5000000000000006E-3</v>
      </c>
      <c r="E1996" s="2">
        <v>1.972E-4</v>
      </c>
      <c r="F1996" s="2" t="s">
        <v>7</v>
      </c>
    </row>
    <row r="1997" spans="1:6" ht="22.5" hidden="1" customHeight="1" x14ac:dyDescent="0.25">
      <c r="A1997" s="3">
        <v>44013</v>
      </c>
      <c r="B1997" s="2" t="s">
        <v>163</v>
      </c>
      <c r="C1997" s="2">
        <v>-0.7</v>
      </c>
      <c r="D1997" s="2">
        <v>4.4000000000000003E-3</v>
      </c>
      <c r="E1997" s="2">
        <v>-3.0800000000000003E-5</v>
      </c>
      <c r="F1997" s="2" t="s">
        <v>7</v>
      </c>
    </row>
    <row r="1998" spans="1:6" ht="22.5" hidden="1" customHeight="1" x14ac:dyDescent="0.25">
      <c r="A1998" s="3">
        <v>44013</v>
      </c>
      <c r="B1998" s="2" t="s">
        <v>34</v>
      </c>
      <c r="C1998" s="2">
        <v>0.51</v>
      </c>
      <c r="D1998" s="2">
        <v>5.1999999999999998E-2</v>
      </c>
      <c r="E1998" s="2">
        <v>2.652E-4</v>
      </c>
      <c r="F1998" s="2" t="s">
        <v>7</v>
      </c>
    </row>
    <row r="1999" spans="1:6" ht="22.5" hidden="1" customHeight="1" x14ac:dyDescent="0.25">
      <c r="A1999" s="3">
        <v>44013</v>
      </c>
      <c r="B1999" s="2" t="s">
        <v>164</v>
      </c>
      <c r="C1999" s="2">
        <v>0.55000000000000004</v>
      </c>
      <c r="D1999" s="2">
        <v>3.8574000000000002</v>
      </c>
      <c r="E1999" s="2">
        <v>2.1215700000000001E-2</v>
      </c>
      <c r="F1999" s="2" t="s">
        <v>165</v>
      </c>
    </row>
    <row r="2000" spans="1:6" ht="22.5" hidden="1" customHeight="1" x14ac:dyDescent="0.25">
      <c r="A2000" s="3">
        <v>44013</v>
      </c>
      <c r="B2000" s="2" t="s">
        <v>166</v>
      </c>
      <c r="C2000" s="2">
        <v>-0.17</v>
      </c>
      <c r="D2000" s="2">
        <v>2.4051</v>
      </c>
      <c r="E2000" s="2">
        <v>-4.08867E-3</v>
      </c>
      <c r="F2000" s="2" t="s">
        <v>165</v>
      </c>
    </row>
    <row r="2001" spans="1:6" ht="22.5" hidden="1" customHeight="1" x14ac:dyDescent="0.25">
      <c r="A2001" s="3">
        <v>44197</v>
      </c>
      <c r="B2001" s="2" t="s">
        <v>286</v>
      </c>
      <c r="C2001" s="2">
        <v>1.78</v>
      </c>
      <c r="D2001" s="2">
        <v>0.18060000000000001</v>
      </c>
      <c r="E2001" s="2">
        <v>3.2146800000000001E-3</v>
      </c>
      <c r="F2001" s="2" t="s">
        <v>168</v>
      </c>
    </row>
    <row r="2002" spans="1:6" ht="22.5" hidden="1" customHeight="1" x14ac:dyDescent="0.25">
      <c r="A2002" s="3">
        <v>44013</v>
      </c>
      <c r="B2002" s="2" t="s">
        <v>169</v>
      </c>
      <c r="C2002" s="2">
        <v>0.21</v>
      </c>
      <c r="D2002" s="2">
        <v>9.7999999999999997E-3</v>
      </c>
      <c r="E2002" s="2">
        <v>2.0579999999999999E-5</v>
      </c>
      <c r="F2002" s="2" t="s">
        <v>170</v>
      </c>
    </row>
    <row r="2003" spans="1:6" ht="22.5" hidden="1" customHeight="1" x14ac:dyDescent="0.25">
      <c r="A2003" s="3">
        <v>44013</v>
      </c>
      <c r="B2003" s="2" t="s">
        <v>171</v>
      </c>
      <c r="C2003" s="2">
        <v>0.84</v>
      </c>
      <c r="D2003" s="2">
        <v>1.44E-2</v>
      </c>
      <c r="E2003" s="2">
        <v>1.2095999999999999E-4</v>
      </c>
      <c r="F2003" s="2" t="s">
        <v>170</v>
      </c>
    </row>
    <row r="2004" spans="1:6" ht="22.5" hidden="1" customHeight="1" x14ac:dyDescent="0.25">
      <c r="A2004" s="3">
        <v>44013</v>
      </c>
      <c r="B2004" s="2" t="s">
        <v>172</v>
      </c>
      <c r="C2004" s="2">
        <v>-1.97</v>
      </c>
      <c r="D2004" s="2">
        <v>3.3999999999999998E-3</v>
      </c>
      <c r="E2004" s="2">
        <v>-6.6979999999999999E-5</v>
      </c>
      <c r="F2004" s="2" t="s">
        <v>170</v>
      </c>
    </row>
    <row r="2005" spans="1:6" ht="22.5" hidden="1" customHeight="1" x14ac:dyDescent="0.25">
      <c r="A2005" s="3">
        <v>44013</v>
      </c>
      <c r="B2005" s="2" t="s">
        <v>173</v>
      </c>
      <c r="C2005" s="2">
        <v>0.88</v>
      </c>
      <c r="D2005" s="2">
        <v>0.25619999999999998</v>
      </c>
      <c r="E2005" s="2">
        <v>2.2545600000000001E-3</v>
      </c>
      <c r="F2005" s="2" t="s">
        <v>174</v>
      </c>
    </row>
    <row r="2006" spans="1:6" ht="22.5" hidden="1" customHeight="1" x14ac:dyDescent="0.25">
      <c r="A2006" s="3">
        <v>44013</v>
      </c>
      <c r="B2006" s="2" t="s">
        <v>175</v>
      </c>
      <c r="C2006" s="2">
        <v>1.04</v>
      </c>
      <c r="D2006" s="2">
        <v>0.2167</v>
      </c>
      <c r="E2006" s="2">
        <v>2.2536800000000001E-3</v>
      </c>
      <c r="F2006" s="2" t="s">
        <v>174</v>
      </c>
    </row>
    <row r="2007" spans="1:6" ht="22.5" hidden="1" customHeight="1" x14ac:dyDescent="0.25">
      <c r="A2007" s="3">
        <v>44013</v>
      </c>
      <c r="B2007" s="2" t="s">
        <v>176</v>
      </c>
      <c r="C2007" s="2">
        <v>-2.59</v>
      </c>
      <c r="D2007" s="2">
        <v>1.37E-2</v>
      </c>
      <c r="E2007" s="2">
        <v>-3.5482999999999999E-4</v>
      </c>
      <c r="F2007" s="2" t="s">
        <v>170</v>
      </c>
    </row>
    <row r="2008" spans="1:6" ht="22.5" hidden="1" customHeight="1" x14ac:dyDescent="0.25">
      <c r="A2008" s="3">
        <v>44013</v>
      </c>
      <c r="B2008" s="2" t="s">
        <v>177</v>
      </c>
      <c r="C2008" s="2">
        <v>2.94</v>
      </c>
      <c r="D2008" s="2">
        <v>2.0400000000000001E-2</v>
      </c>
      <c r="E2008" s="2">
        <v>5.9975999999999996E-4</v>
      </c>
      <c r="F2008" s="2" t="s">
        <v>170</v>
      </c>
    </row>
    <row r="2009" spans="1:6" ht="22.5" hidden="1" customHeight="1" x14ac:dyDescent="0.25">
      <c r="A2009" s="3">
        <v>44013</v>
      </c>
      <c r="B2009" s="2" t="s">
        <v>178</v>
      </c>
      <c r="C2009" s="2">
        <v>4.95</v>
      </c>
      <c r="D2009" s="2">
        <v>1.7600000000000001E-2</v>
      </c>
      <c r="E2009" s="2">
        <v>8.7120000000000003E-4</v>
      </c>
      <c r="F2009" s="2" t="s">
        <v>170</v>
      </c>
    </row>
    <row r="2010" spans="1:6" ht="22.5" hidden="1" customHeight="1" x14ac:dyDescent="0.25">
      <c r="A2010" s="3">
        <v>44013</v>
      </c>
      <c r="B2010" s="2" t="s">
        <v>179</v>
      </c>
      <c r="C2010" s="2">
        <v>1.25</v>
      </c>
      <c r="D2010" s="2">
        <v>3.7100000000000001E-2</v>
      </c>
      <c r="E2010" s="2">
        <v>4.6375000000000002E-4</v>
      </c>
      <c r="F2010" s="2" t="s">
        <v>170</v>
      </c>
    </row>
    <row r="2011" spans="1:6" ht="22.5" hidden="1" customHeight="1" x14ac:dyDescent="0.25">
      <c r="A2011" s="3">
        <v>44013</v>
      </c>
      <c r="B2011" s="2" t="s">
        <v>180</v>
      </c>
      <c r="C2011" s="2">
        <v>-0.24</v>
      </c>
      <c r="D2011" s="2">
        <v>0.6744</v>
      </c>
      <c r="E2011" s="2">
        <v>-1.61856E-3</v>
      </c>
      <c r="F2011" s="2" t="s">
        <v>165</v>
      </c>
    </row>
    <row r="2012" spans="1:6" ht="22.5" hidden="1" customHeight="1" x14ac:dyDescent="0.25">
      <c r="A2012" s="3">
        <v>44013</v>
      </c>
      <c r="B2012" s="2" t="s">
        <v>181</v>
      </c>
      <c r="C2012" s="2">
        <v>-1.36</v>
      </c>
      <c r="D2012" s="2">
        <v>1.24E-2</v>
      </c>
      <c r="E2012" s="2">
        <v>-1.6864000000000001E-4</v>
      </c>
      <c r="F2012" s="2" t="s">
        <v>174</v>
      </c>
    </row>
    <row r="2013" spans="1:6" ht="22.5" hidden="1" customHeight="1" x14ac:dyDescent="0.25">
      <c r="A2013" s="3">
        <v>44013</v>
      </c>
      <c r="B2013" s="2" t="s">
        <v>182</v>
      </c>
      <c r="C2013" s="2">
        <v>2.4</v>
      </c>
      <c r="D2013" s="2">
        <v>3.6600000000000001E-2</v>
      </c>
      <c r="E2013" s="2">
        <v>8.7839999999999999E-4</v>
      </c>
      <c r="F2013" s="2" t="s">
        <v>170</v>
      </c>
    </row>
    <row r="2014" spans="1:6" ht="22.5" hidden="1" customHeight="1" x14ac:dyDescent="0.25">
      <c r="A2014" s="3">
        <v>44013</v>
      </c>
      <c r="B2014" s="2" t="s">
        <v>183</v>
      </c>
      <c r="C2014" s="2">
        <v>-1.08</v>
      </c>
      <c r="D2014" s="2">
        <v>4.4000000000000003E-3</v>
      </c>
      <c r="E2014" s="2">
        <v>-4.7519999999999999E-5</v>
      </c>
      <c r="F2014" s="2" t="s">
        <v>174</v>
      </c>
    </row>
    <row r="2015" spans="1:6" ht="22.5" hidden="1" customHeight="1" x14ac:dyDescent="0.25">
      <c r="A2015" s="3">
        <v>44013</v>
      </c>
      <c r="B2015" s="2" t="s">
        <v>184</v>
      </c>
      <c r="C2015" s="2">
        <v>-0.59</v>
      </c>
      <c r="D2015" s="2">
        <v>6.4500000000000002E-2</v>
      </c>
      <c r="E2015" s="2">
        <v>-3.8055000000000001E-4</v>
      </c>
      <c r="F2015" s="2" t="s">
        <v>174</v>
      </c>
    </row>
    <row r="2016" spans="1:6" ht="22.5" hidden="1" customHeight="1" x14ac:dyDescent="0.25">
      <c r="A2016" s="3">
        <v>44013</v>
      </c>
      <c r="B2016" s="2" t="s">
        <v>185</v>
      </c>
      <c r="C2016" s="2">
        <v>-0.65</v>
      </c>
      <c r="D2016" s="2">
        <v>0.15359999999999999</v>
      </c>
      <c r="E2016" s="2">
        <v>-9.9839999999999998E-4</v>
      </c>
      <c r="F2016" s="2" t="s">
        <v>174</v>
      </c>
    </row>
    <row r="2017" spans="1:6" ht="22.5" hidden="1" customHeight="1" x14ac:dyDescent="0.25">
      <c r="A2017" s="3">
        <v>44013</v>
      </c>
      <c r="B2017" s="2" t="s">
        <v>186</v>
      </c>
      <c r="C2017" s="2">
        <v>-0.24</v>
      </c>
      <c r="D2017" s="2">
        <v>0.22539999999999999</v>
      </c>
      <c r="E2017" s="2">
        <v>-5.4096000000000005E-4</v>
      </c>
      <c r="F2017" s="2" t="s">
        <v>174</v>
      </c>
    </row>
    <row r="2018" spans="1:6" ht="22.5" hidden="1" customHeight="1" x14ac:dyDescent="0.25">
      <c r="A2018" s="3">
        <v>44013</v>
      </c>
      <c r="B2018" s="2" t="s">
        <v>187</v>
      </c>
      <c r="C2018" s="2">
        <v>0.85</v>
      </c>
      <c r="D2018" s="2">
        <v>6.1600000000000002E-2</v>
      </c>
      <c r="E2018" s="2">
        <v>5.2360000000000004E-4</v>
      </c>
      <c r="F2018" s="2" t="s">
        <v>174</v>
      </c>
    </row>
    <row r="2019" spans="1:6" ht="22.5" hidden="1" customHeight="1" x14ac:dyDescent="0.25">
      <c r="A2019" s="3">
        <v>44013</v>
      </c>
      <c r="B2019" s="2" t="s">
        <v>188</v>
      </c>
      <c r="C2019" s="2">
        <v>-0.05</v>
      </c>
      <c r="D2019" s="2">
        <v>2.63E-2</v>
      </c>
      <c r="E2019" s="2">
        <v>-1.3149999999999999E-5</v>
      </c>
      <c r="F2019" s="2" t="s">
        <v>174</v>
      </c>
    </row>
    <row r="2020" spans="1:6" ht="22.5" hidden="1" customHeight="1" x14ac:dyDescent="0.25">
      <c r="A2020" s="3">
        <v>44013</v>
      </c>
      <c r="B2020" s="2" t="s">
        <v>189</v>
      </c>
      <c r="C2020" s="2">
        <v>1.72</v>
      </c>
      <c r="D2020" s="2">
        <v>3.5999999999999999E-3</v>
      </c>
      <c r="E2020" s="2">
        <v>6.1920000000000003E-5</v>
      </c>
      <c r="F2020" s="2" t="s">
        <v>174</v>
      </c>
    </row>
    <row r="2021" spans="1:6" ht="22.5" hidden="1" customHeight="1" x14ac:dyDescent="0.25">
      <c r="A2021" s="3">
        <v>44013</v>
      </c>
      <c r="B2021" s="2" t="s">
        <v>190</v>
      </c>
      <c r="C2021" s="2">
        <v>1.65</v>
      </c>
      <c r="D2021" s="2">
        <v>5.0000000000000001E-3</v>
      </c>
      <c r="E2021" s="2">
        <v>8.25E-5</v>
      </c>
      <c r="F2021" s="2" t="s">
        <v>174</v>
      </c>
    </row>
    <row r="2022" spans="1:6" ht="22.5" hidden="1" customHeight="1" x14ac:dyDescent="0.25">
      <c r="A2022" s="3">
        <v>44013</v>
      </c>
      <c r="B2022" s="2" t="s">
        <v>191</v>
      </c>
      <c r="C2022" s="2">
        <v>-0.28000000000000003</v>
      </c>
      <c r="D2022" s="2">
        <v>2.75E-2</v>
      </c>
      <c r="E2022" s="2">
        <v>-7.7000000000000001E-5</v>
      </c>
      <c r="F2022" s="2" t="s">
        <v>174</v>
      </c>
    </row>
    <row r="2023" spans="1:6" ht="22.5" hidden="1" customHeight="1" x14ac:dyDescent="0.25">
      <c r="A2023" s="3">
        <v>44013</v>
      </c>
      <c r="B2023" s="2" t="s">
        <v>192</v>
      </c>
      <c r="C2023" s="2">
        <v>1.87</v>
      </c>
      <c r="D2023" s="2">
        <v>5.1999999999999998E-3</v>
      </c>
      <c r="E2023" s="2">
        <v>9.7239999999999997E-5</v>
      </c>
      <c r="F2023" s="2" t="s">
        <v>174</v>
      </c>
    </row>
    <row r="2024" spans="1:6" ht="22.5" hidden="1" customHeight="1" x14ac:dyDescent="0.25">
      <c r="A2024" s="3">
        <v>44013</v>
      </c>
      <c r="B2024" s="2" t="s">
        <v>193</v>
      </c>
      <c r="C2024" s="2">
        <v>0.11</v>
      </c>
      <c r="D2024" s="2">
        <v>0.17130000000000001</v>
      </c>
      <c r="E2024" s="2">
        <v>1.8843000000000001E-4</v>
      </c>
      <c r="F2024" s="2" t="s">
        <v>174</v>
      </c>
    </row>
    <row r="2025" spans="1:6" ht="22.5" hidden="1" customHeight="1" x14ac:dyDescent="0.25">
      <c r="A2025" s="3">
        <v>44013</v>
      </c>
      <c r="B2025" s="2" t="s">
        <v>194</v>
      </c>
      <c r="C2025" s="2">
        <v>0.18</v>
      </c>
      <c r="D2025" s="2">
        <v>3.3999999999999998E-3</v>
      </c>
      <c r="E2025" s="2">
        <v>6.1199999999999999E-6</v>
      </c>
      <c r="F2025" s="2" t="s">
        <v>174</v>
      </c>
    </row>
    <row r="2026" spans="1:6" ht="22.5" hidden="1" customHeight="1" x14ac:dyDescent="0.25">
      <c r="A2026" s="3">
        <v>44440</v>
      </c>
      <c r="B2026" s="2" t="s">
        <v>196</v>
      </c>
      <c r="C2026" s="2">
        <v>2.2000000000000002</v>
      </c>
      <c r="D2026" s="2">
        <v>0.14460000000000001</v>
      </c>
      <c r="E2026" s="2">
        <v>3.1811999999999999E-3</v>
      </c>
      <c r="F2026" s="2" t="s">
        <v>168</v>
      </c>
    </row>
    <row r="2027" spans="1:6" ht="22.5" hidden="1" customHeight="1" x14ac:dyDescent="0.25">
      <c r="A2027" s="3">
        <v>44317</v>
      </c>
      <c r="B2027" s="2" t="s">
        <v>301</v>
      </c>
      <c r="C2027" s="2">
        <v>2.2799999999999998</v>
      </c>
      <c r="D2027" s="2">
        <v>0.13950000000000001</v>
      </c>
      <c r="E2027" s="2">
        <v>3.1806E-3</v>
      </c>
      <c r="F2027" s="2" t="s">
        <v>168</v>
      </c>
    </row>
    <row r="2028" spans="1:6" ht="22.5" hidden="1" customHeight="1" x14ac:dyDescent="0.25">
      <c r="A2028" s="3">
        <v>44136</v>
      </c>
      <c r="B2028" s="2" t="s">
        <v>195</v>
      </c>
      <c r="C2028" s="2">
        <v>0.28999999999999998</v>
      </c>
      <c r="D2028" s="2">
        <v>1.0783</v>
      </c>
      <c r="E2028" s="2">
        <v>3.12707E-3</v>
      </c>
      <c r="F2028" s="2" t="s">
        <v>168</v>
      </c>
    </row>
    <row r="2029" spans="1:6" ht="22.5" hidden="1" customHeight="1" x14ac:dyDescent="0.25">
      <c r="A2029" s="3">
        <v>44013</v>
      </c>
      <c r="B2029" s="2" t="s">
        <v>198</v>
      </c>
      <c r="C2029" s="2">
        <v>-1.1599999999999999</v>
      </c>
      <c r="D2029" s="2">
        <v>0.33789999999999998</v>
      </c>
      <c r="E2029" s="2">
        <v>-3.9196400000000003E-3</v>
      </c>
      <c r="F2029" s="2" t="s">
        <v>170</v>
      </c>
    </row>
    <row r="2030" spans="1:6" ht="22.5" hidden="1" customHeight="1" x14ac:dyDescent="0.25">
      <c r="A2030" s="3">
        <v>44013</v>
      </c>
      <c r="B2030" s="2" t="s">
        <v>199</v>
      </c>
      <c r="C2030" s="2">
        <v>-0.31</v>
      </c>
      <c r="D2030" s="2">
        <v>0.45529999999999998</v>
      </c>
      <c r="E2030" s="2">
        <v>-1.41143E-3</v>
      </c>
      <c r="F2030" s="2" t="s">
        <v>170</v>
      </c>
    </row>
    <row r="2031" spans="1:6" ht="22.5" hidden="1" customHeight="1" x14ac:dyDescent="0.25">
      <c r="A2031" s="3">
        <v>44013</v>
      </c>
      <c r="B2031" s="2" t="s">
        <v>200</v>
      </c>
      <c r="C2031" s="2">
        <v>-1.93</v>
      </c>
      <c r="D2031" s="2">
        <v>0.1895</v>
      </c>
      <c r="E2031" s="2">
        <v>-3.6573500000000002E-3</v>
      </c>
      <c r="F2031" s="2" t="s">
        <v>170</v>
      </c>
    </row>
    <row r="2032" spans="1:6" ht="22.5" hidden="1" customHeight="1" x14ac:dyDescent="0.25">
      <c r="A2032" s="3">
        <v>44013</v>
      </c>
      <c r="B2032" s="2" t="s">
        <v>201</v>
      </c>
      <c r="C2032" s="2">
        <v>-1.0900000000000001</v>
      </c>
      <c r="D2032" s="2">
        <v>2.6499999999999999E-2</v>
      </c>
      <c r="E2032" s="2">
        <v>-2.8885E-4</v>
      </c>
      <c r="F2032" s="2" t="s">
        <v>170</v>
      </c>
    </row>
    <row r="2033" spans="1:6" ht="22.5" hidden="1" customHeight="1" x14ac:dyDescent="0.25">
      <c r="A2033" s="3">
        <v>44013</v>
      </c>
      <c r="B2033" s="2" t="s">
        <v>202</v>
      </c>
      <c r="C2033" s="2">
        <v>0.21</v>
      </c>
      <c r="D2033" s="2">
        <v>1.37E-2</v>
      </c>
      <c r="E2033" s="2">
        <v>2.8770000000000001E-5</v>
      </c>
      <c r="F2033" s="2" t="s">
        <v>170</v>
      </c>
    </row>
    <row r="2034" spans="1:6" ht="22.5" hidden="1" customHeight="1" x14ac:dyDescent="0.25">
      <c r="A2034" s="3">
        <v>44013</v>
      </c>
      <c r="B2034" s="2" t="s">
        <v>203</v>
      </c>
      <c r="C2034" s="2">
        <v>0.56000000000000005</v>
      </c>
      <c r="D2034" s="2">
        <v>8.3099999999999993E-2</v>
      </c>
      <c r="E2034" s="2">
        <v>4.6536E-4</v>
      </c>
      <c r="F2034" s="2" t="s">
        <v>170</v>
      </c>
    </row>
    <row r="2035" spans="1:6" ht="22.5" hidden="1" customHeight="1" x14ac:dyDescent="0.25">
      <c r="A2035" s="3">
        <v>44013</v>
      </c>
      <c r="B2035" s="2" t="s">
        <v>204</v>
      </c>
      <c r="C2035" s="2">
        <v>-1.69</v>
      </c>
      <c r="D2035" s="2">
        <v>6.2199999999999998E-2</v>
      </c>
      <c r="E2035" s="2">
        <v>-1.0511800000000001E-3</v>
      </c>
      <c r="F2035" s="2" t="s">
        <v>174</v>
      </c>
    </row>
    <row r="2036" spans="1:6" ht="22.5" hidden="1" customHeight="1" x14ac:dyDescent="0.25">
      <c r="A2036" s="3">
        <v>44013</v>
      </c>
      <c r="B2036" s="2" t="s">
        <v>205</v>
      </c>
      <c r="C2036" s="2">
        <v>0.19</v>
      </c>
      <c r="D2036" s="2">
        <v>9.6500000000000002E-2</v>
      </c>
      <c r="E2036" s="2">
        <v>1.8335000000000001E-4</v>
      </c>
      <c r="F2036" s="2" t="s">
        <v>174</v>
      </c>
    </row>
    <row r="2037" spans="1:6" ht="22.5" hidden="1" customHeight="1" x14ac:dyDescent="0.25">
      <c r="A2037" s="3">
        <v>44013</v>
      </c>
      <c r="B2037" s="2" t="s">
        <v>206</v>
      </c>
      <c r="C2037" s="2">
        <v>-0.34</v>
      </c>
      <c r="D2037" s="2">
        <v>0.15970000000000001</v>
      </c>
      <c r="E2037" s="2">
        <v>-5.4297999999999998E-4</v>
      </c>
      <c r="F2037" s="2" t="s">
        <v>174</v>
      </c>
    </row>
    <row r="2038" spans="1:6" ht="22.5" hidden="1" customHeight="1" x14ac:dyDescent="0.25">
      <c r="A2038" s="3">
        <v>44013</v>
      </c>
      <c r="B2038" s="2" t="s">
        <v>207</v>
      </c>
      <c r="C2038" s="2">
        <v>-0.14000000000000001</v>
      </c>
      <c r="D2038" s="2">
        <v>0.05</v>
      </c>
      <c r="E2038" s="2">
        <v>-6.9999999999999994E-5</v>
      </c>
      <c r="F2038" s="2" t="s">
        <v>174</v>
      </c>
    </row>
    <row r="2039" spans="1:6" ht="22.5" hidden="1" customHeight="1" x14ac:dyDescent="0.25">
      <c r="A2039" s="3">
        <v>44013</v>
      </c>
      <c r="B2039" s="2" t="s">
        <v>208</v>
      </c>
      <c r="C2039" s="2">
        <v>-1.1399999999999999</v>
      </c>
      <c r="D2039" s="2">
        <v>8.8999999999999999E-3</v>
      </c>
      <c r="E2039" s="2">
        <v>-1.0145999999999999E-4</v>
      </c>
      <c r="F2039" s="2" t="s">
        <v>174</v>
      </c>
    </row>
    <row r="2040" spans="1:6" ht="22.5" hidden="1" customHeight="1" x14ac:dyDescent="0.25">
      <c r="A2040" s="3">
        <v>44013</v>
      </c>
      <c r="B2040" s="2" t="s">
        <v>209</v>
      </c>
      <c r="C2040" s="2">
        <v>4.5999999999999996</v>
      </c>
      <c r="D2040" s="2">
        <v>5.7999999999999996E-3</v>
      </c>
      <c r="E2040" s="2">
        <v>2.6679999999999998E-4</v>
      </c>
      <c r="F2040" s="2" t="s">
        <v>174</v>
      </c>
    </row>
    <row r="2041" spans="1:6" ht="22.5" hidden="1" customHeight="1" x14ac:dyDescent="0.25">
      <c r="A2041" s="3">
        <v>44013</v>
      </c>
      <c r="B2041" s="2" t="s">
        <v>210</v>
      </c>
      <c r="C2041" s="2">
        <v>0.84</v>
      </c>
      <c r="D2041" s="2">
        <v>1.46E-2</v>
      </c>
      <c r="E2041" s="2">
        <v>1.2264E-4</v>
      </c>
      <c r="F2041" s="2" t="s">
        <v>170</v>
      </c>
    </row>
    <row r="2042" spans="1:6" ht="22.5" hidden="1" customHeight="1" x14ac:dyDescent="0.25">
      <c r="A2042" s="3">
        <v>44013</v>
      </c>
      <c r="B2042" s="2" t="s">
        <v>211</v>
      </c>
      <c r="C2042" s="2">
        <v>-0.3</v>
      </c>
      <c r="D2042" s="2">
        <v>0.1903</v>
      </c>
      <c r="E2042" s="2">
        <v>-5.7090000000000005E-4</v>
      </c>
      <c r="F2042" s="2" t="s">
        <v>174</v>
      </c>
    </row>
    <row r="2043" spans="1:6" ht="22.5" hidden="1" customHeight="1" x14ac:dyDescent="0.25">
      <c r="A2043" s="3">
        <v>44013</v>
      </c>
      <c r="B2043" s="2" t="s">
        <v>212</v>
      </c>
      <c r="C2043" s="2">
        <v>-1.54</v>
      </c>
      <c r="D2043" s="2">
        <v>4.4999999999999997E-3</v>
      </c>
      <c r="E2043" s="2">
        <v>-6.9300000000000004E-5</v>
      </c>
      <c r="F2043" s="2" t="s">
        <v>174</v>
      </c>
    </row>
    <row r="2044" spans="1:6" ht="22.5" hidden="1" customHeight="1" x14ac:dyDescent="0.25">
      <c r="A2044" s="3">
        <v>44013</v>
      </c>
      <c r="B2044" s="2" t="s">
        <v>213</v>
      </c>
      <c r="C2044" s="2">
        <v>0.93</v>
      </c>
      <c r="D2044" s="2">
        <v>0.33079999999999998</v>
      </c>
      <c r="E2044" s="2">
        <v>3.0764400000000002E-3</v>
      </c>
      <c r="F2044" s="2" t="s">
        <v>170</v>
      </c>
    </row>
    <row r="2045" spans="1:6" ht="22.5" hidden="1" customHeight="1" x14ac:dyDescent="0.25">
      <c r="A2045" s="3">
        <v>44013</v>
      </c>
      <c r="B2045" s="2" t="s">
        <v>214</v>
      </c>
      <c r="C2045" s="2">
        <v>1.1000000000000001</v>
      </c>
      <c r="D2045" s="2">
        <v>9.6699999999999994E-2</v>
      </c>
      <c r="E2045" s="2">
        <v>1.0637000000000001E-3</v>
      </c>
      <c r="F2045" s="2" t="s">
        <v>170</v>
      </c>
    </row>
    <row r="2046" spans="1:6" ht="22.5" hidden="1" customHeight="1" x14ac:dyDescent="0.25">
      <c r="A2046" s="3">
        <v>44013</v>
      </c>
      <c r="B2046" s="2" t="s">
        <v>215</v>
      </c>
      <c r="C2046" s="2">
        <v>2.02</v>
      </c>
      <c r="D2046" s="2">
        <v>0.24929999999999999</v>
      </c>
      <c r="E2046" s="2">
        <v>5.0358599999999996E-3</v>
      </c>
      <c r="F2046" s="2" t="s">
        <v>170</v>
      </c>
    </row>
    <row r="2047" spans="1:6" ht="22.5" hidden="1" customHeight="1" x14ac:dyDescent="0.25">
      <c r="A2047" s="3">
        <v>44013</v>
      </c>
      <c r="B2047" s="2" t="s">
        <v>216</v>
      </c>
      <c r="C2047" s="2">
        <v>1.32</v>
      </c>
      <c r="D2047" s="2">
        <v>1.47E-2</v>
      </c>
      <c r="E2047" s="2">
        <v>1.9404000000000001E-4</v>
      </c>
      <c r="F2047" s="2" t="s">
        <v>170</v>
      </c>
    </row>
    <row r="2048" spans="1:6" ht="22.5" hidden="1" customHeight="1" x14ac:dyDescent="0.25">
      <c r="A2048" s="3">
        <v>44013</v>
      </c>
      <c r="B2048" s="2" t="s">
        <v>217</v>
      </c>
      <c r="C2048" s="2">
        <v>2.2999999999999998</v>
      </c>
      <c r="D2048" s="2">
        <v>0.1636</v>
      </c>
      <c r="E2048" s="2">
        <v>3.7628000000000002E-3</v>
      </c>
      <c r="F2048" s="2" t="s">
        <v>170</v>
      </c>
    </row>
    <row r="2049" spans="1:6" ht="22.5" hidden="1" customHeight="1" x14ac:dyDescent="0.25">
      <c r="A2049" s="3">
        <v>44013</v>
      </c>
      <c r="B2049" s="2" t="s">
        <v>218</v>
      </c>
      <c r="C2049" s="2">
        <v>-0.87</v>
      </c>
      <c r="D2049" s="2">
        <v>7.1999999999999998E-3</v>
      </c>
      <c r="E2049" s="2">
        <v>-6.2639999999999997E-5</v>
      </c>
      <c r="F2049" s="2" t="s">
        <v>170</v>
      </c>
    </row>
    <row r="2050" spans="1:6" ht="22.5" hidden="1" customHeight="1" x14ac:dyDescent="0.25">
      <c r="A2050" s="3">
        <v>44013</v>
      </c>
      <c r="B2050" s="2" t="s">
        <v>219</v>
      </c>
      <c r="C2050" s="2">
        <v>1.57</v>
      </c>
      <c r="D2050" s="2">
        <v>0.46550000000000002</v>
      </c>
      <c r="E2050" s="2">
        <v>7.3083499999999999E-3</v>
      </c>
      <c r="F2050" s="2" t="s">
        <v>170</v>
      </c>
    </row>
    <row r="2051" spans="1:6" ht="22.5" hidden="1" customHeight="1" x14ac:dyDescent="0.25">
      <c r="A2051" s="3">
        <v>44013</v>
      </c>
      <c r="B2051" s="2" t="s">
        <v>220</v>
      </c>
      <c r="C2051" s="2">
        <v>1.39</v>
      </c>
      <c r="D2051" s="2">
        <v>1.17E-2</v>
      </c>
      <c r="E2051" s="2">
        <v>1.6263000000000001E-4</v>
      </c>
      <c r="F2051" s="2" t="s">
        <v>170</v>
      </c>
    </row>
    <row r="2052" spans="1:6" ht="22.5" hidden="1" customHeight="1" x14ac:dyDescent="0.25">
      <c r="A2052" s="3">
        <v>44013</v>
      </c>
      <c r="B2052" s="2" t="s">
        <v>221</v>
      </c>
      <c r="C2052" s="2">
        <v>2.23</v>
      </c>
      <c r="D2052" s="2">
        <v>3.3999999999999998E-3</v>
      </c>
      <c r="E2052" s="2">
        <v>7.5820000000000003E-5</v>
      </c>
      <c r="F2052" s="2" t="s">
        <v>170</v>
      </c>
    </row>
    <row r="2053" spans="1:6" ht="22.5" hidden="1" customHeight="1" x14ac:dyDescent="0.25">
      <c r="A2053" s="3">
        <v>44013</v>
      </c>
      <c r="B2053" s="2" t="s">
        <v>222</v>
      </c>
      <c r="C2053" s="2">
        <v>3.78</v>
      </c>
      <c r="D2053" s="2">
        <v>0.32979999999999998</v>
      </c>
      <c r="E2053" s="2">
        <v>1.2466440000000001E-2</v>
      </c>
      <c r="F2053" s="2" t="s">
        <v>170</v>
      </c>
    </row>
    <row r="2054" spans="1:6" ht="22.5" hidden="1" customHeight="1" x14ac:dyDescent="0.25">
      <c r="A2054" s="3">
        <v>44013</v>
      </c>
      <c r="B2054" s="2" t="s">
        <v>223</v>
      </c>
      <c r="C2054" s="2">
        <v>0.47</v>
      </c>
      <c r="D2054" s="2">
        <v>1.7299999999999999E-2</v>
      </c>
      <c r="E2054" s="2">
        <v>8.1310000000000006E-5</v>
      </c>
      <c r="F2054" s="2" t="s">
        <v>165</v>
      </c>
    </row>
    <row r="2055" spans="1:6" ht="22.5" hidden="1" customHeight="1" x14ac:dyDescent="0.25">
      <c r="A2055" s="3">
        <v>44013</v>
      </c>
      <c r="B2055" s="2" t="s">
        <v>224</v>
      </c>
      <c r="C2055" s="2">
        <v>-2.29</v>
      </c>
      <c r="D2055" s="2">
        <v>2.3E-3</v>
      </c>
      <c r="E2055" s="2">
        <v>-5.2670000000000002E-5</v>
      </c>
      <c r="F2055" s="2" t="s">
        <v>165</v>
      </c>
    </row>
    <row r="2056" spans="1:6" ht="22.5" hidden="1" customHeight="1" x14ac:dyDescent="0.25">
      <c r="A2056" s="3">
        <v>44013</v>
      </c>
      <c r="B2056" s="2" t="s">
        <v>225</v>
      </c>
      <c r="C2056" s="2">
        <v>0.48</v>
      </c>
      <c r="D2056" s="2">
        <v>4.7000000000000002E-3</v>
      </c>
      <c r="E2056" s="2">
        <v>2.2560000000000001E-5</v>
      </c>
      <c r="F2056" s="2" t="s">
        <v>165</v>
      </c>
    </row>
    <row r="2057" spans="1:6" ht="22.5" hidden="1" customHeight="1" x14ac:dyDescent="0.25">
      <c r="A2057" s="3">
        <v>44013</v>
      </c>
      <c r="B2057" s="2" t="s">
        <v>226</v>
      </c>
      <c r="C2057" s="2">
        <v>-0.63</v>
      </c>
      <c r="D2057" s="2">
        <v>4.8800000000000003E-2</v>
      </c>
      <c r="E2057" s="2">
        <v>-3.0744000000000002E-4</v>
      </c>
      <c r="F2057" s="2" t="s">
        <v>165</v>
      </c>
    </row>
    <row r="2058" spans="1:6" ht="22.5" hidden="1" customHeight="1" x14ac:dyDescent="0.25">
      <c r="A2058" s="3">
        <v>44013</v>
      </c>
      <c r="B2058" s="2" t="s">
        <v>227</v>
      </c>
      <c r="C2058" s="2">
        <v>0.35</v>
      </c>
      <c r="D2058" s="2">
        <v>6.7000000000000004E-2</v>
      </c>
      <c r="E2058" s="2">
        <v>2.3450000000000001E-4</v>
      </c>
      <c r="F2058" s="2" t="s">
        <v>165</v>
      </c>
    </row>
    <row r="2059" spans="1:6" ht="22.5" hidden="1" customHeight="1" x14ac:dyDescent="0.25">
      <c r="A2059" s="3">
        <v>44013</v>
      </c>
      <c r="B2059" s="2" t="s">
        <v>228</v>
      </c>
      <c r="C2059" s="2">
        <v>1.44</v>
      </c>
      <c r="D2059" s="2">
        <v>0.18179999999999999</v>
      </c>
      <c r="E2059" s="2">
        <v>2.6179200000000001E-3</v>
      </c>
      <c r="F2059" s="2" t="s">
        <v>165</v>
      </c>
    </row>
    <row r="2060" spans="1:6" ht="22.5" hidden="1" customHeight="1" x14ac:dyDescent="0.25">
      <c r="A2060" s="3">
        <v>44013</v>
      </c>
      <c r="B2060" s="2" t="s">
        <v>229</v>
      </c>
      <c r="C2060" s="2">
        <v>-1.35</v>
      </c>
      <c r="D2060" s="2">
        <v>0.29630000000000001</v>
      </c>
      <c r="E2060" s="2">
        <v>-4.0000499999999998E-3</v>
      </c>
      <c r="F2060" s="2" t="s">
        <v>174</v>
      </c>
    </row>
    <row r="2061" spans="1:6" ht="22.5" hidden="1" customHeight="1" x14ac:dyDescent="0.25">
      <c r="A2061" s="3">
        <v>44013</v>
      </c>
      <c r="B2061" s="2" t="s">
        <v>230</v>
      </c>
      <c r="C2061" s="2">
        <v>0.4</v>
      </c>
      <c r="D2061" s="2">
        <v>2.35E-2</v>
      </c>
      <c r="E2061" s="2">
        <v>9.3999999999999994E-5</v>
      </c>
      <c r="F2061" s="2" t="s">
        <v>174</v>
      </c>
    </row>
    <row r="2062" spans="1:6" ht="22.5" hidden="1" customHeight="1" x14ac:dyDescent="0.25">
      <c r="A2062" s="3">
        <v>44013</v>
      </c>
      <c r="B2062" s="2" t="s">
        <v>231</v>
      </c>
      <c r="C2062" s="2">
        <v>-0.69</v>
      </c>
      <c r="D2062" s="2">
        <v>0.17050000000000001</v>
      </c>
      <c r="E2062" s="2">
        <v>-1.1764499999999999E-3</v>
      </c>
      <c r="F2062" s="2" t="s">
        <v>174</v>
      </c>
    </row>
    <row r="2063" spans="1:6" ht="22.5" hidden="1" customHeight="1" x14ac:dyDescent="0.25">
      <c r="A2063" s="3">
        <v>44013</v>
      </c>
      <c r="B2063" s="2" t="s">
        <v>232</v>
      </c>
      <c r="C2063" s="2">
        <v>1.63</v>
      </c>
      <c r="D2063" s="2">
        <v>5.5999999999999999E-3</v>
      </c>
      <c r="E2063" s="2">
        <v>9.1279999999999993E-5</v>
      </c>
      <c r="F2063" s="2" t="s">
        <v>174</v>
      </c>
    </row>
    <row r="2064" spans="1:6" ht="22.5" hidden="1" customHeight="1" x14ac:dyDescent="0.25">
      <c r="A2064" s="3">
        <v>44013</v>
      </c>
      <c r="B2064" s="2" t="s">
        <v>233</v>
      </c>
      <c r="C2064" s="2">
        <v>-1.32</v>
      </c>
      <c r="D2064" s="2">
        <v>0.57940000000000003</v>
      </c>
      <c r="E2064" s="2">
        <v>-7.6480799999999998E-3</v>
      </c>
      <c r="F2064" s="2" t="s">
        <v>174</v>
      </c>
    </row>
    <row r="2065" spans="1:6" ht="22.5" hidden="1" customHeight="1" x14ac:dyDescent="0.25">
      <c r="A2065" s="3">
        <v>44013</v>
      </c>
      <c r="B2065" s="2" t="s">
        <v>234</v>
      </c>
      <c r="C2065" s="2">
        <v>-1.01</v>
      </c>
      <c r="D2065" s="2">
        <v>0.3241</v>
      </c>
      <c r="E2065" s="2">
        <v>-3.27341E-3</v>
      </c>
      <c r="F2065" s="2" t="s">
        <v>174</v>
      </c>
    </row>
    <row r="2066" spans="1:6" ht="22.5" hidden="1" customHeight="1" x14ac:dyDescent="0.25">
      <c r="A2066" s="3">
        <v>44013</v>
      </c>
      <c r="B2066" s="2" t="s">
        <v>235</v>
      </c>
      <c r="C2066" s="2">
        <v>-1.1499999999999999</v>
      </c>
      <c r="D2066" s="2">
        <v>2.7900000000000001E-2</v>
      </c>
      <c r="E2066" s="2">
        <v>-3.2085000000000002E-4</v>
      </c>
      <c r="F2066" s="2" t="s">
        <v>174</v>
      </c>
    </row>
    <row r="2067" spans="1:6" ht="22.5" hidden="1" customHeight="1" x14ac:dyDescent="0.25">
      <c r="A2067" s="3">
        <v>44013</v>
      </c>
      <c r="B2067" s="2" t="s">
        <v>236</v>
      </c>
      <c r="C2067" s="2">
        <v>-1.66</v>
      </c>
      <c r="D2067" s="2">
        <v>8.0000000000000002E-3</v>
      </c>
      <c r="E2067" s="2">
        <v>-1.328E-4</v>
      </c>
      <c r="F2067" s="2" t="s">
        <v>174</v>
      </c>
    </row>
    <row r="2068" spans="1:6" ht="22.5" hidden="1" customHeight="1" x14ac:dyDescent="0.25">
      <c r="A2068" s="3">
        <v>44013</v>
      </c>
      <c r="B2068" s="2" t="s">
        <v>237</v>
      </c>
      <c r="C2068" s="2">
        <v>-1.67</v>
      </c>
      <c r="D2068" s="2">
        <v>0.2999</v>
      </c>
      <c r="E2068" s="2">
        <v>-5.0083300000000001E-3</v>
      </c>
      <c r="F2068" s="2" t="s">
        <v>174</v>
      </c>
    </row>
    <row r="2069" spans="1:6" ht="22.5" hidden="1" customHeight="1" x14ac:dyDescent="0.25">
      <c r="A2069" s="3">
        <v>44013</v>
      </c>
      <c r="B2069" s="2" t="s">
        <v>238</v>
      </c>
      <c r="C2069" s="2">
        <v>-1.59</v>
      </c>
      <c r="D2069" s="2">
        <v>0.54110000000000003</v>
      </c>
      <c r="E2069" s="2">
        <v>-8.6034900000000001E-3</v>
      </c>
      <c r="F2069" s="2" t="s">
        <v>174</v>
      </c>
    </row>
    <row r="2070" spans="1:6" ht="22.5" hidden="1" customHeight="1" x14ac:dyDescent="0.25">
      <c r="A2070" s="3">
        <v>44013</v>
      </c>
      <c r="B2070" s="2" t="s">
        <v>239</v>
      </c>
      <c r="C2070" s="2">
        <v>0.14000000000000001</v>
      </c>
      <c r="D2070" s="2">
        <v>0.1116</v>
      </c>
      <c r="E2070" s="2">
        <v>1.5624000000000001E-4</v>
      </c>
      <c r="F2070" s="2" t="s">
        <v>174</v>
      </c>
    </row>
    <row r="2071" spans="1:6" ht="22.5" hidden="1" customHeight="1" x14ac:dyDescent="0.25">
      <c r="A2071" s="3">
        <v>44013</v>
      </c>
      <c r="B2071" s="2" t="s">
        <v>240</v>
      </c>
      <c r="C2071" s="2">
        <v>-1.54</v>
      </c>
      <c r="D2071" s="2">
        <v>6.5299999999999997E-2</v>
      </c>
      <c r="E2071" s="2">
        <v>-1.00562E-3</v>
      </c>
      <c r="F2071" s="2" t="s">
        <v>174</v>
      </c>
    </row>
    <row r="2072" spans="1:6" ht="22.5" hidden="1" customHeight="1" x14ac:dyDescent="0.25">
      <c r="A2072" s="3">
        <v>44013</v>
      </c>
      <c r="B2072" s="2" t="s">
        <v>241</v>
      </c>
      <c r="C2072" s="2">
        <v>0.46</v>
      </c>
      <c r="D2072" s="2">
        <v>8.6300000000000002E-2</v>
      </c>
      <c r="E2072" s="2">
        <v>3.9698000000000001E-4</v>
      </c>
      <c r="F2072" s="2" t="s">
        <v>174</v>
      </c>
    </row>
    <row r="2073" spans="1:6" ht="22.5" hidden="1" customHeight="1" x14ac:dyDescent="0.25">
      <c r="A2073" s="3">
        <v>44013</v>
      </c>
      <c r="B2073" s="2" t="s">
        <v>242</v>
      </c>
      <c r="C2073" s="2">
        <v>-1.93</v>
      </c>
      <c r="D2073" s="2">
        <v>7.6700000000000004E-2</v>
      </c>
      <c r="E2073" s="2">
        <v>-1.4803100000000001E-3</v>
      </c>
      <c r="F2073" s="2" t="s">
        <v>174</v>
      </c>
    </row>
    <row r="2074" spans="1:6" ht="22.5" hidden="1" customHeight="1" x14ac:dyDescent="0.25">
      <c r="A2074" s="3">
        <v>44013</v>
      </c>
      <c r="B2074" s="2" t="s">
        <v>243</v>
      </c>
      <c r="C2074" s="2">
        <v>-0.65</v>
      </c>
      <c r="D2074" s="2">
        <v>8.6999999999999994E-3</v>
      </c>
      <c r="E2074" s="2">
        <v>-5.6549999999999999E-5</v>
      </c>
      <c r="F2074" s="2" t="s">
        <v>174</v>
      </c>
    </row>
    <row r="2075" spans="1:6" ht="22.5" hidden="1" customHeight="1" x14ac:dyDescent="0.25">
      <c r="A2075" s="3">
        <v>44013</v>
      </c>
      <c r="B2075" s="2" t="s">
        <v>244</v>
      </c>
      <c r="C2075" s="2">
        <v>-0.95</v>
      </c>
      <c r="D2075" s="2">
        <v>5.5399999999999998E-2</v>
      </c>
      <c r="E2075" s="2">
        <v>-5.2630000000000005E-4</v>
      </c>
      <c r="F2075" s="2" t="s">
        <v>174</v>
      </c>
    </row>
    <row r="2076" spans="1:6" ht="22.5" hidden="1" customHeight="1" x14ac:dyDescent="0.25">
      <c r="A2076" s="3">
        <v>44013</v>
      </c>
      <c r="B2076" s="2" t="s">
        <v>245</v>
      </c>
      <c r="C2076" s="2">
        <v>-0.27</v>
      </c>
      <c r="D2076" s="2">
        <v>5.3499999999999999E-2</v>
      </c>
      <c r="E2076" s="2">
        <v>-1.4444999999999999E-4</v>
      </c>
      <c r="F2076" s="2" t="s">
        <v>174</v>
      </c>
    </row>
    <row r="2077" spans="1:6" ht="22.5" hidden="1" customHeight="1" x14ac:dyDescent="0.25">
      <c r="A2077" s="3">
        <v>44013</v>
      </c>
      <c r="B2077" s="2" t="s">
        <v>246</v>
      </c>
      <c r="C2077" s="2">
        <v>-1.3</v>
      </c>
      <c r="D2077" s="2">
        <v>0.19739999999999999</v>
      </c>
      <c r="E2077" s="2">
        <v>-2.5661999999999998E-3</v>
      </c>
      <c r="F2077" s="2" t="s">
        <v>174</v>
      </c>
    </row>
    <row r="2078" spans="1:6" ht="22.5" hidden="1" customHeight="1" x14ac:dyDescent="0.25">
      <c r="A2078" s="3">
        <v>44013</v>
      </c>
      <c r="B2078" s="2" t="s">
        <v>247</v>
      </c>
      <c r="C2078" s="2">
        <v>0.52</v>
      </c>
      <c r="D2078" s="2">
        <v>0.14080000000000001</v>
      </c>
      <c r="E2078" s="2">
        <v>7.3216000000000004E-4</v>
      </c>
      <c r="F2078" s="2" t="s">
        <v>174</v>
      </c>
    </row>
    <row r="2079" spans="1:6" ht="22.5" hidden="1" customHeight="1" x14ac:dyDescent="0.25">
      <c r="A2079" s="3">
        <v>44013</v>
      </c>
      <c r="B2079" s="2" t="s">
        <v>248</v>
      </c>
      <c r="C2079" s="2">
        <v>-0.52</v>
      </c>
      <c r="D2079" s="2">
        <v>0.153</v>
      </c>
      <c r="E2079" s="2">
        <v>-7.9560000000000004E-4</v>
      </c>
      <c r="F2079" s="2" t="s">
        <v>174</v>
      </c>
    </row>
    <row r="2080" spans="1:6" ht="22.5" hidden="1" customHeight="1" x14ac:dyDescent="0.25">
      <c r="A2080" s="3">
        <v>44013</v>
      </c>
      <c r="B2080" s="2" t="s">
        <v>249</v>
      </c>
      <c r="C2080" s="2">
        <v>-1.24</v>
      </c>
      <c r="D2080" s="2">
        <v>0.28100000000000003</v>
      </c>
      <c r="E2080" s="2">
        <v>-3.4843999999999999E-3</v>
      </c>
      <c r="F2080" s="2" t="s">
        <v>174</v>
      </c>
    </row>
    <row r="2081" spans="1:6" ht="22.5" hidden="1" customHeight="1" x14ac:dyDescent="0.25">
      <c r="A2081" s="3">
        <v>44013</v>
      </c>
      <c r="B2081" s="2" t="s">
        <v>250</v>
      </c>
      <c r="C2081" s="2">
        <v>-0.62</v>
      </c>
      <c r="D2081" s="2">
        <v>2.7300000000000001E-2</v>
      </c>
      <c r="E2081" s="2">
        <v>-1.6925999999999999E-4</v>
      </c>
      <c r="F2081" s="2" t="s">
        <v>174</v>
      </c>
    </row>
    <row r="2082" spans="1:6" ht="22.5" hidden="1" customHeight="1" x14ac:dyDescent="0.25">
      <c r="A2082" s="3">
        <v>44013</v>
      </c>
      <c r="B2082" s="2" t="s">
        <v>251</v>
      </c>
      <c r="C2082" s="2">
        <v>7.0000000000000007E-2</v>
      </c>
      <c r="D2082" s="2">
        <v>6.3200000000000006E-2</v>
      </c>
      <c r="E2082" s="2">
        <v>4.4240000000000003E-5</v>
      </c>
      <c r="F2082" s="2" t="s">
        <v>174</v>
      </c>
    </row>
    <row r="2083" spans="1:6" ht="22.5" hidden="1" customHeight="1" x14ac:dyDescent="0.25">
      <c r="A2083" s="3">
        <v>44013</v>
      </c>
      <c r="B2083" s="2" t="s">
        <v>252</v>
      </c>
      <c r="C2083" s="2">
        <v>-1.72</v>
      </c>
      <c r="D2083" s="2">
        <v>8.9999999999999993E-3</v>
      </c>
      <c r="E2083" s="2">
        <v>-1.548E-4</v>
      </c>
      <c r="F2083" s="2" t="s">
        <v>174</v>
      </c>
    </row>
    <row r="2084" spans="1:6" ht="22.5" hidden="1" customHeight="1" x14ac:dyDescent="0.25">
      <c r="A2084" s="3">
        <v>44013</v>
      </c>
      <c r="B2084" s="2" t="s">
        <v>253</v>
      </c>
      <c r="C2084" s="2">
        <v>-0.78</v>
      </c>
      <c r="D2084" s="2">
        <v>0.44490000000000002</v>
      </c>
      <c r="E2084" s="2">
        <v>-3.47022E-3</v>
      </c>
      <c r="F2084" s="2" t="s">
        <v>174</v>
      </c>
    </row>
    <row r="2085" spans="1:6" ht="22.5" hidden="1" customHeight="1" x14ac:dyDescent="0.25">
      <c r="A2085" s="3">
        <v>44013</v>
      </c>
      <c r="B2085" s="2" t="s">
        <v>254</v>
      </c>
      <c r="C2085" s="2">
        <v>-1.18</v>
      </c>
      <c r="D2085" s="2">
        <v>0.19220000000000001</v>
      </c>
      <c r="E2085" s="2">
        <v>-2.2679599999999999E-3</v>
      </c>
      <c r="F2085" s="2" t="s">
        <v>174</v>
      </c>
    </row>
    <row r="2086" spans="1:6" ht="22.5" hidden="1" customHeight="1" x14ac:dyDescent="0.25">
      <c r="A2086" s="3">
        <v>44013</v>
      </c>
      <c r="B2086" s="2" t="s">
        <v>255</v>
      </c>
      <c r="C2086" s="2">
        <v>-2.34</v>
      </c>
      <c r="D2086" s="2">
        <v>1.7600000000000001E-2</v>
      </c>
      <c r="E2086" s="2">
        <v>-4.1184000000000001E-4</v>
      </c>
      <c r="F2086" s="2" t="s">
        <v>170</v>
      </c>
    </row>
    <row r="2087" spans="1:6" ht="22.5" hidden="1" customHeight="1" x14ac:dyDescent="0.25">
      <c r="A2087" s="3">
        <v>44013</v>
      </c>
      <c r="B2087" s="2" t="s">
        <v>256</v>
      </c>
      <c r="C2087" s="2">
        <v>2.17</v>
      </c>
      <c r="D2087" s="2">
        <v>0.13289999999999999</v>
      </c>
      <c r="E2087" s="2">
        <v>2.8839299999999998E-3</v>
      </c>
      <c r="F2087" s="2" t="s">
        <v>170</v>
      </c>
    </row>
    <row r="2088" spans="1:6" ht="22.5" hidden="1" customHeight="1" x14ac:dyDescent="0.25">
      <c r="A2088" s="3">
        <v>44013</v>
      </c>
      <c r="B2088" s="2" t="s">
        <v>257</v>
      </c>
      <c r="C2088" s="2">
        <v>1.76</v>
      </c>
      <c r="D2088" s="2">
        <v>4.9299999999999997E-2</v>
      </c>
      <c r="E2088" s="2">
        <v>8.6768000000000001E-4</v>
      </c>
      <c r="F2088" s="2" t="s">
        <v>170</v>
      </c>
    </row>
    <row r="2089" spans="1:6" ht="22.5" hidden="1" customHeight="1" x14ac:dyDescent="0.25">
      <c r="A2089" s="3">
        <v>44013</v>
      </c>
      <c r="B2089" s="2" t="s">
        <v>258</v>
      </c>
      <c r="C2089" s="2">
        <v>1.03</v>
      </c>
      <c r="D2089" s="2">
        <v>4.5999999999999999E-2</v>
      </c>
      <c r="E2089" s="2">
        <v>4.7380000000000002E-4</v>
      </c>
      <c r="F2089" s="2" t="s">
        <v>174</v>
      </c>
    </row>
    <row r="2090" spans="1:6" ht="22.5" hidden="1" customHeight="1" x14ac:dyDescent="0.25">
      <c r="A2090" s="3">
        <v>44013</v>
      </c>
      <c r="B2090" s="2" t="s">
        <v>259</v>
      </c>
      <c r="C2090" s="2">
        <v>0.45</v>
      </c>
      <c r="D2090" s="2">
        <v>0.01</v>
      </c>
      <c r="E2090" s="2">
        <v>4.5000000000000003E-5</v>
      </c>
      <c r="F2090" s="2" t="s">
        <v>174</v>
      </c>
    </row>
    <row r="2091" spans="1:6" ht="22.5" hidden="1" customHeight="1" x14ac:dyDescent="0.25">
      <c r="A2091" s="3">
        <v>44409</v>
      </c>
      <c r="B2091" s="2" t="s">
        <v>260</v>
      </c>
      <c r="C2091" s="2">
        <v>0.24</v>
      </c>
      <c r="D2091" s="2">
        <v>1.2934000000000001</v>
      </c>
      <c r="E2091" s="2">
        <v>3.1041599999999999E-3</v>
      </c>
      <c r="F2091" s="2" t="s">
        <v>168</v>
      </c>
    </row>
    <row r="2092" spans="1:6" ht="22.5" hidden="1" customHeight="1" x14ac:dyDescent="0.25">
      <c r="A2092" s="3">
        <v>44348</v>
      </c>
      <c r="B2092" s="2" t="s">
        <v>290</v>
      </c>
      <c r="C2092" s="2">
        <v>2.0299999999999998</v>
      </c>
      <c r="D2092" s="2">
        <v>0.1512</v>
      </c>
      <c r="E2092" s="2">
        <v>3.0693600000000001E-3</v>
      </c>
      <c r="F2092" s="2" t="s">
        <v>168</v>
      </c>
    </row>
    <row r="2093" spans="1:6" ht="22.5" hidden="1" customHeight="1" x14ac:dyDescent="0.25">
      <c r="A2093" s="3">
        <v>44409</v>
      </c>
      <c r="B2093" s="2" t="s">
        <v>297</v>
      </c>
      <c r="C2093" s="2">
        <v>1.05</v>
      </c>
      <c r="D2093" s="2">
        <v>0.29210000000000003</v>
      </c>
      <c r="E2093" s="2">
        <v>3.06705E-3</v>
      </c>
      <c r="F2093" s="2" t="s">
        <v>168</v>
      </c>
    </row>
    <row r="2094" spans="1:6" ht="22.5" hidden="1" customHeight="1" x14ac:dyDescent="0.25">
      <c r="A2094" s="3">
        <v>44409</v>
      </c>
      <c r="B2094" s="2" t="s">
        <v>286</v>
      </c>
      <c r="C2094" s="2">
        <v>1.37</v>
      </c>
      <c r="D2094" s="2">
        <v>0.21729999999999999</v>
      </c>
      <c r="E2094" s="2">
        <v>2.97701E-3</v>
      </c>
      <c r="F2094" s="2" t="s">
        <v>168</v>
      </c>
    </row>
    <row r="2095" spans="1:6" ht="22.5" hidden="1" customHeight="1" x14ac:dyDescent="0.25">
      <c r="A2095" s="3">
        <v>44470</v>
      </c>
      <c r="B2095" s="2" t="s">
        <v>291</v>
      </c>
      <c r="C2095" s="2">
        <v>1.65</v>
      </c>
      <c r="D2095" s="2">
        <v>0.1792</v>
      </c>
      <c r="E2095" s="2">
        <v>2.9567999999999999E-3</v>
      </c>
      <c r="F2095" s="2" t="s">
        <v>168</v>
      </c>
    </row>
    <row r="2096" spans="1:6" ht="22.5" hidden="1" customHeight="1" x14ac:dyDescent="0.25">
      <c r="A2096" s="3">
        <v>44348</v>
      </c>
      <c r="B2096" s="2" t="s">
        <v>295</v>
      </c>
      <c r="C2096" s="2">
        <v>1.34</v>
      </c>
      <c r="D2096" s="2">
        <v>0.22020000000000001</v>
      </c>
      <c r="E2096" s="2">
        <v>2.9506799999999998E-3</v>
      </c>
      <c r="F2096" s="2" t="s">
        <v>168</v>
      </c>
    </row>
    <row r="2097" spans="1:6" ht="22.5" hidden="1" customHeight="1" x14ac:dyDescent="0.25">
      <c r="A2097" s="3">
        <v>44348</v>
      </c>
      <c r="B2097" s="2" t="s">
        <v>266</v>
      </c>
      <c r="C2097" s="2">
        <v>4.1399999999999997</v>
      </c>
      <c r="D2097" s="2">
        <v>7.0900000000000005E-2</v>
      </c>
      <c r="E2097" s="2">
        <v>2.9352599999999999E-3</v>
      </c>
      <c r="F2097" s="2" t="s">
        <v>168</v>
      </c>
    </row>
    <row r="2098" spans="1:6" ht="22.5" hidden="1" customHeight="1" x14ac:dyDescent="0.25">
      <c r="A2098" s="3">
        <v>44013</v>
      </c>
      <c r="B2098" s="2" t="s">
        <v>267</v>
      </c>
      <c r="C2098" s="2">
        <v>0</v>
      </c>
      <c r="D2098" s="2">
        <v>0.13739999999999999</v>
      </c>
      <c r="E2098" s="2">
        <v>0</v>
      </c>
      <c r="F2098" s="2" t="s">
        <v>165</v>
      </c>
    </row>
    <row r="2099" spans="1:6" ht="22.5" hidden="1" customHeight="1" x14ac:dyDescent="0.25">
      <c r="A2099" s="3">
        <v>44013</v>
      </c>
      <c r="B2099" s="2" t="s">
        <v>268</v>
      </c>
      <c r="C2099" s="2">
        <v>-11.98</v>
      </c>
      <c r="D2099" s="2">
        <v>0.2092</v>
      </c>
      <c r="E2099" s="2">
        <v>-2.506216E-2</v>
      </c>
      <c r="F2099" s="2" t="s">
        <v>165</v>
      </c>
    </row>
    <row r="2100" spans="1:6" ht="22.5" hidden="1" customHeight="1" x14ac:dyDescent="0.25">
      <c r="A2100" s="3">
        <v>44013</v>
      </c>
      <c r="B2100" s="2" t="s">
        <v>269</v>
      </c>
      <c r="C2100" s="2">
        <v>0</v>
      </c>
      <c r="D2100" s="2">
        <v>7.0599999999999996E-2</v>
      </c>
      <c r="E2100" s="2">
        <v>0</v>
      </c>
      <c r="F2100" s="2" t="s">
        <v>165</v>
      </c>
    </row>
    <row r="2101" spans="1:6" ht="22.5" hidden="1" customHeight="1" x14ac:dyDescent="0.25">
      <c r="A2101" s="3">
        <v>44013</v>
      </c>
      <c r="B2101" s="2" t="s">
        <v>270</v>
      </c>
      <c r="C2101" s="2">
        <v>0.57999999999999996</v>
      </c>
      <c r="D2101" s="2">
        <v>2.9830999999999999</v>
      </c>
      <c r="E2101" s="2">
        <v>1.7301980000000002E-2</v>
      </c>
      <c r="F2101" s="2" t="s">
        <v>170</v>
      </c>
    </row>
    <row r="2102" spans="1:6" ht="22.5" hidden="1" customHeight="1" x14ac:dyDescent="0.25">
      <c r="A2102" s="3">
        <v>44013</v>
      </c>
      <c r="B2102" s="2" t="s">
        <v>296</v>
      </c>
      <c r="C2102" s="2">
        <v>1.49</v>
      </c>
      <c r="D2102" s="2">
        <v>0.19620000000000001</v>
      </c>
      <c r="E2102" s="2">
        <v>2.9233800000000002E-3</v>
      </c>
      <c r="F2102" s="2" t="s">
        <v>168</v>
      </c>
    </row>
    <row r="2103" spans="1:6" ht="22.5" hidden="1" customHeight="1" x14ac:dyDescent="0.25">
      <c r="A2103" s="3">
        <v>44013</v>
      </c>
      <c r="B2103" s="2" t="s">
        <v>272</v>
      </c>
      <c r="C2103" s="2">
        <v>-1.31</v>
      </c>
      <c r="D2103" s="2">
        <v>0.79259999999999997</v>
      </c>
      <c r="E2103" s="2">
        <v>-1.038306E-2</v>
      </c>
      <c r="F2103" s="2" t="s">
        <v>165</v>
      </c>
    </row>
    <row r="2104" spans="1:6" ht="22.5" hidden="1" customHeight="1" x14ac:dyDescent="0.25">
      <c r="A2104" s="3">
        <v>44105</v>
      </c>
      <c r="B2104" s="2" t="s">
        <v>167</v>
      </c>
      <c r="C2104" s="2">
        <v>0.16</v>
      </c>
      <c r="D2104" s="2">
        <v>1.8228</v>
      </c>
      <c r="E2104" s="2">
        <v>2.9164799999999999E-3</v>
      </c>
      <c r="F2104" s="2" t="s">
        <v>168</v>
      </c>
    </row>
    <row r="2105" spans="1:6" ht="22.5" hidden="1" customHeight="1" x14ac:dyDescent="0.25">
      <c r="A2105" s="3">
        <v>44013</v>
      </c>
      <c r="B2105" s="2" t="s">
        <v>274</v>
      </c>
      <c r="C2105" s="2">
        <v>-0.49</v>
      </c>
      <c r="D2105" s="2">
        <v>0.12889999999999999</v>
      </c>
      <c r="E2105" s="2">
        <v>-6.3161000000000001E-4</v>
      </c>
      <c r="F2105" s="2" t="s">
        <v>170</v>
      </c>
    </row>
    <row r="2106" spans="1:6" ht="22.5" hidden="1" customHeight="1" x14ac:dyDescent="0.25">
      <c r="A2106" s="3">
        <v>44013</v>
      </c>
      <c r="B2106" s="2" t="s">
        <v>275</v>
      </c>
      <c r="C2106" s="2">
        <v>0.38</v>
      </c>
      <c r="D2106" s="2">
        <v>0.1734</v>
      </c>
      <c r="E2106" s="2">
        <v>6.5892000000000001E-4</v>
      </c>
      <c r="F2106" s="2" t="s">
        <v>170</v>
      </c>
    </row>
    <row r="2107" spans="1:6" ht="22.5" hidden="1" customHeight="1" x14ac:dyDescent="0.25">
      <c r="A2107" s="3">
        <v>44013</v>
      </c>
      <c r="B2107" s="2" t="s">
        <v>276</v>
      </c>
      <c r="C2107" s="2">
        <v>1.62</v>
      </c>
      <c r="D2107" s="2">
        <v>0.2014</v>
      </c>
      <c r="E2107" s="2">
        <v>3.26268E-3</v>
      </c>
      <c r="F2107" s="2" t="s">
        <v>170</v>
      </c>
    </row>
    <row r="2108" spans="1:6" ht="22.5" hidden="1" customHeight="1" x14ac:dyDescent="0.25">
      <c r="A2108" s="3">
        <v>44013</v>
      </c>
      <c r="B2108" s="2" t="s">
        <v>277</v>
      </c>
      <c r="C2108" s="2">
        <v>0.6</v>
      </c>
      <c r="D2108" s="2">
        <v>1.7037</v>
      </c>
      <c r="E2108" s="2">
        <v>1.0222200000000001E-2</v>
      </c>
      <c r="F2108" s="2" t="s">
        <v>165</v>
      </c>
    </row>
    <row r="2109" spans="1:6" ht="22.5" hidden="1" customHeight="1" x14ac:dyDescent="0.25">
      <c r="A2109" s="3">
        <v>44013</v>
      </c>
      <c r="B2109" s="2" t="s">
        <v>278</v>
      </c>
      <c r="C2109" s="2">
        <v>1.32</v>
      </c>
      <c r="D2109" s="2">
        <v>7.1300000000000002E-2</v>
      </c>
      <c r="E2109" s="2">
        <v>9.4116000000000002E-4</v>
      </c>
      <c r="F2109" s="2" t="s">
        <v>165</v>
      </c>
    </row>
    <row r="2110" spans="1:6" ht="22.5" hidden="1" customHeight="1" x14ac:dyDescent="0.25">
      <c r="A2110" s="3">
        <v>44013</v>
      </c>
      <c r="B2110" s="2" t="s">
        <v>297</v>
      </c>
      <c r="C2110" s="2">
        <v>0.95</v>
      </c>
      <c r="D2110" s="2">
        <v>0.30249999999999999</v>
      </c>
      <c r="E2110" s="2">
        <v>2.87375E-3</v>
      </c>
      <c r="F2110" s="2" t="s">
        <v>168</v>
      </c>
    </row>
    <row r="2111" spans="1:6" ht="22.5" hidden="1" customHeight="1" x14ac:dyDescent="0.25">
      <c r="A2111" s="3">
        <v>44013</v>
      </c>
      <c r="B2111" s="2" t="s">
        <v>280</v>
      </c>
      <c r="C2111" s="2">
        <v>-0.34</v>
      </c>
      <c r="D2111" s="2">
        <v>1.8989</v>
      </c>
      <c r="E2111" s="2">
        <v>-6.4562600000000001E-3</v>
      </c>
      <c r="F2111" s="2" t="s">
        <v>170</v>
      </c>
    </row>
    <row r="2112" spans="1:6" ht="22.5" hidden="1" customHeight="1" x14ac:dyDescent="0.25">
      <c r="A2112" s="3">
        <v>44013</v>
      </c>
      <c r="B2112" s="2" t="s">
        <v>281</v>
      </c>
      <c r="C2112" s="2">
        <v>-0.23</v>
      </c>
      <c r="D2112" s="2">
        <v>1.6500000000000001E-2</v>
      </c>
      <c r="E2112" s="2">
        <v>-3.7950000000000001E-5</v>
      </c>
      <c r="F2112" s="2" t="s">
        <v>165</v>
      </c>
    </row>
    <row r="2113" spans="1:6" ht="22.5" hidden="1" customHeight="1" x14ac:dyDescent="0.25">
      <c r="A2113" s="3">
        <v>44013</v>
      </c>
      <c r="B2113" s="2" t="s">
        <v>282</v>
      </c>
      <c r="C2113" s="2">
        <v>2.0499999999999998</v>
      </c>
      <c r="D2113" s="2">
        <v>1.95E-2</v>
      </c>
      <c r="E2113" s="2">
        <v>3.9974999999999999E-4</v>
      </c>
      <c r="F2113" s="2" t="s">
        <v>165</v>
      </c>
    </row>
    <row r="2114" spans="1:6" ht="22.5" hidden="1" customHeight="1" x14ac:dyDescent="0.25">
      <c r="A2114" s="3">
        <v>44013</v>
      </c>
      <c r="B2114" s="2" t="s">
        <v>283</v>
      </c>
      <c r="C2114" s="2">
        <v>0.45</v>
      </c>
      <c r="D2114" s="2">
        <v>0.57820000000000005</v>
      </c>
      <c r="E2114" s="2">
        <v>2.6018999999999999E-3</v>
      </c>
      <c r="F2114" s="2" t="s">
        <v>170</v>
      </c>
    </row>
    <row r="2115" spans="1:6" ht="22.5" hidden="1" customHeight="1" x14ac:dyDescent="0.25">
      <c r="A2115" s="3">
        <v>44287</v>
      </c>
      <c r="B2115" s="2" t="s">
        <v>290</v>
      </c>
      <c r="C2115" s="2">
        <v>1.98</v>
      </c>
      <c r="D2115" s="2">
        <v>0.14419999999999999</v>
      </c>
      <c r="E2115" s="2">
        <v>2.8551599999999998E-3</v>
      </c>
      <c r="F2115" s="2" t="s">
        <v>168</v>
      </c>
    </row>
    <row r="2116" spans="1:6" ht="22.5" hidden="1" customHeight="1" x14ac:dyDescent="0.25">
      <c r="A2116" s="3">
        <v>44501</v>
      </c>
      <c r="B2116" s="2" t="s">
        <v>296</v>
      </c>
      <c r="C2116" s="2">
        <v>1.54</v>
      </c>
      <c r="D2116" s="2">
        <v>0.18490000000000001</v>
      </c>
      <c r="E2116" s="2">
        <v>2.84746E-3</v>
      </c>
      <c r="F2116" s="2" t="s">
        <v>168</v>
      </c>
    </row>
    <row r="2117" spans="1:6" ht="22.5" hidden="1" customHeight="1" x14ac:dyDescent="0.25">
      <c r="A2117" s="3">
        <v>44593</v>
      </c>
      <c r="B2117" s="2" t="s">
        <v>291</v>
      </c>
      <c r="C2117" s="2">
        <v>1.56</v>
      </c>
      <c r="D2117" s="2">
        <v>0.18110000000000001</v>
      </c>
      <c r="E2117" s="2">
        <v>2.8251600000000002E-3</v>
      </c>
      <c r="F2117" s="2" t="s">
        <v>168</v>
      </c>
    </row>
    <row r="2118" spans="1:6" ht="22.5" hidden="1" customHeight="1" x14ac:dyDescent="0.25">
      <c r="A2118" s="3">
        <v>44228</v>
      </c>
      <c r="B2118" s="2" t="s">
        <v>296</v>
      </c>
      <c r="C2118" s="2">
        <v>1.48</v>
      </c>
      <c r="D2118" s="2">
        <v>0.189</v>
      </c>
      <c r="E2118" s="2">
        <v>2.7972000000000001E-3</v>
      </c>
      <c r="F2118" s="2" t="s">
        <v>168</v>
      </c>
    </row>
    <row r="2119" spans="1:6" ht="22.5" hidden="1" customHeight="1" x14ac:dyDescent="0.25">
      <c r="A2119" s="3">
        <v>44409</v>
      </c>
      <c r="B2119" s="2" t="s">
        <v>279</v>
      </c>
      <c r="C2119" s="2">
        <v>2.93</v>
      </c>
      <c r="D2119" s="2">
        <v>9.4700000000000006E-2</v>
      </c>
      <c r="E2119" s="2">
        <v>2.7747100000000001E-3</v>
      </c>
      <c r="F2119" s="2" t="s">
        <v>168</v>
      </c>
    </row>
    <row r="2120" spans="1:6" ht="22.5" hidden="1" customHeight="1" x14ac:dyDescent="0.25">
      <c r="A2120" s="3">
        <v>44013</v>
      </c>
      <c r="B2120" s="2" t="s">
        <v>294</v>
      </c>
      <c r="C2120" s="2">
        <v>2.0299999999999998</v>
      </c>
      <c r="D2120" s="2">
        <v>0.13589999999999999</v>
      </c>
      <c r="E2120" s="2">
        <v>2.7587699999999998E-3</v>
      </c>
      <c r="F2120" s="2" t="s">
        <v>168</v>
      </c>
    </row>
    <row r="2121" spans="1:6" ht="22.5" hidden="1" customHeight="1" x14ac:dyDescent="0.25">
      <c r="A2121" s="3">
        <v>43983</v>
      </c>
      <c r="B2121" s="2" t="s">
        <v>295</v>
      </c>
      <c r="C2121" s="2">
        <v>1.23</v>
      </c>
      <c r="D2121" s="2">
        <v>0.224</v>
      </c>
      <c r="E2121" s="2">
        <v>2.7552000000000002E-3</v>
      </c>
      <c r="F2121" s="2" t="s">
        <v>168</v>
      </c>
    </row>
    <row r="2122" spans="1:6" ht="22.5" hidden="1" customHeight="1" x14ac:dyDescent="0.25">
      <c r="A2122" s="3">
        <v>44105</v>
      </c>
      <c r="B2122" s="2" t="s">
        <v>288</v>
      </c>
      <c r="C2122" s="2">
        <v>1.1499999999999999</v>
      </c>
      <c r="D2122" s="2">
        <v>0.23780000000000001</v>
      </c>
      <c r="E2122" s="2">
        <v>2.7347000000000001E-3</v>
      </c>
      <c r="F2122" s="2" t="s">
        <v>168</v>
      </c>
    </row>
    <row r="2123" spans="1:6" ht="22.5" hidden="1" customHeight="1" x14ac:dyDescent="0.25">
      <c r="A2123" s="3">
        <v>44317</v>
      </c>
      <c r="B2123" s="2" t="s">
        <v>196</v>
      </c>
      <c r="C2123" s="2">
        <v>2.0299999999999998</v>
      </c>
      <c r="D2123" s="2">
        <v>0.1338</v>
      </c>
      <c r="E2123" s="2">
        <v>2.7161400000000001E-3</v>
      </c>
      <c r="F2123" s="2" t="s">
        <v>168</v>
      </c>
    </row>
    <row r="2124" spans="1:6" ht="22.5" hidden="1" customHeight="1" x14ac:dyDescent="0.25">
      <c r="A2124" s="3">
        <v>44593</v>
      </c>
      <c r="B2124" s="2" t="s">
        <v>295</v>
      </c>
      <c r="C2124" s="2">
        <v>1.32</v>
      </c>
      <c r="D2124" s="2">
        <v>0.20569999999999999</v>
      </c>
      <c r="E2124" s="2">
        <v>2.7152399999999998E-3</v>
      </c>
      <c r="F2124" s="2" t="s">
        <v>168</v>
      </c>
    </row>
    <row r="2125" spans="1:6" ht="22.5" hidden="1" customHeight="1" x14ac:dyDescent="0.25">
      <c r="A2125" s="3">
        <v>44501</v>
      </c>
      <c r="B2125" s="2" t="s">
        <v>291</v>
      </c>
      <c r="C2125" s="2">
        <v>1.5</v>
      </c>
      <c r="D2125" s="2">
        <v>0.18</v>
      </c>
      <c r="E2125" s="2">
        <v>2.7000000000000001E-3</v>
      </c>
      <c r="F2125" s="2" t="s">
        <v>168</v>
      </c>
    </row>
    <row r="2126" spans="1:6" ht="22.5" hidden="1" customHeight="1" x14ac:dyDescent="0.25">
      <c r="A2126" s="3">
        <v>44256</v>
      </c>
      <c r="B2126" s="2" t="s">
        <v>296</v>
      </c>
      <c r="C2126" s="2">
        <v>1.4</v>
      </c>
      <c r="D2126" s="2">
        <v>0.19089999999999999</v>
      </c>
      <c r="E2126" s="2">
        <v>2.6725999999999998E-3</v>
      </c>
      <c r="F2126" s="2" t="s">
        <v>168</v>
      </c>
    </row>
    <row r="2127" spans="1:6" ht="22.5" hidden="1" customHeight="1" x14ac:dyDescent="0.25">
      <c r="A2127" s="3">
        <v>44317</v>
      </c>
      <c r="B2127" s="2" t="s">
        <v>299</v>
      </c>
      <c r="C2127" s="2">
        <v>2.96</v>
      </c>
      <c r="D2127" s="2">
        <v>0.09</v>
      </c>
      <c r="E2127" s="2">
        <v>2.6640000000000001E-3</v>
      </c>
      <c r="F2127" s="2" t="s">
        <v>168</v>
      </c>
    </row>
    <row r="2128" spans="1:6" ht="22.5" hidden="1" customHeight="1" x14ac:dyDescent="0.25">
      <c r="A2128" s="3">
        <v>44348</v>
      </c>
      <c r="B2128" s="2" t="s">
        <v>297</v>
      </c>
      <c r="C2128" s="2">
        <v>0.91</v>
      </c>
      <c r="D2128" s="2">
        <v>0.29220000000000002</v>
      </c>
      <c r="E2128" s="2">
        <v>2.6590199999999998E-3</v>
      </c>
      <c r="F2128" s="2" t="s">
        <v>168</v>
      </c>
    </row>
    <row r="2129" spans="1:6" ht="22.5" hidden="1" customHeight="1" x14ac:dyDescent="0.25">
      <c r="A2129" s="3">
        <v>44197</v>
      </c>
      <c r="B2129" s="2" t="s">
        <v>287</v>
      </c>
      <c r="C2129" s="2">
        <v>4.29</v>
      </c>
      <c r="D2129" s="2">
        <v>6.1699999999999998E-2</v>
      </c>
      <c r="E2129" s="2">
        <v>2.64693E-3</v>
      </c>
      <c r="F2129" s="2" t="s">
        <v>168</v>
      </c>
    </row>
    <row r="2130" spans="1:6" ht="22.5" hidden="1" customHeight="1" x14ac:dyDescent="0.25">
      <c r="A2130" s="3">
        <v>44228</v>
      </c>
      <c r="B2130" s="2" t="s">
        <v>297</v>
      </c>
      <c r="C2130" s="2">
        <v>0.91</v>
      </c>
      <c r="D2130" s="2">
        <v>0.28939999999999999</v>
      </c>
      <c r="E2130" s="2">
        <v>2.6335400000000002E-3</v>
      </c>
      <c r="F2130" s="2" t="s">
        <v>168</v>
      </c>
    </row>
    <row r="2131" spans="1:6" ht="22.5" hidden="1" customHeight="1" x14ac:dyDescent="0.25">
      <c r="A2131" s="3">
        <v>44440</v>
      </c>
      <c r="B2131" s="2" t="s">
        <v>300</v>
      </c>
      <c r="C2131" s="2">
        <v>1.52</v>
      </c>
      <c r="D2131" s="2">
        <v>0.17280000000000001</v>
      </c>
      <c r="E2131" s="2">
        <v>2.62656E-3</v>
      </c>
      <c r="F2131" s="2" t="s">
        <v>168</v>
      </c>
    </row>
    <row r="2132" spans="1:6" ht="22.5" hidden="1" customHeight="1" x14ac:dyDescent="0.25">
      <c r="A2132" s="3">
        <v>44317</v>
      </c>
      <c r="B2132" s="2" t="s">
        <v>300</v>
      </c>
      <c r="C2132" s="2">
        <v>1.5</v>
      </c>
      <c r="D2132" s="2">
        <v>0.1744</v>
      </c>
      <c r="E2132" s="2">
        <v>2.6159999999999998E-3</v>
      </c>
      <c r="F2132" s="2" t="s">
        <v>168</v>
      </c>
    </row>
    <row r="2133" spans="1:6" ht="22.5" hidden="1" customHeight="1" x14ac:dyDescent="0.25">
      <c r="A2133" s="3">
        <v>44013</v>
      </c>
      <c r="B2133" s="2" t="s">
        <v>302</v>
      </c>
      <c r="C2133" s="2">
        <v>0.19</v>
      </c>
      <c r="D2133" s="2">
        <v>0.29430000000000001</v>
      </c>
      <c r="E2133" s="2">
        <v>5.5917E-4</v>
      </c>
      <c r="F2133" s="2" t="s">
        <v>170</v>
      </c>
    </row>
    <row r="2134" spans="1:6" ht="22.5" hidden="1" customHeight="1" x14ac:dyDescent="0.25">
      <c r="A2134" s="3">
        <v>44013</v>
      </c>
      <c r="B2134" s="2" t="s">
        <v>303</v>
      </c>
      <c r="C2134" s="2">
        <v>0.21</v>
      </c>
      <c r="D2134" s="2">
        <v>0.55759999999999998</v>
      </c>
      <c r="E2134" s="2">
        <v>1.17096E-3</v>
      </c>
      <c r="F2134" s="2" t="s">
        <v>165</v>
      </c>
    </row>
    <row r="2135" spans="1:6" ht="22.5" hidden="1" customHeight="1" x14ac:dyDescent="0.25">
      <c r="A2135" s="3">
        <v>44013</v>
      </c>
      <c r="B2135" s="2" t="s">
        <v>304</v>
      </c>
      <c r="C2135" s="2">
        <v>0.56000000000000005</v>
      </c>
      <c r="D2135" s="2">
        <v>0.52969999999999995</v>
      </c>
      <c r="E2135" s="2">
        <v>2.9663200000000002E-3</v>
      </c>
      <c r="F2135" s="2" t="s">
        <v>165</v>
      </c>
    </row>
    <row r="2136" spans="1:6" ht="22.5" hidden="1" customHeight="1" x14ac:dyDescent="0.25">
      <c r="A2136" s="3">
        <v>44013</v>
      </c>
      <c r="B2136" s="2" t="s">
        <v>305</v>
      </c>
      <c r="C2136" s="2">
        <v>0.18</v>
      </c>
      <c r="D2136" s="2">
        <v>1.9199999999999998E-2</v>
      </c>
      <c r="E2136" s="2">
        <v>3.4560000000000001E-5</v>
      </c>
      <c r="F2136" s="2" t="s">
        <v>170</v>
      </c>
    </row>
    <row r="2137" spans="1:6" ht="22.5" hidden="1" customHeight="1" x14ac:dyDescent="0.25">
      <c r="A2137" s="3">
        <v>44013</v>
      </c>
      <c r="B2137" s="2" t="s">
        <v>306</v>
      </c>
      <c r="C2137" s="2">
        <v>-1.05</v>
      </c>
      <c r="D2137" s="2">
        <v>4.9500000000000002E-2</v>
      </c>
      <c r="E2137" s="2">
        <v>-5.1975000000000003E-4</v>
      </c>
      <c r="F2137" s="2" t="s">
        <v>165</v>
      </c>
    </row>
    <row r="2138" spans="1:6" ht="22.5" hidden="1" customHeight="1" x14ac:dyDescent="0.25">
      <c r="A2138" s="3">
        <v>44013</v>
      </c>
      <c r="B2138" s="2" t="s">
        <v>307</v>
      </c>
      <c r="C2138" s="2">
        <v>-0.46</v>
      </c>
      <c r="D2138" s="2">
        <v>0.1103</v>
      </c>
      <c r="E2138" s="2">
        <v>-5.0737999999999998E-4</v>
      </c>
      <c r="F2138" s="2" t="s">
        <v>165</v>
      </c>
    </row>
    <row r="2139" spans="1:6" ht="22.5" hidden="1" customHeight="1" x14ac:dyDescent="0.25">
      <c r="A2139" s="3">
        <v>44013</v>
      </c>
      <c r="B2139" s="2" t="s">
        <v>308</v>
      </c>
      <c r="C2139" s="2">
        <v>-7.0000000000000007E-2</v>
      </c>
      <c r="D2139" s="2">
        <v>0.38800000000000001</v>
      </c>
      <c r="E2139" s="2">
        <v>-2.7159999999999999E-4</v>
      </c>
      <c r="F2139" s="2" t="s">
        <v>165</v>
      </c>
    </row>
    <row r="2140" spans="1:6" ht="22.5" hidden="1" customHeight="1" x14ac:dyDescent="0.25">
      <c r="A2140" s="3">
        <v>44013</v>
      </c>
      <c r="B2140" s="2" t="s">
        <v>309</v>
      </c>
      <c r="C2140" s="2">
        <v>0.12</v>
      </c>
      <c r="D2140" s="2">
        <v>0.1353</v>
      </c>
      <c r="E2140" s="2">
        <v>1.6236000000000001E-4</v>
      </c>
      <c r="F2140" s="2" t="s">
        <v>165</v>
      </c>
    </row>
    <row r="2141" spans="1:6" ht="22.5" hidden="1" customHeight="1" x14ac:dyDescent="0.25">
      <c r="A2141" s="3">
        <v>43862</v>
      </c>
      <c r="B2141" s="2" t="s">
        <v>289</v>
      </c>
      <c r="C2141" s="2">
        <v>0.46</v>
      </c>
      <c r="D2141" s="2">
        <v>0.54810000000000003</v>
      </c>
      <c r="E2141" s="2">
        <v>2.52126E-3</v>
      </c>
      <c r="F2141" s="2" t="s">
        <v>168</v>
      </c>
    </row>
    <row r="2142" spans="1:6" ht="22.5" hidden="1" customHeight="1" x14ac:dyDescent="0.25">
      <c r="A2142" s="3">
        <v>44013</v>
      </c>
      <c r="B2142" s="2" t="s">
        <v>311</v>
      </c>
      <c r="C2142" s="2">
        <v>-0.44</v>
      </c>
      <c r="D2142" s="2">
        <v>0.63500000000000001</v>
      </c>
      <c r="E2142" s="2">
        <v>-2.794E-3</v>
      </c>
      <c r="F2142" s="2" t="s">
        <v>174</v>
      </c>
    </row>
    <row r="2143" spans="1:6" ht="22.5" hidden="1" customHeight="1" x14ac:dyDescent="0.25">
      <c r="A2143" s="3">
        <v>44013</v>
      </c>
      <c r="B2143" s="2" t="s">
        <v>312</v>
      </c>
      <c r="C2143" s="2">
        <v>0.53</v>
      </c>
      <c r="D2143" s="2">
        <v>0.219</v>
      </c>
      <c r="E2143" s="2">
        <v>1.1607E-3</v>
      </c>
      <c r="F2143" s="2" t="s">
        <v>174</v>
      </c>
    </row>
    <row r="2144" spans="1:6" ht="22.5" hidden="1" customHeight="1" x14ac:dyDescent="0.25">
      <c r="A2144" s="3">
        <v>44013</v>
      </c>
      <c r="B2144" s="2" t="s">
        <v>313</v>
      </c>
      <c r="C2144" s="2">
        <v>0.77</v>
      </c>
      <c r="D2144" s="2">
        <v>0.13489999999999999</v>
      </c>
      <c r="E2144" s="2">
        <v>1.0387300000000001E-3</v>
      </c>
      <c r="F2144" s="2" t="s">
        <v>174</v>
      </c>
    </row>
    <row r="2145" spans="1:6" ht="22.5" hidden="1" customHeight="1" x14ac:dyDescent="0.25">
      <c r="A2145" s="3">
        <v>44013</v>
      </c>
      <c r="B2145" s="2" t="s">
        <v>314</v>
      </c>
      <c r="C2145" s="2">
        <v>-0.8</v>
      </c>
      <c r="D2145" s="2">
        <v>0.3997</v>
      </c>
      <c r="E2145" s="2">
        <v>-3.1976000000000001E-3</v>
      </c>
      <c r="F2145" s="2" t="s">
        <v>174</v>
      </c>
    </row>
    <row r="2146" spans="1:6" ht="22.5" hidden="1" customHeight="1" x14ac:dyDescent="0.25">
      <c r="A2146" s="3">
        <v>44013</v>
      </c>
      <c r="B2146" s="2" t="s">
        <v>315</v>
      </c>
      <c r="C2146" s="2">
        <v>0.4</v>
      </c>
      <c r="D2146" s="2">
        <v>0.2626</v>
      </c>
      <c r="E2146" s="2">
        <v>1.0503999999999999E-3</v>
      </c>
      <c r="F2146" s="2" t="s">
        <v>174</v>
      </c>
    </row>
    <row r="2147" spans="1:6" ht="22.5" hidden="1" customHeight="1" x14ac:dyDescent="0.25">
      <c r="A2147" s="3">
        <v>44013</v>
      </c>
      <c r="B2147" s="2" t="s">
        <v>316</v>
      </c>
      <c r="C2147" s="2">
        <v>-1.97</v>
      </c>
      <c r="D2147" s="2">
        <v>4.0000000000000001E-3</v>
      </c>
      <c r="E2147" s="2">
        <v>-7.8800000000000004E-5</v>
      </c>
      <c r="F2147" s="2" t="s">
        <v>174</v>
      </c>
    </row>
    <row r="2148" spans="1:6" ht="22.5" hidden="1" customHeight="1" x14ac:dyDescent="0.25">
      <c r="A2148" s="3">
        <v>44013</v>
      </c>
      <c r="B2148" s="2" t="s">
        <v>317</v>
      </c>
      <c r="C2148" s="2">
        <v>0.17</v>
      </c>
      <c r="D2148" s="2">
        <v>0.99519999999999997</v>
      </c>
      <c r="E2148" s="2">
        <v>1.69184E-3</v>
      </c>
      <c r="F2148" s="2" t="s">
        <v>174</v>
      </c>
    </row>
    <row r="2149" spans="1:6" ht="22.5" hidden="1" customHeight="1" x14ac:dyDescent="0.25">
      <c r="A2149" s="3">
        <v>44013</v>
      </c>
      <c r="B2149" s="2" t="s">
        <v>318</v>
      </c>
      <c r="C2149" s="2">
        <v>-0.24</v>
      </c>
      <c r="D2149" s="2">
        <v>0.45329999999999998</v>
      </c>
      <c r="E2149" s="2">
        <v>-1.08792E-3</v>
      </c>
      <c r="F2149" s="2" t="s">
        <v>174</v>
      </c>
    </row>
    <row r="2150" spans="1:6" ht="22.5" hidden="1" customHeight="1" x14ac:dyDescent="0.25">
      <c r="A2150" s="3">
        <v>44013</v>
      </c>
      <c r="B2150" s="2" t="s">
        <v>319</v>
      </c>
      <c r="C2150" s="2">
        <v>0.78</v>
      </c>
      <c r="D2150" s="2">
        <v>0.1118</v>
      </c>
      <c r="E2150" s="2">
        <v>8.7204000000000003E-4</v>
      </c>
      <c r="F2150" s="2" t="s">
        <v>174</v>
      </c>
    </row>
    <row r="2151" spans="1:6" ht="22.5" hidden="1" customHeight="1" x14ac:dyDescent="0.25">
      <c r="A2151" s="3">
        <v>44013</v>
      </c>
      <c r="B2151" s="2" t="s">
        <v>320</v>
      </c>
      <c r="C2151" s="2">
        <v>1.1000000000000001</v>
      </c>
      <c r="D2151" s="2">
        <v>0.29339999999999999</v>
      </c>
      <c r="E2151" s="2">
        <v>3.2274000000000001E-3</v>
      </c>
      <c r="F2151" s="2" t="s">
        <v>174</v>
      </c>
    </row>
    <row r="2152" spans="1:6" ht="22.5" hidden="1" customHeight="1" x14ac:dyDescent="0.25">
      <c r="A2152" s="3">
        <v>44013</v>
      </c>
      <c r="B2152" s="2" t="s">
        <v>321</v>
      </c>
      <c r="C2152" s="2">
        <v>-1.34</v>
      </c>
      <c r="D2152" s="2">
        <v>0.21310000000000001</v>
      </c>
      <c r="E2152" s="2">
        <v>-2.8555400000000002E-3</v>
      </c>
      <c r="F2152" s="2" t="s">
        <v>174</v>
      </c>
    </row>
    <row r="2153" spans="1:6" ht="22.5" hidden="1" customHeight="1" x14ac:dyDescent="0.25">
      <c r="A2153" s="3">
        <v>44013</v>
      </c>
      <c r="B2153" s="2" t="s">
        <v>322</v>
      </c>
      <c r="C2153" s="2">
        <v>-4.51</v>
      </c>
      <c r="D2153" s="2">
        <v>0.18</v>
      </c>
      <c r="E2153" s="2">
        <v>-8.1180000000000002E-3</v>
      </c>
      <c r="F2153" s="2" t="s">
        <v>174</v>
      </c>
    </row>
    <row r="2154" spans="1:6" ht="22.5" hidden="1" customHeight="1" x14ac:dyDescent="0.25">
      <c r="A2154" s="3">
        <v>44013</v>
      </c>
      <c r="B2154" s="2" t="s">
        <v>323</v>
      </c>
      <c r="C2154" s="2">
        <v>-0.14000000000000001</v>
      </c>
      <c r="D2154" s="2">
        <v>1.15E-2</v>
      </c>
      <c r="E2154" s="2">
        <v>-1.6099999999999998E-5</v>
      </c>
      <c r="F2154" s="2" t="s">
        <v>165</v>
      </c>
    </row>
    <row r="2155" spans="1:6" ht="22.5" hidden="1" customHeight="1" x14ac:dyDescent="0.25">
      <c r="A2155" s="3">
        <v>44013</v>
      </c>
      <c r="B2155" s="2" t="s">
        <v>324</v>
      </c>
      <c r="C2155" s="2">
        <v>-0.37</v>
      </c>
      <c r="D2155" s="2">
        <v>0.3992</v>
      </c>
      <c r="E2155" s="2">
        <v>-1.47704E-3</v>
      </c>
      <c r="F2155" s="2" t="s">
        <v>165</v>
      </c>
    </row>
    <row r="2156" spans="1:6" ht="22.5" hidden="1" customHeight="1" x14ac:dyDescent="0.25">
      <c r="A2156" s="3">
        <v>44013</v>
      </c>
      <c r="B2156" s="2" t="s">
        <v>325</v>
      </c>
      <c r="C2156" s="2">
        <v>-0.52</v>
      </c>
      <c r="D2156" s="2">
        <v>3.2389999999999999</v>
      </c>
      <c r="E2156" s="2">
        <v>-1.6842800000000002E-2</v>
      </c>
      <c r="F2156" s="2" t="s">
        <v>165</v>
      </c>
    </row>
    <row r="2157" spans="1:6" ht="22.5" hidden="1" customHeight="1" x14ac:dyDescent="0.25">
      <c r="A2157" s="3">
        <v>44013</v>
      </c>
      <c r="B2157" s="2" t="s">
        <v>326</v>
      </c>
      <c r="C2157" s="2">
        <v>-0.05</v>
      </c>
      <c r="D2157" s="2">
        <v>1.0746</v>
      </c>
      <c r="E2157" s="2">
        <v>-5.373E-4</v>
      </c>
      <c r="F2157" s="2" t="s">
        <v>165</v>
      </c>
    </row>
    <row r="2158" spans="1:6" ht="22.5" hidden="1" customHeight="1" x14ac:dyDescent="0.25">
      <c r="A2158" s="3">
        <v>44013</v>
      </c>
      <c r="B2158" s="2" t="s">
        <v>327</v>
      </c>
      <c r="C2158" s="2">
        <v>-0.38</v>
      </c>
      <c r="D2158" s="2">
        <v>6.1699999999999998E-2</v>
      </c>
      <c r="E2158" s="2">
        <v>-2.3446E-4</v>
      </c>
      <c r="F2158" s="2" t="s">
        <v>165</v>
      </c>
    </row>
    <row r="2159" spans="1:6" ht="22.5" hidden="1" customHeight="1" x14ac:dyDescent="0.25">
      <c r="A2159" s="3">
        <v>44013</v>
      </c>
      <c r="B2159" s="2" t="s">
        <v>328</v>
      </c>
      <c r="C2159" s="2">
        <v>0</v>
      </c>
      <c r="D2159" s="2">
        <v>1.8800000000000001E-2</v>
      </c>
      <c r="E2159" s="2">
        <v>0</v>
      </c>
      <c r="F2159" s="2" t="s">
        <v>165</v>
      </c>
    </row>
    <row r="2160" spans="1:6" ht="22.5" hidden="1" customHeight="1" x14ac:dyDescent="0.25">
      <c r="A2160" s="3">
        <v>44013</v>
      </c>
      <c r="B2160" s="2" t="s">
        <v>329</v>
      </c>
      <c r="C2160" s="2">
        <v>0.28999999999999998</v>
      </c>
      <c r="D2160" s="2">
        <v>9.9900000000000003E-2</v>
      </c>
      <c r="E2160" s="2">
        <v>2.8970999999999999E-4</v>
      </c>
      <c r="F2160" s="2" t="s">
        <v>165</v>
      </c>
    </row>
    <row r="2161" spans="1:6" ht="22.5" hidden="1" customHeight="1" x14ac:dyDescent="0.25">
      <c r="A2161" s="3">
        <v>44013</v>
      </c>
      <c r="B2161" s="2" t="s">
        <v>330</v>
      </c>
      <c r="C2161" s="2">
        <v>0.06</v>
      </c>
      <c r="D2161" s="2">
        <v>1.8139000000000001</v>
      </c>
      <c r="E2161" s="2">
        <v>1.0883399999999999E-3</v>
      </c>
      <c r="F2161" s="2" t="s">
        <v>165</v>
      </c>
    </row>
    <row r="2162" spans="1:6" ht="22.5" hidden="1" customHeight="1" x14ac:dyDescent="0.25">
      <c r="A2162" s="3">
        <v>44013</v>
      </c>
      <c r="B2162" s="2" t="s">
        <v>331</v>
      </c>
      <c r="C2162" s="2">
        <v>0.14000000000000001</v>
      </c>
      <c r="D2162" s="2">
        <v>5.9400000000000001E-2</v>
      </c>
      <c r="E2162" s="2">
        <v>8.3159999999999997E-5</v>
      </c>
      <c r="F2162" s="2" t="s">
        <v>165</v>
      </c>
    </row>
    <row r="2163" spans="1:6" ht="22.5" hidden="1" customHeight="1" x14ac:dyDescent="0.25">
      <c r="A2163" s="3">
        <v>44013</v>
      </c>
      <c r="B2163" s="2" t="s">
        <v>332</v>
      </c>
      <c r="C2163" s="2">
        <v>0.34</v>
      </c>
      <c r="D2163" s="2">
        <v>0.11</v>
      </c>
      <c r="E2163" s="2">
        <v>3.7399999999999998E-4</v>
      </c>
      <c r="F2163" s="2" t="s">
        <v>165</v>
      </c>
    </row>
    <row r="2164" spans="1:6" ht="22.5" hidden="1" customHeight="1" x14ac:dyDescent="0.25">
      <c r="A2164" s="3">
        <v>44013</v>
      </c>
      <c r="B2164" s="2" t="s">
        <v>333</v>
      </c>
      <c r="C2164" s="2">
        <v>-1.43</v>
      </c>
      <c r="D2164" s="2">
        <v>8.72E-2</v>
      </c>
      <c r="E2164" s="2">
        <v>-1.2469600000000001E-3</v>
      </c>
      <c r="F2164" s="2" t="s">
        <v>165</v>
      </c>
    </row>
    <row r="2165" spans="1:6" ht="22.5" hidden="1" customHeight="1" x14ac:dyDescent="0.25">
      <c r="A2165" s="3">
        <v>44013</v>
      </c>
      <c r="B2165" s="2" t="s">
        <v>334</v>
      </c>
      <c r="C2165" s="2">
        <v>2.4900000000000002</v>
      </c>
      <c r="D2165" s="2">
        <v>1.9699999999999999E-2</v>
      </c>
      <c r="E2165" s="2">
        <v>4.9052999999999998E-4</v>
      </c>
      <c r="F2165" s="2" t="s">
        <v>170</v>
      </c>
    </row>
    <row r="2166" spans="1:6" ht="22.5" hidden="1" customHeight="1" x14ac:dyDescent="0.25">
      <c r="A2166" s="3">
        <v>44013</v>
      </c>
      <c r="B2166" s="2" t="s">
        <v>335</v>
      </c>
      <c r="C2166" s="2">
        <v>-0.51</v>
      </c>
      <c r="D2166" s="2">
        <v>0.30199999999999999</v>
      </c>
      <c r="E2166" s="2">
        <v>-1.5402E-3</v>
      </c>
      <c r="F2166" s="2" t="s">
        <v>165</v>
      </c>
    </row>
    <row r="2167" spans="1:6" ht="22.5" hidden="1" customHeight="1" x14ac:dyDescent="0.25">
      <c r="A2167" s="3">
        <v>44013</v>
      </c>
      <c r="B2167" s="2" t="s">
        <v>336</v>
      </c>
      <c r="C2167" s="2">
        <v>1.7</v>
      </c>
      <c r="D2167" s="2">
        <v>9.5600000000000004E-2</v>
      </c>
      <c r="E2167" s="2">
        <v>1.6252E-3</v>
      </c>
      <c r="F2167" s="2" t="s">
        <v>170</v>
      </c>
    </row>
    <row r="2168" spans="1:6" ht="22.5" hidden="1" customHeight="1" x14ac:dyDescent="0.25">
      <c r="A2168" s="3">
        <v>44013</v>
      </c>
      <c r="B2168" s="2" t="s">
        <v>337</v>
      </c>
      <c r="C2168" s="2">
        <v>0.44</v>
      </c>
      <c r="D2168" s="2">
        <v>0.34489999999999998</v>
      </c>
      <c r="E2168" s="2">
        <v>1.51756E-3</v>
      </c>
      <c r="F2168" s="2" t="s">
        <v>174</v>
      </c>
    </row>
    <row r="2169" spans="1:6" ht="22.5" hidden="1" customHeight="1" x14ac:dyDescent="0.25">
      <c r="A2169" s="3">
        <v>44013</v>
      </c>
      <c r="B2169" s="2" t="s">
        <v>338</v>
      </c>
      <c r="C2169" s="2">
        <v>-3.77</v>
      </c>
      <c r="D2169" s="2">
        <v>0.21809999999999999</v>
      </c>
      <c r="E2169" s="2">
        <v>-8.2223699999999997E-3</v>
      </c>
      <c r="F2169" s="2" t="s">
        <v>174</v>
      </c>
    </row>
    <row r="2170" spans="1:6" ht="22.5" hidden="1" customHeight="1" x14ac:dyDescent="0.25">
      <c r="A2170" s="3">
        <v>44013</v>
      </c>
      <c r="B2170" s="2" t="s">
        <v>339</v>
      </c>
      <c r="C2170" s="2">
        <v>0</v>
      </c>
      <c r="D2170" s="2">
        <v>4.5400000000000003E-2</v>
      </c>
      <c r="E2170" s="2">
        <v>0</v>
      </c>
      <c r="F2170" s="2" t="s">
        <v>165</v>
      </c>
    </row>
    <row r="2171" spans="1:6" ht="22.5" hidden="1" customHeight="1" x14ac:dyDescent="0.25">
      <c r="A2171" s="3">
        <v>43983</v>
      </c>
      <c r="B2171" s="2" t="s">
        <v>296</v>
      </c>
      <c r="C2171" s="2">
        <v>1.29</v>
      </c>
      <c r="D2171" s="2">
        <v>0.1938</v>
      </c>
      <c r="E2171" s="2">
        <v>2.5000199999999999E-3</v>
      </c>
      <c r="F2171" s="2" t="s">
        <v>168</v>
      </c>
    </row>
    <row r="2172" spans="1:6" ht="22.5" hidden="1" customHeight="1" x14ac:dyDescent="0.25">
      <c r="A2172" s="3">
        <v>44013</v>
      </c>
      <c r="B2172" s="2" t="s">
        <v>341</v>
      </c>
      <c r="C2172" s="2">
        <v>4.49</v>
      </c>
      <c r="D2172" s="2">
        <v>1.12E-2</v>
      </c>
      <c r="E2172" s="2">
        <v>5.0288000000000004E-4</v>
      </c>
      <c r="F2172" s="2" t="s">
        <v>174</v>
      </c>
    </row>
    <row r="2173" spans="1:6" ht="22.5" hidden="1" customHeight="1" x14ac:dyDescent="0.25">
      <c r="A2173" s="3">
        <v>44013</v>
      </c>
      <c r="B2173" s="2" t="s">
        <v>342</v>
      </c>
      <c r="C2173" s="2">
        <v>-0.95</v>
      </c>
      <c r="D2173" s="2">
        <v>0.56989999999999996</v>
      </c>
      <c r="E2173" s="2">
        <v>-5.4140500000000001E-3</v>
      </c>
      <c r="F2173" s="2" t="s">
        <v>165</v>
      </c>
    </row>
    <row r="2174" spans="1:6" ht="22.5" hidden="1" customHeight="1" x14ac:dyDescent="0.25">
      <c r="A2174" s="3">
        <v>44013</v>
      </c>
      <c r="B2174" s="2" t="s">
        <v>343</v>
      </c>
      <c r="C2174" s="2">
        <v>0.3</v>
      </c>
      <c r="D2174" s="2">
        <v>0.4748</v>
      </c>
      <c r="E2174" s="2">
        <v>1.4243999999999999E-3</v>
      </c>
      <c r="F2174" s="2" t="s">
        <v>165</v>
      </c>
    </row>
    <row r="2175" spans="1:6" ht="22.5" hidden="1" customHeight="1" x14ac:dyDescent="0.25">
      <c r="A2175" s="3">
        <v>44013</v>
      </c>
      <c r="B2175" s="2" t="s">
        <v>344</v>
      </c>
      <c r="C2175" s="2">
        <v>-0.66</v>
      </c>
      <c r="D2175" s="2">
        <v>0.14810000000000001</v>
      </c>
      <c r="E2175" s="2">
        <v>-9.7746000000000009E-4</v>
      </c>
      <c r="F2175" s="2" t="s">
        <v>165</v>
      </c>
    </row>
    <row r="2176" spans="1:6" ht="22.5" hidden="1" customHeight="1" x14ac:dyDescent="0.25">
      <c r="A2176" s="3">
        <v>44013</v>
      </c>
      <c r="B2176" s="2" t="s">
        <v>345</v>
      </c>
      <c r="C2176" s="2">
        <v>0.12</v>
      </c>
      <c r="D2176" s="2">
        <v>0.55020000000000002</v>
      </c>
      <c r="E2176" s="2">
        <v>6.6023999999999998E-4</v>
      </c>
      <c r="F2176" s="2" t="s">
        <v>165</v>
      </c>
    </row>
    <row r="2177" spans="1:6" ht="22.5" hidden="1" customHeight="1" x14ac:dyDescent="0.25">
      <c r="A2177" s="3">
        <v>44013</v>
      </c>
      <c r="B2177" s="2" t="s">
        <v>346</v>
      </c>
      <c r="C2177" s="2">
        <v>0.56000000000000005</v>
      </c>
      <c r="D2177" s="2">
        <v>0.5534</v>
      </c>
      <c r="E2177" s="2">
        <v>3.09904E-3</v>
      </c>
      <c r="F2177" s="2" t="s">
        <v>174</v>
      </c>
    </row>
    <row r="2178" spans="1:6" ht="22.5" hidden="1" customHeight="1" x14ac:dyDescent="0.25">
      <c r="A2178" s="3">
        <v>44013</v>
      </c>
      <c r="B2178" s="2" t="s">
        <v>347</v>
      </c>
      <c r="C2178" s="2">
        <v>0</v>
      </c>
      <c r="D2178" s="2">
        <v>0.2079</v>
      </c>
      <c r="E2178" s="2">
        <v>0</v>
      </c>
      <c r="F2178" s="2" t="s">
        <v>165</v>
      </c>
    </row>
    <row r="2179" spans="1:6" ht="22.5" hidden="1" customHeight="1" x14ac:dyDescent="0.25">
      <c r="A2179" s="3">
        <v>44013</v>
      </c>
      <c r="B2179" s="2" t="s">
        <v>348</v>
      </c>
      <c r="C2179" s="2">
        <v>0</v>
      </c>
      <c r="D2179" s="2">
        <v>0.34989999999999999</v>
      </c>
      <c r="E2179" s="2">
        <v>0</v>
      </c>
      <c r="F2179" s="2" t="s">
        <v>165</v>
      </c>
    </row>
    <row r="2180" spans="1:6" ht="22.5" hidden="1" customHeight="1" x14ac:dyDescent="0.25">
      <c r="A2180" s="3">
        <v>44013</v>
      </c>
      <c r="B2180" s="2" t="s">
        <v>349</v>
      </c>
      <c r="C2180" s="2">
        <v>0</v>
      </c>
      <c r="D2180" s="2">
        <v>1.6288</v>
      </c>
      <c r="E2180" s="2">
        <v>0</v>
      </c>
      <c r="F2180" s="2" t="s">
        <v>165</v>
      </c>
    </row>
    <row r="2181" spans="1:6" ht="22.5" hidden="1" customHeight="1" x14ac:dyDescent="0.25">
      <c r="A2181" s="3">
        <v>44013</v>
      </c>
      <c r="B2181" s="2" t="s">
        <v>350</v>
      </c>
      <c r="C2181" s="2">
        <v>0</v>
      </c>
      <c r="D2181" s="2">
        <v>0.40460000000000002</v>
      </c>
      <c r="E2181" s="2">
        <v>0</v>
      </c>
      <c r="F2181" s="2" t="s">
        <v>165</v>
      </c>
    </row>
    <row r="2182" spans="1:6" ht="22.5" hidden="1" customHeight="1" x14ac:dyDescent="0.25">
      <c r="A2182" s="3">
        <v>44013</v>
      </c>
      <c r="B2182" s="2" t="s">
        <v>351</v>
      </c>
      <c r="C2182" s="2">
        <v>0</v>
      </c>
      <c r="D2182" s="2">
        <v>1.9343999999999999</v>
      </c>
      <c r="E2182" s="2">
        <v>0</v>
      </c>
      <c r="F2182" s="2" t="s">
        <v>165</v>
      </c>
    </row>
    <row r="2183" spans="1:6" ht="22.5" hidden="1" customHeight="1" x14ac:dyDescent="0.25">
      <c r="A2183" s="3">
        <v>44013</v>
      </c>
      <c r="B2183" s="2" t="s">
        <v>352</v>
      </c>
      <c r="C2183" s="2">
        <v>0</v>
      </c>
      <c r="D2183" s="2">
        <v>0.31259999999999999</v>
      </c>
      <c r="E2183" s="2">
        <v>0</v>
      </c>
      <c r="F2183" s="2" t="s">
        <v>165</v>
      </c>
    </row>
    <row r="2184" spans="1:6" ht="22.5" hidden="1" customHeight="1" x14ac:dyDescent="0.25">
      <c r="A2184" s="3">
        <v>44013</v>
      </c>
      <c r="B2184" s="2" t="s">
        <v>353</v>
      </c>
      <c r="C2184" s="2">
        <v>0</v>
      </c>
      <c r="D2184" s="2">
        <v>4.48E-2</v>
      </c>
      <c r="E2184" s="2">
        <v>0</v>
      </c>
      <c r="F2184" s="2" t="s">
        <v>165</v>
      </c>
    </row>
    <row r="2185" spans="1:6" ht="22.5" hidden="1" customHeight="1" x14ac:dyDescent="0.25">
      <c r="A2185" s="3">
        <v>44013</v>
      </c>
      <c r="B2185" s="2" t="s">
        <v>354</v>
      </c>
      <c r="C2185" s="2">
        <v>0</v>
      </c>
      <c r="D2185" s="2">
        <v>3.2599999999999997E-2</v>
      </c>
      <c r="E2185" s="2">
        <v>0</v>
      </c>
      <c r="F2185" s="2" t="s">
        <v>165</v>
      </c>
    </row>
    <row r="2186" spans="1:6" ht="22.5" hidden="1" customHeight="1" x14ac:dyDescent="0.25">
      <c r="A2186" s="3">
        <v>44013</v>
      </c>
      <c r="B2186" s="2" t="s">
        <v>355</v>
      </c>
      <c r="C2186" s="2">
        <v>0</v>
      </c>
      <c r="D2186" s="2">
        <v>3.0700000000000002E-2</v>
      </c>
      <c r="E2186" s="2">
        <v>0</v>
      </c>
      <c r="F2186" s="2" t="s">
        <v>174</v>
      </c>
    </row>
    <row r="2187" spans="1:6" ht="22.5" hidden="1" customHeight="1" x14ac:dyDescent="0.25">
      <c r="A2187" s="3">
        <v>44013</v>
      </c>
      <c r="B2187" s="2" t="s">
        <v>356</v>
      </c>
      <c r="C2187" s="2">
        <v>0.91</v>
      </c>
      <c r="D2187" s="2">
        <v>2.98E-2</v>
      </c>
      <c r="E2187" s="2">
        <v>2.7117999999999999E-4</v>
      </c>
      <c r="F2187" s="2" t="s">
        <v>174</v>
      </c>
    </row>
    <row r="2188" spans="1:6" ht="22.5" hidden="1" customHeight="1" x14ac:dyDescent="0.25">
      <c r="A2188" s="3">
        <v>44013</v>
      </c>
      <c r="B2188" s="2" t="s">
        <v>357</v>
      </c>
      <c r="C2188" s="2">
        <v>-0.84</v>
      </c>
      <c r="D2188" s="2">
        <v>0.3911</v>
      </c>
      <c r="E2188" s="2">
        <v>-3.28524E-3</v>
      </c>
      <c r="F2188" s="2" t="s">
        <v>174</v>
      </c>
    </row>
    <row r="2189" spans="1:6" ht="22.5" hidden="1" customHeight="1" x14ac:dyDescent="0.25">
      <c r="A2189" s="3">
        <v>44013</v>
      </c>
      <c r="B2189" s="2" t="s">
        <v>358</v>
      </c>
      <c r="C2189" s="2">
        <v>0.78</v>
      </c>
      <c r="D2189" s="2">
        <v>0.1022</v>
      </c>
      <c r="E2189" s="2">
        <v>7.9715999999999999E-4</v>
      </c>
      <c r="F2189" s="2" t="s">
        <v>174</v>
      </c>
    </row>
    <row r="2190" spans="1:6" ht="22.5" hidden="1" customHeight="1" x14ac:dyDescent="0.25">
      <c r="A2190" s="3">
        <v>44013</v>
      </c>
      <c r="B2190" s="2" t="s">
        <v>359</v>
      </c>
      <c r="C2190" s="2">
        <v>-2.08</v>
      </c>
      <c r="D2190" s="2">
        <v>5.1200000000000002E-2</v>
      </c>
      <c r="E2190" s="2">
        <v>-1.06496E-3</v>
      </c>
      <c r="F2190" s="2" t="s">
        <v>174</v>
      </c>
    </row>
    <row r="2191" spans="1:6" ht="22.5" hidden="1" customHeight="1" x14ac:dyDescent="0.25">
      <c r="A2191" s="3">
        <v>44013</v>
      </c>
      <c r="B2191" s="2" t="s">
        <v>360</v>
      </c>
      <c r="C2191" s="2">
        <v>-0.57999999999999996</v>
      </c>
      <c r="D2191" s="2">
        <v>9.1999999999999998E-2</v>
      </c>
      <c r="E2191" s="2">
        <v>-5.3359999999999996E-4</v>
      </c>
      <c r="F2191" s="2" t="s">
        <v>174</v>
      </c>
    </row>
    <row r="2192" spans="1:6" ht="22.5" hidden="1" customHeight="1" x14ac:dyDescent="0.25">
      <c r="A2192" s="3">
        <v>44013</v>
      </c>
      <c r="B2192" s="2" t="s">
        <v>361</v>
      </c>
      <c r="C2192" s="2">
        <v>0</v>
      </c>
      <c r="D2192" s="2">
        <v>8.2600000000000007E-2</v>
      </c>
      <c r="E2192" s="2">
        <v>0</v>
      </c>
      <c r="F2192" s="2" t="s">
        <v>165</v>
      </c>
    </row>
    <row r="2193" spans="1:6" ht="22.5" hidden="1" customHeight="1" x14ac:dyDescent="0.25">
      <c r="A2193" s="3">
        <v>44013</v>
      </c>
      <c r="B2193" s="2" t="s">
        <v>362</v>
      </c>
      <c r="C2193" s="2">
        <v>0</v>
      </c>
      <c r="D2193" s="2">
        <v>0.32890000000000003</v>
      </c>
      <c r="E2193" s="2">
        <v>0</v>
      </c>
      <c r="F2193" s="2" t="s">
        <v>165</v>
      </c>
    </row>
    <row r="2194" spans="1:6" ht="22.5" hidden="1" customHeight="1" x14ac:dyDescent="0.25">
      <c r="A2194" s="3">
        <v>44013</v>
      </c>
      <c r="B2194" s="2" t="s">
        <v>363</v>
      </c>
      <c r="C2194" s="2">
        <v>0.19</v>
      </c>
      <c r="D2194" s="2">
        <v>5.0700000000000002E-2</v>
      </c>
      <c r="E2194" s="2">
        <v>9.6329999999999994E-5</v>
      </c>
      <c r="F2194" s="2" t="s">
        <v>165</v>
      </c>
    </row>
    <row r="2195" spans="1:6" ht="22.5" hidden="1" customHeight="1" x14ac:dyDescent="0.25">
      <c r="A2195" s="3">
        <v>44013</v>
      </c>
      <c r="B2195" s="2" t="s">
        <v>364</v>
      </c>
      <c r="C2195" s="2">
        <v>-0.22</v>
      </c>
      <c r="D2195" s="2">
        <v>0.41899999999999998</v>
      </c>
      <c r="E2195" s="2">
        <v>-9.2179999999999996E-4</v>
      </c>
      <c r="F2195" s="2" t="s">
        <v>165</v>
      </c>
    </row>
    <row r="2196" spans="1:6" ht="22.5" hidden="1" customHeight="1" x14ac:dyDescent="0.25">
      <c r="A2196" s="3">
        <v>44348</v>
      </c>
      <c r="B2196" s="2" t="s">
        <v>263</v>
      </c>
      <c r="C2196" s="2">
        <v>0.59</v>
      </c>
      <c r="D2196" s="2">
        <v>0.40679999999999999</v>
      </c>
      <c r="E2196" s="2">
        <v>2.4001199999999999E-3</v>
      </c>
      <c r="F2196" s="2" t="s">
        <v>168</v>
      </c>
    </row>
    <row r="2197" spans="1:6" ht="22.5" hidden="1" customHeight="1" x14ac:dyDescent="0.25">
      <c r="A2197" s="3">
        <v>44531</v>
      </c>
      <c r="B2197" s="2" t="s">
        <v>300</v>
      </c>
      <c r="C2197" s="2">
        <v>1.39</v>
      </c>
      <c r="D2197" s="2">
        <v>0.17069999999999999</v>
      </c>
      <c r="E2197" s="2">
        <v>2.37273E-3</v>
      </c>
      <c r="F2197" s="2" t="s">
        <v>168</v>
      </c>
    </row>
    <row r="2198" spans="1:6" ht="22.5" hidden="1" customHeight="1" x14ac:dyDescent="0.25">
      <c r="A2198" s="3">
        <v>44013</v>
      </c>
      <c r="B2198" s="2" t="s">
        <v>167</v>
      </c>
      <c r="C2198" s="2">
        <v>0.13</v>
      </c>
      <c r="D2198" s="2">
        <v>1.8209</v>
      </c>
      <c r="E2198" s="2">
        <v>2.36717E-3</v>
      </c>
      <c r="F2198" s="2" t="s">
        <v>168</v>
      </c>
    </row>
    <row r="2199" spans="1:6" ht="22.5" hidden="1" customHeight="1" x14ac:dyDescent="0.25">
      <c r="A2199" s="3">
        <v>44013</v>
      </c>
      <c r="B2199" s="2" t="s">
        <v>368</v>
      </c>
      <c r="C2199" s="2">
        <v>0</v>
      </c>
      <c r="D2199" s="2">
        <v>0.40839999999999999</v>
      </c>
      <c r="E2199" s="2">
        <v>0</v>
      </c>
      <c r="F2199" s="2" t="s">
        <v>165</v>
      </c>
    </row>
    <row r="2200" spans="1:6" ht="22.5" hidden="1" customHeight="1" x14ac:dyDescent="0.25">
      <c r="A2200" s="3">
        <v>44013</v>
      </c>
      <c r="B2200" s="2" t="s">
        <v>369</v>
      </c>
      <c r="C2200" s="2">
        <v>0</v>
      </c>
      <c r="D2200" s="2">
        <v>0.54690000000000005</v>
      </c>
      <c r="E2200" s="2">
        <v>0</v>
      </c>
      <c r="F2200" s="2" t="s">
        <v>165</v>
      </c>
    </row>
    <row r="2201" spans="1:6" ht="22.5" hidden="1" customHeight="1" x14ac:dyDescent="0.25">
      <c r="A2201" s="3">
        <v>44013</v>
      </c>
      <c r="B2201" s="2" t="s">
        <v>370</v>
      </c>
      <c r="C2201" s="2">
        <v>0.83</v>
      </c>
      <c r="D2201" s="2">
        <v>1.0227999999999999</v>
      </c>
      <c r="E2201" s="2">
        <v>8.4892400000000003E-3</v>
      </c>
      <c r="F2201" s="2" t="s">
        <v>170</v>
      </c>
    </row>
    <row r="2202" spans="1:6" ht="22.5" hidden="1" customHeight="1" x14ac:dyDescent="0.25">
      <c r="A2202" s="3">
        <v>44013</v>
      </c>
      <c r="B2202" s="2" t="s">
        <v>371</v>
      </c>
      <c r="C2202" s="2">
        <v>0</v>
      </c>
      <c r="D2202" s="2">
        <v>7.0099999999999996E-2</v>
      </c>
      <c r="E2202" s="2">
        <v>0</v>
      </c>
      <c r="F2202" s="2" t="s">
        <v>165</v>
      </c>
    </row>
    <row r="2203" spans="1:6" ht="22.5" hidden="1" customHeight="1" x14ac:dyDescent="0.25">
      <c r="A2203" s="3">
        <v>44013</v>
      </c>
      <c r="B2203" s="2" t="s">
        <v>372</v>
      </c>
      <c r="C2203" s="2">
        <v>1.04</v>
      </c>
      <c r="D2203" s="2">
        <v>1.7538</v>
      </c>
      <c r="E2203" s="2">
        <v>1.8239519999999999E-2</v>
      </c>
      <c r="F2203" s="2" t="s">
        <v>165</v>
      </c>
    </row>
    <row r="2204" spans="1:6" ht="22.5" hidden="1" customHeight="1" x14ac:dyDescent="0.25">
      <c r="A2204" s="3">
        <v>44044</v>
      </c>
      <c r="B2204" s="2" t="s">
        <v>6</v>
      </c>
      <c r="C2204" s="2">
        <v>2.2200000000000002</v>
      </c>
      <c r="D2204" s="2">
        <v>0.51239999999999997</v>
      </c>
      <c r="E2204" s="2">
        <v>1.137528E-2</v>
      </c>
      <c r="F2204" s="2" t="s">
        <v>7</v>
      </c>
    </row>
    <row r="2205" spans="1:6" ht="22.5" hidden="1" customHeight="1" x14ac:dyDescent="0.25">
      <c r="A2205" s="3">
        <v>44044</v>
      </c>
      <c r="B2205" s="2" t="s">
        <v>8</v>
      </c>
      <c r="C2205" s="2">
        <v>1.19</v>
      </c>
      <c r="D2205" s="2">
        <v>1.4500000000000001E-2</v>
      </c>
      <c r="E2205" s="2">
        <v>1.7254999999999999E-4</v>
      </c>
      <c r="F2205" s="2" t="s">
        <v>7</v>
      </c>
    </row>
    <row r="2206" spans="1:6" ht="22.5" hidden="1" customHeight="1" x14ac:dyDescent="0.25">
      <c r="A2206" s="3">
        <v>44044</v>
      </c>
      <c r="B2206" s="2" t="s">
        <v>9</v>
      </c>
      <c r="C2206" s="2">
        <v>2.29</v>
      </c>
      <c r="D2206" s="2">
        <v>5.9299999999999999E-2</v>
      </c>
      <c r="E2206" s="2">
        <v>1.35797E-3</v>
      </c>
      <c r="F2206" s="2" t="s">
        <v>7</v>
      </c>
    </row>
    <row r="2207" spans="1:6" ht="22.5" hidden="1" customHeight="1" x14ac:dyDescent="0.25">
      <c r="A2207" s="3">
        <v>44044</v>
      </c>
      <c r="B2207" s="2" t="s">
        <v>10</v>
      </c>
      <c r="C2207" s="2">
        <v>3.74</v>
      </c>
      <c r="D2207" s="2">
        <v>1.84E-2</v>
      </c>
      <c r="E2207" s="2">
        <v>6.8816000000000005E-4</v>
      </c>
      <c r="F2207" s="2" t="s">
        <v>7</v>
      </c>
    </row>
    <row r="2208" spans="1:6" ht="22.5" hidden="1" customHeight="1" x14ac:dyDescent="0.25">
      <c r="A2208" s="3">
        <v>44044</v>
      </c>
      <c r="B2208" s="2" t="s">
        <v>11</v>
      </c>
      <c r="C2208" s="2">
        <v>-6.78</v>
      </c>
      <c r="D2208" s="2">
        <v>0.16639999999999999</v>
      </c>
      <c r="E2208" s="2">
        <v>-1.1281920000000001E-2</v>
      </c>
      <c r="F2208" s="2" t="s">
        <v>7</v>
      </c>
    </row>
    <row r="2209" spans="1:6" ht="22.5" hidden="1" customHeight="1" x14ac:dyDescent="0.25">
      <c r="A2209" s="3">
        <v>44044</v>
      </c>
      <c r="B2209" s="2" t="s">
        <v>12</v>
      </c>
      <c r="C2209" s="2">
        <v>-1.04</v>
      </c>
      <c r="D2209" s="2">
        <v>1.0800000000000001E-2</v>
      </c>
      <c r="E2209" s="2">
        <v>-1.1232E-4</v>
      </c>
      <c r="F2209" s="2" t="s">
        <v>7</v>
      </c>
    </row>
    <row r="2210" spans="1:6" ht="22.5" hidden="1" customHeight="1" x14ac:dyDescent="0.25">
      <c r="A2210" s="3">
        <v>44044</v>
      </c>
      <c r="B2210" s="2" t="s">
        <v>13</v>
      </c>
      <c r="C2210" s="2">
        <v>-1.27</v>
      </c>
      <c r="D2210" s="2">
        <v>3.2000000000000002E-3</v>
      </c>
      <c r="E2210" s="2">
        <v>-4.0639999999999997E-5</v>
      </c>
      <c r="F2210" s="2" t="s">
        <v>7</v>
      </c>
    </row>
    <row r="2211" spans="1:6" ht="22.5" hidden="1" customHeight="1" x14ac:dyDescent="0.25">
      <c r="A2211" s="3">
        <v>44044</v>
      </c>
      <c r="B2211" s="2" t="s">
        <v>14</v>
      </c>
      <c r="C2211" s="2">
        <v>-0.7</v>
      </c>
      <c r="D2211" s="2">
        <v>0.14910000000000001</v>
      </c>
      <c r="E2211" s="2">
        <v>-1.0437000000000001E-3</v>
      </c>
      <c r="F2211" s="2" t="s">
        <v>7</v>
      </c>
    </row>
    <row r="2212" spans="1:6" ht="22.5" hidden="1" customHeight="1" x14ac:dyDescent="0.25">
      <c r="A2212" s="3">
        <v>44044</v>
      </c>
      <c r="B2212" s="2" t="s">
        <v>15</v>
      </c>
      <c r="C2212" s="2">
        <v>2.06</v>
      </c>
      <c r="D2212" s="2">
        <v>7.3000000000000001E-3</v>
      </c>
      <c r="E2212" s="2">
        <v>1.5038000000000001E-4</v>
      </c>
      <c r="F2212" s="2" t="s">
        <v>7</v>
      </c>
    </row>
    <row r="2213" spans="1:6" ht="22.5" hidden="1" customHeight="1" x14ac:dyDescent="0.25">
      <c r="A2213" s="3">
        <v>44044</v>
      </c>
      <c r="B2213" s="2" t="s">
        <v>16</v>
      </c>
      <c r="C2213" s="2">
        <v>0.99</v>
      </c>
      <c r="D2213" s="2">
        <v>9.2999999999999992E-3</v>
      </c>
      <c r="E2213" s="2">
        <v>9.2070000000000004E-5</v>
      </c>
      <c r="F2213" s="2" t="s">
        <v>7</v>
      </c>
    </row>
    <row r="2214" spans="1:6" ht="22.5" hidden="1" customHeight="1" x14ac:dyDescent="0.25">
      <c r="A2214" s="3">
        <v>44044</v>
      </c>
      <c r="B2214" s="2" t="s">
        <v>17</v>
      </c>
      <c r="C2214" s="2">
        <v>1.1200000000000001</v>
      </c>
      <c r="D2214" s="2">
        <v>4.9599999999999998E-2</v>
      </c>
      <c r="E2214" s="2">
        <v>5.5551999999999999E-4</v>
      </c>
      <c r="F2214" s="2" t="s">
        <v>7</v>
      </c>
    </row>
    <row r="2215" spans="1:6" ht="22.5" hidden="1" customHeight="1" x14ac:dyDescent="0.25">
      <c r="A2215" s="3">
        <v>44044</v>
      </c>
      <c r="B2215" s="2" t="s">
        <v>18</v>
      </c>
      <c r="C2215" s="2">
        <v>-1.6</v>
      </c>
      <c r="D2215" s="2">
        <v>0.1013</v>
      </c>
      <c r="E2215" s="2">
        <v>-1.6207999999999999E-3</v>
      </c>
      <c r="F2215" s="2" t="s">
        <v>7</v>
      </c>
    </row>
    <row r="2216" spans="1:6" ht="22.5" hidden="1" customHeight="1" x14ac:dyDescent="0.25">
      <c r="A2216" s="3">
        <v>44044</v>
      </c>
      <c r="B2216" s="2" t="s">
        <v>19</v>
      </c>
      <c r="C2216" s="2">
        <v>-1.46</v>
      </c>
      <c r="D2216" s="2">
        <v>0.1206</v>
      </c>
      <c r="E2216" s="2">
        <v>-1.7607600000000001E-3</v>
      </c>
      <c r="F2216" s="2" t="s">
        <v>7</v>
      </c>
    </row>
    <row r="2217" spans="1:6" ht="22.5" hidden="1" customHeight="1" x14ac:dyDescent="0.25">
      <c r="A2217" s="3">
        <v>44044</v>
      </c>
      <c r="B2217" s="2" t="s">
        <v>20</v>
      </c>
      <c r="C2217" s="2">
        <v>-0.19</v>
      </c>
      <c r="D2217" s="2">
        <v>2.6499999999999999E-2</v>
      </c>
      <c r="E2217" s="2">
        <v>-5.0349999999999997E-5</v>
      </c>
      <c r="F2217" s="2" t="s">
        <v>7</v>
      </c>
    </row>
    <row r="2218" spans="1:6" ht="22.5" hidden="1" customHeight="1" x14ac:dyDescent="0.25">
      <c r="A2218" s="3">
        <v>44044</v>
      </c>
      <c r="B2218" s="2" t="s">
        <v>21</v>
      </c>
      <c r="C2218" s="2">
        <v>-5.66</v>
      </c>
      <c r="D2218" s="2">
        <v>2.8500000000000001E-2</v>
      </c>
      <c r="E2218" s="2">
        <v>-1.6130999999999999E-3</v>
      </c>
      <c r="F2218" s="2" t="s">
        <v>7</v>
      </c>
    </row>
    <row r="2219" spans="1:6" ht="22.5" hidden="1" customHeight="1" x14ac:dyDescent="0.25">
      <c r="A2219" s="3">
        <v>44044</v>
      </c>
      <c r="B2219" s="2" t="s">
        <v>22</v>
      </c>
      <c r="C2219" s="2">
        <v>-17.16</v>
      </c>
      <c r="D2219" s="2">
        <v>0.1991</v>
      </c>
      <c r="E2219" s="2">
        <v>-3.4165559999999998E-2</v>
      </c>
      <c r="F2219" s="2" t="s">
        <v>7</v>
      </c>
    </row>
    <row r="2220" spans="1:6" ht="22.5" hidden="1" customHeight="1" x14ac:dyDescent="0.25">
      <c r="A2220" s="3">
        <v>44044</v>
      </c>
      <c r="B2220" s="2" t="s">
        <v>23</v>
      </c>
      <c r="C2220" s="2">
        <v>0.23</v>
      </c>
      <c r="D2220" s="2">
        <v>1.38E-2</v>
      </c>
      <c r="E2220" s="2">
        <v>3.1739999999999998E-5</v>
      </c>
      <c r="F2220" s="2" t="s">
        <v>7</v>
      </c>
    </row>
    <row r="2221" spans="1:6" ht="22.5" hidden="1" customHeight="1" x14ac:dyDescent="0.25">
      <c r="A2221" s="3">
        <v>44044</v>
      </c>
      <c r="B2221" s="2" t="s">
        <v>24</v>
      </c>
      <c r="C2221" s="2">
        <v>9</v>
      </c>
      <c r="D2221" s="2">
        <v>8.8000000000000005E-3</v>
      </c>
      <c r="E2221" s="2">
        <v>7.9199999999999995E-4</v>
      </c>
      <c r="F2221" s="2" t="s">
        <v>7</v>
      </c>
    </row>
    <row r="2222" spans="1:6" ht="22.5" hidden="1" customHeight="1" x14ac:dyDescent="0.25">
      <c r="A2222" s="3">
        <v>44044</v>
      </c>
      <c r="B2222" s="2" t="s">
        <v>25</v>
      </c>
      <c r="C2222" s="2">
        <v>-3.33</v>
      </c>
      <c r="D2222" s="2">
        <v>3.5000000000000001E-3</v>
      </c>
      <c r="E2222" s="2">
        <v>-1.1655E-4</v>
      </c>
      <c r="F2222" s="2" t="s">
        <v>7</v>
      </c>
    </row>
    <row r="2223" spans="1:6" ht="22.5" hidden="1" customHeight="1" x14ac:dyDescent="0.25">
      <c r="A2223" s="3">
        <v>44044</v>
      </c>
      <c r="B2223" s="2" t="s">
        <v>26</v>
      </c>
      <c r="C2223" s="2">
        <v>0.73</v>
      </c>
      <c r="D2223" s="2">
        <v>1.5100000000000001E-2</v>
      </c>
      <c r="E2223" s="2">
        <v>1.1022999999999999E-4</v>
      </c>
      <c r="F2223" s="2" t="s">
        <v>7</v>
      </c>
    </row>
    <row r="2224" spans="1:6" ht="22.5" hidden="1" customHeight="1" x14ac:dyDescent="0.25">
      <c r="A2224" s="3">
        <v>44044</v>
      </c>
      <c r="B2224" s="2" t="s">
        <v>27</v>
      </c>
      <c r="C2224" s="2">
        <v>-4.2</v>
      </c>
      <c r="D2224" s="2">
        <v>0.1797</v>
      </c>
      <c r="E2224" s="2">
        <v>-7.5474000000000001E-3</v>
      </c>
      <c r="F2224" s="2" t="s">
        <v>7</v>
      </c>
    </row>
    <row r="2225" spans="1:6" ht="22.5" hidden="1" customHeight="1" x14ac:dyDescent="0.25">
      <c r="A2225" s="3">
        <v>44044</v>
      </c>
      <c r="B2225" s="2" t="s">
        <v>28</v>
      </c>
      <c r="C2225" s="2">
        <v>-8.0399999999999991</v>
      </c>
      <c r="D2225" s="2">
        <v>0.18940000000000001</v>
      </c>
      <c r="E2225" s="2">
        <v>-1.522776E-2</v>
      </c>
      <c r="F2225" s="2" t="s">
        <v>7</v>
      </c>
    </row>
    <row r="2226" spans="1:6" ht="22.5" hidden="1" customHeight="1" x14ac:dyDescent="0.25">
      <c r="A2226" s="3">
        <v>44044</v>
      </c>
      <c r="B2226" s="2" t="s">
        <v>29</v>
      </c>
      <c r="C2226" s="2">
        <v>-8.4</v>
      </c>
      <c r="D2226" s="2">
        <v>5.4300000000000001E-2</v>
      </c>
      <c r="E2226" s="2">
        <v>-4.5611999999999996E-3</v>
      </c>
      <c r="F2226" s="2" t="s">
        <v>7</v>
      </c>
    </row>
    <row r="2227" spans="1:6" ht="22.5" hidden="1" customHeight="1" x14ac:dyDescent="0.25">
      <c r="A2227" s="3">
        <v>44044</v>
      </c>
      <c r="B2227" s="2" t="s">
        <v>30</v>
      </c>
      <c r="C2227" s="2">
        <v>-0.38</v>
      </c>
      <c r="D2227" s="2">
        <v>9.2499999999999999E-2</v>
      </c>
      <c r="E2227" s="2">
        <v>-3.5149999999999998E-4</v>
      </c>
      <c r="F2227" s="2" t="s">
        <v>7</v>
      </c>
    </row>
    <row r="2228" spans="1:6" ht="22.5" hidden="1" customHeight="1" x14ac:dyDescent="0.25">
      <c r="A2228" s="3">
        <v>44044</v>
      </c>
      <c r="B2228" s="2" t="s">
        <v>31</v>
      </c>
      <c r="C2228" s="2">
        <v>-0.02</v>
      </c>
      <c r="D2228" s="2">
        <v>9.8199999999999996E-2</v>
      </c>
      <c r="E2228" s="2">
        <v>-1.9640000000000002E-5</v>
      </c>
      <c r="F2228" s="2" t="s">
        <v>7</v>
      </c>
    </row>
    <row r="2229" spans="1:6" ht="22.5" hidden="1" customHeight="1" x14ac:dyDescent="0.25">
      <c r="A2229" s="3">
        <v>44044</v>
      </c>
      <c r="B2229" s="2" t="s">
        <v>32</v>
      </c>
      <c r="C2229" s="2">
        <v>0.79</v>
      </c>
      <c r="D2229" s="2">
        <v>1.61E-2</v>
      </c>
      <c r="E2229" s="2">
        <v>1.2719000000000001E-4</v>
      </c>
      <c r="F2229" s="2" t="s">
        <v>7</v>
      </c>
    </row>
    <row r="2230" spans="1:6" ht="22.5" hidden="1" customHeight="1" x14ac:dyDescent="0.25">
      <c r="A2230" s="3">
        <v>44044</v>
      </c>
      <c r="B2230" s="2" t="s">
        <v>33</v>
      </c>
      <c r="C2230" s="2">
        <v>0.02</v>
      </c>
      <c r="D2230" s="2">
        <v>0.18779999999999999</v>
      </c>
      <c r="E2230" s="2">
        <v>3.756E-5</v>
      </c>
      <c r="F2230" s="2" t="s">
        <v>7</v>
      </c>
    </row>
    <row r="2231" spans="1:6" ht="22.5" hidden="1" customHeight="1" x14ac:dyDescent="0.25">
      <c r="A2231" s="3">
        <v>44044</v>
      </c>
      <c r="B2231" s="2" t="s">
        <v>34</v>
      </c>
      <c r="C2231" s="2">
        <v>1.2</v>
      </c>
      <c r="D2231" s="2">
        <v>0.1404</v>
      </c>
      <c r="E2231" s="2">
        <v>1.6848E-3</v>
      </c>
      <c r="F2231" s="2" t="s">
        <v>7</v>
      </c>
    </row>
    <row r="2232" spans="1:6" ht="22.5" hidden="1" customHeight="1" x14ac:dyDescent="0.25">
      <c r="A2232" s="3">
        <v>44044</v>
      </c>
      <c r="B2232" s="2" t="s">
        <v>35</v>
      </c>
      <c r="C2232" s="2">
        <v>1.1000000000000001</v>
      </c>
      <c r="D2232" s="2">
        <v>0.1067</v>
      </c>
      <c r="E2232" s="2">
        <v>1.1737E-3</v>
      </c>
      <c r="F2232" s="2" t="s">
        <v>7</v>
      </c>
    </row>
    <row r="2233" spans="1:6" ht="22.5" hidden="1" customHeight="1" x14ac:dyDescent="0.25">
      <c r="A2233" s="3">
        <v>44044</v>
      </c>
      <c r="B2233" s="2" t="s">
        <v>36</v>
      </c>
      <c r="C2233" s="2">
        <v>1.5</v>
      </c>
      <c r="D2233" s="2">
        <v>1.6000000000000001E-3</v>
      </c>
      <c r="E2233" s="2">
        <v>2.4000000000000001E-5</v>
      </c>
      <c r="F2233" s="2" t="s">
        <v>7</v>
      </c>
    </row>
    <row r="2234" spans="1:6" ht="22.5" hidden="1" customHeight="1" x14ac:dyDescent="0.25">
      <c r="A2234" s="3">
        <v>44044</v>
      </c>
      <c r="B2234" s="2" t="s">
        <v>37</v>
      </c>
      <c r="C2234" s="2">
        <v>-2.31</v>
      </c>
      <c r="D2234" s="2">
        <v>8.5500000000000007E-2</v>
      </c>
      <c r="E2234" s="2">
        <v>-1.9750499999999999E-3</v>
      </c>
      <c r="F2234" s="2" t="s">
        <v>7</v>
      </c>
    </row>
    <row r="2235" spans="1:6" ht="22.5" hidden="1" customHeight="1" x14ac:dyDescent="0.25">
      <c r="A2235" s="3">
        <v>44044</v>
      </c>
      <c r="B2235" s="2" t="s">
        <v>38</v>
      </c>
      <c r="C2235" s="2">
        <v>-5.85</v>
      </c>
      <c r="D2235" s="2">
        <v>1.04E-2</v>
      </c>
      <c r="E2235" s="2">
        <v>-6.0840000000000004E-4</v>
      </c>
      <c r="F2235" s="2" t="s">
        <v>7</v>
      </c>
    </row>
    <row r="2236" spans="1:6" ht="22.5" hidden="1" customHeight="1" x14ac:dyDescent="0.25">
      <c r="A2236" s="3">
        <v>44044</v>
      </c>
      <c r="B2236" s="2" t="s">
        <v>39</v>
      </c>
      <c r="C2236" s="2">
        <v>-6.06</v>
      </c>
      <c r="D2236" s="2">
        <v>1.61E-2</v>
      </c>
      <c r="E2236" s="2">
        <v>-9.7566000000000005E-4</v>
      </c>
      <c r="F2236" s="2" t="s">
        <v>7</v>
      </c>
    </row>
    <row r="2237" spans="1:6" ht="22.5" hidden="1" customHeight="1" x14ac:dyDescent="0.25">
      <c r="A2237" s="3">
        <v>44044</v>
      </c>
      <c r="B2237" s="2" t="s">
        <v>40</v>
      </c>
      <c r="C2237" s="2">
        <v>-8.2799999999999994</v>
      </c>
      <c r="D2237" s="2">
        <v>3.2000000000000002E-3</v>
      </c>
      <c r="E2237" s="2">
        <v>-2.6496000000000001E-4</v>
      </c>
      <c r="F2237" s="2" t="s">
        <v>7</v>
      </c>
    </row>
    <row r="2238" spans="1:6" ht="22.5" hidden="1" customHeight="1" x14ac:dyDescent="0.25">
      <c r="A2238" s="3">
        <v>44044</v>
      </c>
      <c r="B2238" s="2" t="s">
        <v>41</v>
      </c>
      <c r="C2238" s="2">
        <v>-2.69</v>
      </c>
      <c r="D2238" s="2">
        <v>1.5699999999999999E-2</v>
      </c>
      <c r="E2238" s="2">
        <v>-4.2233E-4</v>
      </c>
      <c r="F2238" s="2" t="s">
        <v>7</v>
      </c>
    </row>
    <row r="2239" spans="1:6" ht="22.5" hidden="1" customHeight="1" x14ac:dyDescent="0.25">
      <c r="A2239" s="3">
        <v>44044</v>
      </c>
      <c r="B2239" s="2" t="s">
        <v>42</v>
      </c>
      <c r="C2239" s="2">
        <v>-4.7300000000000004</v>
      </c>
      <c r="D2239" s="2">
        <v>4.5999999999999999E-2</v>
      </c>
      <c r="E2239" s="2">
        <v>-2.1757999999999999E-3</v>
      </c>
      <c r="F2239" s="2" t="s">
        <v>7</v>
      </c>
    </row>
    <row r="2240" spans="1:6" ht="22.5" hidden="1" customHeight="1" x14ac:dyDescent="0.25">
      <c r="A2240" s="3">
        <v>44044</v>
      </c>
      <c r="B2240" s="2" t="s">
        <v>43</v>
      </c>
      <c r="C2240" s="2">
        <v>0.52</v>
      </c>
      <c r="D2240" s="2">
        <v>2.7099999999999999E-2</v>
      </c>
      <c r="E2240" s="2">
        <v>1.4092E-4</v>
      </c>
      <c r="F2240" s="2" t="s">
        <v>7</v>
      </c>
    </row>
    <row r="2241" spans="1:6" ht="22.5" hidden="1" customHeight="1" x14ac:dyDescent="0.25">
      <c r="A2241" s="3">
        <v>44044</v>
      </c>
      <c r="B2241" s="2" t="s">
        <v>44</v>
      </c>
      <c r="C2241" s="2">
        <v>-0.25</v>
      </c>
      <c r="D2241" s="2">
        <v>1.8499999999999999E-2</v>
      </c>
      <c r="E2241" s="2">
        <v>-4.6249999999999999E-5</v>
      </c>
      <c r="F2241" s="2" t="s">
        <v>7</v>
      </c>
    </row>
    <row r="2242" spans="1:6" ht="22.5" hidden="1" customHeight="1" x14ac:dyDescent="0.25">
      <c r="A2242" s="3">
        <v>44044</v>
      </c>
      <c r="B2242" s="2" t="s">
        <v>45</v>
      </c>
      <c r="C2242" s="2">
        <v>-2.74</v>
      </c>
      <c r="D2242" s="2">
        <v>1.78E-2</v>
      </c>
      <c r="E2242" s="2">
        <v>-4.8772000000000003E-4</v>
      </c>
      <c r="F2242" s="2" t="s">
        <v>7</v>
      </c>
    </row>
    <row r="2243" spans="1:6" ht="22.5" hidden="1" customHeight="1" x14ac:dyDescent="0.25">
      <c r="A2243" s="3">
        <v>44044</v>
      </c>
      <c r="B2243" s="2" t="s">
        <v>46</v>
      </c>
      <c r="C2243" s="2">
        <v>-1.2</v>
      </c>
      <c r="D2243" s="2">
        <v>1.1999999999999999E-3</v>
      </c>
      <c r="E2243" s="2">
        <v>-1.4399999999999999E-5</v>
      </c>
      <c r="F2243" s="2" t="s">
        <v>7</v>
      </c>
    </row>
    <row r="2244" spans="1:6" ht="22.5" hidden="1" customHeight="1" x14ac:dyDescent="0.25">
      <c r="A2244" s="3">
        <v>44044</v>
      </c>
      <c r="B2244" s="2" t="s">
        <v>47</v>
      </c>
      <c r="C2244" s="2">
        <v>7.1</v>
      </c>
      <c r="D2244" s="2">
        <v>8.8800000000000004E-2</v>
      </c>
      <c r="E2244" s="2">
        <v>6.3048000000000002E-3</v>
      </c>
      <c r="F2244" s="2" t="s">
        <v>7</v>
      </c>
    </row>
    <row r="2245" spans="1:6" ht="22.5" hidden="1" customHeight="1" x14ac:dyDescent="0.25">
      <c r="A2245" s="3">
        <v>44044</v>
      </c>
      <c r="B2245" s="2" t="s">
        <v>48</v>
      </c>
      <c r="C2245" s="2">
        <v>-3.69</v>
      </c>
      <c r="D2245" s="2">
        <v>3.8E-3</v>
      </c>
      <c r="E2245" s="2">
        <v>-1.4022000000000001E-4</v>
      </c>
      <c r="F2245" s="2" t="s">
        <v>7</v>
      </c>
    </row>
    <row r="2246" spans="1:6" ht="22.5" hidden="1" customHeight="1" x14ac:dyDescent="0.25">
      <c r="A2246" s="3">
        <v>44044</v>
      </c>
      <c r="B2246" s="2" t="s">
        <v>49</v>
      </c>
      <c r="C2246" s="2">
        <v>-7.21</v>
      </c>
      <c r="D2246" s="2">
        <v>0.1542</v>
      </c>
      <c r="E2246" s="2">
        <v>-1.111782E-2</v>
      </c>
      <c r="F2246" s="2" t="s">
        <v>7</v>
      </c>
    </row>
    <row r="2247" spans="1:6" ht="22.5" hidden="1" customHeight="1" x14ac:dyDescent="0.25">
      <c r="A2247" s="3">
        <v>44044</v>
      </c>
      <c r="B2247" s="2" t="s">
        <v>50</v>
      </c>
      <c r="C2247" s="2">
        <v>-4.6100000000000003</v>
      </c>
      <c r="D2247" s="2">
        <v>4.3E-3</v>
      </c>
      <c r="E2247" s="2">
        <v>-1.9823E-4</v>
      </c>
      <c r="F2247" s="2" t="s">
        <v>7</v>
      </c>
    </row>
    <row r="2248" spans="1:6" ht="22.5" hidden="1" customHeight="1" x14ac:dyDescent="0.25">
      <c r="A2248" s="3">
        <v>44044</v>
      </c>
      <c r="B2248" s="2" t="s">
        <v>51</v>
      </c>
      <c r="C2248" s="2">
        <v>-6.88</v>
      </c>
      <c r="D2248" s="2">
        <v>3.7000000000000002E-3</v>
      </c>
      <c r="E2248" s="2">
        <v>-2.5455999999999998E-4</v>
      </c>
      <c r="F2248" s="2" t="s">
        <v>7</v>
      </c>
    </row>
    <row r="2249" spans="1:6" ht="22.5" hidden="1" customHeight="1" x14ac:dyDescent="0.25">
      <c r="A2249" s="3">
        <v>44044</v>
      </c>
      <c r="B2249" s="2" t="s">
        <v>52</v>
      </c>
      <c r="C2249" s="2">
        <v>43.69</v>
      </c>
      <c r="D2249" s="2">
        <v>2.87E-2</v>
      </c>
      <c r="E2249" s="2">
        <v>1.253903E-2</v>
      </c>
      <c r="F2249" s="2" t="s">
        <v>7</v>
      </c>
    </row>
    <row r="2250" spans="1:6" ht="22.5" hidden="1" customHeight="1" x14ac:dyDescent="0.25">
      <c r="A2250" s="3">
        <v>44044</v>
      </c>
      <c r="B2250" s="2" t="s">
        <v>53</v>
      </c>
      <c r="C2250" s="2">
        <v>4.68</v>
      </c>
      <c r="D2250" s="2">
        <v>0.1469</v>
      </c>
      <c r="E2250" s="2">
        <v>6.8749199999999996E-3</v>
      </c>
      <c r="F2250" s="2" t="s">
        <v>7</v>
      </c>
    </row>
    <row r="2251" spans="1:6" ht="22.5" hidden="1" customHeight="1" x14ac:dyDescent="0.25">
      <c r="A2251" s="3">
        <v>44044</v>
      </c>
      <c r="B2251" s="2" t="s">
        <v>54</v>
      </c>
      <c r="C2251" s="2">
        <v>6.16</v>
      </c>
      <c r="D2251" s="2">
        <v>8.5699999999999998E-2</v>
      </c>
      <c r="E2251" s="2">
        <v>5.27912E-3</v>
      </c>
      <c r="F2251" s="2" t="s">
        <v>7</v>
      </c>
    </row>
    <row r="2252" spans="1:6" ht="22.5" hidden="1" customHeight="1" x14ac:dyDescent="0.25">
      <c r="A2252" s="3">
        <v>44044</v>
      </c>
      <c r="B2252" s="2" t="s">
        <v>55</v>
      </c>
      <c r="C2252" s="2">
        <v>-0.27</v>
      </c>
      <c r="D2252" s="2">
        <v>0.08</v>
      </c>
      <c r="E2252" s="2">
        <v>-2.1599999999999999E-4</v>
      </c>
      <c r="F2252" s="2" t="s">
        <v>7</v>
      </c>
    </row>
    <row r="2253" spans="1:6" ht="22.5" hidden="1" customHeight="1" x14ac:dyDescent="0.25">
      <c r="A2253" s="3">
        <v>44044</v>
      </c>
      <c r="B2253" s="2" t="s">
        <v>56</v>
      </c>
      <c r="C2253" s="2">
        <v>6.96</v>
      </c>
      <c r="D2253" s="2">
        <v>6.8999999999999999E-3</v>
      </c>
      <c r="E2253" s="2">
        <v>4.8024E-4</v>
      </c>
      <c r="F2253" s="2" t="s">
        <v>7</v>
      </c>
    </row>
    <row r="2254" spans="1:6" ht="22.5" hidden="1" customHeight="1" x14ac:dyDescent="0.25">
      <c r="A2254" s="3">
        <v>44044</v>
      </c>
      <c r="B2254" s="2" t="s">
        <v>57</v>
      </c>
      <c r="C2254" s="2">
        <v>8.81</v>
      </c>
      <c r="D2254" s="2">
        <v>2.8400000000000002E-2</v>
      </c>
      <c r="E2254" s="2">
        <v>2.5020400000000001E-3</v>
      </c>
      <c r="F2254" s="2" t="s">
        <v>7</v>
      </c>
    </row>
    <row r="2255" spans="1:6" ht="22.5" hidden="1" customHeight="1" x14ac:dyDescent="0.25">
      <c r="A2255" s="3">
        <v>44044</v>
      </c>
      <c r="B2255" s="2" t="s">
        <v>58</v>
      </c>
      <c r="C2255" s="2">
        <v>-0.01</v>
      </c>
      <c r="D2255" s="2">
        <v>1.66E-2</v>
      </c>
      <c r="E2255" s="2">
        <v>-1.66E-6</v>
      </c>
      <c r="F2255" s="2" t="s">
        <v>7</v>
      </c>
    </row>
    <row r="2256" spans="1:6" ht="22.5" hidden="1" customHeight="1" x14ac:dyDescent="0.25">
      <c r="A2256" s="3">
        <v>44044</v>
      </c>
      <c r="B2256" s="2" t="s">
        <v>59</v>
      </c>
      <c r="C2256" s="2">
        <v>1.38</v>
      </c>
      <c r="D2256" s="2">
        <v>2.1299999999999999E-2</v>
      </c>
      <c r="E2256" s="2">
        <v>2.9394000000000002E-4</v>
      </c>
      <c r="F2256" s="2" t="s">
        <v>7</v>
      </c>
    </row>
    <row r="2257" spans="1:6" ht="22.5" hidden="1" customHeight="1" x14ac:dyDescent="0.25">
      <c r="A2257" s="3">
        <v>44044</v>
      </c>
      <c r="B2257" s="2" t="s">
        <v>60</v>
      </c>
      <c r="C2257" s="2">
        <v>5.94</v>
      </c>
      <c r="D2257" s="2">
        <v>3.2000000000000001E-2</v>
      </c>
      <c r="E2257" s="2">
        <v>1.9008E-3</v>
      </c>
      <c r="F2257" s="2" t="s">
        <v>7</v>
      </c>
    </row>
    <row r="2258" spans="1:6" ht="22.5" hidden="1" customHeight="1" x14ac:dyDescent="0.25">
      <c r="A2258" s="3">
        <v>44044</v>
      </c>
      <c r="B2258" s="2" t="s">
        <v>61</v>
      </c>
      <c r="C2258" s="2">
        <v>-1.79</v>
      </c>
      <c r="D2258" s="2">
        <v>7.4099999999999999E-2</v>
      </c>
      <c r="E2258" s="2">
        <v>-1.32639E-3</v>
      </c>
      <c r="F2258" s="2" t="s">
        <v>7</v>
      </c>
    </row>
    <row r="2259" spans="1:6" ht="22.5" hidden="1" customHeight="1" x14ac:dyDescent="0.25">
      <c r="A2259" s="3">
        <v>44044</v>
      </c>
      <c r="B2259" s="2" t="s">
        <v>62</v>
      </c>
      <c r="C2259" s="2">
        <v>1.35</v>
      </c>
      <c r="D2259" s="2">
        <v>9.2299999999999993E-2</v>
      </c>
      <c r="E2259" s="2">
        <v>1.2460500000000001E-3</v>
      </c>
      <c r="F2259" s="2" t="s">
        <v>7</v>
      </c>
    </row>
    <row r="2260" spans="1:6" ht="22.5" hidden="1" customHeight="1" x14ac:dyDescent="0.25">
      <c r="A2260" s="3">
        <v>44044</v>
      </c>
      <c r="B2260" s="2" t="s">
        <v>63</v>
      </c>
      <c r="C2260" s="2">
        <v>-5.81</v>
      </c>
      <c r="D2260" s="2">
        <v>1.0699999999999999E-2</v>
      </c>
      <c r="E2260" s="2">
        <v>-6.2166999999999995E-4</v>
      </c>
      <c r="F2260" s="2" t="s">
        <v>7</v>
      </c>
    </row>
    <row r="2261" spans="1:6" ht="22.5" hidden="1" customHeight="1" x14ac:dyDescent="0.25">
      <c r="A2261" s="3">
        <v>44044</v>
      </c>
      <c r="B2261" s="2" t="s">
        <v>64</v>
      </c>
      <c r="C2261" s="2">
        <v>-3.9</v>
      </c>
      <c r="D2261" s="2">
        <v>4.7999999999999996E-3</v>
      </c>
      <c r="E2261" s="2">
        <v>-1.872E-4</v>
      </c>
      <c r="F2261" s="2" t="s">
        <v>7</v>
      </c>
    </row>
    <row r="2262" spans="1:6" ht="22.5" hidden="1" customHeight="1" x14ac:dyDescent="0.25">
      <c r="A2262" s="3">
        <v>44044</v>
      </c>
      <c r="B2262" s="2" t="s">
        <v>65</v>
      </c>
      <c r="C2262" s="2">
        <v>3.68</v>
      </c>
      <c r="D2262" s="2">
        <v>2.0400000000000001E-2</v>
      </c>
      <c r="E2262" s="2">
        <v>7.5071999999999997E-4</v>
      </c>
      <c r="F2262" s="2" t="s">
        <v>7</v>
      </c>
    </row>
    <row r="2263" spans="1:6" ht="22.5" hidden="1" customHeight="1" x14ac:dyDescent="0.25">
      <c r="A2263" s="3">
        <v>44044</v>
      </c>
      <c r="B2263" s="2" t="s">
        <v>66</v>
      </c>
      <c r="C2263" s="2">
        <v>4.5599999999999996</v>
      </c>
      <c r="D2263" s="2">
        <v>0.31409999999999999</v>
      </c>
      <c r="E2263" s="2">
        <v>1.4322959999999999E-2</v>
      </c>
      <c r="F2263" s="2" t="s">
        <v>7</v>
      </c>
    </row>
    <row r="2264" spans="1:6" ht="22.5" hidden="1" customHeight="1" x14ac:dyDescent="0.25">
      <c r="A2264" s="3">
        <v>44044</v>
      </c>
      <c r="B2264" s="2" t="s">
        <v>67</v>
      </c>
      <c r="C2264" s="2">
        <v>1.33</v>
      </c>
      <c r="D2264" s="2">
        <v>3.2000000000000002E-3</v>
      </c>
      <c r="E2264" s="2">
        <v>4.2559999999999999E-5</v>
      </c>
      <c r="F2264" s="2" t="s">
        <v>7</v>
      </c>
    </row>
    <row r="2265" spans="1:6" ht="22.5" hidden="1" customHeight="1" x14ac:dyDescent="0.25">
      <c r="A2265" s="3">
        <v>44044</v>
      </c>
      <c r="B2265" s="2" t="s">
        <v>68</v>
      </c>
      <c r="C2265" s="2">
        <v>3.4</v>
      </c>
      <c r="D2265" s="2">
        <v>1.01E-2</v>
      </c>
      <c r="E2265" s="2">
        <v>3.434E-4</v>
      </c>
      <c r="F2265" s="2" t="s">
        <v>7</v>
      </c>
    </row>
    <row r="2266" spans="1:6" ht="22.5" hidden="1" customHeight="1" x14ac:dyDescent="0.25">
      <c r="A2266" s="3">
        <v>44044</v>
      </c>
      <c r="B2266" s="2" t="s">
        <v>69</v>
      </c>
      <c r="C2266" s="2">
        <v>2.87</v>
      </c>
      <c r="D2266" s="2">
        <v>0.40639999999999998</v>
      </c>
      <c r="E2266" s="2">
        <v>1.1663679999999999E-2</v>
      </c>
      <c r="F2266" s="2" t="s">
        <v>7</v>
      </c>
    </row>
    <row r="2267" spans="1:6" ht="22.5" hidden="1" customHeight="1" x14ac:dyDescent="0.25">
      <c r="A2267" s="3">
        <v>44044</v>
      </c>
      <c r="B2267" s="2" t="s">
        <v>70</v>
      </c>
      <c r="C2267" s="2">
        <v>1.3</v>
      </c>
      <c r="D2267" s="2">
        <v>2.4E-2</v>
      </c>
      <c r="E2267" s="2">
        <v>3.1199999999999999E-4</v>
      </c>
      <c r="F2267" s="2" t="s">
        <v>7</v>
      </c>
    </row>
    <row r="2268" spans="1:6" ht="22.5" hidden="1" customHeight="1" x14ac:dyDescent="0.25">
      <c r="A2268" s="3">
        <v>44044</v>
      </c>
      <c r="B2268" s="2" t="s">
        <v>71</v>
      </c>
      <c r="C2268" s="2">
        <v>2.4900000000000002</v>
      </c>
      <c r="D2268" s="2">
        <v>0.28179999999999999</v>
      </c>
      <c r="E2268" s="2">
        <v>7.01682E-3</v>
      </c>
      <c r="F2268" s="2" t="s">
        <v>7</v>
      </c>
    </row>
    <row r="2269" spans="1:6" ht="22.5" hidden="1" customHeight="1" x14ac:dyDescent="0.25">
      <c r="A2269" s="3">
        <v>44044</v>
      </c>
      <c r="B2269" s="2" t="s">
        <v>72</v>
      </c>
      <c r="C2269" s="2">
        <v>1.92</v>
      </c>
      <c r="D2269" s="2">
        <v>0.30909999999999999</v>
      </c>
      <c r="E2269" s="2">
        <v>5.9347200000000001E-3</v>
      </c>
      <c r="F2269" s="2" t="s">
        <v>7</v>
      </c>
    </row>
    <row r="2270" spans="1:6" ht="22.5" hidden="1" customHeight="1" x14ac:dyDescent="0.25">
      <c r="A2270" s="3">
        <v>44044</v>
      </c>
      <c r="B2270" s="2" t="s">
        <v>73</v>
      </c>
      <c r="C2270" s="2">
        <v>2.93</v>
      </c>
      <c r="D2270" s="2">
        <v>0.1507</v>
      </c>
      <c r="E2270" s="2">
        <v>4.4155100000000001E-3</v>
      </c>
      <c r="F2270" s="2" t="s">
        <v>7</v>
      </c>
    </row>
    <row r="2271" spans="1:6" ht="22.5" hidden="1" customHeight="1" x14ac:dyDescent="0.25">
      <c r="A2271" s="3">
        <v>44044</v>
      </c>
      <c r="B2271" s="2" t="s">
        <v>74</v>
      </c>
      <c r="C2271" s="2">
        <v>3.16</v>
      </c>
      <c r="D2271" s="2">
        <v>8.3999999999999995E-3</v>
      </c>
      <c r="E2271" s="2">
        <v>2.6543999999999998E-4</v>
      </c>
      <c r="F2271" s="2" t="s">
        <v>7</v>
      </c>
    </row>
    <row r="2272" spans="1:6" ht="22.5" hidden="1" customHeight="1" x14ac:dyDescent="0.25">
      <c r="A2272" s="3">
        <v>44044</v>
      </c>
      <c r="B2272" s="2" t="s">
        <v>75</v>
      </c>
      <c r="C2272" s="2">
        <v>2.1800000000000002</v>
      </c>
      <c r="D2272" s="2">
        <v>6.5500000000000003E-2</v>
      </c>
      <c r="E2272" s="2">
        <v>1.4279E-3</v>
      </c>
      <c r="F2272" s="2" t="s">
        <v>7</v>
      </c>
    </row>
    <row r="2273" spans="1:6" ht="22.5" hidden="1" customHeight="1" x14ac:dyDescent="0.25">
      <c r="A2273" s="3">
        <v>44044</v>
      </c>
      <c r="B2273" s="2" t="s">
        <v>76</v>
      </c>
      <c r="C2273" s="2">
        <v>2.85</v>
      </c>
      <c r="D2273" s="2">
        <v>0.1368</v>
      </c>
      <c r="E2273" s="2">
        <v>3.8988E-3</v>
      </c>
      <c r="F2273" s="2" t="s">
        <v>7</v>
      </c>
    </row>
    <row r="2274" spans="1:6" ht="22.5" hidden="1" customHeight="1" x14ac:dyDescent="0.25">
      <c r="A2274" s="3">
        <v>44044</v>
      </c>
      <c r="B2274" s="2" t="s">
        <v>77</v>
      </c>
      <c r="C2274" s="2">
        <v>3.25</v>
      </c>
      <c r="D2274" s="2">
        <v>9.6100000000000005E-2</v>
      </c>
      <c r="E2274" s="2">
        <v>3.1232500000000002E-3</v>
      </c>
      <c r="F2274" s="2" t="s">
        <v>7</v>
      </c>
    </row>
    <row r="2275" spans="1:6" ht="22.5" hidden="1" customHeight="1" x14ac:dyDescent="0.25">
      <c r="A2275" s="3">
        <v>44044</v>
      </c>
      <c r="B2275" s="2" t="s">
        <v>78</v>
      </c>
      <c r="C2275" s="2">
        <v>3.44</v>
      </c>
      <c r="D2275" s="2">
        <v>0.25319999999999998</v>
      </c>
      <c r="E2275" s="2">
        <v>8.7100800000000003E-3</v>
      </c>
      <c r="F2275" s="2" t="s">
        <v>7</v>
      </c>
    </row>
    <row r="2276" spans="1:6" ht="22.5" hidden="1" customHeight="1" x14ac:dyDescent="0.25">
      <c r="A2276" s="3">
        <v>44044</v>
      </c>
      <c r="B2276" s="2" t="s">
        <v>79</v>
      </c>
      <c r="C2276" s="2">
        <v>3.16</v>
      </c>
      <c r="D2276" s="2">
        <v>9.7999999999999997E-3</v>
      </c>
      <c r="E2276" s="2">
        <v>3.0968E-4</v>
      </c>
      <c r="F2276" s="2" t="s">
        <v>7</v>
      </c>
    </row>
    <row r="2277" spans="1:6" ht="22.5" hidden="1" customHeight="1" x14ac:dyDescent="0.25">
      <c r="A2277" s="3">
        <v>44044</v>
      </c>
      <c r="B2277" s="2" t="s">
        <v>80</v>
      </c>
      <c r="C2277" s="2">
        <v>4.76</v>
      </c>
      <c r="D2277" s="2">
        <v>3.4299999999999997E-2</v>
      </c>
      <c r="E2277" s="2">
        <v>1.6326800000000001E-3</v>
      </c>
      <c r="F2277" s="2" t="s">
        <v>7</v>
      </c>
    </row>
    <row r="2278" spans="1:6" ht="22.5" hidden="1" customHeight="1" x14ac:dyDescent="0.25">
      <c r="A2278" s="3">
        <v>44044</v>
      </c>
      <c r="B2278" s="2" t="s">
        <v>81</v>
      </c>
      <c r="C2278" s="2">
        <v>3.65</v>
      </c>
      <c r="D2278" s="2">
        <v>0.31159999999999999</v>
      </c>
      <c r="E2278" s="2">
        <v>1.1373400000000001E-2</v>
      </c>
      <c r="F2278" s="2" t="s">
        <v>7</v>
      </c>
    </row>
    <row r="2279" spans="1:6" ht="22.5" hidden="1" customHeight="1" x14ac:dyDescent="0.25">
      <c r="A2279" s="3">
        <v>44044</v>
      </c>
      <c r="B2279" s="2" t="s">
        <v>82</v>
      </c>
      <c r="C2279" s="2">
        <v>0.73</v>
      </c>
      <c r="D2279" s="2">
        <v>0.04</v>
      </c>
      <c r="E2279" s="2">
        <v>2.92E-4</v>
      </c>
      <c r="F2279" s="2" t="s">
        <v>7</v>
      </c>
    </row>
    <row r="2280" spans="1:6" ht="22.5" hidden="1" customHeight="1" x14ac:dyDescent="0.25">
      <c r="A2280" s="3">
        <v>44044</v>
      </c>
      <c r="B2280" s="2" t="s">
        <v>83</v>
      </c>
      <c r="C2280" s="2">
        <v>0.19</v>
      </c>
      <c r="D2280" s="2">
        <v>6.9999999999999999E-4</v>
      </c>
      <c r="E2280" s="2">
        <v>1.33E-6</v>
      </c>
      <c r="F2280" s="2" t="s">
        <v>7</v>
      </c>
    </row>
    <row r="2281" spans="1:6" ht="22.5" hidden="1" customHeight="1" x14ac:dyDescent="0.25">
      <c r="A2281" s="3">
        <v>44044</v>
      </c>
      <c r="B2281" s="2" t="s">
        <v>84</v>
      </c>
      <c r="C2281" s="2">
        <v>-0.86</v>
      </c>
      <c r="D2281" s="2">
        <v>2.29E-2</v>
      </c>
      <c r="E2281" s="2">
        <v>-1.9693999999999999E-4</v>
      </c>
      <c r="F2281" s="2" t="s">
        <v>7</v>
      </c>
    </row>
    <row r="2282" spans="1:6" ht="22.5" hidden="1" customHeight="1" x14ac:dyDescent="0.25">
      <c r="A2282" s="3">
        <v>44044</v>
      </c>
      <c r="B2282" s="2" t="s">
        <v>85</v>
      </c>
      <c r="C2282" s="2">
        <v>0.31</v>
      </c>
      <c r="D2282" s="2">
        <v>5.5999999999999999E-3</v>
      </c>
      <c r="E2282" s="2">
        <v>1.736E-5</v>
      </c>
      <c r="F2282" s="2" t="s">
        <v>7</v>
      </c>
    </row>
    <row r="2283" spans="1:6" ht="22.5" hidden="1" customHeight="1" x14ac:dyDescent="0.25">
      <c r="A2283" s="3">
        <v>44044</v>
      </c>
      <c r="B2283" s="2" t="s">
        <v>86</v>
      </c>
      <c r="C2283" s="2">
        <v>0.12</v>
      </c>
      <c r="D2283" s="2">
        <v>2.5499999999999998E-2</v>
      </c>
      <c r="E2283" s="2">
        <v>3.0599999999999998E-5</v>
      </c>
      <c r="F2283" s="2" t="s">
        <v>7</v>
      </c>
    </row>
    <row r="2284" spans="1:6" ht="22.5" hidden="1" customHeight="1" x14ac:dyDescent="0.25">
      <c r="A2284" s="3">
        <v>44044</v>
      </c>
      <c r="B2284" s="2" t="s">
        <v>87</v>
      </c>
      <c r="C2284" s="2">
        <v>-0.12</v>
      </c>
      <c r="D2284" s="2">
        <v>1E-3</v>
      </c>
      <c r="E2284" s="2">
        <v>-1.1999999999999999E-6</v>
      </c>
      <c r="F2284" s="2" t="s">
        <v>7</v>
      </c>
    </row>
    <row r="2285" spans="1:6" ht="22.5" hidden="1" customHeight="1" x14ac:dyDescent="0.25">
      <c r="A2285" s="3">
        <v>44044</v>
      </c>
      <c r="B2285" s="2" t="s">
        <v>88</v>
      </c>
      <c r="C2285" s="2">
        <v>-0.17</v>
      </c>
      <c r="D2285" s="2">
        <v>7.1000000000000004E-3</v>
      </c>
      <c r="E2285" s="2">
        <v>-1.207E-5</v>
      </c>
      <c r="F2285" s="2" t="s">
        <v>7</v>
      </c>
    </row>
    <row r="2286" spans="1:6" ht="22.5" hidden="1" customHeight="1" x14ac:dyDescent="0.25">
      <c r="A2286" s="3">
        <v>44044</v>
      </c>
      <c r="B2286" s="2" t="s">
        <v>89</v>
      </c>
      <c r="C2286" s="2">
        <v>1.38</v>
      </c>
      <c r="D2286" s="2">
        <v>1.7600000000000001E-2</v>
      </c>
      <c r="E2286" s="2">
        <v>2.4288000000000001E-4</v>
      </c>
      <c r="F2286" s="2" t="s">
        <v>7</v>
      </c>
    </row>
    <row r="2287" spans="1:6" ht="22.5" hidden="1" customHeight="1" x14ac:dyDescent="0.25">
      <c r="A2287" s="3">
        <v>44044</v>
      </c>
      <c r="B2287" s="2" t="s">
        <v>90</v>
      </c>
      <c r="C2287" s="2">
        <v>0.04</v>
      </c>
      <c r="D2287" s="2">
        <v>1.6000000000000001E-3</v>
      </c>
      <c r="E2287" s="2">
        <v>6.4000000000000001E-7</v>
      </c>
      <c r="F2287" s="2" t="s">
        <v>7</v>
      </c>
    </row>
    <row r="2288" spans="1:6" ht="22.5" hidden="1" customHeight="1" x14ac:dyDescent="0.25">
      <c r="A2288" s="3">
        <v>44044</v>
      </c>
      <c r="B2288" s="2" t="s">
        <v>91</v>
      </c>
      <c r="C2288" s="2">
        <v>-1.38</v>
      </c>
      <c r="D2288" s="2">
        <v>2.5499999999999998E-2</v>
      </c>
      <c r="E2288" s="2">
        <v>-3.5189999999999999E-4</v>
      </c>
      <c r="F2288" s="2" t="s">
        <v>7</v>
      </c>
    </row>
    <row r="2289" spans="1:6" ht="22.5" hidden="1" customHeight="1" x14ac:dyDescent="0.25">
      <c r="A2289" s="3">
        <v>44044</v>
      </c>
      <c r="B2289" s="2" t="s">
        <v>92</v>
      </c>
      <c r="C2289" s="2">
        <v>0</v>
      </c>
      <c r="D2289" s="2">
        <v>5.4999999999999997E-3</v>
      </c>
      <c r="E2289" s="2">
        <v>0</v>
      </c>
      <c r="F2289" s="2" t="s">
        <v>7</v>
      </c>
    </row>
    <row r="2290" spans="1:6" ht="22.5" hidden="1" customHeight="1" x14ac:dyDescent="0.25">
      <c r="A2290" s="3">
        <v>44044</v>
      </c>
      <c r="B2290" s="2" t="s">
        <v>93</v>
      </c>
      <c r="C2290" s="2">
        <v>0.19</v>
      </c>
      <c r="D2290" s="2">
        <v>1.1000000000000001E-3</v>
      </c>
      <c r="E2290" s="2">
        <v>2.0899999999999999E-6</v>
      </c>
      <c r="F2290" s="2" t="s">
        <v>7</v>
      </c>
    </row>
    <row r="2291" spans="1:6" ht="22.5" hidden="1" customHeight="1" x14ac:dyDescent="0.25">
      <c r="A2291" s="3">
        <v>44044</v>
      </c>
      <c r="B2291" s="2" t="s">
        <v>94</v>
      </c>
      <c r="C2291" s="2">
        <v>0.74</v>
      </c>
      <c r="D2291" s="2">
        <v>1E-3</v>
      </c>
      <c r="E2291" s="2">
        <v>7.4000000000000003E-6</v>
      </c>
      <c r="F2291" s="2" t="s">
        <v>7</v>
      </c>
    </row>
    <row r="2292" spans="1:6" ht="22.5" hidden="1" customHeight="1" x14ac:dyDescent="0.25">
      <c r="A2292" s="3">
        <v>44044</v>
      </c>
      <c r="B2292" s="2" t="s">
        <v>95</v>
      </c>
      <c r="C2292" s="2">
        <v>-1.45</v>
      </c>
      <c r="D2292" s="2">
        <v>1.7600000000000001E-2</v>
      </c>
      <c r="E2292" s="2">
        <v>-2.5520000000000002E-4</v>
      </c>
      <c r="F2292" s="2" t="s">
        <v>7</v>
      </c>
    </row>
    <row r="2293" spans="1:6" ht="22.5" hidden="1" customHeight="1" x14ac:dyDescent="0.25">
      <c r="A2293" s="3">
        <v>44044</v>
      </c>
      <c r="B2293" s="2" t="s">
        <v>96</v>
      </c>
      <c r="C2293" s="2">
        <v>0.43</v>
      </c>
      <c r="D2293" s="2">
        <v>4.9299999999999997E-2</v>
      </c>
      <c r="E2293" s="2">
        <v>2.1199000000000001E-4</v>
      </c>
      <c r="F2293" s="2" t="s">
        <v>7</v>
      </c>
    </row>
    <row r="2294" spans="1:6" ht="22.5" hidden="1" customHeight="1" x14ac:dyDescent="0.25">
      <c r="A2294" s="3">
        <v>44044</v>
      </c>
      <c r="B2294" s="2" t="s">
        <v>97</v>
      </c>
      <c r="C2294" s="2">
        <v>-0.1</v>
      </c>
      <c r="D2294" s="2">
        <v>1.12E-2</v>
      </c>
      <c r="E2294" s="2">
        <v>-1.1199999999999999E-5</v>
      </c>
      <c r="F2294" s="2" t="s">
        <v>7</v>
      </c>
    </row>
    <row r="2295" spans="1:6" ht="22.5" hidden="1" customHeight="1" x14ac:dyDescent="0.25">
      <c r="A2295" s="3">
        <v>44044</v>
      </c>
      <c r="B2295" s="2" t="s">
        <v>98</v>
      </c>
      <c r="C2295" s="2">
        <v>-0.84</v>
      </c>
      <c r="D2295" s="2">
        <v>7.1000000000000004E-3</v>
      </c>
      <c r="E2295" s="2">
        <v>-5.9639999999999998E-5</v>
      </c>
      <c r="F2295" s="2" t="s">
        <v>7</v>
      </c>
    </row>
    <row r="2296" spans="1:6" ht="22.5" hidden="1" customHeight="1" x14ac:dyDescent="0.25">
      <c r="A2296" s="3">
        <v>44044</v>
      </c>
      <c r="B2296" s="2" t="s">
        <v>99</v>
      </c>
      <c r="C2296" s="2">
        <v>-0.1</v>
      </c>
      <c r="D2296" s="2">
        <v>3.7000000000000002E-3</v>
      </c>
      <c r="E2296" s="2">
        <v>-3.7000000000000002E-6</v>
      </c>
      <c r="F2296" s="2" t="s">
        <v>7</v>
      </c>
    </row>
    <row r="2297" spans="1:6" ht="22.5" hidden="1" customHeight="1" x14ac:dyDescent="0.25">
      <c r="A2297" s="3">
        <v>44044</v>
      </c>
      <c r="B2297" s="2" t="s">
        <v>100</v>
      </c>
      <c r="C2297" s="2">
        <v>0.67</v>
      </c>
      <c r="D2297" s="2">
        <v>6.9999999999999999E-4</v>
      </c>
      <c r="E2297" s="2">
        <v>4.69E-6</v>
      </c>
      <c r="F2297" s="2" t="s">
        <v>7</v>
      </c>
    </row>
    <row r="2298" spans="1:6" ht="22.5" hidden="1" customHeight="1" x14ac:dyDescent="0.25">
      <c r="A2298" s="3">
        <v>44044</v>
      </c>
      <c r="B2298" s="2" t="s">
        <v>101</v>
      </c>
      <c r="C2298" s="2">
        <v>-0.75</v>
      </c>
      <c r="D2298" s="2">
        <v>0.1002</v>
      </c>
      <c r="E2298" s="2">
        <v>-7.515E-4</v>
      </c>
      <c r="F2298" s="2" t="s">
        <v>7</v>
      </c>
    </row>
    <row r="2299" spans="1:6" ht="22.5" hidden="1" customHeight="1" x14ac:dyDescent="0.25">
      <c r="A2299" s="3">
        <v>44044</v>
      </c>
      <c r="B2299" s="2" t="s">
        <v>102</v>
      </c>
      <c r="C2299" s="2">
        <v>2.31</v>
      </c>
      <c r="D2299" s="2">
        <v>4.41E-2</v>
      </c>
      <c r="E2299" s="2">
        <v>1.0187099999999999E-3</v>
      </c>
      <c r="F2299" s="2" t="s">
        <v>7</v>
      </c>
    </row>
    <row r="2300" spans="1:6" ht="22.5" hidden="1" customHeight="1" x14ac:dyDescent="0.25">
      <c r="A2300" s="3">
        <v>44044</v>
      </c>
      <c r="B2300" s="2" t="s">
        <v>103</v>
      </c>
      <c r="C2300" s="2">
        <v>2.67</v>
      </c>
      <c r="D2300" s="2">
        <v>0.30909999999999999</v>
      </c>
      <c r="E2300" s="2">
        <v>8.2529700000000001E-3</v>
      </c>
      <c r="F2300" s="2" t="s">
        <v>7</v>
      </c>
    </row>
    <row r="2301" spans="1:6" ht="22.5" hidden="1" customHeight="1" x14ac:dyDescent="0.25">
      <c r="A2301" s="3">
        <v>44044</v>
      </c>
      <c r="B2301" s="2" t="s">
        <v>104</v>
      </c>
      <c r="C2301" s="2">
        <v>1.34</v>
      </c>
      <c r="D2301" s="2">
        <v>5.3800000000000001E-2</v>
      </c>
      <c r="E2301" s="2">
        <v>7.2092E-4</v>
      </c>
      <c r="F2301" s="2" t="s">
        <v>7</v>
      </c>
    </row>
    <row r="2302" spans="1:6" ht="22.5" hidden="1" customHeight="1" x14ac:dyDescent="0.25">
      <c r="A2302" s="3">
        <v>44044</v>
      </c>
      <c r="B2302" s="2" t="s">
        <v>105</v>
      </c>
      <c r="C2302" s="2">
        <v>1.42</v>
      </c>
      <c r="D2302" s="2">
        <v>8.8999999999999999E-3</v>
      </c>
      <c r="E2302" s="2">
        <v>1.2637999999999999E-4</v>
      </c>
      <c r="F2302" s="2" t="s">
        <v>7</v>
      </c>
    </row>
    <row r="2303" spans="1:6" ht="22.5" hidden="1" customHeight="1" x14ac:dyDescent="0.25">
      <c r="A2303" s="3">
        <v>44044</v>
      </c>
      <c r="B2303" s="2" t="s">
        <v>106</v>
      </c>
      <c r="C2303" s="2">
        <v>-0.75</v>
      </c>
      <c r="D2303" s="2">
        <v>8.8999999999999999E-3</v>
      </c>
      <c r="E2303" s="2">
        <v>-6.6749999999999996E-5</v>
      </c>
      <c r="F2303" s="2" t="s">
        <v>7</v>
      </c>
    </row>
    <row r="2304" spans="1:6" ht="22.5" hidden="1" customHeight="1" x14ac:dyDescent="0.25">
      <c r="A2304" s="3">
        <v>44044</v>
      </c>
      <c r="B2304" s="2" t="s">
        <v>107</v>
      </c>
      <c r="C2304" s="2">
        <v>-1.1499999999999999</v>
      </c>
      <c r="D2304" s="2">
        <v>0.1159</v>
      </c>
      <c r="E2304" s="2">
        <v>-1.33285E-3</v>
      </c>
      <c r="F2304" s="2" t="s">
        <v>7</v>
      </c>
    </row>
    <row r="2305" spans="1:6" ht="22.5" hidden="1" customHeight="1" x14ac:dyDescent="0.25">
      <c r="A2305" s="3">
        <v>44044</v>
      </c>
      <c r="B2305" s="2" t="s">
        <v>108</v>
      </c>
      <c r="C2305" s="2">
        <v>-0.28000000000000003</v>
      </c>
      <c r="D2305" s="2">
        <v>7.6E-3</v>
      </c>
      <c r="E2305" s="2">
        <v>-2.128E-5</v>
      </c>
      <c r="F2305" s="2" t="s">
        <v>7</v>
      </c>
    </row>
    <row r="2306" spans="1:6" ht="22.5" hidden="1" customHeight="1" x14ac:dyDescent="0.25">
      <c r="A2306" s="3">
        <v>44044</v>
      </c>
      <c r="B2306" s="2" t="s">
        <v>109</v>
      </c>
      <c r="C2306" s="2">
        <v>0.4</v>
      </c>
      <c r="D2306" s="2">
        <v>0.3291</v>
      </c>
      <c r="E2306" s="2">
        <v>1.3163999999999999E-3</v>
      </c>
      <c r="F2306" s="2" t="s">
        <v>7</v>
      </c>
    </row>
    <row r="2307" spans="1:6" ht="22.5" hidden="1" customHeight="1" x14ac:dyDescent="0.25">
      <c r="A2307" s="3">
        <v>44044</v>
      </c>
      <c r="B2307" s="2" t="s">
        <v>110</v>
      </c>
      <c r="C2307" s="2">
        <v>1.74</v>
      </c>
      <c r="D2307" s="2">
        <v>0.57679999999999998</v>
      </c>
      <c r="E2307" s="2">
        <v>1.003632E-2</v>
      </c>
      <c r="F2307" s="2" t="s">
        <v>7</v>
      </c>
    </row>
    <row r="2308" spans="1:6" ht="22.5" hidden="1" customHeight="1" x14ac:dyDescent="0.25">
      <c r="A2308" s="3">
        <v>44044</v>
      </c>
      <c r="B2308" s="2" t="s">
        <v>111</v>
      </c>
      <c r="C2308" s="2">
        <v>-1.91</v>
      </c>
      <c r="D2308" s="2">
        <v>0.2422</v>
      </c>
      <c r="E2308" s="2">
        <v>-4.6260199999999998E-3</v>
      </c>
      <c r="F2308" s="2" t="s">
        <v>7</v>
      </c>
    </row>
    <row r="2309" spans="1:6" ht="22.5" hidden="1" customHeight="1" x14ac:dyDescent="0.25">
      <c r="A2309" s="3">
        <v>44044</v>
      </c>
      <c r="B2309" s="2" t="s">
        <v>112</v>
      </c>
      <c r="C2309" s="2">
        <v>4.3600000000000003</v>
      </c>
      <c r="D2309" s="2">
        <v>0.70579999999999998</v>
      </c>
      <c r="E2309" s="2">
        <v>3.0772879999999999E-2</v>
      </c>
      <c r="F2309" s="2" t="s">
        <v>7</v>
      </c>
    </row>
    <row r="2310" spans="1:6" ht="22.5" hidden="1" customHeight="1" x14ac:dyDescent="0.25">
      <c r="A2310" s="3">
        <v>44044</v>
      </c>
      <c r="B2310" s="2" t="s">
        <v>113</v>
      </c>
      <c r="C2310" s="2">
        <v>0.22</v>
      </c>
      <c r="D2310" s="2">
        <v>1.9800000000000002E-2</v>
      </c>
      <c r="E2310" s="2">
        <v>4.3560000000000003E-5</v>
      </c>
      <c r="F2310" s="2" t="s">
        <v>7</v>
      </c>
    </row>
    <row r="2311" spans="1:6" ht="22.5" hidden="1" customHeight="1" x14ac:dyDescent="0.25">
      <c r="A2311" s="3">
        <v>44044</v>
      </c>
      <c r="B2311" s="2" t="s">
        <v>114</v>
      </c>
      <c r="C2311" s="2">
        <v>0.64</v>
      </c>
      <c r="D2311" s="2">
        <v>0.1867</v>
      </c>
      <c r="E2311" s="2">
        <v>1.1948799999999999E-3</v>
      </c>
      <c r="F2311" s="2" t="s">
        <v>7</v>
      </c>
    </row>
    <row r="2312" spans="1:6" ht="22.5" hidden="1" customHeight="1" x14ac:dyDescent="0.25">
      <c r="A2312" s="3">
        <v>44044</v>
      </c>
      <c r="B2312" s="2" t="s">
        <v>115</v>
      </c>
      <c r="C2312" s="2">
        <v>1.32</v>
      </c>
      <c r="D2312" s="2">
        <v>0.50839999999999996</v>
      </c>
      <c r="E2312" s="2">
        <v>6.7108799999999998E-3</v>
      </c>
      <c r="F2312" s="2" t="s">
        <v>7</v>
      </c>
    </row>
    <row r="2313" spans="1:6" ht="22.5" hidden="1" customHeight="1" x14ac:dyDescent="0.25">
      <c r="A2313" s="3">
        <v>44044</v>
      </c>
      <c r="B2313" s="2" t="s">
        <v>116</v>
      </c>
      <c r="C2313" s="2">
        <v>-7.0000000000000007E-2</v>
      </c>
      <c r="D2313" s="2">
        <v>0.1484</v>
      </c>
      <c r="E2313" s="2">
        <v>-1.0388E-4</v>
      </c>
      <c r="F2313" s="2" t="s">
        <v>7</v>
      </c>
    </row>
    <row r="2314" spans="1:6" ht="22.5" hidden="1" customHeight="1" x14ac:dyDescent="0.25">
      <c r="A2314" s="3">
        <v>44044</v>
      </c>
      <c r="B2314" s="2" t="s">
        <v>117</v>
      </c>
      <c r="C2314" s="2">
        <v>-0.86</v>
      </c>
      <c r="D2314" s="2">
        <v>5.2900000000000003E-2</v>
      </c>
      <c r="E2314" s="2">
        <v>-4.5493999999999998E-4</v>
      </c>
      <c r="F2314" s="2" t="s">
        <v>7</v>
      </c>
    </row>
    <row r="2315" spans="1:6" ht="22.5" hidden="1" customHeight="1" x14ac:dyDescent="0.25">
      <c r="A2315" s="3">
        <v>44044</v>
      </c>
      <c r="B2315" s="2" t="s">
        <v>118</v>
      </c>
      <c r="C2315" s="2">
        <v>0.47</v>
      </c>
      <c r="D2315" s="2">
        <v>6.0100000000000001E-2</v>
      </c>
      <c r="E2315" s="2">
        <v>2.8247E-4</v>
      </c>
      <c r="F2315" s="2" t="s">
        <v>7</v>
      </c>
    </row>
    <row r="2316" spans="1:6" ht="22.5" hidden="1" customHeight="1" x14ac:dyDescent="0.25">
      <c r="A2316" s="3">
        <v>44044</v>
      </c>
      <c r="B2316" s="2" t="s">
        <v>119</v>
      </c>
      <c r="C2316" s="2">
        <v>2.62</v>
      </c>
      <c r="D2316" s="2">
        <v>1.0500000000000001E-2</v>
      </c>
      <c r="E2316" s="2">
        <v>2.7510000000000002E-4</v>
      </c>
      <c r="F2316" s="2" t="s">
        <v>7</v>
      </c>
    </row>
    <row r="2317" spans="1:6" ht="22.5" hidden="1" customHeight="1" x14ac:dyDescent="0.25">
      <c r="A2317" s="3">
        <v>44044</v>
      </c>
      <c r="B2317" s="2" t="s">
        <v>120</v>
      </c>
      <c r="C2317" s="2">
        <v>0.18</v>
      </c>
      <c r="D2317" s="2">
        <v>0.45100000000000001</v>
      </c>
      <c r="E2317" s="2">
        <v>8.118E-4</v>
      </c>
      <c r="F2317" s="2" t="s">
        <v>7</v>
      </c>
    </row>
    <row r="2318" spans="1:6" ht="22.5" hidden="1" customHeight="1" x14ac:dyDescent="0.25">
      <c r="A2318" s="3">
        <v>44044</v>
      </c>
      <c r="B2318" s="2" t="s">
        <v>121</v>
      </c>
      <c r="C2318" s="2">
        <v>0.99</v>
      </c>
      <c r="D2318" s="2">
        <v>0.79069999999999996</v>
      </c>
      <c r="E2318" s="2">
        <v>7.8279300000000003E-3</v>
      </c>
      <c r="F2318" s="2" t="s">
        <v>7</v>
      </c>
    </row>
    <row r="2319" spans="1:6" ht="22.5" hidden="1" customHeight="1" x14ac:dyDescent="0.25">
      <c r="A2319" s="3">
        <v>44044</v>
      </c>
      <c r="B2319" s="2" t="s">
        <v>122</v>
      </c>
      <c r="C2319" s="2">
        <v>-0.63</v>
      </c>
      <c r="D2319" s="2">
        <v>8.4099999999999994E-2</v>
      </c>
      <c r="E2319" s="2">
        <v>-5.2983000000000001E-4</v>
      </c>
      <c r="F2319" s="2" t="s">
        <v>7</v>
      </c>
    </row>
    <row r="2320" spans="1:6" ht="22.5" hidden="1" customHeight="1" x14ac:dyDescent="0.25">
      <c r="A2320" s="3">
        <v>44044</v>
      </c>
      <c r="B2320" s="2" t="s">
        <v>123</v>
      </c>
      <c r="C2320" s="2">
        <v>-0.12</v>
      </c>
      <c r="D2320" s="2">
        <v>9.6199999999999994E-2</v>
      </c>
      <c r="E2320" s="2">
        <v>-1.1544000000000001E-4</v>
      </c>
      <c r="F2320" s="2" t="s">
        <v>7</v>
      </c>
    </row>
    <row r="2321" spans="1:6" ht="22.5" hidden="1" customHeight="1" x14ac:dyDescent="0.25">
      <c r="A2321" s="3">
        <v>44044</v>
      </c>
      <c r="B2321" s="2" t="s">
        <v>124</v>
      </c>
      <c r="C2321" s="2">
        <v>1.1399999999999999</v>
      </c>
      <c r="D2321" s="2">
        <v>0.1404</v>
      </c>
      <c r="E2321" s="2">
        <v>1.60056E-3</v>
      </c>
      <c r="F2321" s="2" t="s">
        <v>7</v>
      </c>
    </row>
    <row r="2322" spans="1:6" ht="22.5" hidden="1" customHeight="1" x14ac:dyDescent="0.25">
      <c r="A2322" s="3">
        <v>44044</v>
      </c>
      <c r="B2322" s="2" t="s">
        <v>125</v>
      </c>
      <c r="C2322" s="2">
        <v>-1.53</v>
      </c>
      <c r="D2322" s="2">
        <v>3.2800000000000003E-2</v>
      </c>
      <c r="E2322" s="2">
        <v>-5.0184000000000003E-4</v>
      </c>
      <c r="F2322" s="2" t="s">
        <v>7</v>
      </c>
    </row>
    <row r="2323" spans="1:6" ht="22.5" hidden="1" customHeight="1" x14ac:dyDescent="0.25">
      <c r="A2323" s="3">
        <v>44044</v>
      </c>
      <c r="B2323" s="2" t="s">
        <v>126</v>
      </c>
      <c r="C2323" s="2">
        <v>2.79</v>
      </c>
      <c r="D2323" s="2">
        <v>0.185</v>
      </c>
      <c r="E2323" s="2">
        <v>5.1615000000000003E-3</v>
      </c>
      <c r="F2323" s="2" t="s">
        <v>7</v>
      </c>
    </row>
    <row r="2324" spans="1:6" ht="22.5" hidden="1" customHeight="1" x14ac:dyDescent="0.25">
      <c r="A2324" s="3">
        <v>44044</v>
      </c>
      <c r="B2324" s="2" t="s">
        <v>127</v>
      </c>
      <c r="C2324" s="2">
        <v>0.65</v>
      </c>
      <c r="D2324" s="2">
        <v>6.2100000000000002E-2</v>
      </c>
      <c r="E2324" s="2">
        <v>4.0365000000000003E-4</v>
      </c>
      <c r="F2324" s="2" t="s">
        <v>7</v>
      </c>
    </row>
    <row r="2325" spans="1:6" ht="22.5" hidden="1" customHeight="1" x14ac:dyDescent="0.25">
      <c r="A2325" s="3">
        <v>44044</v>
      </c>
      <c r="B2325" s="2" t="s">
        <v>128</v>
      </c>
      <c r="C2325" s="2">
        <v>-0.39</v>
      </c>
      <c r="D2325" s="2">
        <v>9.2399999999999996E-2</v>
      </c>
      <c r="E2325" s="2">
        <v>-3.6036E-4</v>
      </c>
      <c r="F2325" s="2" t="s">
        <v>7</v>
      </c>
    </row>
    <row r="2326" spans="1:6" ht="22.5" hidden="1" customHeight="1" x14ac:dyDescent="0.25">
      <c r="A2326" s="3">
        <v>44044</v>
      </c>
      <c r="B2326" s="2" t="s">
        <v>129</v>
      </c>
      <c r="C2326" s="2">
        <v>0.96</v>
      </c>
      <c r="D2326" s="2">
        <v>0.1351</v>
      </c>
      <c r="E2326" s="2">
        <v>1.29696E-3</v>
      </c>
      <c r="F2326" s="2" t="s">
        <v>7</v>
      </c>
    </row>
    <row r="2327" spans="1:6" ht="22.5" hidden="1" customHeight="1" x14ac:dyDescent="0.25">
      <c r="A2327" s="3">
        <v>44044</v>
      </c>
      <c r="B2327" s="2" t="s">
        <v>130</v>
      </c>
      <c r="C2327" s="2">
        <v>-0.61</v>
      </c>
      <c r="D2327" s="2">
        <v>1.34E-2</v>
      </c>
      <c r="E2327" s="2">
        <v>-8.174E-5</v>
      </c>
      <c r="F2327" s="2" t="s">
        <v>7</v>
      </c>
    </row>
    <row r="2328" spans="1:6" ht="22.5" hidden="1" customHeight="1" x14ac:dyDescent="0.25">
      <c r="A2328" s="3">
        <v>44044</v>
      </c>
      <c r="B2328" s="2" t="s">
        <v>131</v>
      </c>
      <c r="C2328" s="2">
        <v>-5.6</v>
      </c>
      <c r="D2328" s="2">
        <v>6.59E-2</v>
      </c>
      <c r="E2328" s="2">
        <v>-3.6903999999999999E-3</v>
      </c>
      <c r="F2328" s="2" t="s">
        <v>7</v>
      </c>
    </row>
    <row r="2329" spans="1:6" ht="22.5" hidden="1" customHeight="1" x14ac:dyDescent="0.25">
      <c r="A2329" s="3">
        <v>44044</v>
      </c>
      <c r="B2329" s="2" t="s">
        <v>132</v>
      </c>
      <c r="C2329" s="2">
        <v>-0.12</v>
      </c>
      <c r="D2329" s="2">
        <v>0.29239999999999999</v>
      </c>
      <c r="E2329" s="2">
        <v>-3.5087999999999997E-4</v>
      </c>
      <c r="F2329" s="2" t="s">
        <v>7</v>
      </c>
    </row>
    <row r="2330" spans="1:6" ht="22.5" hidden="1" customHeight="1" x14ac:dyDescent="0.25">
      <c r="A2330" s="3">
        <v>44044</v>
      </c>
      <c r="B2330" s="2" t="s">
        <v>133</v>
      </c>
      <c r="C2330" s="2">
        <v>1.21</v>
      </c>
      <c r="D2330" s="2">
        <v>8.9999999999999993E-3</v>
      </c>
      <c r="E2330" s="2">
        <v>1.089E-4</v>
      </c>
      <c r="F2330" s="2" t="s">
        <v>7</v>
      </c>
    </row>
    <row r="2331" spans="1:6" ht="22.5" hidden="1" customHeight="1" x14ac:dyDescent="0.25">
      <c r="A2331" s="3">
        <v>44044</v>
      </c>
      <c r="B2331" s="2" t="s">
        <v>134</v>
      </c>
      <c r="C2331" s="2">
        <v>0.41</v>
      </c>
      <c r="D2331" s="2">
        <v>0.51390000000000002</v>
      </c>
      <c r="E2331" s="2">
        <v>2.10699E-3</v>
      </c>
      <c r="F2331" s="2" t="s">
        <v>7</v>
      </c>
    </row>
    <row r="2332" spans="1:6" ht="22.5" hidden="1" customHeight="1" x14ac:dyDescent="0.25">
      <c r="A2332" s="3">
        <v>44044</v>
      </c>
      <c r="B2332" s="2" t="s">
        <v>135</v>
      </c>
      <c r="C2332" s="2">
        <v>-0.5</v>
      </c>
      <c r="D2332" s="2">
        <v>0.40710000000000002</v>
      </c>
      <c r="E2332" s="2">
        <v>-2.0355E-3</v>
      </c>
      <c r="F2332" s="2" t="s">
        <v>7</v>
      </c>
    </row>
    <row r="2333" spans="1:6" ht="22.5" hidden="1" customHeight="1" x14ac:dyDescent="0.25">
      <c r="A2333" s="3">
        <v>44044</v>
      </c>
      <c r="B2333" s="2" t="s">
        <v>136</v>
      </c>
      <c r="C2333" s="2">
        <v>0.14000000000000001</v>
      </c>
      <c r="D2333" s="2">
        <v>3.7600000000000001E-2</v>
      </c>
      <c r="E2333" s="2">
        <v>5.2639999999999997E-5</v>
      </c>
      <c r="F2333" s="2" t="s">
        <v>7</v>
      </c>
    </row>
    <row r="2334" spans="1:6" ht="22.5" hidden="1" customHeight="1" x14ac:dyDescent="0.25">
      <c r="A2334" s="3">
        <v>44044</v>
      </c>
      <c r="B2334" s="2" t="s">
        <v>137</v>
      </c>
      <c r="C2334" s="2">
        <v>0.2</v>
      </c>
      <c r="D2334" s="2">
        <v>7.1199999999999999E-2</v>
      </c>
      <c r="E2334" s="2">
        <v>1.4239999999999999E-4</v>
      </c>
      <c r="F2334" s="2" t="s">
        <v>7</v>
      </c>
    </row>
    <row r="2335" spans="1:6" ht="22.5" hidden="1" customHeight="1" x14ac:dyDescent="0.25">
      <c r="A2335" s="3">
        <v>44044</v>
      </c>
      <c r="B2335" s="2" t="s">
        <v>138</v>
      </c>
      <c r="C2335" s="2">
        <v>0.61</v>
      </c>
      <c r="D2335" s="2">
        <v>4.9200000000000001E-2</v>
      </c>
      <c r="E2335" s="2">
        <v>3.0012000000000002E-4</v>
      </c>
      <c r="F2335" s="2" t="s">
        <v>7</v>
      </c>
    </row>
    <row r="2336" spans="1:6" ht="22.5" hidden="1" customHeight="1" x14ac:dyDescent="0.25">
      <c r="A2336" s="3">
        <v>44044</v>
      </c>
      <c r="B2336" s="2" t="s">
        <v>139</v>
      </c>
      <c r="C2336" s="2">
        <v>0.54</v>
      </c>
      <c r="D2336" s="2">
        <v>2.7900000000000001E-2</v>
      </c>
      <c r="E2336" s="2">
        <v>1.5066E-4</v>
      </c>
      <c r="F2336" s="2" t="s">
        <v>7</v>
      </c>
    </row>
    <row r="2337" spans="1:6" ht="22.5" hidden="1" customHeight="1" x14ac:dyDescent="0.25">
      <c r="A2337" s="3">
        <v>44044</v>
      </c>
      <c r="B2337" s="2" t="s">
        <v>140</v>
      </c>
      <c r="C2337" s="2">
        <v>0.31</v>
      </c>
      <c r="D2337" s="2">
        <v>2.3E-3</v>
      </c>
      <c r="E2337" s="2">
        <v>7.1300000000000003E-6</v>
      </c>
      <c r="F2337" s="2" t="s">
        <v>7</v>
      </c>
    </row>
    <row r="2338" spans="1:6" ht="22.5" hidden="1" customHeight="1" x14ac:dyDescent="0.25">
      <c r="A2338" s="3">
        <v>44044</v>
      </c>
      <c r="B2338" s="2" t="s">
        <v>141</v>
      </c>
      <c r="C2338" s="2">
        <v>0.96</v>
      </c>
      <c r="D2338" s="2">
        <v>1.9300000000000001E-2</v>
      </c>
      <c r="E2338" s="2">
        <v>1.8527999999999999E-4</v>
      </c>
      <c r="F2338" s="2" t="s">
        <v>7</v>
      </c>
    </row>
    <row r="2339" spans="1:6" ht="22.5" hidden="1" customHeight="1" x14ac:dyDescent="0.25">
      <c r="A2339" s="3">
        <v>44044</v>
      </c>
      <c r="B2339" s="2" t="s">
        <v>142</v>
      </c>
      <c r="C2339" s="2">
        <v>-0.85</v>
      </c>
      <c r="D2339" s="2">
        <v>4.4999999999999997E-3</v>
      </c>
      <c r="E2339" s="2">
        <v>-3.8250000000000001E-5</v>
      </c>
      <c r="F2339" s="2" t="s">
        <v>7</v>
      </c>
    </row>
    <row r="2340" spans="1:6" ht="22.5" hidden="1" customHeight="1" x14ac:dyDescent="0.25">
      <c r="A2340" s="3">
        <v>44044</v>
      </c>
      <c r="B2340" s="2" t="s">
        <v>143</v>
      </c>
      <c r="C2340" s="2">
        <v>-0.68</v>
      </c>
      <c r="D2340" s="2">
        <v>3.8600000000000002E-2</v>
      </c>
      <c r="E2340" s="2">
        <v>-2.6247999999999999E-4</v>
      </c>
      <c r="F2340" s="2" t="s">
        <v>7</v>
      </c>
    </row>
    <row r="2341" spans="1:6" ht="22.5" hidden="1" customHeight="1" x14ac:dyDescent="0.25">
      <c r="A2341" s="3">
        <v>44044</v>
      </c>
      <c r="B2341" s="2" t="s">
        <v>144</v>
      </c>
      <c r="C2341" s="2">
        <v>1.41</v>
      </c>
      <c r="D2341" s="2">
        <v>1.4E-3</v>
      </c>
      <c r="E2341" s="2">
        <v>1.9740000000000001E-5</v>
      </c>
      <c r="F2341" s="2" t="s">
        <v>7</v>
      </c>
    </row>
    <row r="2342" spans="1:6" ht="22.5" hidden="1" customHeight="1" x14ac:dyDescent="0.25">
      <c r="A2342" s="3">
        <v>44044</v>
      </c>
      <c r="B2342" s="2" t="s">
        <v>145</v>
      </c>
      <c r="C2342" s="2">
        <v>-1.52</v>
      </c>
      <c r="D2342" s="2">
        <v>1.6000000000000001E-3</v>
      </c>
      <c r="E2342" s="2">
        <v>-2.4320000000000001E-5</v>
      </c>
      <c r="F2342" s="2" t="s">
        <v>7</v>
      </c>
    </row>
    <row r="2343" spans="1:6" ht="22.5" hidden="1" customHeight="1" x14ac:dyDescent="0.25">
      <c r="A2343" s="3">
        <v>44044</v>
      </c>
      <c r="B2343" s="2" t="s">
        <v>146</v>
      </c>
      <c r="C2343" s="2">
        <v>0.81</v>
      </c>
      <c r="D2343" s="2">
        <v>3.2500000000000001E-2</v>
      </c>
      <c r="E2343" s="2">
        <v>2.6324999999999997E-4</v>
      </c>
      <c r="F2343" s="2" t="s">
        <v>7</v>
      </c>
    </row>
    <row r="2344" spans="1:6" ht="22.5" hidden="1" customHeight="1" x14ac:dyDescent="0.25">
      <c r="A2344" s="3">
        <v>44044</v>
      </c>
      <c r="B2344" s="2" t="s">
        <v>147</v>
      </c>
      <c r="C2344" s="2">
        <v>1</v>
      </c>
      <c r="D2344" s="2">
        <v>2.63E-2</v>
      </c>
      <c r="E2344" s="2">
        <v>2.63E-4</v>
      </c>
      <c r="F2344" s="2" t="s">
        <v>7</v>
      </c>
    </row>
    <row r="2345" spans="1:6" ht="22.5" hidden="1" customHeight="1" x14ac:dyDescent="0.25">
      <c r="A2345" s="3">
        <v>44044</v>
      </c>
      <c r="B2345" s="2" t="s">
        <v>148</v>
      </c>
      <c r="C2345" s="2">
        <v>1.01</v>
      </c>
      <c r="D2345" s="2">
        <v>2.29E-2</v>
      </c>
      <c r="E2345" s="2">
        <v>2.3128999999999999E-4</v>
      </c>
      <c r="F2345" s="2" t="s">
        <v>7</v>
      </c>
    </row>
    <row r="2346" spans="1:6" ht="22.5" hidden="1" customHeight="1" x14ac:dyDescent="0.25">
      <c r="A2346" s="3">
        <v>44044</v>
      </c>
      <c r="B2346" s="2" t="s">
        <v>149</v>
      </c>
      <c r="C2346" s="2">
        <v>1.34</v>
      </c>
      <c r="D2346" s="2">
        <v>2.5000000000000001E-3</v>
      </c>
      <c r="E2346" s="2">
        <v>3.3500000000000001E-5</v>
      </c>
      <c r="F2346" s="2" t="s">
        <v>7</v>
      </c>
    </row>
    <row r="2347" spans="1:6" ht="22.5" hidden="1" customHeight="1" x14ac:dyDescent="0.25">
      <c r="A2347" s="3">
        <v>44044</v>
      </c>
      <c r="B2347" s="2" t="s">
        <v>150</v>
      </c>
      <c r="C2347" s="2">
        <v>0.2</v>
      </c>
      <c r="D2347" s="2">
        <v>0.1162</v>
      </c>
      <c r="E2347" s="2">
        <v>2.3240000000000001E-4</v>
      </c>
      <c r="F2347" s="2" t="s">
        <v>7</v>
      </c>
    </row>
    <row r="2348" spans="1:6" ht="22.5" hidden="1" customHeight="1" x14ac:dyDescent="0.25">
      <c r="A2348" s="3">
        <v>44044</v>
      </c>
      <c r="B2348" s="2" t="s">
        <v>151</v>
      </c>
      <c r="C2348" s="2">
        <v>-8.15</v>
      </c>
      <c r="D2348" s="2">
        <v>0.1469</v>
      </c>
      <c r="E2348" s="2">
        <v>-1.197235E-2</v>
      </c>
      <c r="F2348" s="2" t="s">
        <v>7</v>
      </c>
    </row>
    <row r="2349" spans="1:6" ht="22.5" hidden="1" customHeight="1" x14ac:dyDescent="0.25">
      <c r="A2349" s="3">
        <v>44044</v>
      </c>
      <c r="B2349" s="2" t="s">
        <v>152</v>
      </c>
      <c r="C2349" s="2">
        <v>0.99</v>
      </c>
      <c r="D2349" s="2">
        <v>3.0999999999999999E-3</v>
      </c>
      <c r="E2349" s="2">
        <v>3.0689999999999999E-5</v>
      </c>
      <c r="F2349" s="2" t="s">
        <v>7</v>
      </c>
    </row>
    <row r="2350" spans="1:6" ht="22.5" hidden="1" customHeight="1" x14ac:dyDescent="0.25">
      <c r="A2350" s="3">
        <v>44044</v>
      </c>
      <c r="B2350" s="2" t="s">
        <v>153</v>
      </c>
      <c r="C2350" s="2">
        <v>0.31</v>
      </c>
      <c r="D2350" s="2">
        <v>8.9999999999999998E-4</v>
      </c>
      <c r="E2350" s="2">
        <v>2.79E-6</v>
      </c>
      <c r="F2350" s="2" t="s">
        <v>7</v>
      </c>
    </row>
    <row r="2351" spans="1:6" ht="22.5" hidden="1" customHeight="1" x14ac:dyDescent="0.25">
      <c r="A2351" s="3">
        <v>44044</v>
      </c>
      <c r="B2351" s="2" t="s">
        <v>154</v>
      </c>
      <c r="C2351" s="2">
        <v>-2.08</v>
      </c>
      <c r="D2351" s="2">
        <v>1.1000000000000001E-3</v>
      </c>
      <c r="E2351" s="2">
        <v>-2.2880000000000001E-5</v>
      </c>
      <c r="F2351" s="2" t="s">
        <v>7</v>
      </c>
    </row>
    <row r="2352" spans="1:6" ht="22.5" hidden="1" customHeight="1" x14ac:dyDescent="0.25">
      <c r="A2352" s="3">
        <v>44044</v>
      </c>
      <c r="B2352" s="2" t="s">
        <v>155</v>
      </c>
      <c r="C2352" s="2">
        <v>1.31</v>
      </c>
      <c r="D2352" s="2">
        <v>5.8999999999999999E-3</v>
      </c>
      <c r="E2352" s="2">
        <v>7.729E-5</v>
      </c>
      <c r="F2352" s="2" t="s">
        <v>7</v>
      </c>
    </row>
    <row r="2353" spans="1:6" ht="22.5" hidden="1" customHeight="1" x14ac:dyDescent="0.25">
      <c r="A2353" s="3">
        <v>44044</v>
      </c>
      <c r="B2353" s="2" t="s">
        <v>156</v>
      </c>
      <c r="C2353" s="2">
        <v>0.22</v>
      </c>
      <c r="D2353" s="2">
        <v>4.5699999999999998E-2</v>
      </c>
      <c r="E2353" s="2">
        <v>1.0054E-4</v>
      </c>
      <c r="F2353" s="2" t="s">
        <v>7</v>
      </c>
    </row>
    <row r="2354" spans="1:6" ht="22.5" hidden="1" customHeight="1" x14ac:dyDescent="0.25">
      <c r="A2354" s="3">
        <v>44044</v>
      </c>
      <c r="B2354" s="2" t="s">
        <v>157</v>
      </c>
      <c r="C2354" s="2">
        <v>-0.15</v>
      </c>
      <c r="D2354" s="2">
        <v>1.7399999999999999E-2</v>
      </c>
      <c r="E2354" s="2">
        <v>-2.6100000000000001E-5</v>
      </c>
      <c r="F2354" s="2" t="s">
        <v>7</v>
      </c>
    </row>
    <row r="2355" spans="1:6" ht="22.5" hidden="1" customHeight="1" x14ac:dyDescent="0.25">
      <c r="A2355" s="3">
        <v>44044</v>
      </c>
      <c r="B2355" s="2" t="s">
        <v>158</v>
      </c>
      <c r="C2355" s="2">
        <v>0.43</v>
      </c>
      <c r="D2355" s="2">
        <v>1.01E-2</v>
      </c>
      <c r="E2355" s="2">
        <v>4.3430000000000003E-5</v>
      </c>
      <c r="F2355" s="2" t="s">
        <v>7</v>
      </c>
    </row>
    <row r="2356" spans="1:6" ht="22.5" hidden="1" customHeight="1" x14ac:dyDescent="0.25">
      <c r="A2356" s="3">
        <v>44044</v>
      </c>
      <c r="B2356" s="2" t="s">
        <v>159</v>
      </c>
      <c r="C2356" s="2">
        <v>0.62</v>
      </c>
      <c r="D2356" s="2">
        <v>5.45E-2</v>
      </c>
      <c r="E2356" s="2">
        <v>3.3789999999999997E-4</v>
      </c>
      <c r="F2356" s="2" t="s">
        <v>7</v>
      </c>
    </row>
    <row r="2357" spans="1:6" ht="22.5" hidden="1" customHeight="1" x14ac:dyDescent="0.25">
      <c r="A2357" s="3">
        <v>44044</v>
      </c>
      <c r="B2357" s="2" t="s">
        <v>160</v>
      </c>
      <c r="C2357" s="2">
        <v>-0.52</v>
      </c>
      <c r="D2357" s="2">
        <v>3.8018000000000001</v>
      </c>
      <c r="E2357" s="2">
        <v>-1.976936E-2</v>
      </c>
      <c r="F2357" s="2" t="s">
        <v>7</v>
      </c>
    </row>
    <row r="2358" spans="1:6" ht="22.5" hidden="1" customHeight="1" x14ac:dyDescent="0.25">
      <c r="A2358" s="3">
        <v>44044</v>
      </c>
      <c r="B2358" s="2" t="s">
        <v>161</v>
      </c>
      <c r="C2358" s="2">
        <v>0.06</v>
      </c>
      <c r="D2358" s="2">
        <v>1.7250000000000001</v>
      </c>
      <c r="E2358" s="2">
        <v>1.0349999999999999E-3</v>
      </c>
      <c r="F2358" s="2" t="s">
        <v>7</v>
      </c>
    </row>
    <row r="2359" spans="1:6" ht="22.5" hidden="1" customHeight="1" x14ac:dyDescent="0.25">
      <c r="A2359" s="3">
        <v>44044</v>
      </c>
      <c r="B2359" s="2" t="s">
        <v>134</v>
      </c>
      <c r="C2359" s="2">
        <v>1.71</v>
      </c>
      <c r="D2359" s="2">
        <v>0.12509999999999999</v>
      </c>
      <c r="E2359" s="2">
        <v>2.1392099999999999E-3</v>
      </c>
      <c r="F2359" s="2" t="s">
        <v>7</v>
      </c>
    </row>
    <row r="2360" spans="1:6" ht="22.5" hidden="1" customHeight="1" x14ac:dyDescent="0.25">
      <c r="A2360" s="3">
        <v>44044</v>
      </c>
      <c r="B2360" s="2" t="s">
        <v>162</v>
      </c>
      <c r="C2360" s="2">
        <v>-1.55</v>
      </c>
      <c r="D2360" s="2">
        <v>4.3200000000000002E-2</v>
      </c>
      <c r="E2360" s="2">
        <v>-6.6960000000000001E-4</v>
      </c>
      <c r="F2360" s="2" t="s">
        <v>7</v>
      </c>
    </row>
    <row r="2361" spans="1:6" ht="22.5" hidden="1" customHeight="1" x14ac:dyDescent="0.25">
      <c r="A2361" s="3">
        <v>44044</v>
      </c>
      <c r="B2361" s="2" t="s">
        <v>135</v>
      </c>
      <c r="C2361" s="2">
        <v>-0.49</v>
      </c>
      <c r="D2361" s="2">
        <v>0.29370000000000002</v>
      </c>
      <c r="E2361" s="2">
        <v>-1.4391300000000001E-3</v>
      </c>
      <c r="F2361" s="2" t="s">
        <v>7</v>
      </c>
    </row>
    <row r="2362" spans="1:6" ht="22.5" hidden="1" customHeight="1" x14ac:dyDescent="0.25">
      <c r="A2362" s="3">
        <v>44044</v>
      </c>
      <c r="B2362" s="2" t="s">
        <v>136</v>
      </c>
      <c r="C2362" s="2">
        <v>-3.57</v>
      </c>
      <c r="D2362" s="2">
        <v>4.3E-3</v>
      </c>
      <c r="E2362" s="2">
        <v>-1.5351000000000001E-4</v>
      </c>
      <c r="F2362" s="2" t="s">
        <v>7</v>
      </c>
    </row>
    <row r="2363" spans="1:6" ht="22.5" hidden="1" customHeight="1" x14ac:dyDescent="0.25">
      <c r="A2363" s="3">
        <v>44044</v>
      </c>
      <c r="B2363" s="2" t="s">
        <v>137</v>
      </c>
      <c r="C2363" s="2">
        <v>6.2</v>
      </c>
      <c r="D2363" s="2">
        <v>8.6999999999999994E-3</v>
      </c>
      <c r="E2363" s="2">
        <v>5.3939999999999999E-4</v>
      </c>
      <c r="F2363" s="2" t="s">
        <v>7</v>
      </c>
    </row>
    <row r="2364" spans="1:6" ht="22.5" hidden="1" customHeight="1" x14ac:dyDescent="0.25">
      <c r="A2364" s="3">
        <v>44044</v>
      </c>
      <c r="B2364" s="2" t="s">
        <v>163</v>
      </c>
      <c r="C2364" s="2">
        <v>0.48</v>
      </c>
      <c r="D2364" s="2">
        <v>4.4000000000000003E-3</v>
      </c>
      <c r="E2364" s="2">
        <v>2.1120000000000001E-5</v>
      </c>
      <c r="F2364" s="2" t="s">
        <v>7</v>
      </c>
    </row>
    <row r="2365" spans="1:6" ht="22.5" hidden="1" customHeight="1" x14ac:dyDescent="0.25">
      <c r="A2365" s="3">
        <v>44044</v>
      </c>
      <c r="B2365" s="2" t="s">
        <v>34</v>
      </c>
      <c r="C2365" s="2">
        <v>0.42</v>
      </c>
      <c r="D2365" s="2">
        <v>5.1999999999999998E-2</v>
      </c>
      <c r="E2365" s="2">
        <v>2.184E-4</v>
      </c>
      <c r="F2365" s="2" t="s">
        <v>7</v>
      </c>
    </row>
    <row r="2366" spans="1:6" ht="22.5" hidden="1" customHeight="1" x14ac:dyDescent="0.25">
      <c r="A2366" s="3">
        <v>44044</v>
      </c>
      <c r="B2366" s="2" t="s">
        <v>164</v>
      </c>
      <c r="C2366" s="2">
        <v>0.33</v>
      </c>
      <c r="D2366" s="2">
        <v>3.8677000000000001</v>
      </c>
      <c r="E2366" s="2">
        <v>1.2763409999999999E-2</v>
      </c>
      <c r="F2366" s="2" t="s">
        <v>165</v>
      </c>
    </row>
    <row r="2367" spans="1:6" ht="22.5" hidden="1" customHeight="1" x14ac:dyDescent="0.25">
      <c r="A2367" s="3">
        <v>44044</v>
      </c>
      <c r="B2367" s="2" t="s">
        <v>166</v>
      </c>
      <c r="C2367" s="2">
        <v>0.27</v>
      </c>
      <c r="D2367" s="2">
        <v>2.3948</v>
      </c>
      <c r="E2367" s="2">
        <v>6.4659599999999998E-3</v>
      </c>
      <c r="F2367" s="2" t="s">
        <v>165</v>
      </c>
    </row>
    <row r="2368" spans="1:6" ht="22.5" hidden="1" customHeight="1" x14ac:dyDescent="0.25">
      <c r="A2368" s="3">
        <v>44166</v>
      </c>
      <c r="B2368" s="2" t="s">
        <v>196</v>
      </c>
      <c r="C2368" s="2">
        <v>1.8</v>
      </c>
      <c r="D2368" s="2">
        <v>0.13100000000000001</v>
      </c>
      <c r="E2368" s="2">
        <v>2.3579999999999999E-3</v>
      </c>
      <c r="F2368" s="2" t="s">
        <v>168</v>
      </c>
    </row>
    <row r="2369" spans="1:6" ht="22.5" hidden="1" customHeight="1" x14ac:dyDescent="0.25">
      <c r="A2369" s="3">
        <v>44044</v>
      </c>
      <c r="B2369" s="2" t="s">
        <v>169</v>
      </c>
      <c r="C2369" s="2">
        <v>1.99</v>
      </c>
      <c r="D2369" s="2">
        <v>9.7999999999999997E-3</v>
      </c>
      <c r="E2369" s="2">
        <v>1.9502000000000001E-4</v>
      </c>
      <c r="F2369" s="2" t="s">
        <v>170</v>
      </c>
    </row>
    <row r="2370" spans="1:6" ht="22.5" hidden="1" customHeight="1" x14ac:dyDescent="0.25">
      <c r="A2370" s="3">
        <v>44044</v>
      </c>
      <c r="B2370" s="2" t="s">
        <v>171</v>
      </c>
      <c r="C2370" s="2">
        <v>0.37</v>
      </c>
      <c r="D2370" s="2">
        <v>1.44E-2</v>
      </c>
      <c r="E2370" s="2">
        <v>5.3279999999999998E-5</v>
      </c>
      <c r="F2370" s="2" t="s">
        <v>170</v>
      </c>
    </row>
    <row r="2371" spans="1:6" ht="22.5" hidden="1" customHeight="1" x14ac:dyDescent="0.25">
      <c r="A2371" s="3">
        <v>44044</v>
      </c>
      <c r="B2371" s="2" t="s">
        <v>172</v>
      </c>
      <c r="C2371" s="2">
        <v>-3.69</v>
      </c>
      <c r="D2371" s="2">
        <v>3.3999999999999998E-3</v>
      </c>
      <c r="E2371" s="2">
        <v>-1.2546000000000001E-4</v>
      </c>
      <c r="F2371" s="2" t="s">
        <v>170</v>
      </c>
    </row>
    <row r="2372" spans="1:6" ht="22.5" hidden="1" customHeight="1" x14ac:dyDescent="0.25">
      <c r="A2372" s="3">
        <v>44044</v>
      </c>
      <c r="B2372" s="2" t="s">
        <v>173</v>
      </c>
      <c r="C2372" s="2">
        <v>0.77</v>
      </c>
      <c r="D2372" s="2">
        <v>0.25779999999999997</v>
      </c>
      <c r="E2372" s="2">
        <v>1.9850599999999999E-3</v>
      </c>
      <c r="F2372" s="2" t="s">
        <v>174</v>
      </c>
    </row>
    <row r="2373" spans="1:6" ht="22.5" hidden="1" customHeight="1" x14ac:dyDescent="0.25">
      <c r="A2373" s="3">
        <v>44044</v>
      </c>
      <c r="B2373" s="2" t="s">
        <v>175</v>
      </c>
      <c r="C2373" s="2">
        <v>0.76</v>
      </c>
      <c r="D2373" s="2">
        <v>0.21829999999999999</v>
      </c>
      <c r="E2373" s="2">
        <v>1.6590800000000001E-3</v>
      </c>
      <c r="F2373" s="2" t="s">
        <v>174</v>
      </c>
    </row>
    <row r="2374" spans="1:6" ht="22.5" hidden="1" customHeight="1" x14ac:dyDescent="0.25">
      <c r="A2374" s="3">
        <v>44044</v>
      </c>
      <c r="B2374" s="2" t="s">
        <v>176</v>
      </c>
      <c r="C2374" s="2">
        <v>-0.03</v>
      </c>
      <c r="D2374" s="2">
        <v>1.34E-2</v>
      </c>
      <c r="E2374" s="2">
        <v>-4.0199999999999996E-6</v>
      </c>
      <c r="F2374" s="2" t="s">
        <v>170</v>
      </c>
    </row>
    <row r="2375" spans="1:6" ht="22.5" hidden="1" customHeight="1" x14ac:dyDescent="0.25">
      <c r="A2375" s="3">
        <v>44044</v>
      </c>
      <c r="B2375" s="2" t="s">
        <v>177</v>
      </c>
      <c r="C2375" s="2">
        <v>5.26</v>
      </c>
      <c r="D2375" s="2">
        <v>2.0899999999999998E-2</v>
      </c>
      <c r="E2375" s="2">
        <v>1.0993400000000001E-3</v>
      </c>
      <c r="F2375" s="2" t="s">
        <v>170</v>
      </c>
    </row>
    <row r="2376" spans="1:6" ht="22.5" hidden="1" customHeight="1" x14ac:dyDescent="0.25">
      <c r="A2376" s="3">
        <v>44044</v>
      </c>
      <c r="B2376" s="2" t="s">
        <v>178</v>
      </c>
      <c r="C2376" s="2">
        <v>4.83</v>
      </c>
      <c r="D2376" s="2">
        <v>1.84E-2</v>
      </c>
      <c r="E2376" s="2">
        <v>8.8871999999999996E-4</v>
      </c>
      <c r="F2376" s="2" t="s">
        <v>170</v>
      </c>
    </row>
    <row r="2377" spans="1:6" ht="22.5" hidden="1" customHeight="1" x14ac:dyDescent="0.25">
      <c r="A2377" s="3">
        <v>44044</v>
      </c>
      <c r="B2377" s="2" t="s">
        <v>179</v>
      </c>
      <c r="C2377" s="2">
        <v>0.91</v>
      </c>
      <c r="D2377" s="2">
        <v>3.7400000000000003E-2</v>
      </c>
      <c r="E2377" s="2">
        <v>3.4034000000000001E-4</v>
      </c>
      <c r="F2377" s="2" t="s">
        <v>170</v>
      </c>
    </row>
    <row r="2378" spans="1:6" ht="22.5" hidden="1" customHeight="1" x14ac:dyDescent="0.25">
      <c r="A2378" s="3">
        <v>44044</v>
      </c>
      <c r="B2378" s="2" t="s">
        <v>180</v>
      </c>
      <c r="C2378" s="2">
        <v>-0.11</v>
      </c>
      <c r="D2378" s="2">
        <v>0.67090000000000005</v>
      </c>
      <c r="E2378" s="2">
        <v>-7.3799E-4</v>
      </c>
      <c r="F2378" s="2" t="s">
        <v>165</v>
      </c>
    </row>
    <row r="2379" spans="1:6" ht="22.5" hidden="1" customHeight="1" x14ac:dyDescent="0.25">
      <c r="A2379" s="3">
        <v>44044</v>
      </c>
      <c r="B2379" s="2" t="s">
        <v>181</v>
      </c>
      <c r="C2379" s="2">
        <v>1.53</v>
      </c>
      <c r="D2379" s="2">
        <v>1.2200000000000001E-2</v>
      </c>
      <c r="E2379" s="2">
        <v>1.8666000000000001E-4</v>
      </c>
      <c r="F2379" s="2" t="s">
        <v>174</v>
      </c>
    </row>
    <row r="2380" spans="1:6" ht="22.5" hidden="1" customHeight="1" x14ac:dyDescent="0.25">
      <c r="A2380" s="3">
        <v>44044</v>
      </c>
      <c r="B2380" s="2" t="s">
        <v>182</v>
      </c>
      <c r="C2380" s="2">
        <v>0.23</v>
      </c>
      <c r="D2380" s="2">
        <v>3.7400000000000003E-2</v>
      </c>
      <c r="E2380" s="2">
        <v>8.6020000000000007E-5</v>
      </c>
      <c r="F2380" s="2" t="s">
        <v>170</v>
      </c>
    </row>
    <row r="2381" spans="1:6" ht="22.5" hidden="1" customHeight="1" x14ac:dyDescent="0.25">
      <c r="A2381" s="3">
        <v>44044</v>
      </c>
      <c r="B2381" s="2" t="s">
        <v>183</v>
      </c>
      <c r="C2381" s="2">
        <v>-1.06</v>
      </c>
      <c r="D2381" s="2">
        <v>4.3E-3</v>
      </c>
      <c r="E2381" s="2">
        <v>-4.5580000000000001E-5</v>
      </c>
      <c r="F2381" s="2" t="s">
        <v>174</v>
      </c>
    </row>
    <row r="2382" spans="1:6" ht="22.5" hidden="1" customHeight="1" x14ac:dyDescent="0.25">
      <c r="A2382" s="3">
        <v>44044</v>
      </c>
      <c r="B2382" s="2" t="s">
        <v>184</v>
      </c>
      <c r="C2382" s="2">
        <v>-1.17</v>
      </c>
      <c r="D2382" s="2">
        <v>6.3899999999999998E-2</v>
      </c>
      <c r="E2382" s="2">
        <v>-7.4763E-4</v>
      </c>
      <c r="F2382" s="2" t="s">
        <v>174</v>
      </c>
    </row>
    <row r="2383" spans="1:6" ht="22.5" hidden="1" customHeight="1" x14ac:dyDescent="0.25">
      <c r="A2383" s="3">
        <v>44044</v>
      </c>
      <c r="B2383" s="2" t="s">
        <v>185</v>
      </c>
      <c r="C2383" s="2">
        <v>-0.28000000000000003</v>
      </c>
      <c r="D2383" s="2">
        <v>0.15210000000000001</v>
      </c>
      <c r="E2383" s="2">
        <v>-4.2588000000000001E-4</v>
      </c>
      <c r="F2383" s="2" t="s">
        <v>174</v>
      </c>
    </row>
    <row r="2384" spans="1:6" ht="22.5" hidden="1" customHeight="1" x14ac:dyDescent="0.25">
      <c r="A2384" s="3">
        <v>44044</v>
      </c>
      <c r="B2384" s="2" t="s">
        <v>186</v>
      </c>
      <c r="C2384" s="2">
        <v>-0.82</v>
      </c>
      <c r="D2384" s="2">
        <v>0.22409999999999999</v>
      </c>
      <c r="E2384" s="2">
        <v>-1.8376200000000001E-3</v>
      </c>
      <c r="F2384" s="2" t="s">
        <v>174</v>
      </c>
    </row>
    <row r="2385" spans="1:6" ht="22.5" hidden="1" customHeight="1" x14ac:dyDescent="0.25">
      <c r="A2385" s="3">
        <v>44044</v>
      </c>
      <c r="B2385" s="2" t="s">
        <v>187</v>
      </c>
      <c r="C2385" s="2">
        <v>-0.41</v>
      </c>
      <c r="D2385" s="2">
        <v>6.1899999999999997E-2</v>
      </c>
      <c r="E2385" s="2">
        <v>-2.5378999999999999E-4</v>
      </c>
      <c r="F2385" s="2" t="s">
        <v>174</v>
      </c>
    </row>
    <row r="2386" spans="1:6" ht="22.5" hidden="1" customHeight="1" x14ac:dyDescent="0.25">
      <c r="A2386" s="3">
        <v>44044</v>
      </c>
      <c r="B2386" s="2" t="s">
        <v>188</v>
      </c>
      <c r="C2386" s="2">
        <v>0.08</v>
      </c>
      <c r="D2386" s="2">
        <v>2.6200000000000001E-2</v>
      </c>
      <c r="E2386" s="2">
        <v>2.0959999999999999E-5</v>
      </c>
      <c r="F2386" s="2" t="s">
        <v>174</v>
      </c>
    </row>
    <row r="2387" spans="1:6" ht="22.5" hidden="1" customHeight="1" x14ac:dyDescent="0.25">
      <c r="A2387" s="3">
        <v>44044</v>
      </c>
      <c r="B2387" s="2" t="s">
        <v>189</v>
      </c>
      <c r="C2387" s="2">
        <v>-0.17</v>
      </c>
      <c r="D2387" s="2">
        <v>3.7000000000000002E-3</v>
      </c>
      <c r="E2387" s="2">
        <v>-6.2899999999999999E-6</v>
      </c>
      <c r="F2387" s="2" t="s">
        <v>174</v>
      </c>
    </row>
    <row r="2388" spans="1:6" ht="22.5" hidden="1" customHeight="1" x14ac:dyDescent="0.25">
      <c r="A2388" s="3">
        <v>44044</v>
      </c>
      <c r="B2388" s="2" t="s">
        <v>190</v>
      </c>
      <c r="C2388" s="2">
        <v>1.03</v>
      </c>
      <c r="D2388" s="2">
        <v>5.0000000000000001E-3</v>
      </c>
      <c r="E2388" s="2">
        <v>5.1499999999999998E-5</v>
      </c>
      <c r="F2388" s="2" t="s">
        <v>174</v>
      </c>
    </row>
    <row r="2389" spans="1:6" ht="22.5" hidden="1" customHeight="1" x14ac:dyDescent="0.25">
      <c r="A2389" s="3">
        <v>44044</v>
      </c>
      <c r="B2389" s="2" t="s">
        <v>191</v>
      </c>
      <c r="C2389" s="2">
        <v>-0.84</v>
      </c>
      <c r="D2389" s="2">
        <v>2.7300000000000001E-2</v>
      </c>
      <c r="E2389" s="2">
        <v>-2.2932000000000001E-4</v>
      </c>
      <c r="F2389" s="2" t="s">
        <v>174</v>
      </c>
    </row>
    <row r="2390" spans="1:6" ht="22.5" hidden="1" customHeight="1" x14ac:dyDescent="0.25">
      <c r="A2390" s="3">
        <v>44044</v>
      </c>
      <c r="B2390" s="2" t="s">
        <v>192</v>
      </c>
      <c r="C2390" s="2">
        <v>1.24</v>
      </c>
      <c r="D2390" s="2">
        <v>5.3E-3</v>
      </c>
      <c r="E2390" s="2">
        <v>6.5720000000000001E-5</v>
      </c>
      <c r="F2390" s="2" t="s">
        <v>174</v>
      </c>
    </row>
    <row r="2391" spans="1:6" ht="22.5" hidden="1" customHeight="1" x14ac:dyDescent="0.25">
      <c r="A2391" s="3">
        <v>44044</v>
      </c>
      <c r="B2391" s="2" t="s">
        <v>193</v>
      </c>
      <c r="C2391" s="2">
        <v>-0.05</v>
      </c>
      <c r="D2391" s="2">
        <v>0.17100000000000001</v>
      </c>
      <c r="E2391" s="2">
        <v>-8.5500000000000005E-5</v>
      </c>
      <c r="F2391" s="2" t="s">
        <v>174</v>
      </c>
    </row>
    <row r="2392" spans="1:6" ht="22.5" hidden="1" customHeight="1" x14ac:dyDescent="0.25">
      <c r="A2392" s="3">
        <v>44044</v>
      </c>
      <c r="B2392" s="2" t="s">
        <v>194</v>
      </c>
      <c r="C2392" s="2">
        <v>0</v>
      </c>
      <c r="D2392" s="2">
        <v>3.3999999999999998E-3</v>
      </c>
      <c r="E2392" s="2">
        <v>0</v>
      </c>
      <c r="F2392" s="2" t="s">
        <v>174</v>
      </c>
    </row>
    <row r="2393" spans="1:6" ht="22.5" hidden="1" customHeight="1" x14ac:dyDescent="0.25">
      <c r="A2393" s="3">
        <v>44409</v>
      </c>
      <c r="B2393" s="2" t="s">
        <v>263</v>
      </c>
      <c r="C2393" s="2">
        <v>0.56999999999999995</v>
      </c>
      <c r="D2393" s="2">
        <v>0.40339999999999998</v>
      </c>
      <c r="E2393" s="2">
        <v>2.2993800000000002E-3</v>
      </c>
      <c r="F2393" s="2" t="s">
        <v>168</v>
      </c>
    </row>
    <row r="2394" spans="1:6" ht="22.5" hidden="1" customHeight="1" x14ac:dyDescent="0.25">
      <c r="A2394" s="3">
        <v>44136</v>
      </c>
      <c r="B2394" s="2" t="s">
        <v>366</v>
      </c>
      <c r="C2394" s="2">
        <v>0.86</v>
      </c>
      <c r="D2394" s="2">
        <v>0.26719999999999999</v>
      </c>
      <c r="E2394" s="2">
        <v>2.2979200000000002E-3</v>
      </c>
      <c r="F2394" s="2" t="s">
        <v>168</v>
      </c>
    </row>
    <row r="2395" spans="1:6" ht="22.5" hidden="1" customHeight="1" x14ac:dyDescent="0.25">
      <c r="A2395" s="3">
        <v>44378</v>
      </c>
      <c r="B2395" s="2" t="s">
        <v>279</v>
      </c>
      <c r="C2395" s="2">
        <v>2.44</v>
      </c>
      <c r="D2395" s="2">
        <v>9.3200000000000005E-2</v>
      </c>
      <c r="E2395" s="2">
        <v>2.2740799999999999E-3</v>
      </c>
      <c r="F2395" s="2" t="s">
        <v>168</v>
      </c>
    </row>
    <row r="2396" spans="1:6" ht="22.5" hidden="1" customHeight="1" x14ac:dyDescent="0.25">
      <c r="A2396" s="3">
        <v>44044</v>
      </c>
      <c r="B2396" s="2" t="s">
        <v>198</v>
      </c>
      <c r="C2396" s="2">
        <v>0.54</v>
      </c>
      <c r="D2396" s="2">
        <v>0.33300000000000002</v>
      </c>
      <c r="E2396" s="2">
        <v>1.7982E-3</v>
      </c>
      <c r="F2396" s="2" t="s">
        <v>170</v>
      </c>
    </row>
    <row r="2397" spans="1:6" ht="22.5" hidden="1" customHeight="1" x14ac:dyDescent="0.25">
      <c r="A2397" s="3">
        <v>44044</v>
      </c>
      <c r="B2397" s="2" t="s">
        <v>199</v>
      </c>
      <c r="C2397" s="2">
        <v>-0.48</v>
      </c>
      <c r="D2397" s="2">
        <v>0.45240000000000002</v>
      </c>
      <c r="E2397" s="2">
        <v>-2.1715200000000001E-3</v>
      </c>
      <c r="F2397" s="2" t="s">
        <v>170</v>
      </c>
    </row>
    <row r="2398" spans="1:6" ht="22.5" hidden="1" customHeight="1" x14ac:dyDescent="0.25">
      <c r="A2398" s="3">
        <v>44044</v>
      </c>
      <c r="B2398" s="2" t="s">
        <v>200</v>
      </c>
      <c r="C2398" s="2">
        <v>-0.98</v>
      </c>
      <c r="D2398" s="2">
        <v>0.1852</v>
      </c>
      <c r="E2398" s="2">
        <v>-1.81496E-3</v>
      </c>
      <c r="F2398" s="2" t="s">
        <v>170</v>
      </c>
    </row>
    <row r="2399" spans="1:6" ht="22.5" hidden="1" customHeight="1" x14ac:dyDescent="0.25">
      <c r="A2399" s="3">
        <v>44044</v>
      </c>
      <c r="B2399" s="2" t="s">
        <v>201</v>
      </c>
      <c r="C2399" s="2">
        <v>0.7</v>
      </c>
      <c r="D2399" s="2">
        <v>2.5999999999999999E-2</v>
      </c>
      <c r="E2399" s="2">
        <v>1.8200000000000001E-4</v>
      </c>
      <c r="F2399" s="2" t="s">
        <v>170</v>
      </c>
    </row>
    <row r="2400" spans="1:6" ht="22.5" hidden="1" customHeight="1" x14ac:dyDescent="0.25">
      <c r="A2400" s="3">
        <v>44044</v>
      </c>
      <c r="B2400" s="2" t="s">
        <v>202</v>
      </c>
      <c r="C2400" s="2">
        <v>4.54</v>
      </c>
      <c r="D2400" s="2">
        <v>1.37E-2</v>
      </c>
      <c r="E2400" s="2">
        <v>6.2197999999999995E-4</v>
      </c>
      <c r="F2400" s="2" t="s">
        <v>170</v>
      </c>
    </row>
    <row r="2401" spans="1:6" ht="22.5" hidden="1" customHeight="1" x14ac:dyDescent="0.25">
      <c r="A2401" s="3">
        <v>44044</v>
      </c>
      <c r="B2401" s="2" t="s">
        <v>203</v>
      </c>
      <c r="C2401" s="2">
        <v>-0.03</v>
      </c>
      <c r="D2401" s="2">
        <v>8.3299999999999999E-2</v>
      </c>
      <c r="E2401" s="2">
        <v>-2.499E-5</v>
      </c>
      <c r="F2401" s="2" t="s">
        <v>170</v>
      </c>
    </row>
    <row r="2402" spans="1:6" ht="22.5" hidden="1" customHeight="1" x14ac:dyDescent="0.25">
      <c r="A2402" s="3">
        <v>44044</v>
      </c>
      <c r="B2402" s="2" t="s">
        <v>204</v>
      </c>
      <c r="C2402" s="2">
        <v>0.36</v>
      </c>
      <c r="D2402" s="2">
        <v>6.0900000000000003E-2</v>
      </c>
      <c r="E2402" s="2">
        <v>2.1923999999999999E-4</v>
      </c>
      <c r="F2402" s="2" t="s">
        <v>174</v>
      </c>
    </row>
    <row r="2403" spans="1:6" ht="22.5" hidden="1" customHeight="1" x14ac:dyDescent="0.25">
      <c r="A2403" s="3">
        <v>44044</v>
      </c>
      <c r="B2403" s="2" t="s">
        <v>205</v>
      </c>
      <c r="C2403" s="2">
        <v>0.13</v>
      </c>
      <c r="D2403" s="2">
        <v>9.64E-2</v>
      </c>
      <c r="E2403" s="2">
        <v>1.2532E-4</v>
      </c>
      <c r="F2403" s="2" t="s">
        <v>174</v>
      </c>
    </row>
    <row r="2404" spans="1:6" ht="22.5" hidden="1" customHeight="1" x14ac:dyDescent="0.25">
      <c r="A2404" s="3">
        <v>44044</v>
      </c>
      <c r="B2404" s="2" t="s">
        <v>206</v>
      </c>
      <c r="C2404" s="2">
        <v>-0.2</v>
      </c>
      <c r="D2404" s="2">
        <v>0.15859999999999999</v>
      </c>
      <c r="E2404" s="2">
        <v>-3.1720000000000001E-4</v>
      </c>
      <c r="F2404" s="2" t="s">
        <v>174</v>
      </c>
    </row>
    <row r="2405" spans="1:6" ht="22.5" hidden="1" customHeight="1" x14ac:dyDescent="0.25">
      <c r="A2405" s="3">
        <v>44044</v>
      </c>
      <c r="B2405" s="2" t="s">
        <v>207</v>
      </c>
      <c r="C2405" s="2">
        <v>-7.0000000000000007E-2</v>
      </c>
      <c r="D2405" s="2">
        <v>4.9700000000000001E-2</v>
      </c>
      <c r="E2405" s="2">
        <v>-3.4789999999999997E-5</v>
      </c>
      <c r="F2405" s="2" t="s">
        <v>174</v>
      </c>
    </row>
    <row r="2406" spans="1:6" ht="22.5" hidden="1" customHeight="1" x14ac:dyDescent="0.25">
      <c r="A2406" s="3">
        <v>44044</v>
      </c>
      <c r="B2406" s="2" t="s">
        <v>208</v>
      </c>
      <c r="C2406" s="2">
        <v>1.28</v>
      </c>
      <c r="D2406" s="2">
        <v>8.8000000000000005E-3</v>
      </c>
      <c r="E2406" s="2">
        <v>1.1264000000000001E-4</v>
      </c>
      <c r="F2406" s="2" t="s">
        <v>174</v>
      </c>
    </row>
    <row r="2407" spans="1:6" ht="22.5" hidden="1" customHeight="1" x14ac:dyDescent="0.25">
      <c r="A2407" s="3">
        <v>44044</v>
      </c>
      <c r="B2407" s="2" t="s">
        <v>209</v>
      </c>
      <c r="C2407" s="2">
        <v>0.82</v>
      </c>
      <c r="D2407" s="2">
        <v>6.0000000000000001E-3</v>
      </c>
      <c r="E2407" s="2">
        <v>4.9200000000000003E-5</v>
      </c>
      <c r="F2407" s="2" t="s">
        <v>174</v>
      </c>
    </row>
    <row r="2408" spans="1:6" ht="22.5" hidden="1" customHeight="1" x14ac:dyDescent="0.25">
      <c r="A2408" s="3">
        <v>44044</v>
      </c>
      <c r="B2408" s="2" t="s">
        <v>210</v>
      </c>
      <c r="C2408" s="2">
        <v>0.4</v>
      </c>
      <c r="D2408" s="2">
        <v>1.47E-2</v>
      </c>
      <c r="E2408" s="2">
        <v>5.8799999999999999E-5</v>
      </c>
      <c r="F2408" s="2" t="s">
        <v>170</v>
      </c>
    </row>
    <row r="2409" spans="1:6" ht="22.5" hidden="1" customHeight="1" x14ac:dyDescent="0.25">
      <c r="A2409" s="3">
        <v>44044</v>
      </c>
      <c r="B2409" s="2" t="s">
        <v>211</v>
      </c>
      <c r="C2409" s="2">
        <v>0.49</v>
      </c>
      <c r="D2409" s="2">
        <v>0.18909999999999999</v>
      </c>
      <c r="E2409" s="2">
        <v>9.2659000000000003E-4</v>
      </c>
      <c r="F2409" s="2" t="s">
        <v>174</v>
      </c>
    </row>
    <row r="2410" spans="1:6" ht="22.5" hidden="1" customHeight="1" x14ac:dyDescent="0.25">
      <c r="A2410" s="3">
        <v>44044</v>
      </c>
      <c r="B2410" s="2" t="s">
        <v>212</v>
      </c>
      <c r="C2410" s="2">
        <v>1.52</v>
      </c>
      <c r="D2410" s="2">
        <v>4.4000000000000003E-3</v>
      </c>
      <c r="E2410" s="2">
        <v>6.6879999999999997E-5</v>
      </c>
      <c r="F2410" s="2" t="s">
        <v>174</v>
      </c>
    </row>
    <row r="2411" spans="1:6" ht="22.5" hidden="1" customHeight="1" x14ac:dyDescent="0.25">
      <c r="A2411" s="3">
        <v>44044</v>
      </c>
      <c r="B2411" s="2" t="s">
        <v>213</v>
      </c>
      <c r="C2411" s="2">
        <v>0.7</v>
      </c>
      <c r="D2411" s="2">
        <v>0.33279999999999998</v>
      </c>
      <c r="E2411" s="2">
        <v>2.3295999999999998E-3</v>
      </c>
      <c r="F2411" s="2" t="s">
        <v>170</v>
      </c>
    </row>
    <row r="2412" spans="1:6" ht="22.5" hidden="1" customHeight="1" x14ac:dyDescent="0.25">
      <c r="A2412" s="3">
        <v>44044</v>
      </c>
      <c r="B2412" s="2" t="s">
        <v>214</v>
      </c>
      <c r="C2412" s="2">
        <v>1.1399999999999999</v>
      </c>
      <c r="D2412" s="2">
        <v>9.7500000000000003E-2</v>
      </c>
      <c r="E2412" s="2">
        <v>1.1115000000000001E-3</v>
      </c>
      <c r="F2412" s="2" t="s">
        <v>170</v>
      </c>
    </row>
    <row r="2413" spans="1:6" ht="22.5" hidden="1" customHeight="1" x14ac:dyDescent="0.25">
      <c r="A2413" s="3">
        <v>44044</v>
      </c>
      <c r="B2413" s="2" t="s">
        <v>215</v>
      </c>
      <c r="C2413" s="2">
        <v>0.74</v>
      </c>
      <c r="D2413" s="2">
        <v>0.2535</v>
      </c>
      <c r="E2413" s="2">
        <v>1.8759E-3</v>
      </c>
      <c r="F2413" s="2" t="s">
        <v>170</v>
      </c>
    </row>
    <row r="2414" spans="1:6" ht="22.5" hidden="1" customHeight="1" x14ac:dyDescent="0.25">
      <c r="A2414" s="3">
        <v>44044</v>
      </c>
      <c r="B2414" s="2" t="s">
        <v>216</v>
      </c>
      <c r="C2414" s="2">
        <v>1.22</v>
      </c>
      <c r="D2414" s="2">
        <v>1.49E-2</v>
      </c>
      <c r="E2414" s="2">
        <v>1.8178000000000001E-4</v>
      </c>
      <c r="F2414" s="2" t="s">
        <v>170</v>
      </c>
    </row>
    <row r="2415" spans="1:6" ht="22.5" hidden="1" customHeight="1" x14ac:dyDescent="0.25">
      <c r="A2415" s="3">
        <v>44044</v>
      </c>
      <c r="B2415" s="2" t="s">
        <v>217</v>
      </c>
      <c r="C2415" s="2">
        <v>1.64</v>
      </c>
      <c r="D2415" s="2">
        <v>0.1668</v>
      </c>
      <c r="E2415" s="2">
        <v>2.73552E-3</v>
      </c>
      <c r="F2415" s="2" t="s">
        <v>170</v>
      </c>
    </row>
    <row r="2416" spans="1:6" ht="22.5" hidden="1" customHeight="1" x14ac:dyDescent="0.25">
      <c r="A2416" s="3">
        <v>44044</v>
      </c>
      <c r="B2416" s="2" t="s">
        <v>218</v>
      </c>
      <c r="C2416" s="2">
        <v>-0.34</v>
      </c>
      <c r="D2416" s="2">
        <v>7.1000000000000004E-3</v>
      </c>
      <c r="E2416" s="2">
        <v>-2.4139999999999999E-5</v>
      </c>
      <c r="F2416" s="2" t="s">
        <v>170</v>
      </c>
    </row>
    <row r="2417" spans="1:6" ht="22.5" hidden="1" customHeight="1" x14ac:dyDescent="0.25">
      <c r="A2417" s="3">
        <v>44044</v>
      </c>
      <c r="B2417" s="2" t="s">
        <v>219</v>
      </c>
      <c r="C2417" s="2">
        <v>2.35</v>
      </c>
      <c r="D2417" s="2">
        <v>0.47149999999999997</v>
      </c>
      <c r="E2417" s="2">
        <v>1.108025E-2</v>
      </c>
      <c r="F2417" s="2" t="s">
        <v>170</v>
      </c>
    </row>
    <row r="2418" spans="1:6" ht="22.5" hidden="1" customHeight="1" x14ac:dyDescent="0.25">
      <c r="A2418" s="3">
        <v>44044</v>
      </c>
      <c r="B2418" s="2" t="s">
        <v>220</v>
      </c>
      <c r="C2418" s="2">
        <v>-1.9</v>
      </c>
      <c r="D2418" s="2">
        <v>1.18E-2</v>
      </c>
      <c r="E2418" s="2">
        <v>-2.242E-4</v>
      </c>
      <c r="F2418" s="2" t="s">
        <v>170</v>
      </c>
    </row>
    <row r="2419" spans="1:6" ht="22.5" hidden="1" customHeight="1" x14ac:dyDescent="0.25">
      <c r="A2419" s="3">
        <v>44044</v>
      </c>
      <c r="B2419" s="2" t="s">
        <v>221</v>
      </c>
      <c r="C2419" s="2">
        <v>0.55000000000000004</v>
      </c>
      <c r="D2419" s="2">
        <v>3.5000000000000001E-3</v>
      </c>
      <c r="E2419" s="2">
        <v>1.925E-5</v>
      </c>
      <c r="F2419" s="2" t="s">
        <v>170</v>
      </c>
    </row>
    <row r="2420" spans="1:6" ht="22.5" hidden="1" customHeight="1" x14ac:dyDescent="0.25">
      <c r="A2420" s="3">
        <v>44044</v>
      </c>
      <c r="B2420" s="2" t="s">
        <v>222</v>
      </c>
      <c r="C2420" s="2">
        <v>2.87</v>
      </c>
      <c r="D2420" s="2">
        <v>0.3412</v>
      </c>
      <c r="E2420" s="2">
        <v>9.7924399999999995E-3</v>
      </c>
      <c r="F2420" s="2" t="s">
        <v>170</v>
      </c>
    </row>
    <row r="2421" spans="1:6" ht="22.5" hidden="1" customHeight="1" x14ac:dyDescent="0.25">
      <c r="A2421" s="3">
        <v>44044</v>
      </c>
      <c r="B2421" s="2" t="s">
        <v>223</v>
      </c>
      <c r="C2421" s="2">
        <v>-0.36</v>
      </c>
      <c r="D2421" s="2">
        <v>1.7399999999999999E-2</v>
      </c>
      <c r="E2421" s="2">
        <v>-6.2639999999999997E-5</v>
      </c>
      <c r="F2421" s="2" t="s">
        <v>165</v>
      </c>
    </row>
    <row r="2422" spans="1:6" ht="22.5" hidden="1" customHeight="1" x14ac:dyDescent="0.25">
      <c r="A2422" s="3">
        <v>44044</v>
      </c>
      <c r="B2422" s="2" t="s">
        <v>224</v>
      </c>
      <c r="C2422" s="2">
        <v>-1.51</v>
      </c>
      <c r="D2422" s="2">
        <v>2.3E-3</v>
      </c>
      <c r="E2422" s="2">
        <v>-3.4730000000000001E-5</v>
      </c>
      <c r="F2422" s="2" t="s">
        <v>165</v>
      </c>
    </row>
    <row r="2423" spans="1:6" ht="22.5" hidden="1" customHeight="1" x14ac:dyDescent="0.25">
      <c r="A2423" s="3">
        <v>44044</v>
      </c>
      <c r="B2423" s="2" t="s">
        <v>225</v>
      </c>
      <c r="C2423" s="2">
        <v>-2.89</v>
      </c>
      <c r="D2423" s="2">
        <v>4.7000000000000002E-3</v>
      </c>
      <c r="E2423" s="2">
        <v>-1.3583000000000001E-4</v>
      </c>
      <c r="F2423" s="2" t="s">
        <v>165</v>
      </c>
    </row>
    <row r="2424" spans="1:6" ht="22.5" hidden="1" customHeight="1" x14ac:dyDescent="0.25">
      <c r="A2424" s="3">
        <v>44044</v>
      </c>
      <c r="B2424" s="2" t="s">
        <v>226</v>
      </c>
      <c r="C2424" s="2">
        <v>0.42</v>
      </c>
      <c r="D2424" s="2">
        <v>4.8399999999999999E-2</v>
      </c>
      <c r="E2424" s="2">
        <v>2.0327999999999999E-4</v>
      </c>
      <c r="F2424" s="2" t="s">
        <v>165</v>
      </c>
    </row>
    <row r="2425" spans="1:6" ht="22.5" hidden="1" customHeight="1" x14ac:dyDescent="0.25">
      <c r="A2425" s="3">
        <v>44044</v>
      </c>
      <c r="B2425" s="2" t="s">
        <v>227</v>
      </c>
      <c r="C2425" s="2">
        <v>1.71</v>
      </c>
      <c r="D2425" s="2">
        <v>6.7000000000000004E-2</v>
      </c>
      <c r="E2425" s="2">
        <v>1.1456999999999999E-3</v>
      </c>
      <c r="F2425" s="2" t="s">
        <v>165</v>
      </c>
    </row>
    <row r="2426" spans="1:6" ht="22.5" hidden="1" customHeight="1" x14ac:dyDescent="0.25">
      <c r="A2426" s="3">
        <v>44044</v>
      </c>
      <c r="B2426" s="2" t="s">
        <v>228</v>
      </c>
      <c r="C2426" s="2">
        <v>1.52</v>
      </c>
      <c r="D2426" s="2">
        <v>0.18390000000000001</v>
      </c>
      <c r="E2426" s="2">
        <v>2.7952799999999998E-3</v>
      </c>
      <c r="F2426" s="2" t="s">
        <v>165</v>
      </c>
    </row>
    <row r="2427" spans="1:6" ht="22.5" hidden="1" customHeight="1" x14ac:dyDescent="0.25">
      <c r="A2427" s="3">
        <v>44044</v>
      </c>
      <c r="B2427" s="2" t="s">
        <v>229</v>
      </c>
      <c r="C2427" s="2">
        <v>-0.27</v>
      </c>
      <c r="D2427" s="2">
        <v>0.29139999999999999</v>
      </c>
      <c r="E2427" s="2">
        <v>-7.8678000000000005E-4</v>
      </c>
      <c r="F2427" s="2" t="s">
        <v>174</v>
      </c>
    </row>
    <row r="2428" spans="1:6" ht="22.5" hidden="1" customHeight="1" x14ac:dyDescent="0.25">
      <c r="A2428" s="3">
        <v>44044</v>
      </c>
      <c r="B2428" s="2" t="s">
        <v>230</v>
      </c>
      <c r="C2428" s="2">
        <v>-2.72</v>
      </c>
      <c r="D2428" s="2">
        <v>2.35E-2</v>
      </c>
      <c r="E2428" s="2">
        <v>-6.3920000000000003E-4</v>
      </c>
      <c r="F2428" s="2" t="s">
        <v>174</v>
      </c>
    </row>
    <row r="2429" spans="1:6" ht="22.5" hidden="1" customHeight="1" x14ac:dyDescent="0.25">
      <c r="A2429" s="3">
        <v>44044</v>
      </c>
      <c r="B2429" s="2" t="s">
        <v>231</v>
      </c>
      <c r="C2429" s="2">
        <v>-0.69</v>
      </c>
      <c r="D2429" s="2">
        <v>0.16869999999999999</v>
      </c>
      <c r="E2429" s="2">
        <v>-1.1640299999999999E-3</v>
      </c>
      <c r="F2429" s="2" t="s">
        <v>174</v>
      </c>
    </row>
    <row r="2430" spans="1:6" ht="22.5" hidden="1" customHeight="1" x14ac:dyDescent="0.25">
      <c r="A2430" s="3">
        <v>44044</v>
      </c>
      <c r="B2430" s="2" t="s">
        <v>232</v>
      </c>
      <c r="C2430" s="2">
        <v>-1.83</v>
      </c>
      <c r="D2430" s="2">
        <v>5.5999999999999999E-3</v>
      </c>
      <c r="E2430" s="2">
        <v>-1.0247999999999999E-4</v>
      </c>
      <c r="F2430" s="2" t="s">
        <v>174</v>
      </c>
    </row>
    <row r="2431" spans="1:6" ht="22.5" hidden="1" customHeight="1" x14ac:dyDescent="0.25">
      <c r="A2431" s="3">
        <v>44044</v>
      </c>
      <c r="B2431" s="2" t="s">
        <v>233</v>
      </c>
      <c r="C2431" s="2">
        <v>-1.03</v>
      </c>
      <c r="D2431" s="2">
        <v>0.56999999999999995</v>
      </c>
      <c r="E2431" s="2">
        <v>-5.8710000000000004E-3</v>
      </c>
      <c r="F2431" s="2" t="s">
        <v>174</v>
      </c>
    </row>
    <row r="2432" spans="1:6" ht="22.5" hidden="1" customHeight="1" x14ac:dyDescent="0.25">
      <c r="A2432" s="3">
        <v>44044</v>
      </c>
      <c r="B2432" s="2" t="s">
        <v>234</v>
      </c>
      <c r="C2432" s="2">
        <v>0.24</v>
      </c>
      <c r="D2432" s="2">
        <v>0.31979999999999997</v>
      </c>
      <c r="E2432" s="2">
        <v>7.6752000000000005E-4</v>
      </c>
      <c r="F2432" s="2" t="s">
        <v>174</v>
      </c>
    </row>
    <row r="2433" spans="1:6" ht="22.5" hidden="1" customHeight="1" x14ac:dyDescent="0.25">
      <c r="A2433" s="3">
        <v>44044</v>
      </c>
      <c r="B2433" s="2" t="s">
        <v>235</v>
      </c>
      <c r="C2433" s="2">
        <v>-2.4700000000000002</v>
      </c>
      <c r="D2433" s="2">
        <v>2.75E-2</v>
      </c>
      <c r="E2433" s="2">
        <v>-6.7924999999999995E-4</v>
      </c>
      <c r="F2433" s="2" t="s">
        <v>174</v>
      </c>
    </row>
    <row r="2434" spans="1:6" ht="22.5" hidden="1" customHeight="1" x14ac:dyDescent="0.25">
      <c r="A2434" s="3">
        <v>44044</v>
      </c>
      <c r="B2434" s="2" t="s">
        <v>236</v>
      </c>
      <c r="C2434" s="2">
        <v>-1.3</v>
      </c>
      <c r="D2434" s="2">
        <v>7.7999999999999996E-3</v>
      </c>
      <c r="E2434" s="2">
        <v>-1.014E-4</v>
      </c>
      <c r="F2434" s="2" t="s">
        <v>174</v>
      </c>
    </row>
    <row r="2435" spans="1:6" ht="22.5" hidden="1" customHeight="1" x14ac:dyDescent="0.25">
      <c r="A2435" s="3">
        <v>44044</v>
      </c>
      <c r="B2435" s="2" t="s">
        <v>237</v>
      </c>
      <c r="C2435" s="2">
        <v>-0.8</v>
      </c>
      <c r="D2435" s="2">
        <v>0.29389999999999999</v>
      </c>
      <c r="E2435" s="2">
        <v>-2.3511999999999999E-3</v>
      </c>
      <c r="F2435" s="2" t="s">
        <v>174</v>
      </c>
    </row>
    <row r="2436" spans="1:6" ht="22.5" hidden="1" customHeight="1" x14ac:dyDescent="0.25">
      <c r="A2436" s="3">
        <v>44044</v>
      </c>
      <c r="B2436" s="2" t="s">
        <v>238</v>
      </c>
      <c r="C2436" s="2">
        <v>-1.54</v>
      </c>
      <c r="D2436" s="2">
        <v>0.53090000000000004</v>
      </c>
      <c r="E2436" s="2">
        <v>-8.1758600000000001E-3</v>
      </c>
      <c r="F2436" s="2" t="s">
        <v>174</v>
      </c>
    </row>
    <row r="2437" spans="1:6" ht="22.5" hidden="1" customHeight="1" x14ac:dyDescent="0.25">
      <c r="A2437" s="3">
        <v>44044</v>
      </c>
      <c r="B2437" s="2" t="s">
        <v>239</v>
      </c>
      <c r="C2437" s="2">
        <v>0</v>
      </c>
      <c r="D2437" s="2">
        <v>0.1114</v>
      </c>
      <c r="E2437" s="2">
        <v>0</v>
      </c>
      <c r="F2437" s="2" t="s">
        <v>174</v>
      </c>
    </row>
    <row r="2438" spans="1:6" ht="22.5" hidden="1" customHeight="1" x14ac:dyDescent="0.25">
      <c r="A2438" s="3">
        <v>44044</v>
      </c>
      <c r="B2438" s="2" t="s">
        <v>240</v>
      </c>
      <c r="C2438" s="2">
        <v>-1.1100000000000001</v>
      </c>
      <c r="D2438" s="2">
        <v>6.4100000000000004E-2</v>
      </c>
      <c r="E2438" s="2">
        <v>-7.1151000000000005E-4</v>
      </c>
      <c r="F2438" s="2" t="s">
        <v>174</v>
      </c>
    </row>
    <row r="2439" spans="1:6" ht="22.5" hidden="1" customHeight="1" x14ac:dyDescent="0.25">
      <c r="A2439" s="3">
        <v>44044</v>
      </c>
      <c r="B2439" s="2" t="s">
        <v>241</v>
      </c>
      <c r="C2439" s="2">
        <v>-7.0000000000000007E-2</v>
      </c>
      <c r="D2439" s="2">
        <v>8.6400000000000005E-2</v>
      </c>
      <c r="E2439" s="2">
        <v>-6.0479999999999997E-5</v>
      </c>
      <c r="F2439" s="2" t="s">
        <v>174</v>
      </c>
    </row>
    <row r="2440" spans="1:6" ht="22.5" hidden="1" customHeight="1" x14ac:dyDescent="0.25">
      <c r="A2440" s="3">
        <v>44044</v>
      </c>
      <c r="B2440" s="2" t="s">
        <v>242</v>
      </c>
      <c r="C2440" s="2">
        <v>-0.65</v>
      </c>
      <c r="D2440" s="2">
        <v>7.4999999999999997E-2</v>
      </c>
      <c r="E2440" s="2">
        <v>-4.8749999999999998E-4</v>
      </c>
      <c r="F2440" s="2" t="s">
        <v>174</v>
      </c>
    </row>
    <row r="2441" spans="1:6" ht="22.5" hidden="1" customHeight="1" x14ac:dyDescent="0.25">
      <c r="A2441" s="3">
        <v>44044</v>
      </c>
      <c r="B2441" s="2" t="s">
        <v>243</v>
      </c>
      <c r="C2441" s="2">
        <v>-2.54</v>
      </c>
      <c r="D2441" s="2">
        <v>8.6E-3</v>
      </c>
      <c r="E2441" s="2">
        <v>-2.1844E-4</v>
      </c>
      <c r="F2441" s="2" t="s">
        <v>174</v>
      </c>
    </row>
    <row r="2442" spans="1:6" ht="22.5" hidden="1" customHeight="1" x14ac:dyDescent="0.25">
      <c r="A2442" s="3">
        <v>44044</v>
      </c>
      <c r="B2442" s="2" t="s">
        <v>244</v>
      </c>
      <c r="C2442" s="2">
        <v>-1.48</v>
      </c>
      <c r="D2442" s="2">
        <v>5.4699999999999999E-2</v>
      </c>
      <c r="E2442" s="2">
        <v>-8.0955999999999997E-4</v>
      </c>
      <c r="F2442" s="2" t="s">
        <v>174</v>
      </c>
    </row>
    <row r="2443" spans="1:6" ht="22.5" hidden="1" customHeight="1" x14ac:dyDescent="0.25">
      <c r="A2443" s="3">
        <v>44044</v>
      </c>
      <c r="B2443" s="2" t="s">
        <v>245</v>
      </c>
      <c r="C2443" s="2">
        <v>-0.5</v>
      </c>
      <c r="D2443" s="2">
        <v>5.3199999999999997E-2</v>
      </c>
      <c r="E2443" s="2">
        <v>-2.6600000000000001E-4</v>
      </c>
      <c r="F2443" s="2" t="s">
        <v>174</v>
      </c>
    </row>
    <row r="2444" spans="1:6" ht="22.5" hidden="1" customHeight="1" x14ac:dyDescent="0.25">
      <c r="A2444" s="3">
        <v>44044</v>
      </c>
      <c r="B2444" s="2" t="s">
        <v>246</v>
      </c>
      <c r="C2444" s="2">
        <v>-1.49</v>
      </c>
      <c r="D2444" s="2">
        <v>0.19420000000000001</v>
      </c>
      <c r="E2444" s="2">
        <v>-2.8935800000000002E-3</v>
      </c>
      <c r="F2444" s="2" t="s">
        <v>174</v>
      </c>
    </row>
    <row r="2445" spans="1:6" ht="22.5" hidden="1" customHeight="1" x14ac:dyDescent="0.25">
      <c r="A2445" s="3">
        <v>44044</v>
      </c>
      <c r="B2445" s="2" t="s">
        <v>247</v>
      </c>
      <c r="C2445" s="2">
        <v>0.09</v>
      </c>
      <c r="D2445" s="2">
        <v>0.14099999999999999</v>
      </c>
      <c r="E2445" s="2">
        <v>1.2689999999999999E-4</v>
      </c>
      <c r="F2445" s="2" t="s">
        <v>174</v>
      </c>
    </row>
    <row r="2446" spans="1:6" ht="22.5" hidden="1" customHeight="1" x14ac:dyDescent="0.25">
      <c r="A2446" s="3">
        <v>44044</v>
      </c>
      <c r="B2446" s="2" t="s">
        <v>248</v>
      </c>
      <c r="C2446" s="2">
        <v>-1.22</v>
      </c>
      <c r="D2446" s="2">
        <v>0.1517</v>
      </c>
      <c r="E2446" s="2">
        <v>-1.85074E-3</v>
      </c>
      <c r="F2446" s="2" t="s">
        <v>174</v>
      </c>
    </row>
    <row r="2447" spans="1:6" ht="22.5" hidden="1" customHeight="1" x14ac:dyDescent="0.25">
      <c r="A2447" s="3">
        <v>44044</v>
      </c>
      <c r="B2447" s="2" t="s">
        <v>249</v>
      </c>
      <c r="C2447" s="2">
        <v>-0.82</v>
      </c>
      <c r="D2447" s="2">
        <v>0.2767</v>
      </c>
      <c r="E2447" s="2">
        <v>-2.2689400000000001E-3</v>
      </c>
      <c r="F2447" s="2" t="s">
        <v>174</v>
      </c>
    </row>
    <row r="2448" spans="1:6" ht="22.5" hidden="1" customHeight="1" x14ac:dyDescent="0.25">
      <c r="A2448" s="3">
        <v>44044</v>
      </c>
      <c r="B2448" s="2" t="s">
        <v>250</v>
      </c>
      <c r="C2448" s="2">
        <v>-0.53</v>
      </c>
      <c r="D2448" s="2">
        <v>2.7E-2</v>
      </c>
      <c r="E2448" s="2">
        <v>-1.4310000000000001E-4</v>
      </c>
      <c r="F2448" s="2" t="s">
        <v>174</v>
      </c>
    </row>
    <row r="2449" spans="1:6" ht="22.5" hidden="1" customHeight="1" x14ac:dyDescent="0.25">
      <c r="A2449" s="3">
        <v>44044</v>
      </c>
      <c r="B2449" s="2" t="s">
        <v>251</v>
      </c>
      <c r="C2449" s="2">
        <v>-0.66</v>
      </c>
      <c r="D2449" s="2">
        <v>6.3E-2</v>
      </c>
      <c r="E2449" s="2">
        <v>-4.1580000000000002E-4</v>
      </c>
      <c r="F2449" s="2" t="s">
        <v>174</v>
      </c>
    </row>
    <row r="2450" spans="1:6" ht="22.5" hidden="1" customHeight="1" x14ac:dyDescent="0.25">
      <c r="A2450" s="3">
        <v>44044</v>
      </c>
      <c r="B2450" s="2" t="s">
        <v>252</v>
      </c>
      <c r="C2450" s="2">
        <v>-1.1299999999999999</v>
      </c>
      <c r="D2450" s="2">
        <v>8.8000000000000005E-3</v>
      </c>
      <c r="E2450" s="2">
        <v>-9.9439999999999997E-5</v>
      </c>
      <c r="F2450" s="2" t="s">
        <v>174</v>
      </c>
    </row>
    <row r="2451" spans="1:6" ht="22.5" hidden="1" customHeight="1" x14ac:dyDescent="0.25">
      <c r="A2451" s="3">
        <v>44044</v>
      </c>
      <c r="B2451" s="2" t="s">
        <v>253</v>
      </c>
      <c r="C2451" s="2">
        <v>-0.17</v>
      </c>
      <c r="D2451" s="2">
        <v>0.44009999999999999</v>
      </c>
      <c r="E2451" s="2">
        <v>-7.4817000000000004E-4</v>
      </c>
      <c r="F2451" s="2" t="s">
        <v>174</v>
      </c>
    </row>
    <row r="2452" spans="1:6" ht="22.5" hidden="1" customHeight="1" x14ac:dyDescent="0.25">
      <c r="A2452" s="3">
        <v>44044</v>
      </c>
      <c r="B2452" s="2" t="s">
        <v>254</v>
      </c>
      <c r="C2452" s="2">
        <v>-0.37</v>
      </c>
      <c r="D2452" s="2">
        <v>0.1893</v>
      </c>
      <c r="E2452" s="2">
        <v>-7.0041000000000005E-4</v>
      </c>
      <c r="F2452" s="2" t="s">
        <v>174</v>
      </c>
    </row>
    <row r="2453" spans="1:6" ht="22.5" hidden="1" customHeight="1" x14ac:dyDescent="0.25">
      <c r="A2453" s="3">
        <v>44044</v>
      </c>
      <c r="B2453" s="2" t="s">
        <v>255</v>
      </c>
      <c r="C2453" s="2">
        <v>-2.23</v>
      </c>
      <c r="D2453" s="2">
        <v>1.7100000000000001E-2</v>
      </c>
      <c r="E2453" s="2">
        <v>-3.8132999999999998E-4</v>
      </c>
      <c r="F2453" s="2" t="s">
        <v>170</v>
      </c>
    </row>
    <row r="2454" spans="1:6" ht="22.5" hidden="1" customHeight="1" x14ac:dyDescent="0.25">
      <c r="A2454" s="3">
        <v>44044</v>
      </c>
      <c r="B2454" s="2" t="s">
        <v>256</v>
      </c>
      <c r="C2454" s="2">
        <v>1.93</v>
      </c>
      <c r="D2454" s="2">
        <v>0.13539999999999999</v>
      </c>
      <c r="E2454" s="2">
        <v>2.6132199999999999E-3</v>
      </c>
      <c r="F2454" s="2" t="s">
        <v>170</v>
      </c>
    </row>
    <row r="2455" spans="1:6" ht="22.5" hidden="1" customHeight="1" x14ac:dyDescent="0.25">
      <c r="A2455" s="3">
        <v>44044</v>
      </c>
      <c r="B2455" s="2" t="s">
        <v>257</v>
      </c>
      <c r="C2455" s="2">
        <v>0.19</v>
      </c>
      <c r="D2455" s="2">
        <v>0.05</v>
      </c>
      <c r="E2455" s="2">
        <v>9.5000000000000005E-5</v>
      </c>
      <c r="F2455" s="2" t="s">
        <v>170</v>
      </c>
    </row>
    <row r="2456" spans="1:6" ht="22.5" hidden="1" customHeight="1" x14ac:dyDescent="0.25">
      <c r="A2456" s="3">
        <v>44044</v>
      </c>
      <c r="B2456" s="2" t="s">
        <v>258</v>
      </c>
      <c r="C2456" s="2">
        <v>0.4</v>
      </c>
      <c r="D2456" s="2">
        <v>4.6300000000000001E-2</v>
      </c>
      <c r="E2456" s="2">
        <v>1.852E-4</v>
      </c>
      <c r="F2456" s="2" t="s">
        <v>174</v>
      </c>
    </row>
    <row r="2457" spans="1:6" ht="22.5" hidden="1" customHeight="1" x14ac:dyDescent="0.25">
      <c r="A2457" s="3">
        <v>44044</v>
      </c>
      <c r="B2457" s="2" t="s">
        <v>259</v>
      </c>
      <c r="C2457" s="2">
        <v>1.06</v>
      </c>
      <c r="D2457" s="2">
        <v>0.01</v>
      </c>
      <c r="E2457" s="2">
        <v>1.06E-4</v>
      </c>
      <c r="F2457" s="2" t="s">
        <v>174</v>
      </c>
    </row>
    <row r="2458" spans="1:6" ht="22.5" hidden="1" customHeight="1" x14ac:dyDescent="0.25">
      <c r="A2458" s="3">
        <v>44531</v>
      </c>
      <c r="B2458" s="2" t="s">
        <v>264</v>
      </c>
      <c r="C2458" s="2">
        <v>2.35</v>
      </c>
      <c r="D2458" s="2">
        <v>9.6199999999999994E-2</v>
      </c>
      <c r="E2458" s="2">
        <v>2.2607E-3</v>
      </c>
      <c r="F2458" s="2" t="s">
        <v>168</v>
      </c>
    </row>
    <row r="2459" spans="1:6" ht="22.5" hidden="1" customHeight="1" x14ac:dyDescent="0.25">
      <c r="A2459" s="3">
        <v>44197</v>
      </c>
      <c r="B2459" s="2" t="s">
        <v>264</v>
      </c>
      <c r="C2459" s="2">
        <v>2.14</v>
      </c>
      <c r="D2459" s="2">
        <v>0.1051</v>
      </c>
      <c r="E2459" s="2">
        <v>2.2491400000000002E-3</v>
      </c>
      <c r="F2459" s="2" t="s">
        <v>168</v>
      </c>
    </row>
    <row r="2460" spans="1:6" ht="22.5" hidden="1" customHeight="1" x14ac:dyDescent="0.25">
      <c r="A2460" s="3">
        <v>44013</v>
      </c>
      <c r="B2460" s="2" t="s">
        <v>292</v>
      </c>
      <c r="C2460" s="2">
        <v>1.73</v>
      </c>
      <c r="D2460" s="2">
        <v>0.1278</v>
      </c>
      <c r="E2460" s="2">
        <v>2.2109400000000002E-3</v>
      </c>
      <c r="F2460" s="2" t="s">
        <v>168</v>
      </c>
    </row>
    <row r="2461" spans="1:6" ht="22.5" hidden="1" customHeight="1" x14ac:dyDescent="0.25">
      <c r="A2461" s="3">
        <v>44501</v>
      </c>
      <c r="B2461" s="2" t="s">
        <v>290</v>
      </c>
      <c r="C2461" s="2">
        <v>1.52</v>
      </c>
      <c r="D2461" s="2">
        <v>0.14410000000000001</v>
      </c>
      <c r="E2461" s="2">
        <v>2.1903199999999999E-3</v>
      </c>
      <c r="F2461" s="2" t="s">
        <v>168</v>
      </c>
    </row>
    <row r="2462" spans="1:6" ht="22.5" hidden="1" customHeight="1" x14ac:dyDescent="0.25">
      <c r="A2462" s="3">
        <v>44440</v>
      </c>
      <c r="B2462" s="2" t="s">
        <v>264</v>
      </c>
      <c r="C2462" s="2">
        <v>2.2599999999999998</v>
      </c>
      <c r="D2462" s="2">
        <v>9.6299999999999997E-2</v>
      </c>
      <c r="E2462" s="2">
        <v>2.1763799999999999E-3</v>
      </c>
      <c r="F2462" s="2" t="s">
        <v>168</v>
      </c>
    </row>
    <row r="2463" spans="1:6" ht="22.5" hidden="1" customHeight="1" x14ac:dyDescent="0.25">
      <c r="A2463" s="3">
        <v>44531</v>
      </c>
      <c r="B2463" s="2" t="s">
        <v>287</v>
      </c>
      <c r="C2463" s="2">
        <v>2.75</v>
      </c>
      <c r="D2463" s="2">
        <v>7.9100000000000004E-2</v>
      </c>
      <c r="E2463" s="2">
        <v>2.1752500000000001E-3</v>
      </c>
      <c r="F2463" s="2" t="s">
        <v>168</v>
      </c>
    </row>
    <row r="2464" spans="1:6" ht="22.5" hidden="1" customHeight="1" x14ac:dyDescent="0.25">
      <c r="A2464" s="3">
        <v>44136</v>
      </c>
      <c r="B2464" s="2" t="s">
        <v>300</v>
      </c>
      <c r="C2464" s="2">
        <v>1.2</v>
      </c>
      <c r="D2464" s="2">
        <v>0.1792</v>
      </c>
      <c r="E2464" s="2">
        <v>2.1503999999999998E-3</v>
      </c>
      <c r="F2464" s="2" t="s">
        <v>168</v>
      </c>
    </row>
    <row r="2465" spans="1:6" ht="22.5" hidden="1" customHeight="1" x14ac:dyDescent="0.25">
      <c r="A2465" s="3">
        <v>44044</v>
      </c>
      <c r="B2465" s="2" t="s">
        <v>267</v>
      </c>
      <c r="C2465" s="2">
        <v>0</v>
      </c>
      <c r="D2465" s="2">
        <v>0.13689999999999999</v>
      </c>
      <c r="E2465" s="2">
        <v>0</v>
      </c>
      <c r="F2465" s="2" t="s">
        <v>165</v>
      </c>
    </row>
    <row r="2466" spans="1:6" ht="22.5" hidden="1" customHeight="1" x14ac:dyDescent="0.25">
      <c r="A2466" s="3">
        <v>44044</v>
      </c>
      <c r="B2466" s="2" t="s">
        <v>268</v>
      </c>
      <c r="C2466" s="2">
        <v>-6.75</v>
      </c>
      <c r="D2466" s="2">
        <v>0.18360000000000001</v>
      </c>
      <c r="E2466" s="2">
        <v>-1.2393E-2</v>
      </c>
      <c r="F2466" s="2" t="s">
        <v>165</v>
      </c>
    </row>
    <row r="2467" spans="1:6" ht="22.5" hidden="1" customHeight="1" x14ac:dyDescent="0.25">
      <c r="A2467" s="3">
        <v>44044</v>
      </c>
      <c r="B2467" s="2" t="s">
        <v>269</v>
      </c>
      <c r="C2467" s="2">
        <v>0</v>
      </c>
      <c r="D2467" s="2">
        <v>7.0400000000000004E-2</v>
      </c>
      <c r="E2467" s="2">
        <v>0</v>
      </c>
      <c r="F2467" s="2" t="s">
        <v>165</v>
      </c>
    </row>
    <row r="2468" spans="1:6" ht="22.5" hidden="1" customHeight="1" x14ac:dyDescent="0.25">
      <c r="A2468" s="3">
        <v>44044</v>
      </c>
      <c r="B2468" s="2" t="s">
        <v>270</v>
      </c>
      <c r="C2468" s="2">
        <v>0.44</v>
      </c>
      <c r="D2468" s="2">
        <v>2.9904999999999999</v>
      </c>
      <c r="E2468" s="2">
        <v>1.31582E-2</v>
      </c>
      <c r="F2468" s="2" t="s">
        <v>170</v>
      </c>
    </row>
    <row r="2469" spans="1:6" ht="22.5" hidden="1" customHeight="1" x14ac:dyDescent="0.25">
      <c r="A2469" s="3">
        <v>44531</v>
      </c>
      <c r="B2469" s="2" t="s">
        <v>291</v>
      </c>
      <c r="C2469" s="2">
        <v>1.19</v>
      </c>
      <c r="D2469" s="2">
        <v>0.18060000000000001</v>
      </c>
      <c r="E2469" s="2">
        <v>2.1491399999999999E-3</v>
      </c>
      <c r="F2469" s="2" t="s">
        <v>168</v>
      </c>
    </row>
    <row r="2470" spans="1:6" ht="22.5" hidden="1" customHeight="1" x14ac:dyDescent="0.25">
      <c r="A2470" s="3">
        <v>44044</v>
      </c>
      <c r="B2470" s="2" t="s">
        <v>272</v>
      </c>
      <c r="C2470" s="2">
        <v>-1.92</v>
      </c>
      <c r="D2470" s="2">
        <v>0.77990000000000004</v>
      </c>
      <c r="E2470" s="2">
        <v>-1.4974080000000001E-2</v>
      </c>
      <c r="F2470" s="2" t="s">
        <v>165</v>
      </c>
    </row>
    <row r="2471" spans="1:6" ht="22.5" hidden="1" customHeight="1" x14ac:dyDescent="0.25">
      <c r="A2471" s="3">
        <v>44256</v>
      </c>
      <c r="B2471" s="2" t="s">
        <v>197</v>
      </c>
      <c r="C2471" s="2">
        <v>0.05</v>
      </c>
      <c r="D2471" s="2">
        <v>4.2668999999999997</v>
      </c>
      <c r="E2471" s="2">
        <v>2.1334499999999998E-3</v>
      </c>
      <c r="F2471" s="2" t="s">
        <v>168</v>
      </c>
    </row>
    <row r="2472" spans="1:6" ht="22.5" hidden="1" customHeight="1" x14ac:dyDescent="0.25">
      <c r="A2472" s="3">
        <v>44044</v>
      </c>
      <c r="B2472" s="2" t="s">
        <v>274</v>
      </c>
      <c r="C2472" s="2">
        <v>0.82</v>
      </c>
      <c r="D2472" s="2">
        <v>0.1278</v>
      </c>
      <c r="E2472" s="2">
        <v>1.0479599999999999E-3</v>
      </c>
      <c r="F2472" s="2" t="s">
        <v>170</v>
      </c>
    </row>
    <row r="2473" spans="1:6" ht="22.5" hidden="1" customHeight="1" x14ac:dyDescent="0.25">
      <c r="A2473" s="3">
        <v>44044</v>
      </c>
      <c r="B2473" s="2" t="s">
        <v>275</v>
      </c>
      <c r="C2473" s="2">
        <v>1.06</v>
      </c>
      <c r="D2473" s="2">
        <v>0.17349999999999999</v>
      </c>
      <c r="E2473" s="2">
        <v>1.8391E-3</v>
      </c>
      <c r="F2473" s="2" t="s">
        <v>170</v>
      </c>
    </row>
    <row r="2474" spans="1:6" ht="22.5" hidden="1" customHeight="1" x14ac:dyDescent="0.25">
      <c r="A2474" s="3">
        <v>44044</v>
      </c>
      <c r="B2474" s="2" t="s">
        <v>276</v>
      </c>
      <c r="C2474" s="2">
        <v>2</v>
      </c>
      <c r="D2474" s="2">
        <v>0.2039</v>
      </c>
      <c r="E2474" s="2">
        <v>4.078E-3</v>
      </c>
      <c r="F2474" s="2" t="s">
        <v>170</v>
      </c>
    </row>
    <row r="2475" spans="1:6" ht="22.5" hidden="1" customHeight="1" x14ac:dyDescent="0.25">
      <c r="A2475" s="3">
        <v>44044</v>
      </c>
      <c r="B2475" s="2" t="s">
        <v>277</v>
      </c>
      <c r="C2475" s="2">
        <v>0.56000000000000005</v>
      </c>
      <c r="D2475" s="2">
        <v>1.708</v>
      </c>
      <c r="E2475" s="2">
        <v>9.5648E-3</v>
      </c>
      <c r="F2475" s="2" t="s">
        <v>165</v>
      </c>
    </row>
    <row r="2476" spans="1:6" ht="22.5" hidden="1" customHeight="1" x14ac:dyDescent="0.25">
      <c r="A2476" s="3">
        <v>44044</v>
      </c>
      <c r="B2476" s="2" t="s">
        <v>278</v>
      </c>
      <c r="C2476" s="2">
        <v>-0.87</v>
      </c>
      <c r="D2476" s="2">
        <v>7.2099999999999997E-2</v>
      </c>
      <c r="E2476" s="2">
        <v>-6.2726999999999998E-4</v>
      </c>
      <c r="F2476" s="2" t="s">
        <v>165</v>
      </c>
    </row>
    <row r="2477" spans="1:6" ht="22.5" hidden="1" customHeight="1" x14ac:dyDescent="0.25">
      <c r="A2477" s="3">
        <v>44440</v>
      </c>
      <c r="B2477" s="2" t="s">
        <v>291</v>
      </c>
      <c r="C2477" s="2">
        <v>1.18</v>
      </c>
      <c r="D2477" s="2">
        <v>0.17910000000000001</v>
      </c>
      <c r="E2477" s="2">
        <v>2.1133800000000002E-3</v>
      </c>
      <c r="F2477" s="2" t="s">
        <v>168</v>
      </c>
    </row>
    <row r="2478" spans="1:6" ht="22.5" hidden="1" customHeight="1" x14ac:dyDescent="0.25">
      <c r="A2478" s="3">
        <v>44044</v>
      </c>
      <c r="B2478" s="2" t="s">
        <v>280</v>
      </c>
      <c r="C2478" s="2">
        <v>1.02</v>
      </c>
      <c r="D2478" s="2">
        <v>1.8867</v>
      </c>
      <c r="E2478" s="2">
        <v>1.9244339999999999E-2</v>
      </c>
      <c r="F2478" s="2" t="s">
        <v>170</v>
      </c>
    </row>
    <row r="2479" spans="1:6" ht="22.5" hidden="1" customHeight="1" x14ac:dyDescent="0.25">
      <c r="A2479" s="3">
        <v>44044</v>
      </c>
      <c r="B2479" s="2" t="s">
        <v>281</v>
      </c>
      <c r="C2479" s="2">
        <v>0.96</v>
      </c>
      <c r="D2479" s="2">
        <v>1.6400000000000001E-2</v>
      </c>
      <c r="E2479" s="2">
        <v>1.5744000000000001E-4</v>
      </c>
      <c r="F2479" s="2" t="s">
        <v>165</v>
      </c>
    </row>
    <row r="2480" spans="1:6" ht="22.5" hidden="1" customHeight="1" x14ac:dyDescent="0.25">
      <c r="A2480" s="3">
        <v>44044</v>
      </c>
      <c r="B2480" s="2" t="s">
        <v>282</v>
      </c>
      <c r="C2480" s="2">
        <v>1.06</v>
      </c>
      <c r="D2480" s="2">
        <v>1.9900000000000001E-2</v>
      </c>
      <c r="E2480" s="2">
        <v>2.1094000000000001E-4</v>
      </c>
      <c r="F2480" s="2" t="s">
        <v>165</v>
      </c>
    </row>
    <row r="2481" spans="1:6" ht="22.5" hidden="1" customHeight="1" x14ac:dyDescent="0.25">
      <c r="A2481" s="3">
        <v>44044</v>
      </c>
      <c r="B2481" s="2" t="s">
        <v>283</v>
      </c>
      <c r="C2481" s="2">
        <v>0.39</v>
      </c>
      <c r="D2481" s="2">
        <v>0.57899999999999996</v>
      </c>
      <c r="E2481" s="2">
        <v>2.2580999999999999E-3</v>
      </c>
      <c r="F2481" s="2" t="s">
        <v>170</v>
      </c>
    </row>
    <row r="2482" spans="1:6" ht="22.5" hidden="1" customHeight="1" x14ac:dyDescent="0.25">
      <c r="A2482" s="3">
        <v>44531</v>
      </c>
      <c r="B2482" s="2" t="s">
        <v>288</v>
      </c>
      <c r="C2482" s="2">
        <v>0.96</v>
      </c>
      <c r="D2482" s="2">
        <v>0.22</v>
      </c>
      <c r="E2482" s="2">
        <v>2.1120000000000002E-3</v>
      </c>
      <c r="F2482" s="2" t="s">
        <v>168</v>
      </c>
    </row>
    <row r="2483" spans="1:6" ht="22.5" hidden="1" customHeight="1" x14ac:dyDescent="0.25">
      <c r="A2483" s="3">
        <v>44501</v>
      </c>
      <c r="B2483" s="2" t="s">
        <v>300</v>
      </c>
      <c r="C2483" s="2">
        <v>1.23</v>
      </c>
      <c r="D2483" s="2">
        <v>0.1706</v>
      </c>
      <c r="E2483" s="2">
        <v>2.09838E-3</v>
      </c>
      <c r="F2483" s="2" t="s">
        <v>168</v>
      </c>
    </row>
    <row r="2484" spans="1:6" ht="22.5" hidden="1" customHeight="1" x14ac:dyDescent="0.25">
      <c r="A2484" s="3">
        <v>44348</v>
      </c>
      <c r="B2484" s="2" t="s">
        <v>260</v>
      </c>
      <c r="C2484" s="2">
        <v>0.16</v>
      </c>
      <c r="D2484" s="2">
        <v>1.3086</v>
      </c>
      <c r="E2484" s="2">
        <v>2.0937600000000001E-3</v>
      </c>
      <c r="F2484" s="2" t="s">
        <v>168</v>
      </c>
    </row>
    <row r="2485" spans="1:6" ht="22.5" hidden="1" customHeight="1" x14ac:dyDescent="0.25">
      <c r="A2485" s="3">
        <v>44378</v>
      </c>
      <c r="B2485" s="2" t="s">
        <v>260</v>
      </c>
      <c r="C2485" s="2">
        <v>0.16</v>
      </c>
      <c r="D2485" s="2">
        <v>1.3002</v>
      </c>
      <c r="E2485" s="2">
        <v>2.0803200000000001E-3</v>
      </c>
      <c r="F2485" s="2" t="s">
        <v>168</v>
      </c>
    </row>
    <row r="2486" spans="1:6" ht="22.5" hidden="1" customHeight="1" x14ac:dyDescent="0.25">
      <c r="A2486" s="3">
        <v>44348</v>
      </c>
      <c r="B2486" s="2" t="s">
        <v>298</v>
      </c>
      <c r="C2486" s="2">
        <v>0.34</v>
      </c>
      <c r="D2486" s="2">
        <v>0.60699999999999998</v>
      </c>
      <c r="E2486" s="2">
        <v>2.0638000000000002E-3</v>
      </c>
      <c r="F2486" s="2" t="s">
        <v>168</v>
      </c>
    </row>
    <row r="2487" spans="1:6" ht="22.5" hidden="1" customHeight="1" x14ac:dyDescent="0.25">
      <c r="A2487" s="3">
        <v>44593</v>
      </c>
      <c r="B2487" s="2" t="s">
        <v>263</v>
      </c>
      <c r="C2487" s="2">
        <v>0.53</v>
      </c>
      <c r="D2487" s="2">
        <v>0.38729999999999998</v>
      </c>
      <c r="E2487" s="2">
        <v>2.0526899999999998E-3</v>
      </c>
      <c r="F2487" s="2" t="s">
        <v>168</v>
      </c>
    </row>
    <row r="2488" spans="1:6" ht="22.5" hidden="1" customHeight="1" x14ac:dyDescent="0.25">
      <c r="A2488" s="3">
        <v>44440</v>
      </c>
      <c r="B2488" s="2" t="s">
        <v>295</v>
      </c>
      <c r="C2488" s="2">
        <v>0.94</v>
      </c>
      <c r="D2488" s="2">
        <v>0.21529999999999999</v>
      </c>
      <c r="E2488" s="2">
        <v>2.02382E-3</v>
      </c>
      <c r="F2488" s="2" t="s">
        <v>168</v>
      </c>
    </row>
    <row r="2489" spans="1:6" ht="22.5" hidden="1" customHeight="1" x14ac:dyDescent="0.25">
      <c r="A2489" s="3">
        <v>44501</v>
      </c>
      <c r="B2489" s="2" t="s">
        <v>287</v>
      </c>
      <c r="C2489" s="2">
        <v>2.59</v>
      </c>
      <c r="D2489" s="2">
        <v>7.8E-2</v>
      </c>
      <c r="E2489" s="2">
        <v>2.0202000000000002E-3</v>
      </c>
      <c r="F2489" s="2" t="s">
        <v>168</v>
      </c>
    </row>
    <row r="2490" spans="1:6" ht="22.5" hidden="1" customHeight="1" x14ac:dyDescent="0.25">
      <c r="A2490" s="3">
        <v>44317</v>
      </c>
      <c r="B2490" s="2" t="s">
        <v>291</v>
      </c>
      <c r="C2490" s="2">
        <v>1.1000000000000001</v>
      </c>
      <c r="D2490" s="2">
        <v>0.183</v>
      </c>
      <c r="E2490" s="2">
        <v>2.013E-3</v>
      </c>
      <c r="F2490" s="2" t="s">
        <v>168</v>
      </c>
    </row>
    <row r="2491" spans="1:6" ht="22.5" hidden="1" customHeight="1" x14ac:dyDescent="0.25">
      <c r="A2491" s="3">
        <v>43983</v>
      </c>
      <c r="B2491" s="2" t="s">
        <v>167</v>
      </c>
      <c r="C2491" s="2">
        <v>0.11</v>
      </c>
      <c r="D2491" s="2">
        <v>1.8190999999999999</v>
      </c>
      <c r="E2491" s="2">
        <v>2.0010100000000001E-3</v>
      </c>
      <c r="F2491" s="2" t="s">
        <v>168</v>
      </c>
    </row>
    <row r="2492" spans="1:6" ht="22.5" hidden="1" customHeight="1" x14ac:dyDescent="0.25">
      <c r="A2492" s="3">
        <v>44531</v>
      </c>
      <c r="B2492" s="2" t="s">
        <v>271</v>
      </c>
      <c r="C2492" s="2">
        <v>0.09</v>
      </c>
      <c r="D2492" s="2">
        <v>2.1846999999999999</v>
      </c>
      <c r="E2492" s="2">
        <v>1.9662299999999998E-3</v>
      </c>
      <c r="F2492" s="2" t="s">
        <v>168</v>
      </c>
    </row>
    <row r="2493" spans="1:6" ht="22.5" hidden="1" customHeight="1" x14ac:dyDescent="0.25">
      <c r="A2493" s="3">
        <v>44287</v>
      </c>
      <c r="B2493" s="2" t="s">
        <v>300</v>
      </c>
      <c r="C2493" s="2">
        <v>1.1299999999999999</v>
      </c>
      <c r="D2493" s="2">
        <v>0.17349999999999999</v>
      </c>
      <c r="E2493" s="2">
        <v>1.9605500000000001E-3</v>
      </c>
      <c r="F2493" s="2" t="s">
        <v>168</v>
      </c>
    </row>
    <row r="2494" spans="1:6" ht="22.5" hidden="1" customHeight="1" x14ac:dyDescent="0.25">
      <c r="A2494" s="3">
        <v>43862</v>
      </c>
      <c r="B2494" s="2" t="s">
        <v>298</v>
      </c>
      <c r="C2494" s="2">
        <v>0.3</v>
      </c>
      <c r="D2494" s="2">
        <v>0.65100000000000002</v>
      </c>
      <c r="E2494" s="2">
        <v>1.9530000000000001E-3</v>
      </c>
      <c r="F2494" s="2" t="s">
        <v>168</v>
      </c>
    </row>
    <row r="2495" spans="1:6" ht="22.5" hidden="1" customHeight="1" x14ac:dyDescent="0.25">
      <c r="A2495" s="3">
        <v>44531</v>
      </c>
      <c r="B2495" s="2" t="s">
        <v>293</v>
      </c>
      <c r="C2495" s="2">
        <v>1.19</v>
      </c>
      <c r="D2495" s="2">
        <v>0.1641</v>
      </c>
      <c r="E2495" s="2">
        <v>1.95279E-3</v>
      </c>
      <c r="F2495" s="2" t="s">
        <v>168</v>
      </c>
    </row>
    <row r="2496" spans="1:6" ht="22.5" hidden="1" customHeight="1" x14ac:dyDescent="0.25">
      <c r="A2496" s="3">
        <v>44531</v>
      </c>
      <c r="B2496" s="2" t="s">
        <v>290</v>
      </c>
      <c r="C2496" s="2">
        <v>1.35</v>
      </c>
      <c r="D2496" s="2">
        <v>0.14449999999999999</v>
      </c>
      <c r="E2496" s="2">
        <v>1.95075E-3</v>
      </c>
      <c r="F2496" s="2" t="s">
        <v>168</v>
      </c>
    </row>
    <row r="2497" spans="1:6" ht="22.5" hidden="1" customHeight="1" x14ac:dyDescent="0.25">
      <c r="A2497" s="3">
        <v>44470</v>
      </c>
      <c r="B2497" s="2" t="s">
        <v>293</v>
      </c>
      <c r="C2497" s="2">
        <v>1.17</v>
      </c>
      <c r="D2497" s="2">
        <v>0.16520000000000001</v>
      </c>
      <c r="E2497" s="2">
        <v>1.9328399999999999E-3</v>
      </c>
      <c r="F2497" s="2" t="s">
        <v>168</v>
      </c>
    </row>
    <row r="2498" spans="1:6" ht="22.5" hidden="1" customHeight="1" x14ac:dyDescent="0.25">
      <c r="A2498" s="3">
        <v>44044</v>
      </c>
      <c r="B2498" s="2" t="s">
        <v>292</v>
      </c>
      <c r="C2498" s="2">
        <v>1.48</v>
      </c>
      <c r="D2498" s="2">
        <v>0.12959999999999999</v>
      </c>
      <c r="E2498" s="2">
        <v>1.91808E-3</v>
      </c>
      <c r="F2498" s="2" t="s">
        <v>168</v>
      </c>
    </row>
    <row r="2499" spans="1:6" ht="22.5" hidden="1" customHeight="1" x14ac:dyDescent="0.25">
      <c r="A2499" s="3">
        <v>44348</v>
      </c>
      <c r="B2499" s="2" t="s">
        <v>296</v>
      </c>
      <c r="C2499" s="2">
        <v>0.97</v>
      </c>
      <c r="D2499" s="2">
        <v>0.19650000000000001</v>
      </c>
      <c r="E2499" s="2">
        <v>1.9060500000000001E-3</v>
      </c>
      <c r="F2499" s="2" t="s">
        <v>168</v>
      </c>
    </row>
    <row r="2500" spans="1:6" ht="22.5" hidden="1" customHeight="1" x14ac:dyDescent="0.25">
      <c r="A2500" s="3">
        <v>44044</v>
      </c>
      <c r="B2500" s="2" t="s">
        <v>302</v>
      </c>
      <c r="C2500" s="2">
        <v>1.55</v>
      </c>
      <c r="D2500" s="2">
        <v>0.29389999999999999</v>
      </c>
      <c r="E2500" s="2">
        <v>4.55545E-3</v>
      </c>
      <c r="F2500" s="2" t="s">
        <v>170</v>
      </c>
    </row>
    <row r="2501" spans="1:6" ht="22.5" hidden="1" customHeight="1" x14ac:dyDescent="0.25">
      <c r="A2501" s="3">
        <v>44044</v>
      </c>
      <c r="B2501" s="2" t="s">
        <v>303</v>
      </c>
      <c r="C2501" s="2">
        <v>7.0000000000000007E-2</v>
      </c>
      <c r="D2501" s="2">
        <v>0.55689999999999995</v>
      </c>
      <c r="E2501" s="2">
        <v>3.8983000000000003E-4</v>
      </c>
      <c r="F2501" s="2" t="s">
        <v>165</v>
      </c>
    </row>
    <row r="2502" spans="1:6" ht="22.5" hidden="1" customHeight="1" x14ac:dyDescent="0.25">
      <c r="A2502" s="3">
        <v>44044</v>
      </c>
      <c r="B2502" s="2" t="s">
        <v>304</v>
      </c>
      <c r="C2502" s="2">
        <v>0.1</v>
      </c>
      <c r="D2502" s="2">
        <v>0.53100000000000003</v>
      </c>
      <c r="E2502" s="2">
        <v>5.31E-4</v>
      </c>
      <c r="F2502" s="2" t="s">
        <v>165</v>
      </c>
    </row>
    <row r="2503" spans="1:6" ht="22.5" hidden="1" customHeight="1" x14ac:dyDescent="0.25">
      <c r="A2503" s="3">
        <v>44044</v>
      </c>
      <c r="B2503" s="2" t="s">
        <v>305</v>
      </c>
      <c r="C2503" s="2">
        <v>0.18</v>
      </c>
      <c r="D2503" s="2">
        <v>1.9199999999999998E-2</v>
      </c>
      <c r="E2503" s="2">
        <v>3.4560000000000001E-5</v>
      </c>
      <c r="F2503" s="2" t="s">
        <v>170</v>
      </c>
    </row>
    <row r="2504" spans="1:6" ht="22.5" hidden="1" customHeight="1" x14ac:dyDescent="0.25">
      <c r="A2504" s="3">
        <v>44044</v>
      </c>
      <c r="B2504" s="2" t="s">
        <v>306</v>
      </c>
      <c r="C2504" s="2">
        <v>-0.28999999999999998</v>
      </c>
      <c r="D2504" s="2">
        <v>4.8899999999999999E-2</v>
      </c>
      <c r="E2504" s="2">
        <v>-1.4181E-4</v>
      </c>
      <c r="F2504" s="2" t="s">
        <v>165</v>
      </c>
    </row>
    <row r="2505" spans="1:6" ht="22.5" hidden="1" customHeight="1" x14ac:dyDescent="0.25">
      <c r="A2505" s="3">
        <v>44044</v>
      </c>
      <c r="B2505" s="2" t="s">
        <v>307</v>
      </c>
      <c r="C2505" s="2">
        <v>0.49</v>
      </c>
      <c r="D2505" s="2">
        <v>0.1094</v>
      </c>
      <c r="E2505" s="2">
        <v>5.3605999999999999E-4</v>
      </c>
      <c r="F2505" s="2" t="s">
        <v>165</v>
      </c>
    </row>
    <row r="2506" spans="1:6" ht="22.5" hidden="1" customHeight="1" x14ac:dyDescent="0.25">
      <c r="A2506" s="3">
        <v>44044</v>
      </c>
      <c r="B2506" s="2" t="s">
        <v>308</v>
      </c>
      <c r="C2506" s="2">
        <v>0.49</v>
      </c>
      <c r="D2506" s="2">
        <v>0.38679999999999998</v>
      </c>
      <c r="E2506" s="2">
        <v>1.89532E-3</v>
      </c>
      <c r="F2506" s="2" t="s">
        <v>165</v>
      </c>
    </row>
    <row r="2507" spans="1:6" ht="22.5" hidden="1" customHeight="1" x14ac:dyDescent="0.25">
      <c r="A2507" s="3">
        <v>44044</v>
      </c>
      <c r="B2507" s="2" t="s">
        <v>309</v>
      </c>
      <c r="C2507" s="2">
        <v>0.22</v>
      </c>
      <c r="D2507" s="2">
        <v>0.13500000000000001</v>
      </c>
      <c r="E2507" s="2">
        <v>2.9700000000000001E-4</v>
      </c>
      <c r="F2507" s="2" t="s">
        <v>165</v>
      </c>
    </row>
    <row r="2508" spans="1:6" ht="22.5" hidden="1" customHeight="1" x14ac:dyDescent="0.25">
      <c r="A2508" s="3">
        <v>44197</v>
      </c>
      <c r="B2508" s="2" t="s">
        <v>271</v>
      </c>
      <c r="C2508" s="2">
        <v>0.08</v>
      </c>
      <c r="D2508" s="2">
        <v>2.3738999999999999</v>
      </c>
      <c r="E2508" s="2">
        <v>1.89912E-3</v>
      </c>
      <c r="F2508" s="2" t="s">
        <v>168</v>
      </c>
    </row>
    <row r="2509" spans="1:6" ht="22.5" hidden="1" customHeight="1" x14ac:dyDescent="0.25">
      <c r="A2509" s="3">
        <v>44044</v>
      </c>
      <c r="B2509" s="2" t="s">
        <v>311</v>
      </c>
      <c r="C2509" s="2">
        <v>0.32</v>
      </c>
      <c r="D2509" s="2">
        <v>0.63019999999999998</v>
      </c>
      <c r="E2509" s="2">
        <v>2.0166400000000001E-3</v>
      </c>
      <c r="F2509" s="2" t="s">
        <v>174</v>
      </c>
    </row>
    <row r="2510" spans="1:6" ht="22.5" hidden="1" customHeight="1" x14ac:dyDescent="0.25">
      <c r="A2510" s="3">
        <v>44044</v>
      </c>
      <c r="B2510" s="2" t="s">
        <v>312</v>
      </c>
      <c r="C2510" s="2">
        <v>-0.05</v>
      </c>
      <c r="D2510" s="2">
        <v>0.21940000000000001</v>
      </c>
      <c r="E2510" s="2">
        <v>-1.097E-4</v>
      </c>
      <c r="F2510" s="2" t="s">
        <v>174</v>
      </c>
    </row>
    <row r="2511" spans="1:6" ht="22.5" hidden="1" customHeight="1" x14ac:dyDescent="0.25">
      <c r="A2511" s="3">
        <v>44044</v>
      </c>
      <c r="B2511" s="2" t="s">
        <v>313</v>
      </c>
      <c r="C2511" s="2">
        <v>-0.87</v>
      </c>
      <c r="D2511" s="2">
        <v>0.13550000000000001</v>
      </c>
      <c r="E2511" s="2">
        <v>-1.1788499999999999E-3</v>
      </c>
      <c r="F2511" s="2" t="s">
        <v>174</v>
      </c>
    </row>
    <row r="2512" spans="1:6" ht="22.5" hidden="1" customHeight="1" x14ac:dyDescent="0.25">
      <c r="A2512" s="3">
        <v>44044</v>
      </c>
      <c r="B2512" s="2" t="s">
        <v>314</v>
      </c>
      <c r="C2512" s="2">
        <v>3.78</v>
      </c>
      <c r="D2512" s="2">
        <v>0.39529999999999998</v>
      </c>
      <c r="E2512" s="2">
        <v>1.494234E-2</v>
      </c>
      <c r="F2512" s="2" t="s">
        <v>174</v>
      </c>
    </row>
    <row r="2513" spans="1:6" ht="22.5" hidden="1" customHeight="1" x14ac:dyDescent="0.25">
      <c r="A2513" s="3">
        <v>44044</v>
      </c>
      <c r="B2513" s="2" t="s">
        <v>315</v>
      </c>
      <c r="C2513" s="2">
        <v>0.16</v>
      </c>
      <c r="D2513" s="2">
        <v>0.26279999999999998</v>
      </c>
      <c r="E2513" s="2">
        <v>4.2047999999999999E-4</v>
      </c>
      <c r="F2513" s="2" t="s">
        <v>174</v>
      </c>
    </row>
    <row r="2514" spans="1:6" ht="22.5" hidden="1" customHeight="1" x14ac:dyDescent="0.25">
      <c r="A2514" s="3">
        <v>44044</v>
      </c>
      <c r="B2514" s="2" t="s">
        <v>316</v>
      </c>
      <c r="C2514" s="2">
        <v>1.57</v>
      </c>
      <c r="D2514" s="2">
        <v>3.8999999999999998E-3</v>
      </c>
      <c r="E2514" s="2">
        <v>6.1229999999999995E-5</v>
      </c>
      <c r="F2514" s="2" t="s">
        <v>174</v>
      </c>
    </row>
    <row r="2515" spans="1:6" ht="22.5" hidden="1" customHeight="1" x14ac:dyDescent="0.25">
      <c r="A2515" s="3">
        <v>44044</v>
      </c>
      <c r="B2515" s="2" t="s">
        <v>317</v>
      </c>
      <c r="C2515" s="2">
        <v>3.3</v>
      </c>
      <c r="D2515" s="2">
        <v>0.99360000000000004</v>
      </c>
      <c r="E2515" s="2">
        <v>3.27888E-2</v>
      </c>
      <c r="F2515" s="2" t="s">
        <v>174</v>
      </c>
    </row>
    <row r="2516" spans="1:6" ht="22.5" hidden="1" customHeight="1" x14ac:dyDescent="0.25">
      <c r="A2516" s="3">
        <v>44044</v>
      </c>
      <c r="B2516" s="2" t="s">
        <v>318</v>
      </c>
      <c r="C2516" s="2">
        <v>-0.26</v>
      </c>
      <c r="D2516" s="2">
        <v>0.45090000000000002</v>
      </c>
      <c r="E2516" s="2">
        <v>-1.17234E-3</v>
      </c>
      <c r="F2516" s="2" t="s">
        <v>174</v>
      </c>
    </row>
    <row r="2517" spans="1:6" ht="22.5" hidden="1" customHeight="1" x14ac:dyDescent="0.25">
      <c r="A2517" s="3">
        <v>44044</v>
      </c>
      <c r="B2517" s="2" t="s">
        <v>319</v>
      </c>
      <c r="C2517" s="2">
        <v>0.36</v>
      </c>
      <c r="D2517" s="2">
        <v>0.1123</v>
      </c>
      <c r="E2517" s="2">
        <v>4.0428000000000003E-4</v>
      </c>
      <c r="F2517" s="2" t="s">
        <v>174</v>
      </c>
    </row>
    <row r="2518" spans="1:6" ht="22.5" hidden="1" customHeight="1" x14ac:dyDescent="0.25">
      <c r="A2518" s="3">
        <v>44044</v>
      </c>
      <c r="B2518" s="2" t="s">
        <v>320</v>
      </c>
      <c r="C2518" s="2">
        <v>0.86</v>
      </c>
      <c r="D2518" s="2">
        <v>0.29570000000000002</v>
      </c>
      <c r="E2518" s="2">
        <v>2.54302E-3</v>
      </c>
      <c r="F2518" s="2" t="s">
        <v>174</v>
      </c>
    </row>
    <row r="2519" spans="1:6" ht="22.5" hidden="1" customHeight="1" x14ac:dyDescent="0.25">
      <c r="A2519" s="3">
        <v>44044</v>
      </c>
      <c r="B2519" s="2" t="s">
        <v>321</v>
      </c>
      <c r="C2519" s="2">
        <v>0.75</v>
      </c>
      <c r="D2519" s="2">
        <v>0.2097</v>
      </c>
      <c r="E2519" s="2">
        <v>1.5727499999999999E-3</v>
      </c>
      <c r="F2519" s="2" t="s">
        <v>174</v>
      </c>
    </row>
    <row r="2520" spans="1:6" ht="22.5" hidden="1" customHeight="1" x14ac:dyDescent="0.25">
      <c r="A2520" s="3">
        <v>44044</v>
      </c>
      <c r="B2520" s="2" t="s">
        <v>322</v>
      </c>
      <c r="C2520" s="2">
        <v>2.2799999999999998</v>
      </c>
      <c r="D2520" s="2">
        <v>0.17130000000000001</v>
      </c>
      <c r="E2520" s="2">
        <v>3.9056400000000002E-3</v>
      </c>
      <c r="F2520" s="2" t="s">
        <v>174</v>
      </c>
    </row>
    <row r="2521" spans="1:6" ht="22.5" hidden="1" customHeight="1" x14ac:dyDescent="0.25">
      <c r="A2521" s="3">
        <v>44044</v>
      </c>
      <c r="B2521" s="2" t="s">
        <v>323</v>
      </c>
      <c r="C2521" s="2">
        <v>-1.58</v>
      </c>
      <c r="D2521" s="2">
        <v>1.14E-2</v>
      </c>
      <c r="E2521" s="2">
        <v>-1.8012E-4</v>
      </c>
      <c r="F2521" s="2" t="s">
        <v>165</v>
      </c>
    </row>
    <row r="2522" spans="1:6" ht="22.5" hidden="1" customHeight="1" x14ac:dyDescent="0.25">
      <c r="A2522" s="3">
        <v>44044</v>
      </c>
      <c r="B2522" s="2" t="s">
        <v>324</v>
      </c>
      <c r="C2522" s="2">
        <v>0.6</v>
      </c>
      <c r="D2522" s="2">
        <v>0.39660000000000001</v>
      </c>
      <c r="E2522" s="2">
        <v>2.3795999999999999E-3</v>
      </c>
      <c r="F2522" s="2" t="s">
        <v>165</v>
      </c>
    </row>
    <row r="2523" spans="1:6" ht="22.5" hidden="1" customHeight="1" x14ac:dyDescent="0.25">
      <c r="A2523" s="3">
        <v>44044</v>
      </c>
      <c r="B2523" s="2" t="s">
        <v>325</v>
      </c>
      <c r="C2523" s="2">
        <v>-0.26</v>
      </c>
      <c r="D2523" s="2">
        <v>3.2126000000000001</v>
      </c>
      <c r="E2523" s="2">
        <v>-8.3527600000000007E-3</v>
      </c>
      <c r="F2523" s="2" t="s">
        <v>165</v>
      </c>
    </row>
    <row r="2524" spans="1:6" ht="22.5" hidden="1" customHeight="1" x14ac:dyDescent="0.25">
      <c r="A2524" s="3">
        <v>44044</v>
      </c>
      <c r="B2524" s="2" t="s">
        <v>326</v>
      </c>
      <c r="C2524" s="2">
        <v>0.62</v>
      </c>
      <c r="D2524" s="2">
        <v>1.0709</v>
      </c>
      <c r="E2524" s="2">
        <v>6.63958E-3</v>
      </c>
      <c r="F2524" s="2" t="s">
        <v>165</v>
      </c>
    </row>
    <row r="2525" spans="1:6" ht="22.5" hidden="1" customHeight="1" x14ac:dyDescent="0.25">
      <c r="A2525" s="3">
        <v>44044</v>
      </c>
      <c r="B2525" s="2" t="s">
        <v>327</v>
      </c>
      <c r="C2525" s="2">
        <v>1.1100000000000001</v>
      </c>
      <c r="D2525" s="2">
        <v>6.1199999999999997E-2</v>
      </c>
      <c r="E2525" s="2">
        <v>6.7931999999999997E-4</v>
      </c>
      <c r="F2525" s="2" t="s">
        <v>165</v>
      </c>
    </row>
    <row r="2526" spans="1:6" ht="22.5" hidden="1" customHeight="1" x14ac:dyDescent="0.25">
      <c r="A2526" s="3">
        <v>44044</v>
      </c>
      <c r="B2526" s="2" t="s">
        <v>328</v>
      </c>
      <c r="C2526" s="2">
        <v>0.8</v>
      </c>
      <c r="D2526" s="2">
        <v>1.8700000000000001E-2</v>
      </c>
      <c r="E2526" s="2">
        <v>1.496E-4</v>
      </c>
      <c r="F2526" s="2" t="s">
        <v>165</v>
      </c>
    </row>
    <row r="2527" spans="1:6" ht="22.5" hidden="1" customHeight="1" x14ac:dyDescent="0.25">
      <c r="A2527" s="3">
        <v>44044</v>
      </c>
      <c r="B2527" s="2" t="s">
        <v>329</v>
      </c>
      <c r="C2527" s="2">
        <v>-1.01</v>
      </c>
      <c r="D2527" s="2">
        <v>9.98E-2</v>
      </c>
      <c r="E2527" s="2">
        <v>-1.0079799999999999E-3</v>
      </c>
      <c r="F2527" s="2" t="s">
        <v>165</v>
      </c>
    </row>
    <row r="2528" spans="1:6" ht="22.5" hidden="1" customHeight="1" x14ac:dyDescent="0.25">
      <c r="A2528" s="3">
        <v>44044</v>
      </c>
      <c r="B2528" s="2" t="s">
        <v>330</v>
      </c>
      <c r="C2528" s="2">
        <v>0.14000000000000001</v>
      </c>
      <c r="D2528" s="2">
        <v>1.8096000000000001</v>
      </c>
      <c r="E2528" s="2">
        <v>2.5334400000000001E-3</v>
      </c>
      <c r="F2528" s="2" t="s">
        <v>165</v>
      </c>
    </row>
    <row r="2529" spans="1:6" ht="22.5" hidden="1" customHeight="1" x14ac:dyDescent="0.25">
      <c r="A2529" s="3">
        <v>44044</v>
      </c>
      <c r="B2529" s="2" t="s">
        <v>331</v>
      </c>
      <c r="C2529" s="2">
        <v>0.14000000000000001</v>
      </c>
      <c r="D2529" s="2">
        <v>5.9400000000000001E-2</v>
      </c>
      <c r="E2529" s="2">
        <v>8.3159999999999997E-5</v>
      </c>
      <c r="F2529" s="2" t="s">
        <v>165</v>
      </c>
    </row>
    <row r="2530" spans="1:6" ht="22.5" hidden="1" customHeight="1" x14ac:dyDescent="0.25">
      <c r="A2530" s="3">
        <v>44044</v>
      </c>
      <c r="B2530" s="2" t="s">
        <v>332</v>
      </c>
      <c r="C2530" s="2">
        <v>0.56000000000000005</v>
      </c>
      <c r="D2530" s="2">
        <v>0.1101</v>
      </c>
      <c r="E2530" s="2">
        <v>6.1656000000000005E-4</v>
      </c>
      <c r="F2530" s="2" t="s">
        <v>165</v>
      </c>
    </row>
    <row r="2531" spans="1:6" ht="22.5" hidden="1" customHeight="1" x14ac:dyDescent="0.25">
      <c r="A2531" s="3">
        <v>44044</v>
      </c>
      <c r="B2531" s="2" t="s">
        <v>333</v>
      </c>
      <c r="C2531" s="2">
        <v>-0.78</v>
      </c>
      <c r="D2531" s="2">
        <v>8.5800000000000001E-2</v>
      </c>
      <c r="E2531" s="2">
        <v>-6.6923999999999998E-4</v>
      </c>
      <c r="F2531" s="2" t="s">
        <v>165</v>
      </c>
    </row>
    <row r="2532" spans="1:6" ht="22.5" hidden="1" customHeight="1" x14ac:dyDescent="0.25">
      <c r="A2532" s="3">
        <v>44044</v>
      </c>
      <c r="B2532" s="2" t="s">
        <v>334</v>
      </c>
      <c r="C2532" s="2">
        <v>2.63</v>
      </c>
      <c r="D2532" s="2">
        <v>2.01E-2</v>
      </c>
      <c r="E2532" s="2">
        <v>5.2862999999999999E-4</v>
      </c>
      <c r="F2532" s="2" t="s">
        <v>170</v>
      </c>
    </row>
    <row r="2533" spans="1:6" ht="22.5" hidden="1" customHeight="1" x14ac:dyDescent="0.25">
      <c r="A2533" s="3">
        <v>44044</v>
      </c>
      <c r="B2533" s="2" t="s">
        <v>335</v>
      </c>
      <c r="C2533" s="2">
        <v>-0.24</v>
      </c>
      <c r="D2533" s="2">
        <v>0.29949999999999999</v>
      </c>
      <c r="E2533" s="2">
        <v>-7.1880000000000002E-4</v>
      </c>
      <c r="F2533" s="2" t="s">
        <v>165</v>
      </c>
    </row>
    <row r="2534" spans="1:6" ht="22.5" hidden="1" customHeight="1" x14ac:dyDescent="0.25">
      <c r="A2534" s="3">
        <v>44044</v>
      </c>
      <c r="B2534" s="2" t="s">
        <v>336</v>
      </c>
      <c r="C2534" s="2">
        <v>1.67</v>
      </c>
      <c r="D2534" s="2">
        <v>9.69E-2</v>
      </c>
      <c r="E2534" s="2">
        <v>1.61823E-3</v>
      </c>
      <c r="F2534" s="2" t="s">
        <v>170</v>
      </c>
    </row>
    <row r="2535" spans="1:6" ht="22.5" hidden="1" customHeight="1" x14ac:dyDescent="0.25">
      <c r="A2535" s="3">
        <v>44044</v>
      </c>
      <c r="B2535" s="2" t="s">
        <v>337</v>
      </c>
      <c r="C2535" s="2">
        <v>-0.34</v>
      </c>
      <c r="D2535" s="2">
        <v>0.34549999999999997</v>
      </c>
      <c r="E2535" s="2">
        <v>-1.1747000000000001E-3</v>
      </c>
      <c r="F2535" s="2" t="s">
        <v>174</v>
      </c>
    </row>
    <row r="2536" spans="1:6" ht="22.5" hidden="1" customHeight="1" x14ac:dyDescent="0.25">
      <c r="A2536" s="3">
        <v>44044</v>
      </c>
      <c r="B2536" s="2" t="s">
        <v>338</v>
      </c>
      <c r="C2536" s="2">
        <v>-0.83</v>
      </c>
      <c r="D2536" s="2">
        <v>0.20930000000000001</v>
      </c>
      <c r="E2536" s="2">
        <v>-1.73719E-3</v>
      </c>
      <c r="F2536" s="2" t="s">
        <v>174</v>
      </c>
    </row>
    <row r="2537" spans="1:6" ht="22.5" hidden="1" customHeight="1" x14ac:dyDescent="0.25">
      <c r="A2537" s="3">
        <v>44044</v>
      </c>
      <c r="B2537" s="2" t="s">
        <v>339</v>
      </c>
      <c r="C2537" s="2">
        <v>0</v>
      </c>
      <c r="D2537" s="2">
        <v>4.53E-2</v>
      </c>
      <c r="E2537" s="2">
        <v>0</v>
      </c>
      <c r="F2537" s="2" t="s">
        <v>165</v>
      </c>
    </row>
    <row r="2538" spans="1:6" ht="22.5" hidden="1" customHeight="1" x14ac:dyDescent="0.25">
      <c r="A2538" s="3">
        <v>44228</v>
      </c>
      <c r="B2538" s="2" t="s">
        <v>271</v>
      </c>
      <c r="C2538" s="2">
        <v>0.08</v>
      </c>
      <c r="D2538" s="2">
        <v>2.3574000000000002</v>
      </c>
      <c r="E2538" s="2">
        <v>1.8859199999999999E-3</v>
      </c>
      <c r="F2538" s="2" t="s">
        <v>168</v>
      </c>
    </row>
    <row r="2539" spans="1:6" ht="22.5" hidden="1" customHeight="1" x14ac:dyDescent="0.25">
      <c r="A2539" s="3">
        <v>44044</v>
      </c>
      <c r="B2539" s="2" t="s">
        <v>341</v>
      </c>
      <c r="C2539" s="2">
        <v>-0.03</v>
      </c>
      <c r="D2539" s="2">
        <v>1.17E-2</v>
      </c>
      <c r="E2539" s="2">
        <v>-3.5099999999999999E-6</v>
      </c>
      <c r="F2539" s="2" t="s">
        <v>174</v>
      </c>
    </row>
    <row r="2540" spans="1:6" ht="22.5" hidden="1" customHeight="1" x14ac:dyDescent="0.25">
      <c r="A2540" s="3">
        <v>44044</v>
      </c>
      <c r="B2540" s="2" t="s">
        <v>342</v>
      </c>
      <c r="C2540" s="2">
        <v>-1.1100000000000001</v>
      </c>
      <c r="D2540" s="2">
        <v>0.5625</v>
      </c>
      <c r="E2540" s="2">
        <v>-6.2437500000000002E-3</v>
      </c>
      <c r="F2540" s="2" t="s">
        <v>165</v>
      </c>
    </row>
    <row r="2541" spans="1:6" ht="22.5" hidden="1" customHeight="1" x14ac:dyDescent="0.25">
      <c r="A2541" s="3">
        <v>44044</v>
      </c>
      <c r="B2541" s="2" t="s">
        <v>343</v>
      </c>
      <c r="C2541" s="2">
        <v>-0.82</v>
      </c>
      <c r="D2541" s="2">
        <v>0.47489999999999999</v>
      </c>
      <c r="E2541" s="2">
        <v>-3.8941800000000001E-3</v>
      </c>
      <c r="F2541" s="2" t="s">
        <v>165</v>
      </c>
    </row>
    <row r="2542" spans="1:6" ht="22.5" hidden="1" customHeight="1" x14ac:dyDescent="0.25">
      <c r="A2542" s="3">
        <v>44044</v>
      </c>
      <c r="B2542" s="2" t="s">
        <v>344</v>
      </c>
      <c r="C2542" s="2">
        <v>0.39</v>
      </c>
      <c r="D2542" s="2">
        <v>0.1467</v>
      </c>
      <c r="E2542" s="2">
        <v>5.7213000000000001E-4</v>
      </c>
      <c r="F2542" s="2" t="s">
        <v>165</v>
      </c>
    </row>
    <row r="2543" spans="1:6" ht="22.5" hidden="1" customHeight="1" x14ac:dyDescent="0.25">
      <c r="A2543" s="3">
        <v>44044</v>
      </c>
      <c r="B2543" s="2" t="s">
        <v>345</v>
      </c>
      <c r="C2543" s="2">
        <v>-0.03</v>
      </c>
      <c r="D2543" s="2">
        <v>0.54920000000000002</v>
      </c>
      <c r="E2543" s="2">
        <v>-1.6475999999999999E-4</v>
      </c>
      <c r="F2543" s="2" t="s">
        <v>165</v>
      </c>
    </row>
    <row r="2544" spans="1:6" ht="22.5" hidden="1" customHeight="1" x14ac:dyDescent="0.25">
      <c r="A2544" s="3">
        <v>44044</v>
      </c>
      <c r="B2544" s="2" t="s">
        <v>346</v>
      </c>
      <c r="C2544" s="2">
        <v>2.0099999999999998</v>
      </c>
      <c r="D2544" s="2">
        <v>0.55500000000000005</v>
      </c>
      <c r="E2544" s="2">
        <v>1.11555E-2</v>
      </c>
      <c r="F2544" s="2" t="s">
        <v>174</v>
      </c>
    </row>
    <row r="2545" spans="1:6" ht="22.5" hidden="1" customHeight="1" x14ac:dyDescent="0.25">
      <c r="A2545" s="3">
        <v>44044</v>
      </c>
      <c r="B2545" s="2" t="s">
        <v>347</v>
      </c>
      <c r="C2545" s="2">
        <v>-4.3</v>
      </c>
      <c r="D2545" s="2">
        <v>0.2074</v>
      </c>
      <c r="E2545" s="2">
        <v>-8.9181999999999994E-3</v>
      </c>
      <c r="F2545" s="2" t="s">
        <v>165</v>
      </c>
    </row>
    <row r="2546" spans="1:6" ht="22.5" hidden="1" customHeight="1" x14ac:dyDescent="0.25">
      <c r="A2546" s="3">
        <v>44044</v>
      </c>
      <c r="B2546" s="2" t="s">
        <v>348</v>
      </c>
      <c r="C2546" s="2">
        <v>-7.3</v>
      </c>
      <c r="D2546" s="2">
        <v>0.34870000000000001</v>
      </c>
      <c r="E2546" s="2">
        <v>-2.5455100000000001E-2</v>
      </c>
      <c r="F2546" s="2" t="s">
        <v>165</v>
      </c>
    </row>
    <row r="2547" spans="1:6" ht="22.5" hidden="1" customHeight="1" x14ac:dyDescent="0.25">
      <c r="A2547" s="3">
        <v>44044</v>
      </c>
      <c r="B2547" s="2" t="s">
        <v>349</v>
      </c>
      <c r="C2547" s="2">
        <v>-3.76</v>
      </c>
      <c r="D2547" s="2">
        <v>1.6236999999999999</v>
      </c>
      <c r="E2547" s="2">
        <v>-6.105112E-2</v>
      </c>
      <c r="F2547" s="2" t="s">
        <v>165</v>
      </c>
    </row>
    <row r="2548" spans="1:6" ht="22.5" hidden="1" customHeight="1" x14ac:dyDescent="0.25">
      <c r="A2548" s="3">
        <v>44044</v>
      </c>
      <c r="B2548" s="2" t="s">
        <v>350</v>
      </c>
      <c r="C2548" s="2">
        <v>-2.52</v>
      </c>
      <c r="D2548" s="2">
        <v>0.40329999999999999</v>
      </c>
      <c r="E2548" s="2">
        <v>-1.0163159999999999E-2</v>
      </c>
      <c r="F2548" s="2" t="s">
        <v>165</v>
      </c>
    </row>
    <row r="2549" spans="1:6" ht="22.5" hidden="1" customHeight="1" x14ac:dyDescent="0.25">
      <c r="A2549" s="3">
        <v>44044</v>
      </c>
      <c r="B2549" s="2" t="s">
        <v>351</v>
      </c>
      <c r="C2549" s="2">
        <v>-3.91</v>
      </c>
      <c r="D2549" s="2">
        <v>1.9287000000000001</v>
      </c>
      <c r="E2549" s="2">
        <v>-7.5412170000000001E-2</v>
      </c>
      <c r="F2549" s="2" t="s">
        <v>165</v>
      </c>
    </row>
    <row r="2550" spans="1:6" ht="22.5" hidden="1" customHeight="1" x14ac:dyDescent="0.25">
      <c r="A2550" s="3">
        <v>44044</v>
      </c>
      <c r="B2550" s="2" t="s">
        <v>352</v>
      </c>
      <c r="C2550" s="2">
        <v>-5.83</v>
      </c>
      <c r="D2550" s="2">
        <v>0.31159999999999999</v>
      </c>
      <c r="E2550" s="2">
        <v>-1.816628E-2</v>
      </c>
      <c r="F2550" s="2" t="s">
        <v>165</v>
      </c>
    </row>
    <row r="2551" spans="1:6" ht="22.5" hidden="1" customHeight="1" x14ac:dyDescent="0.25">
      <c r="A2551" s="3">
        <v>44044</v>
      </c>
      <c r="B2551" s="2" t="s">
        <v>353</v>
      </c>
      <c r="C2551" s="2">
        <v>-4.74</v>
      </c>
      <c r="D2551" s="2">
        <v>4.4600000000000001E-2</v>
      </c>
      <c r="E2551" s="2">
        <v>-2.1140400000000002E-3</v>
      </c>
      <c r="F2551" s="2" t="s">
        <v>165</v>
      </c>
    </row>
    <row r="2552" spans="1:6" ht="22.5" hidden="1" customHeight="1" x14ac:dyDescent="0.25">
      <c r="A2552" s="3">
        <v>44044</v>
      </c>
      <c r="B2552" s="2" t="s">
        <v>354</v>
      </c>
      <c r="C2552" s="2">
        <v>0.74</v>
      </c>
      <c r="D2552" s="2">
        <v>3.2500000000000001E-2</v>
      </c>
      <c r="E2552" s="2">
        <v>2.4049999999999999E-4</v>
      </c>
      <c r="F2552" s="2" t="s">
        <v>165</v>
      </c>
    </row>
    <row r="2553" spans="1:6" ht="22.5" hidden="1" customHeight="1" x14ac:dyDescent="0.25">
      <c r="A2553" s="3">
        <v>44044</v>
      </c>
      <c r="B2553" s="2" t="s">
        <v>355</v>
      </c>
      <c r="C2553" s="2">
        <v>0</v>
      </c>
      <c r="D2553" s="2">
        <v>3.0700000000000002E-2</v>
      </c>
      <c r="E2553" s="2">
        <v>0</v>
      </c>
      <c r="F2553" s="2" t="s">
        <v>174</v>
      </c>
    </row>
    <row r="2554" spans="1:6" ht="22.5" hidden="1" customHeight="1" x14ac:dyDescent="0.25">
      <c r="A2554" s="3">
        <v>44044</v>
      </c>
      <c r="B2554" s="2" t="s">
        <v>356</v>
      </c>
      <c r="C2554" s="2">
        <v>0</v>
      </c>
      <c r="D2554" s="2">
        <v>0.03</v>
      </c>
      <c r="E2554" s="2">
        <v>0</v>
      </c>
      <c r="F2554" s="2" t="s">
        <v>174</v>
      </c>
    </row>
    <row r="2555" spans="1:6" ht="22.5" hidden="1" customHeight="1" x14ac:dyDescent="0.25">
      <c r="A2555" s="3">
        <v>44044</v>
      </c>
      <c r="B2555" s="2" t="s">
        <v>357</v>
      </c>
      <c r="C2555" s="2">
        <v>0.01</v>
      </c>
      <c r="D2555" s="2">
        <v>0.38640000000000002</v>
      </c>
      <c r="E2555" s="2">
        <v>3.8640000000000003E-5</v>
      </c>
      <c r="F2555" s="2" t="s">
        <v>174</v>
      </c>
    </row>
    <row r="2556" spans="1:6" ht="22.5" hidden="1" customHeight="1" x14ac:dyDescent="0.25">
      <c r="A2556" s="3">
        <v>44044</v>
      </c>
      <c r="B2556" s="2" t="s">
        <v>358</v>
      </c>
      <c r="C2556" s="2">
        <v>0.38</v>
      </c>
      <c r="D2556" s="2">
        <v>0.1027</v>
      </c>
      <c r="E2556" s="2">
        <v>3.9026000000000002E-4</v>
      </c>
      <c r="F2556" s="2" t="s">
        <v>174</v>
      </c>
    </row>
    <row r="2557" spans="1:6" ht="22.5" hidden="1" customHeight="1" x14ac:dyDescent="0.25">
      <c r="A2557" s="3">
        <v>44044</v>
      </c>
      <c r="B2557" s="2" t="s">
        <v>359</v>
      </c>
      <c r="C2557" s="2">
        <v>-1.78</v>
      </c>
      <c r="D2557" s="2">
        <v>0.05</v>
      </c>
      <c r="E2557" s="2">
        <v>-8.8999999999999995E-4</v>
      </c>
      <c r="F2557" s="2" t="s">
        <v>174</v>
      </c>
    </row>
    <row r="2558" spans="1:6" ht="22.5" hidden="1" customHeight="1" x14ac:dyDescent="0.25">
      <c r="A2558" s="3">
        <v>44044</v>
      </c>
      <c r="B2558" s="2" t="s">
        <v>360</v>
      </c>
      <c r="C2558" s="2">
        <v>-0.65</v>
      </c>
      <c r="D2558" s="2">
        <v>9.1200000000000003E-2</v>
      </c>
      <c r="E2558" s="2">
        <v>-5.9279999999999999E-4</v>
      </c>
      <c r="F2558" s="2" t="s">
        <v>174</v>
      </c>
    </row>
    <row r="2559" spans="1:6" ht="22.5" hidden="1" customHeight="1" x14ac:dyDescent="0.25">
      <c r="A2559" s="3">
        <v>44044</v>
      </c>
      <c r="B2559" s="2" t="s">
        <v>361</v>
      </c>
      <c r="C2559" s="2">
        <v>-1.24</v>
      </c>
      <c r="D2559" s="2">
        <v>8.2199999999999995E-2</v>
      </c>
      <c r="E2559" s="2">
        <v>-1.01928E-3</v>
      </c>
      <c r="F2559" s="2" t="s">
        <v>165</v>
      </c>
    </row>
    <row r="2560" spans="1:6" ht="22.5" hidden="1" customHeight="1" x14ac:dyDescent="0.25">
      <c r="A2560" s="3">
        <v>44044</v>
      </c>
      <c r="B2560" s="2" t="s">
        <v>362</v>
      </c>
      <c r="C2560" s="2">
        <v>-2.37</v>
      </c>
      <c r="D2560" s="2">
        <v>0.3281</v>
      </c>
      <c r="E2560" s="2">
        <v>-7.7759700000000001E-3</v>
      </c>
      <c r="F2560" s="2" t="s">
        <v>165</v>
      </c>
    </row>
    <row r="2561" spans="1:6" ht="22.5" hidden="1" customHeight="1" x14ac:dyDescent="0.25">
      <c r="A2561" s="3">
        <v>44044</v>
      </c>
      <c r="B2561" s="2" t="s">
        <v>363</v>
      </c>
      <c r="C2561" s="2">
        <v>-0.22</v>
      </c>
      <c r="D2561" s="2">
        <v>5.0500000000000003E-2</v>
      </c>
      <c r="E2561" s="2">
        <v>-1.111E-4</v>
      </c>
      <c r="F2561" s="2" t="s">
        <v>165</v>
      </c>
    </row>
    <row r="2562" spans="1:6" ht="22.5" hidden="1" customHeight="1" x14ac:dyDescent="0.25">
      <c r="A2562" s="3">
        <v>44044</v>
      </c>
      <c r="B2562" s="2" t="s">
        <v>364</v>
      </c>
      <c r="C2562" s="2">
        <v>-0.15</v>
      </c>
      <c r="D2562" s="2">
        <v>0.4168</v>
      </c>
      <c r="E2562" s="2">
        <v>-6.2520000000000002E-4</v>
      </c>
      <c r="F2562" s="2" t="s">
        <v>165</v>
      </c>
    </row>
    <row r="2563" spans="1:6" ht="22.5" hidden="1" customHeight="1" x14ac:dyDescent="0.25">
      <c r="A2563" s="3">
        <v>44256</v>
      </c>
      <c r="B2563" s="2" t="s">
        <v>271</v>
      </c>
      <c r="C2563" s="2">
        <v>0.08</v>
      </c>
      <c r="D2563" s="2">
        <v>2.3483000000000001</v>
      </c>
      <c r="E2563" s="2">
        <v>1.87864E-3</v>
      </c>
      <c r="F2563" s="2" t="s">
        <v>168</v>
      </c>
    </row>
    <row r="2564" spans="1:6" ht="22.5" hidden="1" customHeight="1" x14ac:dyDescent="0.25">
      <c r="A2564" s="3">
        <v>44287</v>
      </c>
      <c r="B2564" s="2" t="s">
        <v>271</v>
      </c>
      <c r="C2564" s="2">
        <v>0.08</v>
      </c>
      <c r="D2564" s="2">
        <v>2.3283</v>
      </c>
      <c r="E2564" s="2">
        <v>1.86264E-3</v>
      </c>
      <c r="F2564" s="2" t="s">
        <v>168</v>
      </c>
    </row>
    <row r="2565" spans="1:6" ht="22.5" hidden="1" customHeight="1" x14ac:dyDescent="0.25">
      <c r="A2565" s="3">
        <v>44317</v>
      </c>
      <c r="B2565" s="2" t="s">
        <v>271</v>
      </c>
      <c r="C2565" s="2">
        <v>0.08</v>
      </c>
      <c r="D2565" s="2">
        <v>2.3161</v>
      </c>
      <c r="E2565" s="2">
        <v>1.8528799999999999E-3</v>
      </c>
      <c r="F2565" s="2" t="s">
        <v>168</v>
      </c>
    </row>
    <row r="2566" spans="1:6" ht="22.5" hidden="1" customHeight="1" x14ac:dyDescent="0.25">
      <c r="A2566" s="3">
        <v>44044</v>
      </c>
      <c r="B2566" s="2" t="s">
        <v>368</v>
      </c>
      <c r="C2566" s="2">
        <v>0</v>
      </c>
      <c r="D2566" s="2">
        <v>0.4073</v>
      </c>
      <c r="E2566" s="2">
        <v>0</v>
      </c>
      <c r="F2566" s="2" t="s">
        <v>165</v>
      </c>
    </row>
    <row r="2567" spans="1:6" ht="22.5" hidden="1" customHeight="1" x14ac:dyDescent="0.25">
      <c r="A2567" s="3">
        <v>44044</v>
      </c>
      <c r="B2567" s="2" t="s">
        <v>369</v>
      </c>
      <c r="C2567" s="2">
        <v>8.35</v>
      </c>
      <c r="D2567" s="2">
        <v>0.54510000000000003</v>
      </c>
      <c r="E2567" s="2">
        <v>4.5515849999999997E-2</v>
      </c>
      <c r="F2567" s="2" t="s">
        <v>165</v>
      </c>
    </row>
    <row r="2568" spans="1:6" ht="22.5" hidden="1" customHeight="1" x14ac:dyDescent="0.25">
      <c r="A2568" s="3">
        <v>44044</v>
      </c>
      <c r="B2568" s="2" t="s">
        <v>370</v>
      </c>
      <c r="C2568" s="2">
        <v>0.33</v>
      </c>
      <c r="D2568" s="2">
        <v>1.0282</v>
      </c>
      <c r="E2568" s="2">
        <v>3.3930599999999998E-3</v>
      </c>
      <c r="F2568" s="2" t="s">
        <v>170</v>
      </c>
    </row>
    <row r="2569" spans="1:6" ht="22.5" hidden="1" customHeight="1" x14ac:dyDescent="0.25">
      <c r="A2569" s="3">
        <v>44044</v>
      </c>
      <c r="B2569" s="2" t="s">
        <v>371</v>
      </c>
      <c r="C2569" s="2">
        <v>0</v>
      </c>
      <c r="D2569" s="2">
        <v>6.9900000000000004E-2</v>
      </c>
      <c r="E2569" s="2">
        <v>0</v>
      </c>
      <c r="F2569" s="2" t="s">
        <v>165</v>
      </c>
    </row>
    <row r="2570" spans="1:6" ht="22.5" hidden="1" customHeight="1" x14ac:dyDescent="0.25">
      <c r="A2570" s="3">
        <v>44044</v>
      </c>
      <c r="B2570" s="2" t="s">
        <v>372</v>
      </c>
      <c r="C2570" s="2">
        <v>0</v>
      </c>
      <c r="D2570" s="2">
        <v>1.7673000000000001</v>
      </c>
      <c r="E2570" s="2">
        <v>0</v>
      </c>
      <c r="F2570" s="2" t="s">
        <v>165</v>
      </c>
    </row>
    <row r="2571" spans="1:6" ht="22.5" hidden="1" customHeight="1" x14ac:dyDescent="0.25">
      <c r="A2571" s="3">
        <v>44075</v>
      </c>
      <c r="B2571" s="2" t="s">
        <v>6</v>
      </c>
      <c r="C2571" s="2">
        <v>9.9600000000000009</v>
      </c>
      <c r="D2571" s="2">
        <v>0.52259999999999995</v>
      </c>
      <c r="E2571" s="2">
        <v>5.205096E-2</v>
      </c>
      <c r="F2571" s="2" t="s">
        <v>7</v>
      </c>
    </row>
    <row r="2572" spans="1:6" ht="22.5" hidden="1" customHeight="1" x14ac:dyDescent="0.25">
      <c r="A2572" s="3">
        <v>44075</v>
      </c>
      <c r="B2572" s="2" t="s">
        <v>8</v>
      </c>
      <c r="C2572" s="2">
        <v>-1.47</v>
      </c>
      <c r="D2572" s="2">
        <v>1.46E-2</v>
      </c>
      <c r="E2572" s="2">
        <v>-2.1462E-4</v>
      </c>
      <c r="F2572" s="2" t="s">
        <v>7</v>
      </c>
    </row>
    <row r="2573" spans="1:6" ht="22.5" hidden="1" customHeight="1" x14ac:dyDescent="0.25">
      <c r="A2573" s="3">
        <v>44075</v>
      </c>
      <c r="B2573" s="2" t="s">
        <v>9</v>
      </c>
      <c r="C2573" s="2">
        <v>1.27</v>
      </c>
      <c r="D2573" s="2">
        <v>6.0499999999999998E-2</v>
      </c>
      <c r="E2573" s="2">
        <v>7.6835E-4</v>
      </c>
      <c r="F2573" s="2" t="s">
        <v>7</v>
      </c>
    </row>
    <row r="2574" spans="1:6" ht="22.5" hidden="1" customHeight="1" x14ac:dyDescent="0.25">
      <c r="A2574" s="3">
        <v>44075</v>
      </c>
      <c r="B2574" s="2" t="s">
        <v>10</v>
      </c>
      <c r="C2574" s="2">
        <v>5.23</v>
      </c>
      <c r="D2574" s="2">
        <v>1.9099999999999999E-2</v>
      </c>
      <c r="E2574" s="2">
        <v>9.9893000000000009E-4</v>
      </c>
      <c r="F2574" s="2" t="s">
        <v>7</v>
      </c>
    </row>
    <row r="2575" spans="1:6" ht="22.5" hidden="1" customHeight="1" x14ac:dyDescent="0.25">
      <c r="A2575" s="3">
        <v>44075</v>
      </c>
      <c r="B2575" s="2" t="s">
        <v>11</v>
      </c>
      <c r="C2575" s="2">
        <v>-3.85</v>
      </c>
      <c r="D2575" s="2">
        <v>0.15479999999999999</v>
      </c>
      <c r="E2575" s="2">
        <v>-5.9598000000000003E-3</v>
      </c>
      <c r="F2575" s="2" t="s">
        <v>7</v>
      </c>
    </row>
    <row r="2576" spans="1:6" ht="22.5" hidden="1" customHeight="1" x14ac:dyDescent="0.25">
      <c r="A2576" s="3">
        <v>44075</v>
      </c>
      <c r="B2576" s="2" t="s">
        <v>12</v>
      </c>
      <c r="C2576" s="2">
        <v>1.6</v>
      </c>
      <c r="D2576" s="2">
        <v>1.0699999999999999E-2</v>
      </c>
      <c r="E2576" s="2">
        <v>1.7119999999999999E-4</v>
      </c>
      <c r="F2576" s="2" t="s">
        <v>7</v>
      </c>
    </row>
    <row r="2577" spans="1:6" ht="22.5" hidden="1" customHeight="1" x14ac:dyDescent="0.25">
      <c r="A2577" s="3">
        <v>44075</v>
      </c>
      <c r="B2577" s="2" t="s">
        <v>13</v>
      </c>
      <c r="C2577" s="2">
        <v>-0.04</v>
      </c>
      <c r="D2577" s="2">
        <v>3.2000000000000002E-3</v>
      </c>
      <c r="E2577" s="2">
        <v>-1.28E-6</v>
      </c>
      <c r="F2577" s="2" t="s">
        <v>7</v>
      </c>
    </row>
    <row r="2578" spans="1:6" ht="22.5" hidden="1" customHeight="1" x14ac:dyDescent="0.25">
      <c r="A2578" s="3">
        <v>44075</v>
      </c>
      <c r="B2578" s="2" t="s">
        <v>14</v>
      </c>
      <c r="C2578" s="2">
        <v>-0.01</v>
      </c>
      <c r="D2578" s="2">
        <v>0.1477</v>
      </c>
      <c r="E2578" s="2">
        <v>-1.4769999999999999E-5</v>
      </c>
      <c r="F2578" s="2" t="s">
        <v>7</v>
      </c>
    </row>
    <row r="2579" spans="1:6" ht="22.5" hidden="1" customHeight="1" x14ac:dyDescent="0.25">
      <c r="A2579" s="3">
        <v>44075</v>
      </c>
      <c r="B2579" s="2" t="s">
        <v>15</v>
      </c>
      <c r="C2579" s="2">
        <v>-1.2</v>
      </c>
      <c r="D2579" s="2">
        <v>7.4999999999999997E-3</v>
      </c>
      <c r="E2579" s="2">
        <v>-9.0000000000000006E-5</v>
      </c>
      <c r="F2579" s="2" t="s">
        <v>7</v>
      </c>
    </row>
    <row r="2580" spans="1:6" ht="22.5" hidden="1" customHeight="1" x14ac:dyDescent="0.25">
      <c r="A2580" s="3">
        <v>44075</v>
      </c>
      <c r="B2580" s="2" t="s">
        <v>16</v>
      </c>
      <c r="C2580" s="2">
        <v>1.69</v>
      </c>
      <c r="D2580" s="2">
        <v>9.4000000000000004E-3</v>
      </c>
      <c r="E2580" s="2">
        <v>1.5886000000000001E-4</v>
      </c>
      <c r="F2580" s="2" t="s">
        <v>7</v>
      </c>
    </row>
    <row r="2581" spans="1:6" ht="22.5" hidden="1" customHeight="1" x14ac:dyDescent="0.25">
      <c r="A2581" s="3">
        <v>44075</v>
      </c>
      <c r="B2581" s="2" t="s">
        <v>17</v>
      </c>
      <c r="C2581" s="2">
        <v>1.5</v>
      </c>
      <c r="D2581" s="2">
        <v>5.0099999999999999E-2</v>
      </c>
      <c r="E2581" s="2">
        <v>7.515E-4</v>
      </c>
      <c r="F2581" s="2" t="s">
        <v>7</v>
      </c>
    </row>
    <row r="2582" spans="1:6" ht="22.5" hidden="1" customHeight="1" x14ac:dyDescent="0.25">
      <c r="A2582" s="3">
        <v>44075</v>
      </c>
      <c r="B2582" s="2" t="s">
        <v>18</v>
      </c>
      <c r="C2582" s="2">
        <v>1.47</v>
      </c>
      <c r="D2582" s="2">
        <v>9.9500000000000005E-2</v>
      </c>
      <c r="E2582" s="2">
        <v>1.46265E-3</v>
      </c>
      <c r="F2582" s="2" t="s">
        <v>7</v>
      </c>
    </row>
    <row r="2583" spans="1:6" ht="22.5" hidden="1" customHeight="1" x14ac:dyDescent="0.25">
      <c r="A2583" s="3">
        <v>44075</v>
      </c>
      <c r="B2583" s="2" t="s">
        <v>19</v>
      </c>
      <c r="C2583" s="2">
        <v>1.01</v>
      </c>
      <c r="D2583" s="2">
        <v>0.11849999999999999</v>
      </c>
      <c r="E2583" s="2">
        <v>1.19685E-3</v>
      </c>
      <c r="F2583" s="2" t="s">
        <v>7</v>
      </c>
    </row>
    <row r="2584" spans="1:6" ht="22.5" hidden="1" customHeight="1" x14ac:dyDescent="0.25">
      <c r="A2584" s="3">
        <v>44075</v>
      </c>
      <c r="B2584" s="2" t="s">
        <v>20</v>
      </c>
      <c r="C2584" s="2">
        <v>0.09</v>
      </c>
      <c r="D2584" s="2">
        <v>2.63E-2</v>
      </c>
      <c r="E2584" s="2">
        <v>2.3669999999999999E-5</v>
      </c>
      <c r="F2584" s="2" t="s">
        <v>7</v>
      </c>
    </row>
    <row r="2585" spans="1:6" ht="22.5" hidden="1" customHeight="1" x14ac:dyDescent="0.25">
      <c r="A2585" s="3">
        <v>44075</v>
      </c>
      <c r="B2585" s="2" t="s">
        <v>21</v>
      </c>
      <c r="C2585" s="2">
        <v>-2.71</v>
      </c>
      <c r="D2585" s="2">
        <v>2.6800000000000001E-2</v>
      </c>
      <c r="E2585" s="2">
        <v>-7.2628000000000005E-4</v>
      </c>
      <c r="F2585" s="2" t="s">
        <v>7</v>
      </c>
    </row>
    <row r="2586" spans="1:6" ht="22.5" hidden="1" customHeight="1" x14ac:dyDescent="0.25">
      <c r="A2586" s="3">
        <v>44075</v>
      </c>
      <c r="B2586" s="2" t="s">
        <v>22</v>
      </c>
      <c r="C2586" s="2">
        <v>-8.1999999999999993</v>
      </c>
      <c r="D2586" s="2">
        <v>0.16450000000000001</v>
      </c>
      <c r="E2586" s="2">
        <v>-1.3488999999999999E-2</v>
      </c>
      <c r="F2586" s="2" t="s">
        <v>7</v>
      </c>
    </row>
    <row r="2587" spans="1:6" ht="22.5" hidden="1" customHeight="1" x14ac:dyDescent="0.25">
      <c r="A2587" s="3">
        <v>44075</v>
      </c>
      <c r="B2587" s="2" t="s">
        <v>23</v>
      </c>
      <c r="C2587" s="2">
        <v>9.6999999999999993</v>
      </c>
      <c r="D2587" s="2">
        <v>1.38E-2</v>
      </c>
      <c r="E2587" s="2">
        <v>1.3385999999999999E-3</v>
      </c>
      <c r="F2587" s="2" t="s">
        <v>7</v>
      </c>
    </row>
    <row r="2588" spans="1:6" ht="22.5" hidden="1" customHeight="1" x14ac:dyDescent="0.25">
      <c r="A2588" s="3">
        <v>44075</v>
      </c>
      <c r="B2588" s="2" t="s">
        <v>24</v>
      </c>
      <c r="C2588" s="2">
        <v>-5.63</v>
      </c>
      <c r="D2588" s="2">
        <v>9.5999999999999992E-3</v>
      </c>
      <c r="E2588" s="2">
        <v>-5.4047999999999998E-4</v>
      </c>
      <c r="F2588" s="2" t="s">
        <v>7</v>
      </c>
    </row>
    <row r="2589" spans="1:6" ht="22.5" hidden="1" customHeight="1" x14ac:dyDescent="0.25">
      <c r="A2589" s="3">
        <v>44075</v>
      </c>
      <c r="B2589" s="2" t="s">
        <v>25</v>
      </c>
      <c r="C2589" s="2">
        <v>-4.33</v>
      </c>
      <c r="D2589" s="2">
        <v>3.3999999999999998E-3</v>
      </c>
      <c r="E2589" s="2">
        <v>-1.4721999999999999E-4</v>
      </c>
      <c r="F2589" s="2" t="s">
        <v>7</v>
      </c>
    </row>
    <row r="2590" spans="1:6" ht="22.5" hidden="1" customHeight="1" x14ac:dyDescent="0.25">
      <c r="A2590" s="3">
        <v>44075</v>
      </c>
      <c r="B2590" s="2" t="s">
        <v>26</v>
      </c>
      <c r="C2590" s="2">
        <v>14.06</v>
      </c>
      <c r="D2590" s="2">
        <v>1.5100000000000001E-2</v>
      </c>
      <c r="E2590" s="2">
        <v>2.12306E-3</v>
      </c>
      <c r="F2590" s="2" t="s">
        <v>7</v>
      </c>
    </row>
    <row r="2591" spans="1:6" ht="22.5" hidden="1" customHeight="1" x14ac:dyDescent="0.25">
      <c r="A2591" s="3">
        <v>44075</v>
      </c>
      <c r="B2591" s="2" t="s">
        <v>27</v>
      </c>
      <c r="C2591" s="2">
        <v>22.53</v>
      </c>
      <c r="D2591" s="2">
        <v>0.17169999999999999</v>
      </c>
      <c r="E2591" s="2">
        <v>3.8684009999999998E-2</v>
      </c>
      <c r="F2591" s="2" t="s">
        <v>7</v>
      </c>
    </row>
    <row r="2592" spans="1:6" ht="22.5" hidden="1" customHeight="1" x14ac:dyDescent="0.25">
      <c r="A2592" s="3">
        <v>44075</v>
      </c>
      <c r="B2592" s="2" t="s">
        <v>28</v>
      </c>
      <c r="C2592" s="2">
        <v>-19.09</v>
      </c>
      <c r="D2592" s="2">
        <v>0.17369999999999999</v>
      </c>
      <c r="E2592" s="2">
        <v>-3.3159330000000001E-2</v>
      </c>
      <c r="F2592" s="2" t="s">
        <v>7</v>
      </c>
    </row>
    <row r="2593" spans="1:6" ht="22.5" hidden="1" customHeight="1" x14ac:dyDescent="0.25">
      <c r="A2593" s="3">
        <v>44075</v>
      </c>
      <c r="B2593" s="2" t="s">
        <v>29</v>
      </c>
      <c r="C2593" s="2">
        <v>6.17</v>
      </c>
      <c r="D2593" s="2">
        <v>4.9599999999999998E-2</v>
      </c>
      <c r="E2593" s="2">
        <v>3.0603200000000001E-3</v>
      </c>
      <c r="F2593" s="2" t="s">
        <v>7</v>
      </c>
    </row>
    <row r="2594" spans="1:6" ht="22.5" hidden="1" customHeight="1" x14ac:dyDescent="0.25">
      <c r="A2594" s="3">
        <v>44075</v>
      </c>
      <c r="B2594" s="2" t="s">
        <v>30</v>
      </c>
      <c r="C2594" s="2">
        <v>-0.6</v>
      </c>
      <c r="D2594" s="2">
        <v>9.1899999999999996E-2</v>
      </c>
      <c r="E2594" s="2">
        <v>-5.5139999999999996E-4</v>
      </c>
      <c r="F2594" s="2" t="s">
        <v>7</v>
      </c>
    </row>
    <row r="2595" spans="1:6" ht="22.5" hidden="1" customHeight="1" x14ac:dyDescent="0.25">
      <c r="A2595" s="3">
        <v>44075</v>
      </c>
      <c r="B2595" s="2" t="s">
        <v>31</v>
      </c>
      <c r="C2595" s="2">
        <v>0.53</v>
      </c>
      <c r="D2595" s="2">
        <v>9.7900000000000001E-2</v>
      </c>
      <c r="E2595" s="2">
        <v>5.1887000000000005E-4</v>
      </c>
      <c r="F2595" s="2" t="s">
        <v>7</v>
      </c>
    </row>
    <row r="2596" spans="1:6" ht="22.5" hidden="1" customHeight="1" x14ac:dyDescent="0.25">
      <c r="A2596" s="3">
        <v>44075</v>
      </c>
      <c r="B2596" s="2" t="s">
        <v>32</v>
      </c>
      <c r="C2596" s="2">
        <v>-1.93</v>
      </c>
      <c r="D2596" s="2">
        <v>1.6199999999999999E-2</v>
      </c>
      <c r="E2596" s="2">
        <v>-3.1265999999999998E-4</v>
      </c>
      <c r="F2596" s="2" t="s">
        <v>7</v>
      </c>
    </row>
    <row r="2597" spans="1:6" ht="22.5" hidden="1" customHeight="1" x14ac:dyDescent="0.25">
      <c r="A2597" s="3">
        <v>44075</v>
      </c>
      <c r="B2597" s="2" t="s">
        <v>33</v>
      </c>
      <c r="C2597" s="2">
        <v>4.51</v>
      </c>
      <c r="D2597" s="2">
        <v>0.18740000000000001</v>
      </c>
      <c r="E2597" s="2">
        <v>8.4517399999999993E-3</v>
      </c>
      <c r="F2597" s="2" t="s">
        <v>7</v>
      </c>
    </row>
    <row r="2598" spans="1:6" ht="22.5" hidden="1" customHeight="1" x14ac:dyDescent="0.25">
      <c r="A2598" s="3">
        <v>44075</v>
      </c>
      <c r="B2598" s="2" t="s">
        <v>34</v>
      </c>
      <c r="C2598" s="2">
        <v>1.57</v>
      </c>
      <c r="D2598" s="2">
        <v>0.14169999999999999</v>
      </c>
      <c r="E2598" s="2">
        <v>2.2246900000000001E-3</v>
      </c>
      <c r="F2598" s="2" t="s">
        <v>7</v>
      </c>
    </row>
    <row r="2599" spans="1:6" ht="22.5" hidden="1" customHeight="1" x14ac:dyDescent="0.25">
      <c r="A2599" s="3">
        <v>44075</v>
      </c>
      <c r="B2599" s="2" t="s">
        <v>35</v>
      </c>
      <c r="C2599" s="2">
        <v>2.11</v>
      </c>
      <c r="D2599" s="2">
        <v>0.1076</v>
      </c>
      <c r="E2599" s="2">
        <v>2.2703599999999999E-3</v>
      </c>
      <c r="F2599" s="2" t="s">
        <v>7</v>
      </c>
    </row>
    <row r="2600" spans="1:6" ht="22.5" hidden="1" customHeight="1" x14ac:dyDescent="0.25">
      <c r="A2600" s="3">
        <v>44075</v>
      </c>
      <c r="B2600" s="2" t="s">
        <v>36</v>
      </c>
      <c r="C2600" s="2">
        <v>0.7</v>
      </c>
      <c r="D2600" s="2">
        <v>1.6999999999999999E-3</v>
      </c>
      <c r="E2600" s="2">
        <v>1.19E-5</v>
      </c>
      <c r="F2600" s="2" t="s">
        <v>7</v>
      </c>
    </row>
    <row r="2601" spans="1:6" ht="22.5" hidden="1" customHeight="1" x14ac:dyDescent="0.25">
      <c r="A2601" s="3">
        <v>44075</v>
      </c>
      <c r="B2601" s="2" t="s">
        <v>37</v>
      </c>
      <c r="C2601" s="2">
        <v>0.47</v>
      </c>
      <c r="D2601" s="2">
        <v>8.3299999999999999E-2</v>
      </c>
      <c r="E2601" s="2">
        <v>3.9151000000000002E-4</v>
      </c>
      <c r="F2601" s="2" t="s">
        <v>7</v>
      </c>
    </row>
    <row r="2602" spans="1:6" ht="22.5" hidden="1" customHeight="1" x14ac:dyDescent="0.25">
      <c r="A2602" s="3">
        <v>44075</v>
      </c>
      <c r="B2602" s="2" t="s">
        <v>38</v>
      </c>
      <c r="C2602" s="2">
        <v>1.49</v>
      </c>
      <c r="D2602" s="2">
        <v>9.7999999999999997E-3</v>
      </c>
      <c r="E2602" s="2">
        <v>1.4601999999999999E-4</v>
      </c>
      <c r="F2602" s="2" t="s">
        <v>7</v>
      </c>
    </row>
    <row r="2603" spans="1:6" ht="22.5" hidden="1" customHeight="1" x14ac:dyDescent="0.25">
      <c r="A2603" s="3">
        <v>44075</v>
      </c>
      <c r="B2603" s="2" t="s">
        <v>39</v>
      </c>
      <c r="C2603" s="2">
        <v>-2.4700000000000002</v>
      </c>
      <c r="D2603" s="2">
        <v>1.5100000000000001E-2</v>
      </c>
      <c r="E2603" s="2">
        <v>-3.7296999999999997E-4</v>
      </c>
      <c r="F2603" s="2" t="s">
        <v>7</v>
      </c>
    </row>
    <row r="2604" spans="1:6" ht="22.5" hidden="1" customHeight="1" x14ac:dyDescent="0.25">
      <c r="A2604" s="3">
        <v>44075</v>
      </c>
      <c r="B2604" s="2" t="s">
        <v>40</v>
      </c>
      <c r="C2604" s="2">
        <v>-2.5299999999999998</v>
      </c>
      <c r="D2604" s="2">
        <v>2.8999999999999998E-3</v>
      </c>
      <c r="E2604" s="2">
        <v>-7.3369999999999997E-5</v>
      </c>
      <c r="F2604" s="2" t="s">
        <v>7</v>
      </c>
    </row>
    <row r="2605" spans="1:6" ht="22.5" hidden="1" customHeight="1" x14ac:dyDescent="0.25">
      <c r="A2605" s="3">
        <v>44075</v>
      </c>
      <c r="B2605" s="2" t="s">
        <v>41</v>
      </c>
      <c r="C2605" s="2">
        <v>-5.79</v>
      </c>
      <c r="D2605" s="2">
        <v>1.52E-2</v>
      </c>
      <c r="E2605" s="2">
        <v>-8.8007999999999999E-4</v>
      </c>
      <c r="F2605" s="2" t="s">
        <v>7</v>
      </c>
    </row>
    <row r="2606" spans="1:6" ht="22.5" hidden="1" customHeight="1" x14ac:dyDescent="0.25">
      <c r="A2606" s="3">
        <v>44075</v>
      </c>
      <c r="B2606" s="2" t="s">
        <v>42</v>
      </c>
      <c r="C2606" s="2">
        <v>-2.89</v>
      </c>
      <c r="D2606" s="2">
        <v>4.3700000000000003E-2</v>
      </c>
      <c r="E2606" s="2">
        <v>-1.26293E-3</v>
      </c>
      <c r="F2606" s="2" t="s">
        <v>7</v>
      </c>
    </row>
    <row r="2607" spans="1:6" ht="22.5" hidden="1" customHeight="1" x14ac:dyDescent="0.25">
      <c r="A2607" s="3">
        <v>44075</v>
      </c>
      <c r="B2607" s="2" t="s">
        <v>43</v>
      </c>
      <c r="C2607" s="2">
        <v>-1.42</v>
      </c>
      <c r="D2607" s="2">
        <v>2.7199999999999998E-2</v>
      </c>
      <c r="E2607" s="2">
        <v>-3.8623999999999999E-4</v>
      </c>
      <c r="F2607" s="2" t="s">
        <v>7</v>
      </c>
    </row>
    <row r="2608" spans="1:6" ht="22.5" hidden="1" customHeight="1" x14ac:dyDescent="0.25">
      <c r="A2608" s="3">
        <v>44075</v>
      </c>
      <c r="B2608" s="2" t="s">
        <v>44</v>
      </c>
      <c r="C2608" s="2">
        <v>-5.45</v>
      </c>
      <c r="D2608" s="2">
        <v>1.84E-2</v>
      </c>
      <c r="E2608" s="2">
        <v>-1.0028000000000001E-3</v>
      </c>
      <c r="F2608" s="2" t="s">
        <v>7</v>
      </c>
    </row>
    <row r="2609" spans="1:6" ht="22.5" hidden="1" customHeight="1" x14ac:dyDescent="0.25">
      <c r="A2609" s="3">
        <v>44075</v>
      </c>
      <c r="B2609" s="2" t="s">
        <v>45</v>
      </c>
      <c r="C2609" s="2">
        <v>-2.5499999999999998</v>
      </c>
      <c r="D2609" s="2">
        <v>1.7299999999999999E-2</v>
      </c>
      <c r="E2609" s="2">
        <v>-4.4115000000000002E-4</v>
      </c>
      <c r="F2609" s="2" t="s">
        <v>7</v>
      </c>
    </row>
    <row r="2610" spans="1:6" ht="22.5" hidden="1" customHeight="1" x14ac:dyDescent="0.25">
      <c r="A2610" s="3">
        <v>44075</v>
      </c>
      <c r="B2610" s="2" t="s">
        <v>46</v>
      </c>
      <c r="C2610" s="2">
        <v>-0.82</v>
      </c>
      <c r="D2610" s="2">
        <v>1.1999999999999999E-3</v>
      </c>
      <c r="E2610" s="2">
        <v>-9.8400000000000007E-6</v>
      </c>
      <c r="F2610" s="2" t="s">
        <v>7</v>
      </c>
    </row>
    <row r="2611" spans="1:6" ht="22.5" hidden="1" customHeight="1" x14ac:dyDescent="0.25">
      <c r="A2611" s="3">
        <v>44075</v>
      </c>
      <c r="B2611" s="2" t="s">
        <v>47</v>
      </c>
      <c r="C2611" s="2">
        <v>3.76</v>
      </c>
      <c r="D2611" s="2">
        <v>9.4899999999999998E-2</v>
      </c>
      <c r="E2611" s="2">
        <v>3.5682399999999999E-3</v>
      </c>
      <c r="F2611" s="2" t="s">
        <v>7</v>
      </c>
    </row>
    <row r="2612" spans="1:6" ht="22.5" hidden="1" customHeight="1" x14ac:dyDescent="0.25">
      <c r="A2612" s="3">
        <v>44075</v>
      </c>
      <c r="B2612" s="2" t="s">
        <v>48</v>
      </c>
      <c r="C2612" s="2">
        <v>11.73</v>
      </c>
      <c r="D2612" s="2">
        <v>3.5999999999999999E-3</v>
      </c>
      <c r="E2612" s="2">
        <v>4.2227999999999998E-4</v>
      </c>
      <c r="F2612" s="2" t="s">
        <v>7</v>
      </c>
    </row>
    <row r="2613" spans="1:6" ht="22.5" hidden="1" customHeight="1" x14ac:dyDescent="0.25">
      <c r="A2613" s="3">
        <v>44075</v>
      </c>
      <c r="B2613" s="2" t="s">
        <v>49</v>
      </c>
      <c r="C2613" s="2">
        <v>-1.88</v>
      </c>
      <c r="D2613" s="2">
        <v>0.14269999999999999</v>
      </c>
      <c r="E2613" s="2">
        <v>-2.6827600000000002E-3</v>
      </c>
      <c r="F2613" s="2" t="s">
        <v>7</v>
      </c>
    </row>
    <row r="2614" spans="1:6" ht="22.5" hidden="1" customHeight="1" x14ac:dyDescent="0.25">
      <c r="A2614" s="3">
        <v>44075</v>
      </c>
      <c r="B2614" s="2" t="s">
        <v>50</v>
      </c>
      <c r="C2614" s="2">
        <v>7.13</v>
      </c>
      <c r="D2614" s="2">
        <v>4.1000000000000003E-3</v>
      </c>
      <c r="E2614" s="2">
        <v>2.9232999999999999E-4</v>
      </c>
      <c r="F2614" s="2" t="s">
        <v>7</v>
      </c>
    </row>
    <row r="2615" spans="1:6" ht="22.5" hidden="1" customHeight="1" x14ac:dyDescent="0.25">
      <c r="A2615" s="3">
        <v>44075</v>
      </c>
      <c r="B2615" s="2" t="s">
        <v>51</v>
      </c>
      <c r="C2615" s="2">
        <v>13.69</v>
      </c>
      <c r="D2615" s="2">
        <v>3.5000000000000001E-3</v>
      </c>
      <c r="E2615" s="2">
        <v>4.7915000000000002E-4</v>
      </c>
      <c r="F2615" s="2" t="s">
        <v>7</v>
      </c>
    </row>
    <row r="2616" spans="1:6" ht="22.5" hidden="1" customHeight="1" x14ac:dyDescent="0.25">
      <c r="A2616" s="3">
        <v>44075</v>
      </c>
      <c r="B2616" s="2" t="s">
        <v>52</v>
      </c>
      <c r="C2616" s="2">
        <v>14.96</v>
      </c>
      <c r="D2616" s="2">
        <v>4.1099999999999998E-2</v>
      </c>
      <c r="E2616" s="2">
        <v>6.14856E-3</v>
      </c>
      <c r="F2616" s="2" t="s">
        <v>7</v>
      </c>
    </row>
    <row r="2617" spans="1:6" ht="22.5" hidden="1" customHeight="1" x14ac:dyDescent="0.25">
      <c r="A2617" s="3">
        <v>44075</v>
      </c>
      <c r="B2617" s="2" t="s">
        <v>53</v>
      </c>
      <c r="C2617" s="2">
        <v>3.02</v>
      </c>
      <c r="D2617" s="2">
        <v>0.15340000000000001</v>
      </c>
      <c r="E2617" s="2">
        <v>4.6326800000000001E-3</v>
      </c>
      <c r="F2617" s="2" t="s">
        <v>7</v>
      </c>
    </row>
    <row r="2618" spans="1:6" ht="22.5" hidden="1" customHeight="1" x14ac:dyDescent="0.25">
      <c r="A2618" s="3">
        <v>44075</v>
      </c>
      <c r="B2618" s="2" t="s">
        <v>54</v>
      </c>
      <c r="C2618" s="2">
        <v>2.67</v>
      </c>
      <c r="D2618" s="2">
        <v>9.0800000000000006E-2</v>
      </c>
      <c r="E2618" s="2">
        <v>2.42436E-3</v>
      </c>
      <c r="F2618" s="2" t="s">
        <v>7</v>
      </c>
    </row>
    <row r="2619" spans="1:6" ht="22.5" hidden="1" customHeight="1" x14ac:dyDescent="0.25">
      <c r="A2619" s="3">
        <v>44075</v>
      </c>
      <c r="B2619" s="2" t="s">
        <v>55</v>
      </c>
      <c r="C2619" s="2">
        <v>-6.7</v>
      </c>
      <c r="D2619" s="2">
        <v>7.9600000000000004E-2</v>
      </c>
      <c r="E2619" s="2">
        <v>-5.3331999999999997E-3</v>
      </c>
      <c r="F2619" s="2" t="s">
        <v>7</v>
      </c>
    </row>
    <row r="2620" spans="1:6" ht="22.5" hidden="1" customHeight="1" x14ac:dyDescent="0.25">
      <c r="A2620" s="3">
        <v>44075</v>
      </c>
      <c r="B2620" s="2" t="s">
        <v>56</v>
      </c>
      <c r="C2620" s="2">
        <v>1</v>
      </c>
      <c r="D2620" s="2">
        <v>7.3000000000000001E-3</v>
      </c>
      <c r="E2620" s="2">
        <v>7.2999999999999999E-5</v>
      </c>
      <c r="F2620" s="2" t="s">
        <v>7</v>
      </c>
    </row>
    <row r="2621" spans="1:6" ht="22.5" hidden="1" customHeight="1" x14ac:dyDescent="0.25">
      <c r="A2621" s="3">
        <v>44075</v>
      </c>
      <c r="B2621" s="2" t="s">
        <v>57</v>
      </c>
      <c r="C2621" s="2">
        <v>0.66</v>
      </c>
      <c r="D2621" s="2">
        <v>3.0800000000000001E-2</v>
      </c>
      <c r="E2621" s="2">
        <v>2.0327999999999999E-4</v>
      </c>
      <c r="F2621" s="2" t="s">
        <v>7</v>
      </c>
    </row>
    <row r="2622" spans="1:6" ht="22.5" hidden="1" customHeight="1" x14ac:dyDescent="0.25">
      <c r="A2622" s="3">
        <v>44075</v>
      </c>
      <c r="B2622" s="2" t="s">
        <v>58</v>
      </c>
      <c r="C2622" s="2">
        <v>-2.82</v>
      </c>
      <c r="D2622" s="2">
        <v>1.6500000000000001E-2</v>
      </c>
      <c r="E2622" s="2">
        <v>-4.6529999999999998E-4</v>
      </c>
      <c r="F2622" s="2" t="s">
        <v>7</v>
      </c>
    </row>
    <row r="2623" spans="1:6" ht="22.5" hidden="1" customHeight="1" x14ac:dyDescent="0.25">
      <c r="A2623" s="3">
        <v>44075</v>
      </c>
      <c r="B2623" s="2" t="s">
        <v>59</v>
      </c>
      <c r="C2623" s="2">
        <v>2.29</v>
      </c>
      <c r="D2623" s="2">
        <v>2.1600000000000001E-2</v>
      </c>
      <c r="E2623" s="2">
        <v>4.9463999999999997E-4</v>
      </c>
      <c r="F2623" s="2" t="s">
        <v>7</v>
      </c>
    </row>
    <row r="2624" spans="1:6" ht="22.5" hidden="1" customHeight="1" x14ac:dyDescent="0.25">
      <c r="A2624" s="3">
        <v>44075</v>
      </c>
      <c r="B2624" s="2" t="s">
        <v>60</v>
      </c>
      <c r="C2624" s="2">
        <v>0.61</v>
      </c>
      <c r="D2624" s="2">
        <v>3.39E-2</v>
      </c>
      <c r="E2624" s="2">
        <v>2.0678999999999999E-4</v>
      </c>
      <c r="F2624" s="2" t="s">
        <v>7</v>
      </c>
    </row>
    <row r="2625" spans="1:6" ht="22.5" hidden="1" customHeight="1" x14ac:dyDescent="0.25">
      <c r="A2625" s="3">
        <v>44075</v>
      </c>
      <c r="B2625" s="2" t="s">
        <v>61</v>
      </c>
      <c r="C2625" s="2">
        <v>0.15</v>
      </c>
      <c r="D2625" s="2">
        <v>7.2599999999999998E-2</v>
      </c>
      <c r="E2625" s="2">
        <v>1.089E-4</v>
      </c>
      <c r="F2625" s="2" t="s">
        <v>7</v>
      </c>
    </row>
    <row r="2626" spans="1:6" ht="22.5" hidden="1" customHeight="1" x14ac:dyDescent="0.25">
      <c r="A2626" s="3">
        <v>44075</v>
      </c>
      <c r="B2626" s="2" t="s">
        <v>62</v>
      </c>
      <c r="C2626" s="2">
        <v>-3.44</v>
      </c>
      <c r="D2626" s="2">
        <v>9.3299999999999994E-2</v>
      </c>
      <c r="E2626" s="2">
        <v>-3.20952E-3</v>
      </c>
      <c r="F2626" s="2" t="s">
        <v>7</v>
      </c>
    </row>
    <row r="2627" spans="1:6" ht="22.5" hidden="1" customHeight="1" x14ac:dyDescent="0.25">
      <c r="A2627" s="3">
        <v>44075</v>
      </c>
      <c r="B2627" s="2" t="s">
        <v>63</v>
      </c>
      <c r="C2627" s="2">
        <v>3.29</v>
      </c>
      <c r="D2627" s="2">
        <v>0.01</v>
      </c>
      <c r="E2627" s="2">
        <v>3.2899999999999997E-4</v>
      </c>
      <c r="F2627" s="2" t="s">
        <v>7</v>
      </c>
    </row>
    <row r="2628" spans="1:6" ht="22.5" hidden="1" customHeight="1" x14ac:dyDescent="0.25">
      <c r="A2628" s="3">
        <v>44075</v>
      </c>
      <c r="B2628" s="2" t="s">
        <v>64</v>
      </c>
      <c r="C2628" s="2">
        <v>-2.1</v>
      </c>
      <c r="D2628" s="2">
        <v>4.5999999999999999E-3</v>
      </c>
      <c r="E2628" s="2">
        <v>-9.6600000000000003E-5</v>
      </c>
      <c r="F2628" s="2" t="s">
        <v>7</v>
      </c>
    </row>
    <row r="2629" spans="1:6" ht="22.5" hidden="1" customHeight="1" x14ac:dyDescent="0.25">
      <c r="A2629" s="3">
        <v>44075</v>
      </c>
      <c r="B2629" s="2" t="s">
        <v>65</v>
      </c>
      <c r="C2629" s="2">
        <v>4.03</v>
      </c>
      <c r="D2629" s="2">
        <v>2.1100000000000001E-2</v>
      </c>
      <c r="E2629" s="2">
        <v>8.5033000000000005E-4</v>
      </c>
      <c r="F2629" s="2" t="s">
        <v>7</v>
      </c>
    </row>
    <row r="2630" spans="1:6" ht="22.5" hidden="1" customHeight="1" x14ac:dyDescent="0.25">
      <c r="A2630" s="3">
        <v>44075</v>
      </c>
      <c r="B2630" s="2" t="s">
        <v>66</v>
      </c>
      <c r="C2630" s="2">
        <v>8.2100000000000009</v>
      </c>
      <c r="D2630" s="2">
        <v>0.32769999999999999</v>
      </c>
      <c r="E2630" s="2">
        <v>2.6904170000000002E-2</v>
      </c>
      <c r="F2630" s="2" t="s">
        <v>7</v>
      </c>
    </row>
    <row r="2631" spans="1:6" ht="22.5" hidden="1" customHeight="1" x14ac:dyDescent="0.25">
      <c r="A2631" s="3">
        <v>44075</v>
      </c>
      <c r="B2631" s="2" t="s">
        <v>67</v>
      </c>
      <c r="C2631" s="2">
        <v>1.59</v>
      </c>
      <c r="D2631" s="2">
        <v>3.2000000000000002E-3</v>
      </c>
      <c r="E2631" s="2">
        <v>5.0880000000000001E-5</v>
      </c>
      <c r="F2631" s="2" t="s">
        <v>7</v>
      </c>
    </row>
    <row r="2632" spans="1:6" ht="22.5" hidden="1" customHeight="1" x14ac:dyDescent="0.25">
      <c r="A2632" s="3">
        <v>44075</v>
      </c>
      <c r="B2632" s="2" t="s">
        <v>68</v>
      </c>
      <c r="C2632" s="2">
        <v>-0.76</v>
      </c>
      <c r="D2632" s="2">
        <v>1.0500000000000001E-2</v>
      </c>
      <c r="E2632" s="2">
        <v>-7.9800000000000002E-5</v>
      </c>
      <c r="F2632" s="2" t="s">
        <v>7</v>
      </c>
    </row>
    <row r="2633" spans="1:6" ht="22.5" hidden="1" customHeight="1" x14ac:dyDescent="0.25">
      <c r="A2633" s="3">
        <v>44075</v>
      </c>
      <c r="B2633" s="2" t="s">
        <v>69</v>
      </c>
      <c r="C2633" s="2">
        <v>1.42</v>
      </c>
      <c r="D2633" s="2">
        <v>0.41720000000000002</v>
      </c>
      <c r="E2633" s="2">
        <v>5.9242399999999999E-3</v>
      </c>
      <c r="F2633" s="2" t="s">
        <v>7</v>
      </c>
    </row>
    <row r="2634" spans="1:6" ht="22.5" hidden="1" customHeight="1" x14ac:dyDescent="0.25">
      <c r="A2634" s="3">
        <v>44075</v>
      </c>
      <c r="B2634" s="2" t="s">
        <v>70</v>
      </c>
      <c r="C2634" s="2">
        <v>-0.82</v>
      </c>
      <c r="D2634" s="2">
        <v>2.4299999999999999E-2</v>
      </c>
      <c r="E2634" s="2">
        <v>-1.9926000000000001E-4</v>
      </c>
      <c r="F2634" s="2" t="s">
        <v>7</v>
      </c>
    </row>
    <row r="2635" spans="1:6" ht="22.5" hidden="1" customHeight="1" x14ac:dyDescent="0.25">
      <c r="A2635" s="3">
        <v>44075</v>
      </c>
      <c r="B2635" s="2" t="s">
        <v>71</v>
      </c>
      <c r="C2635" s="2">
        <v>3.37</v>
      </c>
      <c r="D2635" s="2">
        <v>0.28820000000000001</v>
      </c>
      <c r="E2635" s="2">
        <v>9.7123399999999999E-3</v>
      </c>
      <c r="F2635" s="2" t="s">
        <v>7</v>
      </c>
    </row>
    <row r="2636" spans="1:6" ht="22.5" hidden="1" customHeight="1" x14ac:dyDescent="0.25">
      <c r="A2636" s="3">
        <v>44075</v>
      </c>
      <c r="B2636" s="2" t="s">
        <v>72</v>
      </c>
      <c r="C2636" s="2">
        <v>2.48</v>
      </c>
      <c r="D2636" s="2">
        <v>0.31440000000000001</v>
      </c>
      <c r="E2636" s="2">
        <v>7.7971200000000003E-3</v>
      </c>
      <c r="F2636" s="2" t="s">
        <v>7</v>
      </c>
    </row>
    <row r="2637" spans="1:6" ht="22.5" hidden="1" customHeight="1" x14ac:dyDescent="0.25">
      <c r="A2637" s="3">
        <v>44075</v>
      </c>
      <c r="B2637" s="2" t="s">
        <v>73</v>
      </c>
      <c r="C2637" s="2">
        <v>1.85</v>
      </c>
      <c r="D2637" s="2">
        <v>0.1547</v>
      </c>
      <c r="E2637" s="2">
        <v>2.8619499999999998E-3</v>
      </c>
      <c r="F2637" s="2" t="s">
        <v>7</v>
      </c>
    </row>
    <row r="2638" spans="1:6" ht="22.5" hidden="1" customHeight="1" x14ac:dyDescent="0.25">
      <c r="A2638" s="3">
        <v>44075</v>
      </c>
      <c r="B2638" s="2" t="s">
        <v>74</v>
      </c>
      <c r="C2638" s="2">
        <v>3</v>
      </c>
      <c r="D2638" s="2">
        <v>8.6999999999999994E-3</v>
      </c>
      <c r="E2638" s="2">
        <v>2.61E-4</v>
      </c>
      <c r="F2638" s="2" t="s">
        <v>7</v>
      </c>
    </row>
    <row r="2639" spans="1:6" ht="22.5" hidden="1" customHeight="1" x14ac:dyDescent="0.25">
      <c r="A2639" s="3">
        <v>44075</v>
      </c>
      <c r="B2639" s="2" t="s">
        <v>75</v>
      </c>
      <c r="C2639" s="2">
        <v>2.2000000000000002</v>
      </c>
      <c r="D2639" s="2">
        <v>6.6799999999999998E-2</v>
      </c>
      <c r="E2639" s="2">
        <v>1.4695999999999999E-3</v>
      </c>
      <c r="F2639" s="2" t="s">
        <v>7</v>
      </c>
    </row>
    <row r="2640" spans="1:6" ht="22.5" hidden="1" customHeight="1" x14ac:dyDescent="0.25">
      <c r="A2640" s="3">
        <v>44075</v>
      </c>
      <c r="B2640" s="2" t="s">
        <v>76</v>
      </c>
      <c r="C2640" s="2">
        <v>3.21</v>
      </c>
      <c r="D2640" s="2">
        <v>0.1404</v>
      </c>
      <c r="E2640" s="2">
        <v>4.5068399999999998E-3</v>
      </c>
      <c r="F2640" s="2" t="s">
        <v>7</v>
      </c>
    </row>
    <row r="2641" spans="1:6" ht="22.5" hidden="1" customHeight="1" x14ac:dyDescent="0.25">
      <c r="A2641" s="3">
        <v>44075</v>
      </c>
      <c r="B2641" s="2" t="s">
        <v>77</v>
      </c>
      <c r="C2641" s="2">
        <v>2.0699999999999998</v>
      </c>
      <c r="D2641" s="2">
        <v>9.8900000000000002E-2</v>
      </c>
      <c r="E2641" s="2">
        <v>2.0472300000000001E-3</v>
      </c>
      <c r="F2641" s="2" t="s">
        <v>7</v>
      </c>
    </row>
    <row r="2642" spans="1:6" ht="22.5" hidden="1" customHeight="1" x14ac:dyDescent="0.25">
      <c r="A2642" s="3">
        <v>44075</v>
      </c>
      <c r="B2642" s="2" t="s">
        <v>78</v>
      </c>
      <c r="C2642" s="2">
        <v>4.5999999999999996</v>
      </c>
      <c r="D2642" s="2">
        <v>0.26129999999999998</v>
      </c>
      <c r="E2642" s="2">
        <v>1.2019800000000001E-2</v>
      </c>
      <c r="F2642" s="2" t="s">
        <v>7</v>
      </c>
    </row>
    <row r="2643" spans="1:6" ht="22.5" hidden="1" customHeight="1" x14ac:dyDescent="0.25">
      <c r="A2643" s="3">
        <v>44075</v>
      </c>
      <c r="B2643" s="2" t="s">
        <v>79</v>
      </c>
      <c r="C2643" s="2">
        <v>3</v>
      </c>
      <c r="D2643" s="2">
        <v>1.01E-2</v>
      </c>
      <c r="E2643" s="2">
        <v>3.0299999999999999E-4</v>
      </c>
      <c r="F2643" s="2" t="s">
        <v>7</v>
      </c>
    </row>
    <row r="2644" spans="1:6" ht="22.5" hidden="1" customHeight="1" x14ac:dyDescent="0.25">
      <c r="A2644" s="3">
        <v>44075</v>
      </c>
      <c r="B2644" s="2" t="s">
        <v>80</v>
      </c>
      <c r="C2644" s="2">
        <v>2.81</v>
      </c>
      <c r="D2644" s="2">
        <v>3.5900000000000001E-2</v>
      </c>
      <c r="E2644" s="2">
        <v>1.0087900000000001E-3</v>
      </c>
      <c r="F2644" s="2" t="s">
        <v>7</v>
      </c>
    </row>
    <row r="2645" spans="1:6" ht="22.5" hidden="1" customHeight="1" x14ac:dyDescent="0.25">
      <c r="A2645" s="3">
        <v>44075</v>
      </c>
      <c r="B2645" s="2" t="s">
        <v>81</v>
      </c>
      <c r="C2645" s="2">
        <v>3.81</v>
      </c>
      <c r="D2645" s="2">
        <v>0.32219999999999999</v>
      </c>
      <c r="E2645" s="2">
        <v>1.227582E-2</v>
      </c>
      <c r="F2645" s="2" t="s">
        <v>7</v>
      </c>
    </row>
    <row r="2646" spans="1:6" ht="22.5" hidden="1" customHeight="1" x14ac:dyDescent="0.25">
      <c r="A2646" s="3">
        <v>44075</v>
      </c>
      <c r="B2646" s="2" t="s">
        <v>82</v>
      </c>
      <c r="C2646" s="2">
        <v>-1.62</v>
      </c>
      <c r="D2646" s="2">
        <v>4.02E-2</v>
      </c>
      <c r="E2646" s="2">
        <v>-6.5123999999999998E-4</v>
      </c>
      <c r="F2646" s="2" t="s">
        <v>7</v>
      </c>
    </row>
    <row r="2647" spans="1:6" ht="22.5" hidden="1" customHeight="1" x14ac:dyDescent="0.25">
      <c r="A2647" s="3">
        <v>44075</v>
      </c>
      <c r="B2647" s="2" t="s">
        <v>83</v>
      </c>
      <c r="C2647" s="2">
        <v>0.12</v>
      </c>
      <c r="D2647" s="2">
        <v>6.9999999999999999E-4</v>
      </c>
      <c r="E2647" s="2">
        <v>8.4E-7</v>
      </c>
      <c r="F2647" s="2" t="s">
        <v>7</v>
      </c>
    </row>
    <row r="2648" spans="1:6" ht="22.5" hidden="1" customHeight="1" x14ac:dyDescent="0.25">
      <c r="A2648" s="3">
        <v>44075</v>
      </c>
      <c r="B2648" s="2" t="s">
        <v>84</v>
      </c>
      <c r="C2648" s="2">
        <v>0.72</v>
      </c>
      <c r="D2648" s="2">
        <v>2.2599999999999999E-2</v>
      </c>
      <c r="E2648" s="2">
        <v>1.6271999999999999E-4</v>
      </c>
      <c r="F2648" s="2" t="s">
        <v>7</v>
      </c>
    </row>
    <row r="2649" spans="1:6" ht="22.5" hidden="1" customHeight="1" x14ac:dyDescent="0.25">
      <c r="A2649" s="3">
        <v>44075</v>
      </c>
      <c r="B2649" s="2" t="s">
        <v>85</v>
      </c>
      <c r="C2649" s="2">
        <v>-1.79</v>
      </c>
      <c r="D2649" s="2">
        <v>5.5999999999999999E-3</v>
      </c>
      <c r="E2649" s="2">
        <v>-1.0024E-4</v>
      </c>
      <c r="F2649" s="2" t="s">
        <v>7</v>
      </c>
    </row>
    <row r="2650" spans="1:6" ht="22.5" hidden="1" customHeight="1" x14ac:dyDescent="0.25">
      <c r="A2650" s="3">
        <v>44075</v>
      </c>
      <c r="B2650" s="2" t="s">
        <v>86</v>
      </c>
      <c r="C2650" s="2">
        <v>0.28000000000000003</v>
      </c>
      <c r="D2650" s="2">
        <v>2.5499999999999998E-2</v>
      </c>
      <c r="E2650" s="2">
        <v>7.1400000000000001E-5</v>
      </c>
      <c r="F2650" s="2" t="s">
        <v>7</v>
      </c>
    </row>
    <row r="2651" spans="1:6" ht="22.5" hidden="1" customHeight="1" x14ac:dyDescent="0.25">
      <c r="A2651" s="3">
        <v>44075</v>
      </c>
      <c r="B2651" s="2" t="s">
        <v>87</v>
      </c>
      <c r="C2651" s="2">
        <v>1.97</v>
      </c>
      <c r="D2651" s="2">
        <v>1E-3</v>
      </c>
      <c r="E2651" s="2">
        <v>1.9700000000000001E-5</v>
      </c>
      <c r="F2651" s="2" t="s">
        <v>7</v>
      </c>
    </row>
    <row r="2652" spans="1:6" ht="22.5" hidden="1" customHeight="1" x14ac:dyDescent="0.25">
      <c r="A2652" s="3">
        <v>44075</v>
      </c>
      <c r="B2652" s="2" t="s">
        <v>88</v>
      </c>
      <c r="C2652" s="2">
        <v>-1.22</v>
      </c>
      <c r="D2652" s="2">
        <v>7.1000000000000004E-3</v>
      </c>
      <c r="E2652" s="2">
        <v>-8.6619999999999994E-5</v>
      </c>
      <c r="F2652" s="2" t="s">
        <v>7</v>
      </c>
    </row>
    <row r="2653" spans="1:6" ht="22.5" hidden="1" customHeight="1" x14ac:dyDescent="0.25">
      <c r="A2653" s="3">
        <v>44075</v>
      </c>
      <c r="B2653" s="2" t="s">
        <v>89</v>
      </c>
      <c r="C2653" s="2">
        <v>0.53</v>
      </c>
      <c r="D2653" s="2">
        <v>1.78E-2</v>
      </c>
      <c r="E2653" s="2">
        <v>9.4339999999999995E-5</v>
      </c>
      <c r="F2653" s="2" t="s">
        <v>7</v>
      </c>
    </row>
    <row r="2654" spans="1:6" ht="22.5" hidden="1" customHeight="1" x14ac:dyDescent="0.25">
      <c r="A2654" s="3">
        <v>44075</v>
      </c>
      <c r="B2654" s="2" t="s">
        <v>90</v>
      </c>
      <c r="C2654" s="2">
        <v>-0.41</v>
      </c>
      <c r="D2654" s="2">
        <v>1.6000000000000001E-3</v>
      </c>
      <c r="E2654" s="2">
        <v>-6.5599999999999999E-6</v>
      </c>
      <c r="F2654" s="2" t="s">
        <v>7</v>
      </c>
    </row>
    <row r="2655" spans="1:6" ht="22.5" hidden="1" customHeight="1" x14ac:dyDescent="0.25">
      <c r="A2655" s="3">
        <v>44075</v>
      </c>
      <c r="B2655" s="2" t="s">
        <v>91</v>
      </c>
      <c r="C2655" s="2">
        <v>0.14000000000000001</v>
      </c>
      <c r="D2655" s="2">
        <v>2.5100000000000001E-2</v>
      </c>
      <c r="E2655" s="2">
        <v>3.5139999999999999E-5</v>
      </c>
      <c r="F2655" s="2" t="s">
        <v>7</v>
      </c>
    </row>
    <row r="2656" spans="1:6" ht="22.5" hidden="1" customHeight="1" x14ac:dyDescent="0.25">
      <c r="A2656" s="3">
        <v>44075</v>
      </c>
      <c r="B2656" s="2" t="s">
        <v>92</v>
      </c>
      <c r="C2656" s="2">
        <v>0</v>
      </c>
      <c r="D2656" s="2">
        <v>5.4999999999999997E-3</v>
      </c>
      <c r="E2656" s="2">
        <v>0</v>
      </c>
      <c r="F2656" s="2" t="s">
        <v>7</v>
      </c>
    </row>
    <row r="2657" spans="1:6" ht="22.5" hidden="1" customHeight="1" x14ac:dyDescent="0.25">
      <c r="A2657" s="3">
        <v>44075</v>
      </c>
      <c r="B2657" s="2" t="s">
        <v>93</v>
      </c>
      <c r="C2657" s="2">
        <v>0.12</v>
      </c>
      <c r="D2657" s="2">
        <v>1.1000000000000001E-3</v>
      </c>
      <c r="E2657" s="2">
        <v>1.3200000000000001E-6</v>
      </c>
      <c r="F2657" s="2" t="s">
        <v>7</v>
      </c>
    </row>
    <row r="2658" spans="1:6" ht="22.5" hidden="1" customHeight="1" x14ac:dyDescent="0.25">
      <c r="A2658" s="3">
        <v>44075</v>
      </c>
      <c r="B2658" s="2" t="s">
        <v>94</v>
      </c>
      <c r="C2658" s="2">
        <v>-0.41</v>
      </c>
      <c r="D2658" s="2">
        <v>1E-3</v>
      </c>
      <c r="E2658" s="2">
        <v>-4.0999999999999997E-6</v>
      </c>
      <c r="F2658" s="2" t="s">
        <v>7</v>
      </c>
    </row>
    <row r="2659" spans="1:6" ht="22.5" hidden="1" customHeight="1" x14ac:dyDescent="0.25">
      <c r="A2659" s="3">
        <v>44075</v>
      </c>
      <c r="B2659" s="2" t="s">
        <v>95</v>
      </c>
      <c r="C2659" s="2">
        <v>1.76</v>
      </c>
      <c r="D2659" s="2">
        <v>1.7299999999999999E-2</v>
      </c>
      <c r="E2659" s="2">
        <v>3.0447999999999999E-4</v>
      </c>
      <c r="F2659" s="2" t="s">
        <v>7</v>
      </c>
    </row>
    <row r="2660" spans="1:6" ht="22.5" hidden="1" customHeight="1" x14ac:dyDescent="0.25">
      <c r="A2660" s="3">
        <v>44075</v>
      </c>
      <c r="B2660" s="2" t="s">
        <v>96</v>
      </c>
      <c r="C2660" s="2">
        <v>-0.79</v>
      </c>
      <c r="D2660" s="2">
        <v>4.9399999999999999E-2</v>
      </c>
      <c r="E2660" s="2">
        <v>-3.9026000000000002E-4</v>
      </c>
      <c r="F2660" s="2" t="s">
        <v>7</v>
      </c>
    </row>
    <row r="2661" spans="1:6" ht="22.5" hidden="1" customHeight="1" x14ac:dyDescent="0.25">
      <c r="A2661" s="3">
        <v>44075</v>
      </c>
      <c r="B2661" s="2" t="s">
        <v>97</v>
      </c>
      <c r="C2661" s="2">
        <v>-0.06</v>
      </c>
      <c r="D2661" s="2">
        <v>1.12E-2</v>
      </c>
      <c r="E2661" s="2">
        <v>-6.72E-6</v>
      </c>
      <c r="F2661" s="2" t="s">
        <v>7</v>
      </c>
    </row>
    <row r="2662" spans="1:6" ht="22.5" hidden="1" customHeight="1" x14ac:dyDescent="0.25">
      <c r="A2662" s="3">
        <v>44075</v>
      </c>
      <c r="B2662" s="2" t="s">
        <v>98</v>
      </c>
      <c r="C2662" s="2">
        <v>-0.9</v>
      </c>
      <c r="D2662" s="2">
        <v>7.0000000000000001E-3</v>
      </c>
      <c r="E2662" s="2">
        <v>-6.3E-5</v>
      </c>
      <c r="F2662" s="2" t="s">
        <v>7</v>
      </c>
    </row>
    <row r="2663" spans="1:6" ht="22.5" hidden="1" customHeight="1" x14ac:dyDescent="0.25">
      <c r="A2663" s="3">
        <v>44075</v>
      </c>
      <c r="B2663" s="2" t="s">
        <v>99</v>
      </c>
      <c r="C2663" s="2">
        <v>-0.27</v>
      </c>
      <c r="D2663" s="2">
        <v>3.7000000000000002E-3</v>
      </c>
      <c r="E2663" s="2">
        <v>-9.9899999999999992E-6</v>
      </c>
      <c r="F2663" s="2" t="s">
        <v>7</v>
      </c>
    </row>
    <row r="2664" spans="1:6" ht="22.5" hidden="1" customHeight="1" x14ac:dyDescent="0.25">
      <c r="A2664" s="3">
        <v>44075</v>
      </c>
      <c r="B2664" s="2" t="s">
        <v>100</v>
      </c>
      <c r="C2664" s="2">
        <v>1.0900000000000001</v>
      </c>
      <c r="D2664" s="2">
        <v>6.9999999999999999E-4</v>
      </c>
      <c r="E2664" s="2">
        <v>7.6299999999999998E-6</v>
      </c>
      <c r="F2664" s="2" t="s">
        <v>7</v>
      </c>
    </row>
    <row r="2665" spans="1:6" ht="22.5" hidden="1" customHeight="1" x14ac:dyDescent="0.25">
      <c r="A2665" s="3">
        <v>44075</v>
      </c>
      <c r="B2665" s="2" t="s">
        <v>101</v>
      </c>
      <c r="C2665" s="2">
        <v>-1.51</v>
      </c>
      <c r="D2665" s="2">
        <v>9.9199999999999997E-2</v>
      </c>
      <c r="E2665" s="2">
        <v>-1.49792E-3</v>
      </c>
      <c r="F2665" s="2" t="s">
        <v>7</v>
      </c>
    </row>
    <row r="2666" spans="1:6" ht="22.5" hidden="1" customHeight="1" x14ac:dyDescent="0.25">
      <c r="A2666" s="3">
        <v>44075</v>
      </c>
      <c r="B2666" s="2" t="s">
        <v>102</v>
      </c>
      <c r="C2666" s="2">
        <v>1.48</v>
      </c>
      <c r="D2666" s="2">
        <v>4.5100000000000001E-2</v>
      </c>
      <c r="E2666" s="2">
        <v>6.6748000000000003E-4</v>
      </c>
      <c r="F2666" s="2" t="s">
        <v>7</v>
      </c>
    </row>
    <row r="2667" spans="1:6" ht="22.5" hidden="1" customHeight="1" x14ac:dyDescent="0.25">
      <c r="A2667" s="3">
        <v>44075</v>
      </c>
      <c r="B2667" s="2" t="s">
        <v>103</v>
      </c>
      <c r="C2667" s="2">
        <v>4.8</v>
      </c>
      <c r="D2667" s="2">
        <v>0.31659999999999999</v>
      </c>
      <c r="E2667" s="2">
        <v>1.51968E-2</v>
      </c>
      <c r="F2667" s="2" t="s">
        <v>7</v>
      </c>
    </row>
    <row r="2668" spans="1:6" ht="22.5" hidden="1" customHeight="1" x14ac:dyDescent="0.25">
      <c r="A2668" s="3">
        <v>44075</v>
      </c>
      <c r="B2668" s="2" t="s">
        <v>104</v>
      </c>
      <c r="C2668" s="2">
        <v>0.44</v>
      </c>
      <c r="D2668" s="2">
        <v>5.4300000000000001E-2</v>
      </c>
      <c r="E2668" s="2">
        <v>2.3892E-4</v>
      </c>
      <c r="F2668" s="2" t="s">
        <v>7</v>
      </c>
    </row>
    <row r="2669" spans="1:6" ht="22.5" hidden="1" customHeight="1" x14ac:dyDescent="0.25">
      <c r="A2669" s="3">
        <v>44075</v>
      </c>
      <c r="B2669" s="2" t="s">
        <v>105</v>
      </c>
      <c r="C2669" s="2">
        <v>1.02</v>
      </c>
      <c r="D2669" s="2">
        <v>8.9999999999999993E-3</v>
      </c>
      <c r="E2669" s="2">
        <v>9.1799999999999995E-5</v>
      </c>
      <c r="F2669" s="2" t="s">
        <v>7</v>
      </c>
    </row>
    <row r="2670" spans="1:6" ht="22.5" hidden="1" customHeight="1" x14ac:dyDescent="0.25">
      <c r="A2670" s="3">
        <v>44075</v>
      </c>
      <c r="B2670" s="2" t="s">
        <v>106</v>
      </c>
      <c r="C2670" s="2">
        <v>3.75</v>
      </c>
      <c r="D2670" s="2">
        <v>8.8000000000000005E-3</v>
      </c>
      <c r="E2670" s="2">
        <v>3.3E-4</v>
      </c>
      <c r="F2670" s="2" t="s">
        <v>7</v>
      </c>
    </row>
    <row r="2671" spans="1:6" ht="22.5" hidden="1" customHeight="1" x14ac:dyDescent="0.25">
      <c r="A2671" s="3">
        <v>44075</v>
      </c>
      <c r="B2671" s="2" t="s">
        <v>107</v>
      </c>
      <c r="C2671" s="2">
        <v>2.5</v>
      </c>
      <c r="D2671" s="2">
        <v>0.1143</v>
      </c>
      <c r="E2671" s="2">
        <v>2.8574999999999998E-3</v>
      </c>
      <c r="F2671" s="2" t="s">
        <v>7</v>
      </c>
    </row>
    <row r="2672" spans="1:6" ht="22.5" hidden="1" customHeight="1" x14ac:dyDescent="0.25">
      <c r="A2672" s="3">
        <v>44075</v>
      </c>
      <c r="B2672" s="2" t="s">
        <v>108</v>
      </c>
      <c r="C2672" s="2">
        <v>1.27</v>
      </c>
      <c r="D2672" s="2">
        <v>7.6E-3</v>
      </c>
      <c r="E2672" s="2">
        <v>9.6520000000000004E-5</v>
      </c>
      <c r="F2672" s="2" t="s">
        <v>7</v>
      </c>
    </row>
    <row r="2673" spans="1:6" ht="22.5" hidden="1" customHeight="1" x14ac:dyDescent="0.25">
      <c r="A2673" s="3">
        <v>44075</v>
      </c>
      <c r="B2673" s="2" t="s">
        <v>109</v>
      </c>
      <c r="C2673" s="2">
        <v>1.38</v>
      </c>
      <c r="D2673" s="2">
        <v>0.32979999999999998</v>
      </c>
      <c r="E2673" s="2">
        <v>4.5512399999999998E-3</v>
      </c>
      <c r="F2673" s="2" t="s">
        <v>7</v>
      </c>
    </row>
    <row r="2674" spans="1:6" ht="22.5" hidden="1" customHeight="1" x14ac:dyDescent="0.25">
      <c r="A2674" s="3">
        <v>44075</v>
      </c>
      <c r="B2674" s="2" t="s">
        <v>110</v>
      </c>
      <c r="C2674" s="2">
        <v>0.99</v>
      </c>
      <c r="D2674" s="2">
        <v>0.58540000000000003</v>
      </c>
      <c r="E2674" s="2">
        <v>5.7954599999999997E-3</v>
      </c>
      <c r="F2674" s="2" t="s">
        <v>7</v>
      </c>
    </row>
    <row r="2675" spans="1:6" ht="22.5" hidden="1" customHeight="1" x14ac:dyDescent="0.25">
      <c r="A2675" s="3">
        <v>44075</v>
      </c>
      <c r="B2675" s="2" t="s">
        <v>111</v>
      </c>
      <c r="C2675" s="2">
        <v>-0.48</v>
      </c>
      <c r="D2675" s="2">
        <v>0.23699999999999999</v>
      </c>
      <c r="E2675" s="2">
        <v>-1.1375999999999999E-3</v>
      </c>
      <c r="F2675" s="2" t="s">
        <v>7</v>
      </c>
    </row>
    <row r="2676" spans="1:6" ht="22.5" hidden="1" customHeight="1" x14ac:dyDescent="0.25">
      <c r="A2676" s="3">
        <v>44075</v>
      </c>
      <c r="B2676" s="2" t="s">
        <v>112</v>
      </c>
      <c r="C2676" s="2">
        <v>5.59</v>
      </c>
      <c r="D2676" s="2">
        <v>0.73480000000000001</v>
      </c>
      <c r="E2676" s="2">
        <v>4.1075319999999998E-2</v>
      </c>
      <c r="F2676" s="2" t="s">
        <v>7</v>
      </c>
    </row>
    <row r="2677" spans="1:6" ht="22.5" hidden="1" customHeight="1" x14ac:dyDescent="0.25">
      <c r="A2677" s="3">
        <v>44075</v>
      </c>
      <c r="B2677" s="2" t="s">
        <v>113</v>
      </c>
      <c r="C2677" s="2">
        <v>3.93</v>
      </c>
      <c r="D2677" s="2">
        <v>1.9800000000000002E-2</v>
      </c>
      <c r="E2677" s="2">
        <v>7.7813999999999997E-4</v>
      </c>
      <c r="F2677" s="2" t="s">
        <v>7</v>
      </c>
    </row>
    <row r="2678" spans="1:6" ht="22.5" hidden="1" customHeight="1" x14ac:dyDescent="0.25">
      <c r="A2678" s="3">
        <v>44075</v>
      </c>
      <c r="B2678" s="2" t="s">
        <v>114</v>
      </c>
      <c r="C2678" s="2">
        <v>2.59</v>
      </c>
      <c r="D2678" s="2">
        <v>0.1875</v>
      </c>
      <c r="E2678" s="2">
        <v>4.8562500000000003E-3</v>
      </c>
      <c r="F2678" s="2" t="s">
        <v>7</v>
      </c>
    </row>
    <row r="2679" spans="1:6" ht="22.5" hidden="1" customHeight="1" x14ac:dyDescent="0.25">
      <c r="A2679" s="3">
        <v>44075</v>
      </c>
      <c r="B2679" s="2" t="s">
        <v>115</v>
      </c>
      <c r="C2679" s="2">
        <v>2.0499999999999998</v>
      </c>
      <c r="D2679" s="2">
        <v>0.51390000000000002</v>
      </c>
      <c r="E2679" s="2">
        <v>1.053495E-2</v>
      </c>
      <c r="F2679" s="2" t="s">
        <v>7</v>
      </c>
    </row>
    <row r="2680" spans="1:6" ht="22.5" hidden="1" customHeight="1" x14ac:dyDescent="0.25">
      <c r="A2680" s="3">
        <v>44075</v>
      </c>
      <c r="B2680" s="2" t="s">
        <v>116</v>
      </c>
      <c r="C2680" s="2">
        <v>1.01</v>
      </c>
      <c r="D2680" s="2">
        <v>0.1479</v>
      </c>
      <c r="E2680" s="2">
        <v>1.49379E-3</v>
      </c>
      <c r="F2680" s="2" t="s">
        <v>7</v>
      </c>
    </row>
    <row r="2681" spans="1:6" ht="22.5" hidden="1" customHeight="1" x14ac:dyDescent="0.25">
      <c r="A2681" s="3">
        <v>44075</v>
      </c>
      <c r="B2681" s="2" t="s">
        <v>117</v>
      </c>
      <c r="C2681" s="2">
        <v>2.58</v>
      </c>
      <c r="D2681" s="2">
        <v>5.2299999999999999E-2</v>
      </c>
      <c r="E2681" s="2">
        <v>1.3493400000000001E-3</v>
      </c>
      <c r="F2681" s="2" t="s">
        <v>7</v>
      </c>
    </row>
    <row r="2682" spans="1:6" ht="22.5" hidden="1" customHeight="1" x14ac:dyDescent="0.25">
      <c r="A2682" s="3">
        <v>44075</v>
      </c>
      <c r="B2682" s="2" t="s">
        <v>118</v>
      </c>
      <c r="C2682" s="2">
        <v>1.3</v>
      </c>
      <c r="D2682" s="2">
        <v>6.0299999999999999E-2</v>
      </c>
      <c r="E2682" s="2">
        <v>7.8390000000000003E-4</v>
      </c>
      <c r="F2682" s="2" t="s">
        <v>7</v>
      </c>
    </row>
    <row r="2683" spans="1:6" ht="22.5" hidden="1" customHeight="1" x14ac:dyDescent="0.25">
      <c r="A2683" s="3">
        <v>44075</v>
      </c>
      <c r="B2683" s="2" t="s">
        <v>119</v>
      </c>
      <c r="C2683" s="2">
        <v>1.47</v>
      </c>
      <c r="D2683" s="2">
        <v>1.0699999999999999E-2</v>
      </c>
      <c r="E2683" s="2">
        <v>1.5729000000000001E-4</v>
      </c>
      <c r="F2683" s="2" t="s">
        <v>7</v>
      </c>
    </row>
    <row r="2684" spans="1:6" ht="22.5" hidden="1" customHeight="1" x14ac:dyDescent="0.25">
      <c r="A2684" s="3">
        <v>44075</v>
      </c>
      <c r="B2684" s="2" t="s">
        <v>120</v>
      </c>
      <c r="C2684" s="2">
        <v>1.65</v>
      </c>
      <c r="D2684" s="2">
        <v>0.45069999999999999</v>
      </c>
      <c r="E2684" s="2">
        <v>7.4365500000000001E-3</v>
      </c>
      <c r="F2684" s="2" t="s">
        <v>7</v>
      </c>
    </row>
    <row r="2685" spans="1:6" ht="22.5" hidden="1" customHeight="1" x14ac:dyDescent="0.25">
      <c r="A2685" s="3">
        <v>44075</v>
      </c>
      <c r="B2685" s="2" t="s">
        <v>121</v>
      </c>
      <c r="C2685" s="2">
        <v>-0.17</v>
      </c>
      <c r="D2685" s="2">
        <v>0.79659999999999997</v>
      </c>
      <c r="E2685" s="2">
        <v>-1.3542199999999999E-3</v>
      </c>
      <c r="F2685" s="2" t="s">
        <v>7</v>
      </c>
    </row>
    <row r="2686" spans="1:6" ht="22.5" hidden="1" customHeight="1" x14ac:dyDescent="0.25">
      <c r="A2686" s="3">
        <v>44075</v>
      </c>
      <c r="B2686" s="2" t="s">
        <v>122</v>
      </c>
      <c r="C2686" s="2">
        <v>0.65</v>
      </c>
      <c r="D2686" s="2">
        <v>8.3400000000000002E-2</v>
      </c>
      <c r="E2686" s="2">
        <v>5.421E-4</v>
      </c>
      <c r="F2686" s="2" t="s">
        <v>7</v>
      </c>
    </row>
    <row r="2687" spans="1:6" ht="22.5" hidden="1" customHeight="1" x14ac:dyDescent="0.25">
      <c r="A2687" s="3">
        <v>44075</v>
      </c>
      <c r="B2687" s="2" t="s">
        <v>123</v>
      </c>
      <c r="C2687" s="2">
        <v>-0.56999999999999995</v>
      </c>
      <c r="D2687" s="2">
        <v>9.5799999999999996E-2</v>
      </c>
      <c r="E2687" s="2">
        <v>-5.4606000000000001E-4</v>
      </c>
      <c r="F2687" s="2" t="s">
        <v>7</v>
      </c>
    </row>
    <row r="2688" spans="1:6" ht="22.5" hidden="1" customHeight="1" x14ac:dyDescent="0.25">
      <c r="A2688" s="3">
        <v>44075</v>
      </c>
      <c r="B2688" s="2" t="s">
        <v>124</v>
      </c>
      <c r="C2688" s="2">
        <v>-2.95</v>
      </c>
      <c r="D2688" s="2">
        <v>0.14169999999999999</v>
      </c>
      <c r="E2688" s="2">
        <v>-4.1801499999999997E-3</v>
      </c>
      <c r="F2688" s="2" t="s">
        <v>7</v>
      </c>
    </row>
    <row r="2689" spans="1:6" ht="22.5" hidden="1" customHeight="1" x14ac:dyDescent="0.25">
      <c r="A2689" s="3">
        <v>44075</v>
      </c>
      <c r="B2689" s="2" t="s">
        <v>125</v>
      </c>
      <c r="C2689" s="2">
        <v>1.1100000000000001</v>
      </c>
      <c r="D2689" s="2">
        <v>3.2199999999999999E-2</v>
      </c>
      <c r="E2689" s="2">
        <v>3.5742E-4</v>
      </c>
      <c r="F2689" s="2" t="s">
        <v>7</v>
      </c>
    </row>
    <row r="2690" spans="1:6" ht="22.5" hidden="1" customHeight="1" x14ac:dyDescent="0.25">
      <c r="A2690" s="3">
        <v>44075</v>
      </c>
      <c r="B2690" s="2" t="s">
        <v>126</v>
      </c>
      <c r="C2690" s="2">
        <v>20.329999999999998</v>
      </c>
      <c r="D2690" s="2">
        <v>0.18970000000000001</v>
      </c>
      <c r="E2690" s="2">
        <v>3.8566009999999998E-2</v>
      </c>
      <c r="F2690" s="2" t="s">
        <v>7</v>
      </c>
    </row>
    <row r="2691" spans="1:6" ht="22.5" hidden="1" customHeight="1" x14ac:dyDescent="0.25">
      <c r="A2691" s="3">
        <v>44075</v>
      </c>
      <c r="B2691" s="2" t="s">
        <v>127</v>
      </c>
      <c r="C2691" s="2">
        <v>3.41</v>
      </c>
      <c r="D2691" s="2">
        <v>6.2399999999999997E-2</v>
      </c>
      <c r="E2691" s="2">
        <v>2.1278400000000002E-3</v>
      </c>
      <c r="F2691" s="2" t="s">
        <v>7</v>
      </c>
    </row>
    <row r="2692" spans="1:6" ht="22.5" hidden="1" customHeight="1" x14ac:dyDescent="0.25">
      <c r="A2692" s="3">
        <v>44075</v>
      </c>
      <c r="B2692" s="2" t="s">
        <v>128</v>
      </c>
      <c r="C2692" s="2">
        <v>1.95</v>
      </c>
      <c r="D2692" s="2">
        <v>9.1800000000000007E-2</v>
      </c>
      <c r="E2692" s="2">
        <v>1.7901E-3</v>
      </c>
      <c r="F2692" s="2" t="s">
        <v>7</v>
      </c>
    </row>
    <row r="2693" spans="1:6" ht="22.5" hidden="1" customHeight="1" x14ac:dyDescent="0.25">
      <c r="A2693" s="3">
        <v>44075</v>
      </c>
      <c r="B2693" s="2" t="s">
        <v>129</v>
      </c>
      <c r="C2693" s="2">
        <v>0.09</v>
      </c>
      <c r="D2693" s="2">
        <v>0.1361</v>
      </c>
      <c r="E2693" s="2">
        <v>1.2249E-4</v>
      </c>
      <c r="F2693" s="2" t="s">
        <v>7</v>
      </c>
    </row>
    <row r="2694" spans="1:6" ht="22.5" hidden="1" customHeight="1" x14ac:dyDescent="0.25">
      <c r="A2694" s="3">
        <v>44075</v>
      </c>
      <c r="B2694" s="2" t="s">
        <v>130</v>
      </c>
      <c r="C2694" s="2">
        <v>2.0499999999999998</v>
      </c>
      <c r="D2694" s="2">
        <v>1.3299999999999999E-2</v>
      </c>
      <c r="E2694" s="2">
        <v>2.7264999999999999E-4</v>
      </c>
      <c r="F2694" s="2" t="s">
        <v>7</v>
      </c>
    </row>
    <row r="2695" spans="1:6" ht="22.5" hidden="1" customHeight="1" x14ac:dyDescent="0.25">
      <c r="A2695" s="3">
        <v>44075</v>
      </c>
      <c r="B2695" s="2" t="s">
        <v>131</v>
      </c>
      <c r="C2695" s="2">
        <v>-4.07</v>
      </c>
      <c r="D2695" s="2">
        <v>6.2100000000000002E-2</v>
      </c>
      <c r="E2695" s="2">
        <v>-2.52747E-3</v>
      </c>
      <c r="F2695" s="2" t="s">
        <v>7</v>
      </c>
    </row>
    <row r="2696" spans="1:6" ht="22.5" hidden="1" customHeight="1" x14ac:dyDescent="0.25">
      <c r="A2696" s="3">
        <v>44075</v>
      </c>
      <c r="B2696" s="2" t="s">
        <v>132</v>
      </c>
      <c r="C2696" s="2">
        <v>0.86</v>
      </c>
      <c r="D2696" s="2">
        <v>0.29139999999999999</v>
      </c>
      <c r="E2696" s="2">
        <v>2.5060400000000002E-3</v>
      </c>
      <c r="F2696" s="2" t="s">
        <v>7</v>
      </c>
    </row>
    <row r="2697" spans="1:6" ht="22.5" hidden="1" customHeight="1" x14ac:dyDescent="0.25">
      <c r="A2697" s="3">
        <v>44075</v>
      </c>
      <c r="B2697" s="2" t="s">
        <v>133</v>
      </c>
      <c r="C2697" s="2">
        <v>0.38</v>
      </c>
      <c r="D2697" s="2">
        <v>8.9999999999999993E-3</v>
      </c>
      <c r="E2697" s="2">
        <v>3.4199999999999998E-5</v>
      </c>
      <c r="F2697" s="2" t="s">
        <v>7</v>
      </c>
    </row>
    <row r="2698" spans="1:6" ht="22.5" hidden="1" customHeight="1" x14ac:dyDescent="0.25">
      <c r="A2698" s="3">
        <v>44075</v>
      </c>
      <c r="B2698" s="2" t="s">
        <v>134</v>
      </c>
      <c r="C2698" s="2">
        <v>0.96</v>
      </c>
      <c r="D2698" s="2">
        <v>0.51480000000000004</v>
      </c>
      <c r="E2698" s="2">
        <v>4.9420799999999997E-3</v>
      </c>
      <c r="F2698" s="2" t="s">
        <v>7</v>
      </c>
    </row>
    <row r="2699" spans="1:6" ht="22.5" hidden="1" customHeight="1" x14ac:dyDescent="0.25">
      <c r="A2699" s="3">
        <v>44075</v>
      </c>
      <c r="B2699" s="2" t="s">
        <v>135</v>
      </c>
      <c r="C2699" s="2">
        <v>-0.79</v>
      </c>
      <c r="D2699" s="2">
        <v>0.40410000000000001</v>
      </c>
      <c r="E2699" s="2">
        <v>-3.1923899999999998E-3</v>
      </c>
      <c r="F2699" s="2" t="s">
        <v>7</v>
      </c>
    </row>
    <row r="2700" spans="1:6" ht="22.5" hidden="1" customHeight="1" x14ac:dyDescent="0.25">
      <c r="A2700" s="3">
        <v>44075</v>
      </c>
      <c r="B2700" s="2" t="s">
        <v>136</v>
      </c>
      <c r="C2700" s="2">
        <v>-1.93</v>
      </c>
      <c r="D2700" s="2">
        <v>3.7600000000000001E-2</v>
      </c>
      <c r="E2700" s="2">
        <v>-7.2568000000000003E-4</v>
      </c>
      <c r="F2700" s="2" t="s">
        <v>7</v>
      </c>
    </row>
    <row r="2701" spans="1:6" ht="22.5" hidden="1" customHeight="1" x14ac:dyDescent="0.25">
      <c r="A2701" s="3">
        <v>44075</v>
      </c>
      <c r="B2701" s="2" t="s">
        <v>137</v>
      </c>
      <c r="C2701" s="2">
        <v>0.67</v>
      </c>
      <c r="D2701" s="2">
        <v>7.1199999999999999E-2</v>
      </c>
      <c r="E2701" s="2">
        <v>4.7704000000000003E-4</v>
      </c>
      <c r="F2701" s="2" t="s">
        <v>7</v>
      </c>
    </row>
    <row r="2702" spans="1:6" ht="22.5" hidden="1" customHeight="1" x14ac:dyDescent="0.25">
      <c r="A2702" s="3">
        <v>44075</v>
      </c>
      <c r="B2702" s="2" t="s">
        <v>138</v>
      </c>
      <c r="C2702" s="2">
        <v>-0.46</v>
      </c>
      <c r="D2702" s="2">
        <v>4.9399999999999999E-2</v>
      </c>
      <c r="E2702" s="2">
        <v>-2.2724E-4</v>
      </c>
      <c r="F2702" s="2" t="s">
        <v>7</v>
      </c>
    </row>
    <row r="2703" spans="1:6" ht="22.5" hidden="1" customHeight="1" x14ac:dyDescent="0.25">
      <c r="A2703" s="3">
        <v>44075</v>
      </c>
      <c r="B2703" s="2" t="s">
        <v>139</v>
      </c>
      <c r="C2703" s="2">
        <v>0.16</v>
      </c>
      <c r="D2703" s="2">
        <v>2.7900000000000001E-2</v>
      </c>
      <c r="E2703" s="2">
        <v>4.464E-5</v>
      </c>
      <c r="F2703" s="2" t="s">
        <v>7</v>
      </c>
    </row>
    <row r="2704" spans="1:6" ht="22.5" hidden="1" customHeight="1" x14ac:dyDescent="0.25">
      <c r="A2704" s="3">
        <v>44075</v>
      </c>
      <c r="B2704" s="2" t="s">
        <v>140</v>
      </c>
      <c r="C2704" s="2">
        <v>-0.82</v>
      </c>
      <c r="D2704" s="2">
        <v>2.3E-3</v>
      </c>
      <c r="E2704" s="2">
        <v>-1.8859999999999999E-5</v>
      </c>
      <c r="F2704" s="2" t="s">
        <v>7</v>
      </c>
    </row>
    <row r="2705" spans="1:6" ht="22.5" hidden="1" customHeight="1" x14ac:dyDescent="0.25">
      <c r="A2705" s="3">
        <v>44075</v>
      </c>
      <c r="B2705" s="2" t="s">
        <v>141</v>
      </c>
      <c r="C2705" s="2">
        <v>2.74</v>
      </c>
      <c r="D2705" s="2">
        <v>1.9400000000000001E-2</v>
      </c>
      <c r="E2705" s="2">
        <v>5.3156000000000004E-4</v>
      </c>
      <c r="F2705" s="2" t="s">
        <v>7</v>
      </c>
    </row>
    <row r="2706" spans="1:6" ht="22.5" hidden="1" customHeight="1" x14ac:dyDescent="0.25">
      <c r="A2706" s="3">
        <v>44075</v>
      </c>
      <c r="B2706" s="2" t="s">
        <v>142</v>
      </c>
      <c r="C2706" s="2">
        <v>-1.2</v>
      </c>
      <c r="D2706" s="2">
        <v>4.4000000000000003E-3</v>
      </c>
      <c r="E2706" s="2">
        <v>-5.2800000000000003E-5</v>
      </c>
      <c r="F2706" s="2" t="s">
        <v>7</v>
      </c>
    </row>
    <row r="2707" spans="1:6" ht="22.5" hidden="1" customHeight="1" x14ac:dyDescent="0.25">
      <c r="A2707" s="3">
        <v>44075</v>
      </c>
      <c r="B2707" s="2" t="s">
        <v>143</v>
      </c>
      <c r="C2707" s="2">
        <v>1.3</v>
      </c>
      <c r="D2707" s="2">
        <v>3.8300000000000001E-2</v>
      </c>
      <c r="E2707" s="2">
        <v>4.9790000000000001E-4</v>
      </c>
      <c r="F2707" s="2" t="s">
        <v>7</v>
      </c>
    </row>
    <row r="2708" spans="1:6" ht="22.5" hidden="1" customHeight="1" x14ac:dyDescent="0.25">
      <c r="A2708" s="3">
        <v>44075</v>
      </c>
      <c r="B2708" s="2" t="s">
        <v>144</v>
      </c>
      <c r="C2708" s="2">
        <v>3.78</v>
      </c>
      <c r="D2708" s="2">
        <v>1.5E-3</v>
      </c>
      <c r="E2708" s="2">
        <v>5.6700000000000003E-5</v>
      </c>
      <c r="F2708" s="2" t="s">
        <v>7</v>
      </c>
    </row>
    <row r="2709" spans="1:6" ht="22.5" hidden="1" customHeight="1" x14ac:dyDescent="0.25">
      <c r="A2709" s="3">
        <v>44075</v>
      </c>
      <c r="B2709" s="2" t="s">
        <v>145</v>
      </c>
      <c r="C2709" s="2">
        <v>0.62</v>
      </c>
      <c r="D2709" s="2">
        <v>1.6000000000000001E-3</v>
      </c>
      <c r="E2709" s="2">
        <v>9.9199999999999999E-6</v>
      </c>
      <c r="F2709" s="2" t="s">
        <v>7</v>
      </c>
    </row>
    <row r="2710" spans="1:6" ht="22.5" hidden="1" customHeight="1" x14ac:dyDescent="0.25">
      <c r="A2710" s="3">
        <v>44075</v>
      </c>
      <c r="B2710" s="2" t="s">
        <v>146</v>
      </c>
      <c r="C2710" s="2">
        <v>1.42</v>
      </c>
      <c r="D2710" s="2">
        <v>3.27E-2</v>
      </c>
      <c r="E2710" s="2">
        <v>4.6433999999999999E-4</v>
      </c>
      <c r="F2710" s="2" t="s">
        <v>7</v>
      </c>
    </row>
    <row r="2711" spans="1:6" ht="22.5" hidden="1" customHeight="1" x14ac:dyDescent="0.25">
      <c r="A2711" s="3">
        <v>44075</v>
      </c>
      <c r="B2711" s="2" t="s">
        <v>147</v>
      </c>
      <c r="C2711" s="2">
        <v>1.86</v>
      </c>
      <c r="D2711" s="2">
        <v>2.6499999999999999E-2</v>
      </c>
      <c r="E2711" s="2">
        <v>4.929E-4</v>
      </c>
      <c r="F2711" s="2" t="s">
        <v>7</v>
      </c>
    </row>
    <row r="2712" spans="1:6" ht="22.5" hidden="1" customHeight="1" x14ac:dyDescent="0.25">
      <c r="A2712" s="3">
        <v>44075</v>
      </c>
      <c r="B2712" s="2" t="s">
        <v>148</v>
      </c>
      <c r="C2712" s="2">
        <v>-0.44</v>
      </c>
      <c r="D2712" s="2">
        <v>2.3099999999999999E-2</v>
      </c>
      <c r="E2712" s="2">
        <v>-1.0164E-4</v>
      </c>
      <c r="F2712" s="2" t="s">
        <v>7</v>
      </c>
    </row>
    <row r="2713" spans="1:6" ht="22.5" hidden="1" customHeight="1" x14ac:dyDescent="0.25">
      <c r="A2713" s="3">
        <v>44075</v>
      </c>
      <c r="B2713" s="2" t="s">
        <v>149</v>
      </c>
      <c r="C2713" s="2">
        <v>2.77</v>
      </c>
      <c r="D2713" s="2">
        <v>2.5000000000000001E-3</v>
      </c>
      <c r="E2713" s="2">
        <v>6.9250000000000003E-5</v>
      </c>
      <c r="F2713" s="2" t="s">
        <v>7</v>
      </c>
    </row>
    <row r="2714" spans="1:6" ht="22.5" hidden="1" customHeight="1" x14ac:dyDescent="0.25">
      <c r="A2714" s="3">
        <v>44075</v>
      </c>
      <c r="B2714" s="2" t="s">
        <v>150</v>
      </c>
      <c r="C2714" s="2">
        <v>1.33</v>
      </c>
      <c r="D2714" s="2">
        <v>0.11609999999999999</v>
      </c>
      <c r="E2714" s="2">
        <v>1.5441299999999999E-3</v>
      </c>
      <c r="F2714" s="2" t="s">
        <v>7</v>
      </c>
    </row>
    <row r="2715" spans="1:6" ht="22.5" hidden="1" customHeight="1" x14ac:dyDescent="0.25">
      <c r="A2715" s="3">
        <v>44075</v>
      </c>
      <c r="B2715" s="2" t="s">
        <v>151</v>
      </c>
      <c r="C2715" s="2">
        <v>-11.9</v>
      </c>
      <c r="D2715" s="2">
        <v>0.1346</v>
      </c>
      <c r="E2715" s="2">
        <v>-1.6017400000000001E-2</v>
      </c>
      <c r="F2715" s="2" t="s">
        <v>7</v>
      </c>
    </row>
    <row r="2716" spans="1:6" ht="22.5" hidden="1" customHeight="1" x14ac:dyDescent="0.25">
      <c r="A2716" s="3">
        <v>44075</v>
      </c>
      <c r="B2716" s="2" t="s">
        <v>152</v>
      </c>
      <c r="C2716" s="2">
        <v>0.47</v>
      </c>
      <c r="D2716" s="2">
        <v>3.0999999999999999E-3</v>
      </c>
      <c r="E2716" s="2">
        <v>1.4569999999999999E-5</v>
      </c>
      <c r="F2716" s="2" t="s">
        <v>7</v>
      </c>
    </row>
    <row r="2717" spans="1:6" ht="22.5" hidden="1" customHeight="1" x14ac:dyDescent="0.25">
      <c r="A2717" s="3">
        <v>44075</v>
      </c>
      <c r="B2717" s="2" t="s">
        <v>153</v>
      </c>
      <c r="C2717" s="2">
        <v>0.78</v>
      </c>
      <c r="D2717" s="2">
        <v>8.9999999999999998E-4</v>
      </c>
      <c r="E2717" s="2">
        <v>7.0199999999999997E-6</v>
      </c>
      <c r="F2717" s="2" t="s">
        <v>7</v>
      </c>
    </row>
    <row r="2718" spans="1:6" ht="22.5" hidden="1" customHeight="1" x14ac:dyDescent="0.25">
      <c r="A2718" s="3">
        <v>44075</v>
      </c>
      <c r="B2718" s="2" t="s">
        <v>154</v>
      </c>
      <c r="C2718" s="2">
        <v>-4.32</v>
      </c>
      <c r="D2718" s="2">
        <v>1.1000000000000001E-3</v>
      </c>
      <c r="E2718" s="2">
        <v>-4.7519999999999999E-5</v>
      </c>
      <c r="F2718" s="2" t="s">
        <v>7</v>
      </c>
    </row>
    <row r="2719" spans="1:6" ht="22.5" hidden="1" customHeight="1" x14ac:dyDescent="0.25">
      <c r="A2719" s="3">
        <v>44075</v>
      </c>
      <c r="B2719" s="2" t="s">
        <v>155</v>
      </c>
      <c r="C2719" s="2">
        <v>0.8</v>
      </c>
      <c r="D2719" s="2">
        <v>5.8999999999999999E-3</v>
      </c>
      <c r="E2719" s="2">
        <v>4.7200000000000002E-5</v>
      </c>
      <c r="F2719" s="2" t="s">
        <v>7</v>
      </c>
    </row>
    <row r="2720" spans="1:6" ht="22.5" hidden="1" customHeight="1" x14ac:dyDescent="0.25">
      <c r="A2720" s="3">
        <v>44075</v>
      </c>
      <c r="B2720" s="2" t="s">
        <v>156</v>
      </c>
      <c r="C2720" s="2">
        <v>1.73</v>
      </c>
      <c r="D2720" s="2">
        <v>4.5699999999999998E-2</v>
      </c>
      <c r="E2720" s="2">
        <v>7.9060999999999997E-4</v>
      </c>
      <c r="F2720" s="2" t="s">
        <v>7</v>
      </c>
    </row>
    <row r="2721" spans="1:6" ht="22.5" hidden="1" customHeight="1" x14ac:dyDescent="0.25">
      <c r="A2721" s="3">
        <v>44075</v>
      </c>
      <c r="B2721" s="2" t="s">
        <v>157</v>
      </c>
      <c r="C2721" s="2">
        <v>0.23</v>
      </c>
      <c r="D2721" s="2">
        <v>1.7299999999999999E-2</v>
      </c>
      <c r="E2721" s="2">
        <v>3.9789999999999997E-5</v>
      </c>
      <c r="F2721" s="2" t="s">
        <v>7</v>
      </c>
    </row>
    <row r="2722" spans="1:6" ht="22.5" hidden="1" customHeight="1" x14ac:dyDescent="0.25">
      <c r="A2722" s="3">
        <v>44075</v>
      </c>
      <c r="B2722" s="2" t="s">
        <v>158</v>
      </c>
      <c r="C2722" s="2">
        <v>-0.55000000000000004</v>
      </c>
      <c r="D2722" s="2">
        <v>1.01E-2</v>
      </c>
      <c r="E2722" s="2">
        <v>-5.5550000000000002E-5</v>
      </c>
      <c r="F2722" s="2" t="s">
        <v>7</v>
      </c>
    </row>
    <row r="2723" spans="1:6" ht="22.5" hidden="1" customHeight="1" x14ac:dyDescent="0.25">
      <c r="A2723" s="3">
        <v>44075</v>
      </c>
      <c r="B2723" s="2" t="s">
        <v>159</v>
      </c>
      <c r="C2723" s="2">
        <v>0.75</v>
      </c>
      <c r="D2723" s="2">
        <v>5.4699999999999999E-2</v>
      </c>
      <c r="E2723" s="2">
        <v>4.1025000000000002E-4</v>
      </c>
      <c r="F2723" s="2" t="s">
        <v>7</v>
      </c>
    </row>
    <row r="2724" spans="1:6" ht="22.5" hidden="1" customHeight="1" x14ac:dyDescent="0.25">
      <c r="A2724" s="3">
        <v>44075</v>
      </c>
      <c r="B2724" s="2" t="s">
        <v>160</v>
      </c>
      <c r="C2724" s="2">
        <v>0.09</v>
      </c>
      <c r="D2724" s="2">
        <v>3.7730999999999999</v>
      </c>
      <c r="E2724" s="2">
        <v>3.3957900000000001E-3</v>
      </c>
      <c r="F2724" s="2" t="s">
        <v>7</v>
      </c>
    </row>
    <row r="2725" spans="1:6" ht="22.5" hidden="1" customHeight="1" x14ac:dyDescent="0.25">
      <c r="A2725" s="3">
        <v>44075</v>
      </c>
      <c r="B2725" s="2" t="s">
        <v>161</v>
      </c>
      <c r="C2725" s="2">
        <v>0.89</v>
      </c>
      <c r="D2725" s="2">
        <v>1.722</v>
      </c>
      <c r="E2725" s="2">
        <v>1.5325800000000001E-2</v>
      </c>
      <c r="F2725" s="2" t="s">
        <v>7</v>
      </c>
    </row>
    <row r="2726" spans="1:6" ht="22.5" hidden="1" customHeight="1" x14ac:dyDescent="0.25">
      <c r="A2726" s="3">
        <v>44075</v>
      </c>
      <c r="B2726" s="2" t="s">
        <v>134</v>
      </c>
      <c r="C2726" s="2">
        <v>0.09</v>
      </c>
      <c r="D2726" s="2">
        <v>0.12690000000000001</v>
      </c>
      <c r="E2726" s="2">
        <v>1.1421000000000001E-4</v>
      </c>
      <c r="F2726" s="2" t="s">
        <v>7</v>
      </c>
    </row>
    <row r="2727" spans="1:6" ht="22.5" hidden="1" customHeight="1" x14ac:dyDescent="0.25">
      <c r="A2727" s="3">
        <v>44075</v>
      </c>
      <c r="B2727" s="2" t="s">
        <v>162</v>
      </c>
      <c r="C2727" s="2">
        <v>3.18</v>
      </c>
      <c r="D2727" s="2">
        <v>4.24E-2</v>
      </c>
      <c r="E2727" s="2">
        <v>1.3483200000000001E-3</v>
      </c>
      <c r="F2727" s="2" t="s">
        <v>7</v>
      </c>
    </row>
    <row r="2728" spans="1:6" ht="22.5" hidden="1" customHeight="1" x14ac:dyDescent="0.25">
      <c r="A2728" s="3">
        <v>44075</v>
      </c>
      <c r="B2728" s="2" t="s">
        <v>135</v>
      </c>
      <c r="C2728" s="2">
        <v>0.01</v>
      </c>
      <c r="D2728" s="2">
        <v>0.29160000000000003</v>
      </c>
      <c r="E2728" s="2">
        <v>2.9159999999999999E-5</v>
      </c>
      <c r="F2728" s="2" t="s">
        <v>7</v>
      </c>
    </row>
    <row r="2729" spans="1:6" ht="22.5" hidden="1" customHeight="1" x14ac:dyDescent="0.25">
      <c r="A2729" s="3">
        <v>44075</v>
      </c>
      <c r="B2729" s="2" t="s">
        <v>136</v>
      </c>
      <c r="C2729" s="2">
        <v>4.49</v>
      </c>
      <c r="D2729" s="2">
        <v>4.1000000000000003E-3</v>
      </c>
      <c r="E2729" s="2">
        <v>1.8409000000000001E-4</v>
      </c>
      <c r="F2729" s="2" t="s">
        <v>7</v>
      </c>
    </row>
    <row r="2730" spans="1:6" ht="22.5" hidden="1" customHeight="1" x14ac:dyDescent="0.25">
      <c r="A2730" s="3">
        <v>44075</v>
      </c>
      <c r="B2730" s="2" t="s">
        <v>137</v>
      </c>
      <c r="C2730" s="2">
        <v>3.96</v>
      </c>
      <c r="D2730" s="2">
        <v>9.1999999999999998E-3</v>
      </c>
      <c r="E2730" s="2">
        <v>3.6432000000000001E-4</v>
      </c>
      <c r="F2730" s="2" t="s">
        <v>7</v>
      </c>
    </row>
    <row r="2731" spans="1:6" ht="22.5" hidden="1" customHeight="1" x14ac:dyDescent="0.25">
      <c r="A2731" s="3">
        <v>44075</v>
      </c>
      <c r="B2731" s="2" t="s">
        <v>163</v>
      </c>
      <c r="C2731" s="2">
        <v>1.24</v>
      </c>
      <c r="D2731" s="2">
        <v>4.4000000000000003E-3</v>
      </c>
      <c r="E2731" s="2">
        <v>5.4559999999999999E-5</v>
      </c>
      <c r="F2731" s="2" t="s">
        <v>7</v>
      </c>
    </row>
    <row r="2732" spans="1:6" ht="22.5" hidden="1" customHeight="1" x14ac:dyDescent="0.25">
      <c r="A2732" s="3">
        <v>44075</v>
      </c>
      <c r="B2732" s="2" t="s">
        <v>34</v>
      </c>
      <c r="C2732" s="2">
        <v>2.11</v>
      </c>
      <c r="D2732" s="2">
        <v>5.2200000000000003E-2</v>
      </c>
      <c r="E2732" s="2">
        <v>1.1014200000000001E-3</v>
      </c>
      <c r="F2732" s="2" t="s">
        <v>7</v>
      </c>
    </row>
    <row r="2733" spans="1:6" ht="22.5" hidden="1" customHeight="1" x14ac:dyDescent="0.25">
      <c r="A2733" s="3">
        <v>44075</v>
      </c>
      <c r="B2733" s="2" t="s">
        <v>164</v>
      </c>
      <c r="C2733" s="2">
        <v>0.12</v>
      </c>
      <c r="D2733" s="2">
        <v>3.8713000000000002</v>
      </c>
      <c r="E2733" s="2">
        <v>4.64556E-3</v>
      </c>
      <c r="F2733" s="2" t="s">
        <v>165</v>
      </c>
    </row>
    <row r="2734" spans="1:6" ht="22.5" hidden="1" customHeight="1" x14ac:dyDescent="0.25">
      <c r="A2734" s="3">
        <v>44075</v>
      </c>
      <c r="B2734" s="2" t="s">
        <v>166</v>
      </c>
      <c r="C2734" s="2">
        <v>0.01</v>
      </c>
      <c r="D2734" s="2">
        <v>2.3957999999999999</v>
      </c>
      <c r="E2734" s="2">
        <v>2.3958000000000001E-4</v>
      </c>
      <c r="F2734" s="2" t="s">
        <v>165</v>
      </c>
    </row>
    <row r="2735" spans="1:6" ht="22.5" hidden="1" customHeight="1" x14ac:dyDescent="0.25">
      <c r="A2735" s="3">
        <v>44409</v>
      </c>
      <c r="B2735" s="2" t="s">
        <v>301</v>
      </c>
      <c r="C2735" s="2">
        <v>1.32</v>
      </c>
      <c r="D2735" s="2">
        <v>0.14000000000000001</v>
      </c>
      <c r="E2735" s="2">
        <v>1.848E-3</v>
      </c>
      <c r="F2735" s="2" t="s">
        <v>168</v>
      </c>
    </row>
    <row r="2736" spans="1:6" ht="22.5" hidden="1" customHeight="1" x14ac:dyDescent="0.25">
      <c r="A2736" s="3">
        <v>44075</v>
      </c>
      <c r="B2736" s="2" t="s">
        <v>169</v>
      </c>
      <c r="C2736" s="2">
        <v>2.06</v>
      </c>
      <c r="D2736" s="2">
        <v>0.01</v>
      </c>
      <c r="E2736" s="2">
        <v>2.0599999999999999E-4</v>
      </c>
      <c r="F2736" s="2" t="s">
        <v>170</v>
      </c>
    </row>
    <row r="2737" spans="1:6" ht="22.5" hidden="1" customHeight="1" x14ac:dyDescent="0.25">
      <c r="A2737" s="3">
        <v>44075</v>
      </c>
      <c r="B2737" s="2" t="s">
        <v>171</v>
      </c>
      <c r="C2737" s="2">
        <v>1.93</v>
      </c>
      <c r="D2737" s="2">
        <v>1.44E-2</v>
      </c>
      <c r="E2737" s="2">
        <v>2.7792000000000002E-4</v>
      </c>
      <c r="F2737" s="2" t="s">
        <v>170</v>
      </c>
    </row>
    <row r="2738" spans="1:6" ht="22.5" hidden="1" customHeight="1" x14ac:dyDescent="0.25">
      <c r="A2738" s="3">
        <v>44075</v>
      </c>
      <c r="B2738" s="2" t="s">
        <v>172</v>
      </c>
      <c r="C2738" s="2">
        <v>1.29</v>
      </c>
      <c r="D2738" s="2">
        <v>3.2000000000000002E-3</v>
      </c>
      <c r="E2738" s="2">
        <v>4.1279999999999998E-5</v>
      </c>
      <c r="F2738" s="2" t="s">
        <v>170</v>
      </c>
    </row>
    <row r="2739" spans="1:6" ht="22.5" hidden="1" customHeight="1" x14ac:dyDescent="0.25">
      <c r="A2739" s="3">
        <v>44075</v>
      </c>
      <c r="B2739" s="2" t="s">
        <v>173</v>
      </c>
      <c r="C2739" s="2">
        <v>0.84</v>
      </c>
      <c r="D2739" s="2">
        <v>0.25919999999999999</v>
      </c>
      <c r="E2739" s="2">
        <v>2.1772800000000002E-3</v>
      </c>
      <c r="F2739" s="2" t="s">
        <v>174</v>
      </c>
    </row>
    <row r="2740" spans="1:6" ht="22.5" hidden="1" customHeight="1" x14ac:dyDescent="0.25">
      <c r="A2740" s="3">
        <v>44075</v>
      </c>
      <c r="B2740" s="2" t="s">
        <v>175</v>
      </c>
      <c r="C2740" s="2">
        <v>3.86</v>
      </c>
      <c r="D2740" s="2">
        <v>0.2195</v>
      </c>
      <c r="E2740" s="2">
        <v>8.4726999999999997E-3</v>
      </c>
      <c r="F2740" s="2" t="s">
        <v>174</v>
      </c>
    </row>
    <row r="2741" spans="1:6" ht="22.5" hidden="1" customHeight="1" x14ac:dyDescent="0.25">
      <c r="A2741" s="3">
        <v>44075</v>
      </c>
      <c r="B2741" s="2" t="s">
        <v>176</v>
      </c>
      <c r="C2741" s="2">
        <v>0.45</v>
      </c>
      <c r="D2741" s="2">
        <v>1.3299999999999999E-2</v>
      </c>
      <c r="E2741" s="2">
        <v>5.9849999999999998E-5</v>
      </c>
      <c r="F2741" s="2" t="s">
        <v>170</v>
      </c>
    </row>
    <row r="2742" spans="1:6" ht="22.5" hidden="1" customHeight="1" x14ac:dyDescent="0.25">
      <c r="A2742" s="3">
        <v>44075</v>
      </c>
      <c r="B2742" s="2" t="s">
        <v>177</v>
      </c>
      <c r="C2742" s="2">
        <v>5.38</v>
      </c>
      <c r="D2742" s="2">
        <v>2.1899999999999999E-2</v>
      </c>
      <c r="E2742" s="2">
        <v>1.17822E-3</v>
      </c>
      <c r="F2742" s="2" t="s">
        <v>170</v>
      </c>
    </row>
    <row r="2743" spans="1:6" ht="22.5" hidden="1" customHeight="1" x14ac:dyDescent="0.25">
      <c r="A2743" s="3">
        <v>44075</v>
      </c>
      <c r="B2743" s="2" t="s">
        <v>178</v>
      </c>
      <c r="C2743" s="2">
        <v>8.2200000000000006</v>
      </c>
      <c r="D2743" s="2">
        <v>1.9300000000000001E-2</v>
      </c>
      <c r="E2743" s="2">
        <v>1.58646E-3</v>
      </c>
      <c r="F2743" s="2" t="s">
        <v>170</v>
      </c>
    </row>
    <row r="2744" spans="1:6" ht="22.5" hidden="1" customHeight="1" x14ac:dyDescent="0.25">
      <c r="A2744" s="3">
        <v>44075</v>
      </c>
      <c r="B2744" s="2" t="s">
        <v>179</v>
      </c>
      <c r="C2744" s="2">
        <v>1.94</v>
      </c>
      <c r="D2744" s="2">
        <v>3.7699999999999997E-2</v>
      </c>
      <c r="E2744" s="2">
        <v>7.3138000000000001E-4</v>
      </c>
      <c r="F2744" s="2" t="s">
        <v>170</v>
      </c>
    </row>
    <row r="2745" spans="1:6" ht="22.5" hidden="1" customHeight="1" x14ac:dyDescent="0.25">
      <c r="A2745" s="3">
        <v>44075</v>
      </c>
      <c r="B2745" s="2" t="s">
        <v>180</v>
      </c>
      <c r="C2745" s="2">
        <v>-0.06</v>
      </c>
      <c r="D2745" s="2">
        <v>0.66849999999999998</v>
      </c>
      <c r="E2745" s="2">
        <v>-4.0109999999999999E-4</v>
      </c>
      <c r="F2745" s="2" t="s">
        <v>165</v>
      </c>
    </row>
    <row r="2746" spans="1:6" ht="22.5" hidden="1" customHeight="1" x14ac:dyDescent="0.25">
      <c r="A2746" s="3">
        <v>44075</v>
      </c>
      <c r="B2746" s="2" t="s">
        <v>181</v>
      </c>
      <c r="C2746" s="2">
        <v>2.61</v>
      </c>
      <c r="D2746" s="2">
        <v>1.24E-2</v>
      </c>
      <c r="E2746" s="2">
        <v>3.2363999999999998E-4</v>
      </c>
      <c r="F2746" s="2" t="s">
        <v>174</v>
      </c>
    </row>
    <row r="2747" spans="1:6" ht="22.5" hidden="1" customHeight="1" x14ac:dyDescent="0.25">
      <c r="A2747" s="3">
        <v>44075</v>
      </c>
      <c r="B2747" s="2" t="s">
        <v>182</v>
      </c>
      <c r="C2747" s="2">
        <v>2.75</v>
      </c>
      <c r="D2747" s="2">
        <v>3.7400000000000003E-2</v>
      </c>
      <c r="E2747" s="2">
        <v>1.0284999999999999E-3</v>
      </c>
      <c r="F2747" s="2" t="s">
        <v>170</v>
      </c>
    </row>
    <row r="2748" spans="1:6" ht="22.5" hidden="1" customHeight="1" x14ac:dyDescent="0.25">
      <c r="A2748" s="3">
        <v>44075</v>
      </c>
      <c r="B2748" s="2" t="s">
        <v>183</v>
      </c>
      <c r="C2748" s="2">
        <v>-0.37</v>
      </c>
      <c r="D2748" s="2">
        <v>4.3E-3</v>
      </c>
      <c r="E2748" s="2">
        <v>-1.5909999999999998E-5</v>
      </c>
      <c r="F2748" s="2" t="s">
        <v>174</v>
      </c>
    </row>
    <row r="2749" spans="1:6" ht="22.5" hidden="1" customHeight="1" x14ac:dyDescent="0.25">
      <c r="A2749" s="3">
        <v>44075</v>
      </c>
      <c r="B2749" s="2" t="s">
        <v>184</v>
      </c>
      <c r="C2749" s="2">
        <v>2.06</v>
      </c>
      <c r="D2749" s="2">
        <v>6.3E-2</v>
      </c>
      <c r="E2749" s="2">
        <v>1.2978E-3</v>
      </c>
      <c r="F2749" s="2" t="s">
        <v>174</v>
      </c>
    </row>
    <row r="2750" spans="1:6" ht="22.5" hidden="1" customHeight="1" x14ac:dyDescent="0.25">
      <c r="A2750" s="3">
        <v>44075</v>
      </c>
      <c r="B2750" s="2" t="s">
        <v>185</v>
      </c>
      <c r="C2750" s="2">
        <v>2.23</v>
      </c>
      <c r="D2750" s="2">
        <v>0.15129999999999999</v>
      </c>
      <c r="E2750" s="2">
        <v>3.3739899999999999E-3</v>
      </c>
      <c r="F2750" s="2" t="s">
        <v>174</v>
      </c>
    </row>
    <row r="2751" spans="1:6" ht="22.5" hidden="1" customHeight="1" x14ac:dyDescent="0.25">
      <c r="A2751" s="3">
        <v>44075</v>
      </c>
      <c r="B2751" s="2" t="s">
        <v>186</v>
      </c>
      <c r="C2751" s="2">
        <v>1.26</v>
      </c>
      <c r="D2751" s="2">
        <v>0.2218</v>
      </c>
      <c r="E2751" s="2">
        <v>2.7946799999999999E-3</v>
      </c>
      <c r="F2751" s="2" t="s">
        <v>174</v>
      </c>
    </row>
    <row r="2752" spans="1:6" ht="22.5" hidden="1" customHeight="1" x14ac:dyDescent="0.25">
      <c r="A2752" s="3">
        <v>44075</v>
      </c>
      <c r="B2752" s="2" t="s">
        <v>187</v>
      </c>
      <c r="C2752" s="2">
        <v>-0.1</v>
      </c>
      <c r="D2752" s="2">
        <v>6.1499999999999999E-2</v>
      </c>
      <c r="E2752" s="2">
        <v>-6.1500000000000004E-5</v>
      </c>
      <c r="F2752" s="2" t="s">
        <v>174</v>
      </c>
    </row>
    <row r="2753" spans="1:6" ht="22.5" hidden="1" customHeight="1" x14ac:dyDescent="0.25">
      <c r="A2753" s="3">
        <v>44075</v>
      </c>
      <c r="B2753" s="2" t="s">
        <v>188</v>
      </c>
      <c r="C2753" s="2">
        <v>1.52</v>
      </c>
      <c r="D2753" s="2">
        <v>2.6100000000000002E-2</v>
      </c>
      <c r="E2753" s="2">
        <v>3.9671999999999998E-4</v>
      </c>
      <c r="F2753" s="2" t="s">
        <v>174</v>
      </c>
    </row>
    <row r="2754" spans="1:6" ht="22.5" hidden="1" customHeight="1" x14ac:dyDescent="0.25">
      <c r="A2754" s="3">
        <v>44075</v>
      </c>
      <c r="B2754" s="2" t="s">
        <v>189</v>
      </c>
      <c r="C2754" s="2">
        <v>1.82</v>
      </c>
      <c r="D2754" s="2">
        <v>3.7000000000000002E-3</v>
      </c>
      <c r="E2754" s="2">
        <v>6.7340000000000002E-5</v>
      </c>
      <c r="F2754" s="2" t="s">
        <v>174</v>
      </c>
    </row>
    <row r="2755" spans="1:6" ht="22.5" hidden="1" customHeight="1" x14ac:dyDescent="0.25">
      <c r="A2755" s="3">
        <v>44075</v>
      </c>
      <c r="B2755" s="2" t="s">
        <v>190</v>
      </c>
      <c r="C2755" s="2">
        <v>-0.65</v>
      </c>
      <c r="D2755" s="2">
        <v>5.1000000000000004E-3</v>
      </c>
      <c r="E2755" s="2">
        <v>-3.3149999999999999E-5</v>
      </c>
      <c r="F2755" s="2" t="s">
        <v>174</v>
      </c>
    </row>
    <row r="2756" spans="1:6" ht="22.5" hidden="1" customHeight="1" x14ac:dyDescent="0.25">
      <c r="A2756" s="3">
        <v>44075</v>
      </c>
      <c r="B2756" s="2" t="s">
        <v>191</v>
      </c>
      <c r="C2756" s="2">
        <v>2.6</v>
      </c>
      <c r="D2756" s="2">
        <v>2.7E-2</v>
      </c>
      <c r="E2756" s="2">
        <v>7.0200000000000004E-4</v>
      </c>
      <c r="F2756" s="2" t="s">
        <v>174</v>
      </c>
    </row>
    <row r="2757" spans="1:6" ht="22.5" hidden="1" customHeight="1" x14ac:dyDescent="0.25">
      <c r="A2757" s="3">
        <v>44075</v>
      </c>
      <c r="B2757" s="2" t="s">
        <v>192</v>
      </c>
      <c r="C2757" s="2">
        <v>-2.17</v>
      </c>
      <c r="D2757" s="2">
        <v>5.4000000000000003E-3</v>
      </c>
      <c r="E2757" s="2">
        <v>-1.1718E-4</v>
      </c>
      <c r="F2757" s="2" t="s">
        <v>174</v>
      </c>
    </row>
    <row r="2758" spans="1:6" ht="22.5" hidden="1" customHeight="1" x14ac:dyDescent="0.25">
      <c r="A2758" s="3">
        <v>44075</v>
      </c>
      <c r="B2758" s="2" t="s">
        <v>193</v>
      </c>
      <c r="C2758" s="2">
        <v>0.21</v>
      </c>
      <c r="D2758" s="2">
        <v>0.17050000000000001</v>
      </c>
      <c r="E2758" s="2">
        <v>3.5805E-4</v>
      </c>
      <c r="F2758" s="2" t="s">
        <v>174</v>
      </c>
    </row>
    <row r="2759" spans="1:6" ht="22.5" hidden="1" customHeight="1" x14ac:dyDescent="0.25">
      <c r="A2759" s="3">
        <v>44075</v>
      </c>
      <c r="B2759" s="2" t="s">
        <v>194</v>
      </c>
      <c r="C2759" s="2">
        <v>0.49</v>
      </c>
      <c r="D2759" s="2">
        <v>3.3999999999999998E-3</v>
      </c>
      <c r="E2759" s="2">
        <v>1.666E-5</v>
      </c>
      <c r="F2759" s="2" t="s">
        <v>174</v>
      </c>
    </row>
    <row r="2760" spans="1:6" ht="22.5" hidden="1" customHeight="1" x14ac:dyDescent="0.25">
      <c r="A2760" s="3">
        <v>44348</v>
      </c>
      <c r="B2760" s="2" t="s">
        <v>271</v>
      </c>
      <c r="C2760" s="2">
        <v>0.08</v>
      </c>
      <c r="D2760" s="2">
        <v>2.3077000000000001</v>
      </c>
      <c r="E2760" s="2">
        <v>1.8461599999999999E-3</v>
      </c>
      <c r="F2760" s="2" t="s">
        <v>168</v>
      </c>
    </row>
    <row r="2761" spans="1:6" ht="22.5" hidden="1" customHeight="1" x14ac:dyDescent="0.25">
      <c r="A2761" s="3">
        <v>43891</v>
      </c>
      <c r="B2761" s="2" t="s">
        <v>296</v>
      </c>
      <c r="C2761" s="2">
        <v>0.92</v>
      </c>
      <c r="D2761" s="2">
        <v>0.19980000000000001</v>
      </c>
      <c r="E2761" s="2">
        <v>1.8381599999999999E-3</v>
      </c>
      <c r="F2761" s="2" t="s">
        <v>168</v>
      </c>
    </row>
    <row r="2762" spans="1:6" ht="22.5" hidden="1" customHeight="1" x14ac:dyDescent="0.25">
      <c r="A2762" s="3">
        <v>44378</v>
      </c>
      <c r="B2762" s="2" t="s">
        <v>271</v>
      </c>
      <c r="C2762" s="2">
        <v>0.08</v>
      </c>
      <c r="D2762" s="2">
        <v>2.2909999999999999</v>
      </c>
      <c r="E2762" s="2">
        <v>1.8328000000000001E-3</v>
      </c>
      <c r="F2762" s="2" t="s">
        <v>168</v>
      </c>
    </row>
    <row r="2763" spans="1:6" ht="22.5" hidden="1" customHeight="1" x14ac:dyDescent="0.25">
      <c r="A2763" s="3">
        <v>44075</v>
      </c>
      <c r="B2763" s="2" t="s">
        <v>198</v>
      </c>
      <c r="C2763" s="2">
        <v>-0.46</v>
      </c>
      <c r="D2763" s="2">
        <v>0.33400000000000002</v>
      </c>
      <c r="E2763" s="2">
        <v>-1.5364E-3</v>
      </c>
      <c r="F2763" s="2" t="s">
        <v>170</v>
      </c>
    </row>
    <row r="2764" spans="1:6" ht="22.5" hidden="1" customHeight="1" x14ac:dyDescent="0.25">
      <c r="A2764" s="3">
        <v>44075</v>
      </c>
      <c r="B2764" s="2" t="s">
        <v>199</v>
      </c>
      <c r="C2764" s="2">
        <v>-0.19</v>
      </c>
      <c r="D2764" s="2">
        <v>0.44919999999999999</v>
      </c>
      <c r="E2764" s="2">
        <v>-8.5347999999999999E-4</v>
      </c>
      <c r="F2764" s="2" t="s">
        <v>170</v>
      </c>
    </row>
    <row r="2765" spans="1:6" ht="22.5" hidden="1" customHeight="1" x14ac:dyDescent="0.25">
      <c r="A2765" s="3">
        <v>44075</v>
      </c>
      <c r="B2765" s="2" t="s">
        <v>200</v>
      </c>
      <c r="C2765" s="2">
        <v>0.02</v>
      </c>
      <c r="D2765" s="2">
        <v>0.183</v>
      </c>
      <c r="E2765" s="2">
        <v>3.6600000000000002E-5</v>
      </c>
      <c r="F2765" s="2" t="s">
        <v>170</v>
      </c>
    </row>
    <row r="2766" spans="1:6" ht="22.5" hidden="1" customHeight="1" x14ac:dyDescent="0.25">
      <c r="A2766" s="3">
        <v>44075</v>
      </c>
      <c r="B2766" s="2" t="s">
        <v>201</v>
      </c>
      <c r="C2766" s="2">
        <v>0.13</v>
      </c>
      <c r="D2766" s="2">
        <v>2.6100000000000002E-2</v>
      </c>
      <c r="E2766" s="2">
        <v>3.3930000000000002E-5</v>
      </c>
      <c r="F2766" s="2" t="s">
        <v>170</v>
      </c>
    </row>
    <row r="2767" spans="1:6" ht="22.5" hidden="1" customHeight="1" x14ac:dyDescent="0.25">
      <c r="A2767" s="3">
        <v>44075</v>
      </c>
      <c r="B2767" s="2" t="s">
        <v>202</v>
      </c>
      <c r="C2767" s="2">
        <v>6.04</v>
      </c>
      <c r="D2767" s="2">
        <v>1.43E-2</v>
      </c>
      <c r="E2767" s="2">
        <v>8.6372E-4</v>
      </c>
      <c r="F2767" s="2" t="s">
        <v>170</v>
      </c>
    </row>
    <row r="2768" spans="1:6" ht="22.5" hidden="1" customHeight="1" x14ac:dyDescent="0.25">
      <c r="A2768" s="3">
        <v>44075</v>
      </c>
      <c r="B2768" s="2" t="s">
        <v>203</v>
      </c>
      <c r="C2768" s="2">
        <v>1.19</v>
      </c>
      <c r="D2768" s="2">
        <v>8.3099999999999993E-2</v>
      </c>
      <c r="E2768" s="2">
        <v>9.8889000000000008E-4</v>
      </c>
      <c r="F2768" s="2" t="s">
        <v>170</v>
      </c>
    </row>
    <row r="2769" spans="1:6" ht="22.5" hidden="1" customHeight="1" x14ac:dyDescent="0.25">
      <c r="A2769" s="3">
        <v>44075</v>
      </c>
      <c r="B2769" s="2" t="s">
        <v>204</v>
      </c>
      <c r="C2769" s="2">
        <v>0.68</v>
      </c>
      <c r="D2769" s="2">
        <v>6.0999999999999999E-2</v>
      </c>
      <c r="E2769" s="2">
        <v>4.148E-4</v>
      </c>
      <c r="F2769" s="2" t="s">
        <v>174</v>
      </c>
    </row>
    <row r="2770" spans="1:6" ht="22.5" hidden="1" customHeight="1" x14ac:dyDescent="0.25">
      <c r="A2770" s="3">
        <v>44075</v>
      </c>
      <c r="B2770" s="2" t="s">
        <v>205</v>
      </c>
      <c r="C2770" s="2">
        <v>0.71</v>
      </c>
      <c r="D2770" s="2">
        <v>9.6299999999999997E-2</v>
      </c>
      <c r="E2770" s="2">
        <v>6.8373000000000001E-4</v>
      </c>
      <c r="F2770" s="2" t="s">
        <v>174</v>
      </c>
    </row>
    <row r="2771" spans="1:6" ht="22.5" hidden="1" customHeight="1" x14ac:dyDescent="0.25">
      <c r="A2771" s="3">
        <v>44075</v>
      </c>
      <c r="B2771" s="2" t="s">
        <v>206</v>
      </c>
      <c r="C2771" s="2">
        <v>0.61</v>
      </c>
      <c r="D2771" s="2">
        <v>0.15790000000000001</v>
      </c>
      <c r="E2771" s="2">
        <v>9.6319000000000005E-4</v>
      </c>
      <c r="F2771" s="2" t="s">
        <v>174</v>
      </c>
    </row>
    <row r="2772" spans="1:6" ht="22.5" hidden="1" customHeight="1" x14ac:dyDescent="0.25">
      <c r="A2772" s="3">
        <v>44075</v>
      </c>
      <c r="B2772" s="2" t="s">
        <v>207</v>
      </c>
      <c r="C2772" s="2">
        <v>0.21</v>
      </c>
      <c r="D2772" s="2">
        <v>4.9599999999999998E-2</v>
      </c>
      <c r="E2772" s="2">
        <v>1.0416000000000001E-4</v>
      </c>
      <c r="F2772" s="2" t="s">
        <v>174</v>
      </c>
    </row>
    <row r="2773" spans="1:6" ht="22.5" hidden="1" customHeight="1" x14ac:dyDescent="0.25">
      <c r="A2773" s="3">
        <v>44075</v>
      </c>
      <c r="B2773" s="2" t="s">
        <v>208</v>
      </c>
      <c r="C2773" s="2">
        <v>1.61</v>
      </c>
      <c r="D2773" s="2">
        <v>8.8999999999999999E-3</v>
      </c>
      <c r="E2773" s="2">
        <v>1.4328999999999999E-4</v>
      </c>
      <c r="F2773" s="2" t="s">
        <v>174</v>
      </c>
    </row>
    <row r="2774" spans="1:6" ht="22.5" hidden="1" customHeight="1" x14ac:dyDescent="0.25">
      <c r="A2774" s="3">
        <v>44075</v>
      </c>
      <c r="B2774" s="2" t="s">
        <v>209</v>
      </c>
      <c r="C2774" s="2">
        <v>6.5</v>
      </c>
      <c r="D2774" s="2">
        <v>6.0000000000000001E-3</v>
      </c>
      <c r="E2774" s="2">
        <v>3.8999999999999999E-4</v>
      </c>
      <c r="F2774" s="2" t="s">
        <v>174</v>
      </c>
    </row>
    <row r="2775" spans="1:6" ht="22.5" hidden="1" customHeight="1" x14ac:dyDescent="0.25">
      <c r="A2775" s="3">
        <v>44075</v>
      </c>
      <c r="B2775" s="2" t="s">
        <v>210</v>
      </c>
      <c r="C2775" s="2">
        <v>-0.57999999999999996</v>
      </c>
      <c r="D2775" s="2">
        <v>1.47E-2</v>
      </c>
      <c r="E2775" s="2">
        <v>-8.5259999999999993E-5</v>
      </c>
      <c r="F2775" s="2" t="s">
        <v>170</v>
      </c>
    </row>
    <row r="2776" spans="1:6" ht="22.5" hidden="1" customHeight="1" x14ac:dyDescent="0.25">
      <c r="A2776" s="3">
        <v>44075</v>
      </c>
      <c r="B2776" s="2" t="s">
        <v>211</v>
      </c>
      <c r="C2776" s="2">
        <v>1.92</v>
      </c>
      <c r="D2776" s="2">
        <v>0.18959999999999999</v>
      </c>
      <c r="E2776" s="2">
        <v>3.6403199999999998E-3</v>
      </c>
      <c r="F2776" s="2" t="s">
        <v>174</v>
      </c>
    </row>
    <row r="2777" spans="1:6" ht="22.5" hidden="1" customHeight="1" x14ac:dyDescent="0.25">
      <c r="A2777" s="3">
        <v>44075</v>
      </c>
      <c r="B2777" s="2" t="s">
        <v>212</v>
      </c>
      <c r="C2777" s="2">
        <v>1.1200000000000001</v>
      </c>
      <c r="D2777" s="2">
        <v>4.4999999999999997E-3</v>
      </c>
      <c r="E2777" s="2">
        <v>5.0399999999999999E-5</v>
      </c>
      <c r="F2777" s="2" t="s">
        <v>174</v>
      </c>
    </row>
    <row r="2778" spans="1:6" ht="22.5" hidden="1" customHeight="1" x14ac:dyDescent="0.25">
      <c r="A2778" s="3">
        <v>44075</v>
      </c>
      <c r="B2778" s="2" t="s">
        <v>213</v>
      </c>
      <c r="C2778" s="2">
        <v>0.4</v>
      </c>
      <c r="D2778" s="2">
        <v>0.33439999999999998</v>
      </c>
      <c r="E2778" s="2">
        <v>1.3376E-3</v>
      </c>
      <c r="F2778" s="2" t="s">
        <v>170</v>
      </c>
    </row>
    <row r="2779" spans="1:6" ht="22.5" hidden="1" customHeight="1" x14ac:dyDescent="0.25">
      <c r="A2779" s="3">
        <v>44075</v>
      </c>
      <c r="B2779" s="2" t="s">
        <v>214</v>
      </c>
      <c r="C2779" s="2">
        <v>1.1399999999999999</v>
      </c>
      <c r="D2779" s="2">
        <v>9.8299999999999998E-2</v>
      </c>
      <c r="E2779" s="2">
        <v>1.1206199999999999E-3</v>
      </c>
      <c r="F2779" s="2" t="s">
        <v>170</v>
      </c>
    </row>
    <row r="2780" spans="1:6" ht="22.5" hidden="1" customHeight="1" x14ac:dyDescent="0.25">
      <c r="A2780" s="3">
        <v>44075</v>
      </c>
      <c r="B2780" s="2" t="s">
        <v>215</v>
      </c>
      <c r="C2780" s="2">
        <v>1.44</v>
      </c>
      <c r="D2780" s="2">
        <v>0.25480000000000003</v>
      </c>
      <c r="E2780" s="2">
        <v>3.6691200000000001E-3</v>
      </c>
      <c r="F2780" s="2" t="s">
        <v>170</v>
      </c>
    </row>
    <row r="2781" spans="1:6" ht="22.5" hidden="1" customHeight="1" x14ac:dyDescent="0.25">
      <c r="A2781" s="3">
        <v>44075</v>
      </c>
      <c r="B2781" s="2" t="s">
        <v>216</v>
      </c>
      <c r="C2781" s="2">
        <v>1.81</v>
      </c>
      <c r="D2781" s="2">
        <v>1.4999999999999999E-2</v>
      </c>
      <c r="E2781" s="2">
        <v>2.7149999999999999E-4</v>
      </c>
      <c r="F2781" s="2" t="s">
        <v>170</v>
      </c>
    </row>
    <row r="2782" spans="1:6" ht="22.5" hidden="1" customHeight="1" x14ac:dyDescent="0.25">
      <c r="A2782" s="3">
        <v>44075</v>
      </c>
      <c r="B2782" s="2" t="s">
        <v>217</v>
      </c>
      <c r="C2782" s="2">
        <v>-0.38</v>
      </c>
      <c r="D2782" s="2">
        <v>0.16919999999999999</v>
      </c>
      <c r="E2782" s="2">
        <v>-6.4296000000000004E-4</v>
      </c>
      <c r="F2782" s="2" t="s">
        <v>170</v>
      </c>
    </row>
    <row r="2783" spans="1:6" ht="22.5" hidden="1" customHeight="1" x14ac:dyDescent="0.25">
      <c r="A2783" s="3">
        <v>44075</v>
      </c>
      <c r="B2783" s="2" t="s">
        <v>218</v>
      </c>
      <c r="C2783" s="2">
        <v>1.05</v>
      </c>
      <c r="D2783" s="2">
        <v>7.1000000000000004E-3</v>
      </c>
      <c r="E2783" s="2">
        <v>7.4549999999999996E-5</v>
      </c>
      <c r="F2783" s="2" t="s">
        <v>170</v>
      </c>
    </row>
    <row r="2784" spans="1:6" ht="22.5" hidden="1" customHeight="1" x14ac:dyDescent="0.25">
      <c r="A2784" s="3">
        <v>44075</v>
      </c>
      <c r="B2784" s="2" t="s">
        <v>219</v>
      </c>
      <c r="C2784" s="2">
        <v>2.13</v>
      </c>
      <c r="D2784" s="2">
        <v>0.48139999999999999</v>
      </c>
      <c r="E2784" s="2">
        <v>1.025382E-2</v>
      </c>
      <c r="F2784" s="2" t="s">
        <v>170</v>
      </c>
    </row>
    <row r="2785" spans="1:6" ht="22.5" hidden="1" customHeight="1" x14ac:dyDescent="0.25">
      <c r="A2785" s="3">
        <v>44075</v>
      </c>
      <c r="B2785" s="2" t="s">
        <v>220</v>
      </c>
      <c r="C2785" s="2">
        <v>0.74</v>
      </c>
      <c r="D2785" s="2">
        <v>1.15E-2</v>
      </c>
      <c r="E2785" s="2">
        <v>8.5099999999999995E-5</v>
      </c>
      <c r="F2785" s="2" t="s">
        <v>170</v>
      </c>
    </row>
    <row r="2786" spans="1:6" ht="22.5" hidden="1" customHeight="1" x14ac:dyDescent="0.25">
      <c r="A2786" s="3">
        <v>44075</v>
      </c>
      <c r="B2786" s="2" t="s">
        <v>221</v>
      </c>
      <c r="C2786" s="2">
        <v>2.17</v>
      </c>
      <c r="D2786" s="2">
        <v>3.5000000000000001E-3</v>
      </c>
      <c r="E2786" s="2">
        <v>7.5950000000000003E-5</v>
      </c>
      <c r="F2786" s="2" t="s">
        <v>170</v>
      </c>
    </row>
    <row r="2787" spans="1:6" ht="22.5" hidden="1" customHeight="1" x14ac:dyDescent="0.25">
      <c r="A2787" s="3">
        <v>44075</v>
      </c>
      <c r="B2787" s="2" t="s">
        <v>222</v>
      </c>
      <c r="C2787" s="2">
        <v>1.95</v>
      </c>
      <c r="D2787" s="2">
        <v>0.35020000000000001</v>
      </c>
      <c r="E2787" s="2">
        <v>6.8288999999999997E-3</v>
      </c>
      <c r="F2787" s="2" t="s">
        <v>170</v>
      </c>
    </row>
    <row r="2788" spans="1:6" ht="22.5" hidden="1" customHeight="1" x14ac:dyDescent="0.25">
      <c r="A2788" s="3">
        <v>44075</v>
      </c>
      <c r="B2788" s="2" t="s">
        <v>223</v>
      </c>
      <c r="C2788" s="2">
        <v>-0.3</v>
      </c>
      <c r="D2788" s="2">
        <v>1.7299999999999999E-2</v>
      </c>
      <c r="E2788" s="2">
        <v>-5.1900000000000001E-5</v>
      </c>
      <c r="F2788" s="2" t="s">
        <v>165</v>
      </c>
    </row>
    <row r="2789" spans="1:6" ht="22.5" hidden="1" customHeight="1" x14ac:dyDescent="0.25">
      <c r="A2789" s="3">
        <v>44075</v>
      </c>
      <c r="B2789" s="2" t="s">
        <v>224</v>
      </c>
      <c r="C2789" s="2">
        <v>0.88</v>
      </c>
      <c r="D2789" s="2">
        <v>2.2000000000000001E-3</v>
      </c>
      <c r="E2789" s="2">
        <v>1.9360000000000001E-5</v>
      </c>
      <c r="F2789" s="2" t="s">
        <v>165</v>
      </c>
    </row>
    <row r="2790" spans="1:6" ht="22.5" hidden="1" customHeight="1" x14ac:dyDescent="0.25">
      <c r="A2790" s="3">
        <v>44075</v>
      </c>
      <c r="B2790" s="2" t="s">
        <v>225</v>
      </c>
      <c r="C2790" s="2">
        <v>1.83</v>
      </c>
      <c r="D2790" s="2">
        <v>4.5999999999999999E-3</v>
      </c>
      <c r="E2790" s="2">
        <v>8.4179999999999997E-5</v>
      </c>
      <c r="F2790" s="2" t="s">
        <v>165</v>
      </c>
    </row>
    <row r="2791" spans="1:6" ht="22.5" hidden="1" customHeight="1" x14ac:dyDescent="0.25">
      <c r="A2791" s="3">
        <v>44075</v>
      </c>
      <c r="B2791" s="2" t="s">
        <v>226</v>
      </c>
      <c r="C2791" s="2">
        <v>-1.85</v>
      </c>
      <c r="D2791" s="2">
        <v>4.8399999999999999E-2</v>
      </c>
      <c r="E2791" s="2">
        <v>-8.9539999999999997E-4</v>
      </c>
      <c r="F2791" s="2" t="s">
        <v>165</v>
      </c>
    </row>
    <row r="2792" spans="1:6" ht="22.5" hidden="1" customHeight="1" x14ac:dyDescent="0.25">
      <c r="A2792" s="3">
        <v>44075</v>
      </c>
      <c r="B2792" s="2" t="s">
        <v>227</v>
      </c>
      <c r="C2792" s="2">
        <v>-0.09</v>
      </c>
      <c r="D2792" s="2">
        <v>6.7900000000000002E-2</v>
      </c>
      <c r="E2792" s="2">
        <v>-6.1110000000000003E-5</v>
      </c>
      <c r="F2792" s="2" t="s">
        <v>165</v>
      </c>
    </row>
    <row r="2793" spans="1:6" ht="22.5" hidden="1" customHeight="1" x14ac:dyDescent="0.25">
      <c r="A2793" s="3">
        <v>44075</v>
      </c>
      <c r="B2793" s="2" t="s">
        <v>228</v>
      </c>
      <c r="C2793" s="2">
        <v>0.87</v>
      </c>
      <c r="D2793" s="2">
        <v>0.1862</v>
      </c>
      <c r="E2793" s="2">
        <v>1.6199400000000001E-3</v>
      </c>
      <c r="F2793" s="2" t="s">
        <v>165</v>
      </c>
    </row>
    <row r="2794" spans="1:6" ht="22.5" hidden="1" customHeight="1" x14ac:dyDescent="0.25">
      <c r="A2794" s="3">
        <v>44075</v>
      </c>
      <c r="B2794" s="2" t="s">
        <v>229</v>
      </c>
      <c r="C2794" s="2">
        <v>-1.08</v>
      </c>
      <c r="D2794" s="2">
        <v>0.28989999999999999</v>
      </c>
      <c r="E2794" s="2">
        <v>-3.1309200000000001E-3</v>
      </c>
      <c r="F2794" s="2" t="s">
        <v>174</v>
      </c>
    </row>
    <row r="2795" spans="1:6" ht="22.5" hidden="1" customHeight="1" x14ac:dyDescent="0.25">
      <c r="A2795" s="3">
        <v>44075</v>
      </c>
      <c r="B2795" s="2" t="s">
        <v>230</v>
      </c>
      <c r="C2795" s="2">
        <v>-3.86</v>
      </c>
      <c r="D2795" s="2">
        <v>2.2800000000000001E-2</v>
      </c>
      <c r="E2795" s="2">
        <v>-8.8007999999999999E-4</v>
      </c>
      <c r="F2795" s="2" t="s">
        <v>174</v>
      </c>
    </row>
    <row r="2796" spans="1:6" ht="22.5" hidden="1" customHeight="1" x14ac:dyDescent="0.25">
      <c r="A2796" s="3">
        <v>44075</v>
      </c>
      <c r="B2796" s="2" t="s">
        <v>231</v>
      </c>
      <c r="C2796" s="2">
        <v>0.11</v>
      </c>
      <c r="D2796" s="2">
        <v>0.16719999999999999</v>
      </c>
      <c r="E2796" s="2">
        <v>1.8391999999999999E-4</v>
      </c>
      <c r="F2796" s="2" t="s">
        <v>174</v>
      </c>
    </row>
    <row r="2797" spans="1:6" ht="22.5" hidden="1" customHeight="1" x14ac:dyDescent="0.25">
      <c r="A2797" s="3">
        <v>44075</v>
      </c>
      <c r="B2797" s="2" t="s">
        <v>232</v>
      </c>
      <c r="C2797" s="2">
        <v>0.62</v>
      </c>
      <c r="D2797" s="2">
        <v>5.4999999999999997E-3</v>
      </c>
      <c r="E2797" s="2">
        <v>3.4100000000000002E-5</v>
      </c>
      <c r="F2797" s="2" t="s">
        <v>174</v>
      </c>
    </row>
    <row r="2798" spans="1:6" ht="22.5" hidden="1" customHeight="1" x14ac:dyDescent="0.25">
      <c r="A2798" s="3">
        <v>44075</v>
      </c>
      <c r="B2798" s="2" t="s">
        <v>233</v>
      </c>
      <c r="C2798" s="2">
        <v>0.09</v>
      </c>
      <c r="D2798" s="2">
        <v>0.56279999999999997</v>
      </c>
      <c r="E2798" s="2">
        <v>5.0652E-4</v>
      </c>
      <c r="F2798" s="2" t="s">
        <v>174</v>
      </c>
    </row>
    <row r="2799" spans="1:6" ht="22.5" hidden="1" customHeight="1" x14ac:dyDescent="0.25">
      <c r="A2799" s="3">
        <v>44075</v>
      </c>
      <c r="B2799" s="2" t="s">
        <v>234</v>
      </c>
      <c r="C2799" s="2">
        <v>-1.41</v>
      </c>
      <c r="D2799" s="2">
        <v>0.31979999999999997</v>
      </c>
      <c r="E2799" s="2">
        <v>-4.5091799999999998E-3</v>
      </c>
      <c r="F2799" s="2" t="s">
        <v>174</v>
      </c>
    </row>
    <row r="2800" spans="1:6" ht="22.5" hidden="1" customHeight="1" x14ac:dyDescent="0.25">
      <c r="A2800" s="3">
        <v>44075</v>
      </c>
      <c r="B2800" s="2" t="s">
        <v>235</v>
      </c>
      <c r="C2800" s="2">
        <v>-4.38</v>
      </c>
      <c r="D2800" s="2">
        <v>2.6700000000000002E-2</v>
      </c>
      <c r="E2800" s="2">
        <v>-1.16946E-3</v>
      </c>
      <c r="F2800" s="2" t="s">
        <v>174</v>
      </c>
    </row>
    <row r="2801" spans="1:6" ht="22.5" hidden="1" customHeight="1" x14ac:dyDescent="0.25">
      <c r="A2801" s="3">
        <v>44075</v>
      </c>
      <c r="B2801" s="2" t="s">
        <v>236</v>
      </c>
      <c r="C2801" s="2">
        <v>0</v>
      </c>
      <c r="D2801" s="2">
        <v>7.7000000000000002E-3</v>
      </c>
      <c r="E2801" s="2">
        <v>0</v>
      </c>
      <c r="F2801" s="2" t="s">
        <v>174</v>
      </c>
    </row>
    <row r="2802" spans="1:6" ht="22.5" hidden="1" customHeight="1" x14ac:dyDescent="0.25">
      <c r="A2802" s="3">
        <v>44075</v>
      </c>
      <c r="B2802" s="2" t="s">
        <v>237</v>
      </c>
      <c r="C2802" s="2">
        <v>-0.92</v>
      </c>
      <c r="D2802" s="2">
        <v>0.29089999999999999</v>
      </c>
      <c r="E2802" s="2">
        <v>-2.6762800000000001E-3</v>
      </c>
      <c r="F2802" s="2" t="s">
        <v>174</v>
      </c>
    </row>
    <row r="2803" spans="1:6" ht="22.5" hidden="1" customHeight="1" x14ac:dyDescent="0.25">
      <c r="A2803" s="3">
        <v>44075</v>
      </c>
      <c r="B2803" s="2" t="s">
        <v>238</v>
      </c>
      <c r="C2803" s="2">
        <v>0.32</v>
      </c>
      <c r="D2803" s="2">
        <v>0.52149999999999996</v>
      </c>
      <c r="E2803" s="2">
        <v>1.6688E-3</v>
      </c>
      <c r="F2803" s="2" t="s">
        <v>174</v>
      </c>
    </row>
    <row r="2804" spans="1:6" ht="22.5" hidden="1" customHeight="1" x14ac:dyDescent="0.25">
      <c r="A2804" s="3">
        <v>44075</v>
      </c>
      <c r="B2804" s="2" t="s">
        <v>239</v>
      </c>
      <c r="C2804" s="2">
        <v>-0.44</v>
      </c>
      <c r="D2804" s="2">
        <v>0.1111</v>
      </c>
      <c r="E2804" s="2">
        <v>-4.8884000000000004E-4</v>
      </c>
      <c r="F2804" s="2" t="s">
        <v>174</v>
      </c>
    </row>
    <row r="2805" spans="1:6" ht="22.5" hidden="1" customHeight="1" x14ac:dyDescent="0.25">
      <c r="A2805" s="3">
        <v>44075</v>
      </c>
      <c r="B2805" s="2" t="s">
        <v>240</v>
      </c>
      <c r="C2805" s="2">
        <v>0.39</v>
      </c>
      <c r="D2805" s="2">
        <v>6.3200000000000006E-2</v>
      </c>
      <c r="E2805" s="2">
        <v>2.4647999999999998E-4</v>
      </c>
      <c r="F2805" s="2" t="s">
        <v>174</v>
      </c>
    </row>
    <row r="2806" spans="1:6" ht="22.5" hidden="1" customHeight="1" x14ac:dyDescent="0.25">
      <c r="A2806" s="3">
        <v>44075</v>
      </c>
      <c r="B2806" s="2" t="s">
        <v>241</v>
      </c>
      <c r="C2806" s="2">
        <v>-0.02</v>
      </c>
      <c r="D2806" s="2">
        <v>8.6199999999999999E-2</v>
      </c>
      <c r="E2806" s="2">
        <v>-1.7240000000000001E-5</v>
      </c>
      <c r="F2806" s="2" t="s">
        <v>174</v>
      </c>
    </row>
    <row r="2807" spans="1:6" ht="22.5" hidden="1" customHeight="1" x14ac:dyDescent="0.25">
      <c r="A2807" s="3">
        <v>44075</v>
      </c>
      <c r="B2807" s="2" t="s">
        <v>242</v>
      </c>
      <c r="C2807" s="2">
        <v>-1.68</v>
      </c>
      <c r="D2807" s="2">
        <v>7.4300000000000005E-2</v>
      </c>
      <c r="E2807" s="2">
        <v>-1.2482400000000001E-3</v>
      </c>
      <c r="F2807" s="2" t="s">
        <v>174</v>
      </c>
    </row>
    <row r="2808" spans="1:6" ht="22.5" hidden="1" customHeight="1" x14ac:dyDescent="0.25">
      <c r="A2808" s="3">
        <v>44075</v>
      </c>
      <c r="B2808" s="2" t="s">
        <v>243</v>
      </c>
      <c r="C2808" s="2">
        <v>-1.77</v>
      </c>
      <c r="D2808" s="2">
        <v>8.3000000000000001E-3</v>
      </c>
      <c r="E2808" s="2">
        <v>-1.4690999999999999E-4</v>
      </c>
      <c r="F2808" s="2" t="s">
        <v>174</v>
      </c>
    </row>
    <row r="2809" spans="1:6" ht="22.5" hidden="1" customHeight="1" x14ac:dyDescent="0.25">
      <c r="A2809" s="3">
        <v>44075</v>
      </c>
      <c r="B2809" s="2" t="s">
        <v>244</v>
      </c>
      <c r="C2809" s="2">
        <v>-0.83</v>
      </c>
      <c r="D2809" s="2">
        <v>5.3800000000000001E-2</v>
      </c>
      <c r="E2809" s="2">
        <v>-4.4653999999999999E-4</v>
      </c>
      <c r="F2809" s="2" t="s">
        <v>174</v>
      </c>
    </row>
    <row r="2810" spans="1:6" ht="22.5" hidden="1" customHeight="1" x14ac:dyDescent="0.25">
      <c r="A2810" s="3">
        <v>44075</v>
      </c>
      <c r="B2810" s="2" t="s">
        <v>245</v>
      </c>
      <c r="C2810" s="2">
        <v>-0.6</v>
      </c>
      <c r="D2810" s="2">
        <v>5.28E-2</v>
      </c>
      <c r="E2810" s="2">
        <v>-3.168E-4</v>
      </c>
      <c r="F2810" s="2" t="s">
        <v>174</v>
      </c>
    </row>
    <row r="2811" spans="1:6" ht="22.5" hidden="1" customHeight="1" x14ac:dyDescent="0.25">
      <c r="A2811" s="3">
        <v>44075</v>
      </c>
      <c r="B2811" s="2" t="s">
        <v>246</v>
      </c>
      <c r="C2811" s="2">
        <v>0.41</v>
      </c>
      <c r="D2811" s="2">
        <v>0.19089999999999999</v>
      </c>
      <c r="E2811" s="2">
        <v>7.8268999999999995E-4</v>
      </c>
      <c r="F2811" s="2" t="s">
        <v>174</v>
      </c>
    </row>
    <row r="2812" spans="1:6" ht="22.5" hidden="1" customHeight="1" x14ac:dyDescent="0.25">
      <c r="A2812" s="3">
        <v>44075</v>
      </c>
      <c r="B2812" s="2" t="s">
        <v>247</v>
      </c>
      <c r="C2812" s="2">
        <v>-1.54</v>
      </c>
      <c r="D2812" s="2">
        <v>0.14080000000000001</v>
      </c>
      <c r="E2812" s="2">
        <v>-2.1683200000000001E-3</v>
      </c>
      <c r="F2812" s="2" t="s">
        <v>174</v>
      </c>
    </row>
    <row r="2813" spans="1:6" ht="22.5" hidden="1" customHeight="1" x14ac:dyDescent="0.25">
      <c r="A2813" s="3">
        <v>44075</v>
      </c>
      <c r="B2813" s="2" t="s">
        <v>248</v>
      </c>
      <c r="C2813" s="2">
        <v>0.16</v>
      </c>
      <c r="D2813" s="2">
        <v>0.14960000000000001</v>
      </c>
      <c r="E2813" s="2">
        <v>2.3936000000000001E-4</v>
      </c>
      <c r="F2813" s="2" t="s">
        <v>174</v>
      </c>
    </row>
    <row r="2814" spans="1:6" ht="22.5" hidden="1" customHeight="1" x14ac:dyDescent="0.25">
      <c r="A2814" s="3">
        <v>44075</v>
      </c>
      <c r="B2814" s="2" t="s">
        <v>249</v>
      </c>
      <c r="C2814" s="2">
        <v>-0.68</v>
      </c>
      <c r="D2814" s="2">
        <v>0.27379999999999999</v>
      </c>
      <c r="E2814" s="2">
        <v>-1.86184E-3</v>
      </c>
      <c r="F2814" s="2" t="s">
        <v>174</v>
      </c>
    </row>
    <row r="2815" spans="1:6" ht="22.5" hidden="1" customHeight="1" x14ac:dyDescent="0.25">
      <c r="A2815" s="3">
        <v>44075</v>
      </c>
      <c r="B2815" s="2" t="s">
        <v>250</v>
      </c>
      <c r="C2815" s="2">
        <v>0.24</v>
      </c>
      <c r="D2815" s="2">
        <v>2.6800000000000001E-2</v>
      </c>
      <c r="E2815" s="2">
        <v>6.4319999999999994E-5</v>
      </c>
      <c r="F2815" s="2" t="s">
        <v>174</v>
      </c>
    </row>
    <row r="2816" spans="1:6" ht="22.5" hidden="1" customHeight="1" x14ac:dyDescent="0.25">
      <c r="A2816" s="3">
        <v>44075</v>
      </c>
      <c r="B2816" s="2" t="s">
        <v>251</v>
      </c>
      <c r="C2816" s="2">
        <v>-0.63</v>
      </c>
      <c r="D2816" s="2">
        <v>6.25E-2</v>
      </c>
      <c r="E2816" s="2">
        <v>-3.9375E-4</v>
      </c>
      <c r="F2816" s="2" t="s">
        <v>174</v>
      </c>
    </row>
    <row r="2817" spans="1:6" ht="22.5" hidden="1" customHeight="1" x14ac:dyDescent="0.25">
      <c r="A2817" s="3">
        <v>44075</v>
      </c>
      <c r="B2817" s="2" t="s">
        <v>252</v>
      </c>
      <c r="C2817" s="2">
        <v>-0.02</v>
      </c>
      <c r="D2817" s="2">
        <v>8.6999999999999994E-3</v>
      </c>
      <c r="E2817" s="2">
        <v>-1.7400000000000001E-6</v>
      </c>
      <c r="F2817" s="2" t="s">
        <v>174</v>
      </c>
    </row>
    <row r="2818" spans="1:6" ht="22.5" hidden="1" customHeight="1" x14ac:dyDescent="0.25">
      <c r="A2818" s="3">
        <v>44075</v>
      </c>
      <c r="B2818" s="2" t="s">
        <v>253</v>
      </c>
      <c r="C2818" s="2">
        <v>-0.19</v>
      </c>
      <c r="D2818" s="2">
        <v>0.43830000000000002</v>
      </c>
      <c r="E2818" s="2">
        <v>-8.3277000000000004E-4</v>
      </c>
      <c r="F2818" s="2" t="s">
        <v>174</v>
      </c>
    </row>
    <row r="2819" spans="1:6" ht="22.5" hidden="1" customHeight="1" x14ac:dyDescent="0.25">
      <c r="A2819" s="3">
        <v>44075</v>
      </c>
      <c r="B2819" s="2" t="s">
        <v>254</v>
      </c>
      <c r="C2819" s="2">
        <v>-0.5</v>
      </c>
      <c r="D2819" s="2">
        <v>0.18809999999999999</v>
      </c>
      <c r="E2819" s="2">
        <v>-9.4050000000000004E-4</v>
      </c>
      <c r="F2819" s="2" t="s">
        <v>174</v>
      </c>
    </row>
    <row r="2820" spans="1:6" ht="22.5" hidden="1" customHeight="1" x14ac:dyDescent="0.25">
      <c r="A2820" s="3">
        <v>44075</v>
      </c>
      <c r="B2820" s="2" t="s">
        <v>255</v>
      </c>
      <c r="C2820" s="2">
        <v>-0.22</v>
      </c>
      <c r="D2820" s="2">
        <v>1.67E-2</v>
      </c>
      <c r="E2820" s="2">
        <v>-3.6739999999999997E-5</v>
      </c>
      <c r="F2820" s="2" t="s">
        <v>170</v>
      </c>
    </row>
    <row r="2821" spans="1:6" ht="22.5" hidden="1" customHeight="1" x14ac:dyDescent="0.25">
      <c r="A2821" s="3">
        <v>44075</v>
      </c>
      <c r="B2821" s="2" t="s">
        <v>256</v>
      </c>
      <c r="C2821" s="2">
        <v>2.85</v>
      </c>
      <c r="D2821" s="2">
        <v>0.13769999999999999</v>
      </c>
      <c r="E2821" s="2">
        <v>3.9244500000000003E-3</v>
      </c>
      <c r="F2821" s="2" t="s">
        <v>170</v>
      </c>
    </row>
    <row r="2822" spans="1:6" ht="22.5" hidden="1" customHeight="1" x14ac:dyDescent="0.25">
      <c r="A2822" s="3">
        <v>44075</v>
      </c>
      <c r="B2822" s="2" t="s">
        <v>257</v>
      </c>
      <c r="C2822" s="2">
        <v>2.5099999999999998</v>
      </c>
      <c r="D2822" s="2">
        <v>0.05</v>
      </c>
      <c r="E2822" s="2">
        <v>1.255E-3</v>
      </c>
      <c r="F2822" s="2" t="s">
        <v>170</v>
      </c>
    </row>
    <row r="2823" spans="1:6" ht="22.5" hidden="1" customHeight="1" x14ac:dyDescent="0.25">
      <c r="A2823" s="3">
        <v>44075</v>
      </c>
      <c r="B2823" s="2" t="s">
        <v>258</v>
      </c>
      <c r="C2823" s="2">
        <v>0.92</v>
      </c>
      <c r="D2823" s="2">
        <v>4.6300000000000001E-2</v>
      </c>
      <c r="E2823" s="2">
        <v>4.2596000000000002E-4</v>
      </c>
      <c r="F2823" s="2" t="s">
        <v>174</v>
      </c>
    </row>
    <row r="2824" spans="1:6" ht="22.5" hidden="1" customHeight="1" x14ac:dyDescent="0.25">
      <c r="A2824" s="3">
        <v>44075</v>
      </c>
      <c r="B2824" s="2" t="s">
        <v>259</v>
      </c>
      <c r="C2824" s="2">
        <v>-0.15</v>
      </c>
      <c r="D2824" s="2">
        <v>1.01E-2</v>
      </c>
      <c r="E2824" s="2">
        <v>-1.5150000000000001E-5</v>
      </c>
      <c r="F2824" s="2" t="s">
        <v>174</v>
      </c>
    </row>
    <row r="2825" spans="1:6" ht="22.5" hidden="1" customHeight="1" x14ac:dyDescent="0.25">
      <c r="A2825" s="3">
        <v>44531</v>
      </c>
      <c r="B2825" s="2" t="s">
        <v>297</v>
      </c>
      <c r="C2825" s="2">
        <v>0.64</v>
      </c>
      <c r="D2825" s="2">
        <v>0.28599999999999998</v>
      </c>
      <c r="E2825" s="2">
        <v>1.8304E-3</v>
      </c>
      <c r="F2825" s="2" t="s">
        <v>168</v>
      </c>
    </row>
    <row r="2826" spans="1:6" ht="22.5" hidden="1" customHeight="1" x14ac:dyDescent="0.25">
      <c r="A2826" s="3">
        <v>44593</v>
      </c>
      <c r="B2826" s="2" t="s">
        <v>297</v>
      </c>
      <c r="C2826" s="2">
        <v>0.64</v>
      </c>
      <c r="D2826" s="2">
        <v>0.28520000000000001</v>
      </c>
      <c r="E2826" s="2">
        <v>1.8252800000000001E-3</v>
      </c>
      <c r="F2826" s="2" t="s">
        <v>168</v>
      </c>
    </row>
    <row r="2827" spans="1:6" ht="22.5" hidden="1" customHeight="1" x14ac:dyDescent="0.25">
      <c r="A2827" s="3">
        <v>44409</v>
      </c>
      <c r="B2827" s="2" t="s">
        <v>271</v>
      </c>
      <c r="C2827" s="2">
        <v>0.08</v>
      </c>
      <c r="D2827" s="2">
        <v>2.2763</v>
      </c>
      <c r="E2827" s="2">
        <v>1.8210399999999999E-3</v>
      </c>
      <c r="F2827" s="2" t="s">
        <v>168</v>
      </c>
    </row>
    <row r="2828" spans="1:6" ht="22.5" hidden="1" customHeight="1" x14ac:dyDescent="0.25">
      <c r="A2828" s="3">
        <v>44378</v>
      </c>
      <c r="B2828" s="2" t="s">
        <v>297</v>
      </c>
      <c r="C2828" s="2">
        <v>0.62</v>
      </c>
      <c r="D2828" s="2">
        <v>0.29239999999999999</v>
      </c>
      <c r="E2828" s="2">
        <v>1.81288E-3</v>
      </c>
      <c r="F2828" s="2" t="s">
        <v>168</v>
      </c>
    </row>
    <row r="2829" spans="1:6" ht="22.5" hidden="1" customHeight="1" x14ac:dyDescent="0.25">
      <c r="A2829" s="3">
        <v>44440</v>
      </c>
      <c r="B2829" s="2" t="s">
        <v>271</v>
      </c>
      <c r="C2829" s="2">
        <v>0.08</v>
      </c>
      <c r="D2829" s="2">
        <v>2.2576000000000001</v>
      </c>
      <c r="E2829" s="2">
        <v>1.8060800000000001E-3</v>
      </c>
      <c r="F2829" s="2" t="s">
        <v>168</v>
      </c>
    </row>
    <row r="2830" spans="1:6" ht="22.5" hidden="1" customHeight="1" x14ac:dyDescent="0.25">
      <c r="A2830" s="3">
        <v>44470</v>
      </c>
      <c r="B2830" s="2" t="s">
        <v>271</v>
      </c>
      <c r="C2830" s="2">
        <v>0.08</v>
      </c>
      <c r="D2830" s="2">
        <v>2.2334999999999998</v>
      </c>
      <c r="E2830" s="2">
        <v>1.7868000000000001E-3</v>
      </c>
      <c r="F2830" s="2" t="s">
        <v>168</v>
      </c>
    </row>
    <row r="2831" spans="1:6" ht="22.5" hidden="1" customHeight="1" x14ac:dyDescent="0.25">
      <c r="A2831" s="3">
        <v>44378</v>
      </c>
      <c r="B2831" s="2" t="s">
        <v>291</v>
      </c>
      <c r="C2831" s="2">
        <v>0.97</v>
      </c>
      <c r="D2831" s="2">
        <v>0.1837</v>
      </c>
      <c r="E2831" s="2">
        <v>1.7818899999999999E-3</v>
      </c>
      <c r="F2831" s="2" t="s">
        <v>168</v>
      </c>
    </row>
    <row r="2832" spans="1:6" ht="22.5" hidden="1" customHeight="1" x14ac:dyDescent="0.25">
      <c r="A2832" s="3">
        <v>44075</v>
      </c>
      <c r="B2832" s="2" t="s">
        <v>267</v>
      </c>
      <c r="C2832" s="2">
        <v>0</v>
      </c>
      <c r="D2832" s="2">
        <v>0.1366</v>
      </c>
      <c r="E2832" s="2">
        <v>0</v>
      </c>
      <c r="F2832" s="2" t="s">
        <v>165</v>
      </c>
    </row>
    <row r="2833" spans="1:6" ht="22.5" hidden="1" customHeight="1" x14ac:dyDescent="0.25">
      <c r="A2833" s="3">
        <v>44075</v>
      </c>
      <c r="B2833" s="2" t="s">
        <v>268</v>
      </c>
      <c r="C2833" s="2">
        <v>0.53</v>
      </c>
      <c r="D2833" s="2">
        <v>0.17080000000000001</v>
      </c>
      <c r="E2833" s="2">
        <v>9.0523999999999997E-4</v>
      </c>
      <c r="F2833" s="2" t="s">
        <v>165</v>
      </c>
    </row>
    <row r="2834" spans="1:6" ht="22.5" hidden="1" customHeight="1" x14ac:dyDescent="0.25">
      <c r="A2834" s="3">
        <v>44075</v>
      </c>
      <c r="B2834" s="2" t="s">
        <v>269</v>
      </c>
      <c r="C2834" s="2">
        <v>0</v>
      </c>
      <c r="D2834" s="2">
        <v>7.0300000000000001E-2</v>
      </c>
      <c r="E2834" s="2">
        <v>0</v>
      </c>
      <c r="F2834" s="2" t="s">
        <v>165</v>
      </c>
    </row>
    <row r="2835" spans="1:6" ht="22.5" hidden="1" customHeight="1" x14ac:dyDescent="0.25">
      <c r="A2835" s="3">
        <v>44075</v>
      </c>
      <c r="B2835" s="2" t="s">
        <v>270</v>
      </c>
      <c r="C2835" s="2">
        <v>-0.3</v>
      </c>
      <c r="D2835" s="2">
        <v>2.9971000000000001</v>
      </c>
      <c r="E2835" s="2">
        <v>-8.9913000000000007E-3</v>
      </c>
      <c r="F2835" s="2" t="s">
        <v>170</v>
      </c>
    </row>
    <row r="2836" spans="1:6" ht="22.5" hidden="1" customHeight="1" x14ac:dyDescent="0.25">
      <c r="A2836" s="3">
        <v>44348</v>
      </c>
      <c r="B2836" s="2" t="s">
        <v>300</v>
      </c>
      <c r="C2836" s="2">
        <v>1</v>
      </c>
      <c r="D2836" s="2">
        <v>0.17630000000000001</v>
      </c>
      <c r="E2836" s="2">
        <v>1.763E-3</v>
      </c>
      <c r="F2836" s="2" t="s">
        <v>168</v>
      </c>
    </row>
    <row r="2837" spans="1:6" ht="22.5" hidden="1" customHeight="1" x14ac:dyDescent="0.25">
      <c r="A2837" s="3">
        <v>44075</v>
      </c>
      <c r="B2837" s="2" t="s">
        <v>272</v>
      </c>
      <c r="C2837" s="2">
        <v>-2.64</v>
      </c>
      <c r="D2837" s="2">
        <v>0.76319999999999999</v>
      </c>
      <c r="E2837" s="2">
        <v>-2.014848E-2</v>
      </c>
      <c r="F2837" s="2" t="s">
        <v>165</v>
      </c>
    </row>
    <row r="2838" spans="1:6" ht="22.5" hidden="1" customHeight="1" x14ac:dyDescent="0.25">
      <c r="A2838" s="3">
        <v>44531</v>
      </c>
      <c r="B2838" s="2" t="s">
        <v>289</v>
      </c>
      <c r="C2838" s="2">
        <v>0.33</v>
      </c>
      <c r="D2838" s="2">
        <v>0.52939999999999998</v>
      </c>
      <c r="E2838" s="2">
        <v>1.74702E-3</v>
      </c>
      <c r="F2838" s="2" t="s">
        <v>168</v>
      </c>
    </row>
    <row r="2839" spans="1:6" ht="22.5" hidden="1" customHeight="1" x14ac:dyDescent="0.25">
      <c r="A2839" s="3">
        <v>44075</v>
      </c>
      <c r="B2839" s="2" t="s">
        <v>274</v>
      </c>
      <c r="C2839" s="2">
        <v>-0.09</v>
      </c>
      <c r="D2839" s="2">
        <v>0.12859999999999999</v>
      </c>
      <c r="E2839" s="2">
        <v>-1.1574E-4</v>
      </c>
      <c r="F2839" s="2" t="s">
        <v>170</v>
      </c>
    </row>
    <row r="2840" spans="1:6" ht="22.5" hidden="1" customHeight="1" x14ac:dyDescent="0.25">
      <c r="A2840" s="3">
        <v>44075</v>
      </c>
      <c r="B2840" s="2" t="s">
        <v>275</v>
      </c>
      <c r="C2840" s="2">
        <v>0.38</v>
      </c>
      <c r="D2840" s="2">
        <v>0.1749</v>
      </c>
      <c r="E2840" s="2">
        <v>6.6461999999999999E-4</v>
      </c>
      <c r="F2840" s="2" t="s">
        <v>170</v>
      </c>
    </row>
    <row r="2841" spans="1:6" ht="22.5" hidden="1" customHeight="1" x14ac:dyDescent="0.25">
      <c r="A2841" s="3">
        <v>44075</v>
      </c>
      <c r="B2841" s="2" t="s">
        <v>276</v>
      </c>
      <c r="C2841" s="2">
        <v>0.9</v>
      </c>
      <c r="D2841" s="2">
        <v>0.20749999999999999</v>
      </c>
      <c r="E2841" s="2">
        <v>1.8675E-3</v>
      </c>
      <c r="F2841" s="2" t="s">
        <v>170</v>
      </c>
    </row>
    <row r="2842" spans="1:6" ht="22.5" hidden="1" customHeight="1" x14ac:dyDescent="0.25">
      <c r="A2842" s="3">
        <v>44075</v>
      </c>
      <c r="B2842" s="2" t="s">
        <v>277</v>
      </c>
      <c r="C2842" s="2">
        <v>0.14000000000000001</v>
      </c>
      <c r="D2842" s="2">
        <v>1.7136</v>
      </c>
      <c r="E2842" s="2">
        <v>2.3990399999999999E-3</v>
      </c>
      <c r="F2842" s="2" t="s">
        <v>165</v>
      </c>
    </row>
    <row r="2843" spans="1:6" ht="22.5" hidden="1" customHeight="1" x14ac:dyDescent="0.25">
      <c r="A2843" s="3">
        <v>44075</v>
      </c>
      <c r="B2843" s="2" t="s">
        <v>278</v>
      </c>
      <c r="C2843" s="2">
        <v>0.24</v>
      </c>
      <c r="D2843" s="2">
        <v>7.1300000000000002E-2</v>
      </c>
      <c r="E2843" s="2">
        <v>1.7112E-4</v>
      </c>
      <c r="F2843" s="2" t="s">
        <v>165</v>
      </c>
    </row>
    <row r="2844" spans="1:6" ht="22.5" hidden="1" customHeight="1" x14ac:dyDescent="0.25">
      <c r="A2844" s="3">
        <v>44228</v>
      </c>
      <c r="B2844" s="2" t="s">
        <v>294</v>
      </c>
      <c r="C2844" s="2">
        <v>1.28</v>
      </c>
      <c r="D2844" s="2">
        <v>0.13159999999999999</v>
      </c>
      <c r="E2844" s="2">
        <v>1.6844799999999999E-3</v>
      </c>
      <c r="F2844" s="2" t="s">
        <v>168</v>
      </c>
    </row>
    <row r="2845" spans="1:6" ht="22.5" hidden="1" customHeight="1" x14ac:dyDescent="0.25">
      <c r="A2845" s="3">
        <v>44075</v>
      </c>
      <c r="B2845" s="2" t="s">
        <v>280</v>
      </c>
      <c r="C2845" s="2">
        <v>-0.35</v>
      </c>
      <c r="D2845" s="2">
        <v>1.9015</v>
      </c>
      <c r="E2845" s="2">
        <v>-6.6552499999999997E-3</v>
      </c>
      <c r="F2845" s="2" t="s">
        <v>170</v>
      </c>
    </row>
    <row r="2846" spans="1:6" ht="22.5" hidden="1" customHeight="1" x14ac:dyDescent="0.25">
      <c r="A2846" s="3">
        <v>44075</v>
      </c>
      <c r="B2846" s="2" t="s">
        <v>281</v>
      </c>
      <c r="C2846" s="2">
        <v>-0.35</v>
      </c>
      <c r="D2846" s="2">
        <v>1.6500000000000001E-2</v>
      </c>
      <c r="E2846" s="2">
        <v>-5.7750000000000001E-5</v>
      </c>
      <c r="F2846" s="2" t="s">
        <v>165</v>
      </c>
    </row>
    <row r="2847" spans="1:6" ht="22.5" hidden="1" customHeight="1" x14ac:dyDescent="0.25">
      <c r="A2847" s="3">
        <v>44075</v>
      </c>
      <c r="B2847" s="2" t="s">
        <v>282</v>
      </c>
      <c r="C2847" s="2">
        <v>8.23</v>
      </c>
      <c r="D2847" s="2">
        <v>0.02</v>
      </c>
      <c r="E2847" s="2">
        <v>1.6459999999999999E-3</v>
      </c>
      <c r="F2847" s="2" t="s">
        <v>165</v>
      </c>
    </row>
    <row r="2848" spans="1:6" ht="22.5" hidden="1" customHeight="1" x14ac:dyDescent="0.25">
      <c r="A2848" s="3">
        <v>44075</v>
      </c>
      <c r="B2848" s="2" t="s">
        <v>283</v>
      </c>
      <c r="C2848" s="2">
        <v>0.5</v>
      </c>
      <c r="D2848" s="2">
        <v>0.57989999999999997</v>
      </c>
      <c r="E2848" s="2">
        <v>2.8995000000000002E-3</v>
      </c>
      <c r="F2848" s="2" t="s">
        <v>170</v>
      </c>
    </row>
    <row r="2849" spans="1:6" ht="22.5" hidden="1" customHeight="1" x14ac:dyDescent="0.25">
      <c r="A2849" s="3">
        <v>44228</v>
      </c>
      <c r="B2849" s="2" t="s">
        <v>293</v>
      </c>
      <c r="C2849" s="2">
        <v>1.02</v>
      </c>
      <c r="D2849" s="2">
        <v>0.16489999999999999</v>
      </c>
      <c r="E2849" s="2">
        <v>1.68198E-3</v>
      </c>
      <c r="F2849" s="2" t="s">
        <v>168</v>
      </c>
    </row>
    <row r="2850" spans="1:6" ht="22.5" hidden="1" customHeight="1" x14ac:dyDescent="0.25">
      <c r="A2850" s="3">
        <v>44440</v>
      </c>
      <c r="B2850" s="2" t="s">
        <v>288</v>
      </c>
      <c r="C2850" s="2">
        <v>0.75</v>
      </c>
      <c r="D2850" s="2">
        <v>0.22370000000000001</v>
      </c>
      <c r="E2850" s="2">
        <v>1.67775E-3</v>
      </c>
      <c r="F2850" s="2" t="s">
        <v>168</v>
      </c>
    </row>
    <row r="2851" spans="1:6" ht="22.5" hidden="1" customHeight="1" x14ac:dyDescent="0.25">
      <c r="A2851" s="3">
        <v>44197</v>
      </c>
      <c r="B2851" s="2" t="s">
        <v>279</v>
      </c>
      <c r="C2851" s="2">
        <v>1.74</v>
      </c>
      <c r="D2851" s="2">
        <v>9.5399999999999999E-2</v>
      </c>
      <c r="E2851" s="2">
        <v>1.65996E-3</v>
      </c>
      <c r="F2851" s="2" t="s">
        <v>168</v>
      </c>
    </row>
    <row r="2852" spans="1:6" ht="22.5" hidden="1" customHeight="1" x14ac:dyDescent="0.25">
      <c r="A2852" s="3">
        <v>44287</v>
      </c>
      <c r="B2852" s="2" t="s">
        <v>293</v>
      </c>
      <c r="C2852" s="2">
        <v>1.01</v>
      </c>
      <c r="D2852" s="2">
        <v>0.16239999999999999</v>
      </c>
      <c r="E2852" s="2">
        <v>1.6402400000000001E-3</v>
      </c>
      <c r="F2852" s="2" t="s">
        <v>168</v>
      </c>
    </row>
    <row r="2853" spans="1:6" ht="22.5" hidden="1" customHeight="1" x14ac:dyDescent="0.25">
      <c r="A2853" s="3">
        <v>44409</v>
      </c>
      <c r="B2853" s="2" t="s">
        <v>367</v>
      </c>
      <c r="C2853" s="2">
        <v>0.11</v>
      </c>
      <c r="D2853" s="2">
        <v>1.4873000000000001</v>
      </c>
      <c r="E2853" s="2">
        <v>1.6360299999999999E-3</v>
      </c>
      <c r="F2853" s="2" t="s">
        <v>168</v>
      </c>
    </row>
    <row r="2854" spans="1:6" ht="22.5" hidden="1" customHeight="1" x14ac:dyDescent="0.25">
      <c r="A2854" s="3">
        <v>44501</v>
      </c>
      <c r="B2854" s="2" t="s">
        <v>288</v>
      </c>
      <c r="C2854" s="2">
        <v>0.74</v>
      </c>
      <c r="D2854" s="2">
        <v>0.221</v>
      </c>
      <c r="E2854" s="2">
        <v>1.6354E-3</v>
      </c>
      <c r="F2854" s="2" t="s">
        <v>168</v>
      </c>
    </row>
    <row r="2855" spans="1:6" ht="22.5" hidden="1" customHeight="1" x14ac:dyDescent="0.25">
      <c r="A2855" s="3">
        <v>44440</v>
      </c>
      <c r="B2855" s="2" t="s">
        <v>263</v>
      </c>
      <c r="C2855" s="2">
        <v>0.4</v>
      </c>
      <c r="D2855" s="2">
        <v>0.4022</v>
      </c>
      <c r="E2855" s="2">
        <v>1.6088000000000001E-3</v>
      </c>
      <c r="F2855" s="2" t="s">
        <v>168</v>
      </c>
    </row>
    <row r="2856" spans="1:6" ht="22.5" hidden="1" customHeight="1" x14ac:dyDescent="0.25">
      <c r="A2856" s="3">
        <v>44440</v>
      </c>
      <c r="B2856" s="2" t="s">
        <v>287</v>
      </c>
      <c r="C2856" s="2">
        <v>2.04</v>
      </c>
      <c r="D2856" s="2">
        <v>7.7899999999999997E-2</v>
      </c>
      <c r="E2856" s="2">
        <v>1.5891600000000001E-3</v>
      </c>
      <c r="F2856" s="2" t="s">
        <v>168</v>
      </c>
    </row>
    <row r="2857" spans="1:6" ht="22.5" hidden="1" customHeight="1" x14ac:dyDescent="0.25">
      <c r="A2857" s="3">
        <v>44166</v>
      </c>
      <c r="B2857" s="2" t="s">
        <v>295</v>
      </c>
      <c r="C2857" s="2">
        <v>0.71</v>
      </c>
      <c r="D2857" s="2">
        <v>0.22220000000000001</v>
      </c>
      <c r="E2857" s="2">
        <v>1.5776200000000001E-3</v>
      </c>
      <c r="F2857" s="2" t="s">
        <v>168</v>
      </c>
    </row>
    <row r="2858" spans="1:6" ht="22.5" hidden="1" customHeight="1" x14ac:dyDescent="0.25">
      <c r="A2858" s="3">
        <v>44044</v>
      </c>
      <c r="B2858" s="2" t="s">
        <v>288</v>
      </c>
      <c r="C2858" s="2">
        <v>0.66</v>
      </c>
      <c r="D2858" s="2">
        <v>0.23730000000000001</v>
      </c>
      <c r="E2858" s="2">
        <v>1.5661799999999999E-3</v>
      </c>
      <c r="F2858" s="2" t="s">
        <v>168</v>
      </c>
    </row>
    <row r="2859" spans="1:6" ht="22.5" hidden="1" customHeight="1" x14ac:dyDescent="0.25">
      <c r="A2859" s="3">
        <v>44348</v>
      </c>
      <c r="B2859" s="2" t="s">
        <v>301</v>
      </c>
      <c r="C2859" s="2">
        <v>1.1000000000000001</v>
      </c>
      <c r="D2859" s="2">
        <v>0.14199999999999999</v>
      </c>
      <c r="E2859" s="2">
        <v>1.562E-3</v>
      </c>
      <c r="F2859" s="2" t="s">
        <v>168</v>
      </c>
    </row>
    <row r="2860" spans="1:6" ht="22.5" hidden="1" customHeight="1" x14ac:dyDescent="0.25">
      <c r="A2860" s="3">
        <v>44228</v>
      </c>
      <c r="B2860" s="2" t="s">
        <v>196</v>
      </c>
      <c r="C2860" s="2">
        <v>1.19</v>
      </c>
      <c r="D2860" s="2">
        <v>0.13100000000000001</v>
      </c>
      <c r="E2860" s="2">
        <v>1.5589E-3</v>
      </c>
      <c r="F2860" s="2" t="s">
        <v>168</v>
      </c>
    </row>
    <row r="2861" spans="1:6" ht="22.5" hidden="1" customHeight="1" x14ac:dyDescent="0.25">
      <c r="A2861" s="3">
        <v>44562</v>
      </c>
      <c r="B2861" s="2" t="s">
        <v>197</v>
      </c>
      <c r="C2861" s="2">
        <v>0.03</v>
      </c>
      <c r="D2861" s="2">
        <v>5.0473999999999997</v>
      </c>
      <c r="E2861" s="2">
        <v>1.5142199999999999E-3</v>
      </c>
      <c r="F2861" s="2" t="s">
        <v>168</v>
      </c>
    </row>
    <row r="2862" spans="1:6" ht="22.5" hidden="1" customHeight="1" x14ac:dyDescent="0.25">
      <c r="A2862" s="3">
        <v>44013</v>
      </c>
      <c r="B2862" s="2" t="s">
        <v>266</v>
      </c>
      <c r="C2862" s="2">
        <v>2</v>
      </c>
      <c r="D2862" s="2">
        <v>7.3599999999999999E-2</v>
      </c>
      <c r="E2862" s="2">
        <v>1.472E-3</v>
      </c>
      <c r="F2862" s="2" t="s">
        <v>168</v>
      </c>
    </row>
    <row r="2863" spans="1:6" ht="22.5" hidden="1" customHeight="1" x14ac:dyDescent="0.25">
      <c r="A2863" s="3">
        <v>44228</v>
      </c>
      <c r="B2863" s="2" t="s">
        <v>301</v>
      </c>
      <c r="C2863" s="2">
        <v>0.98</v>
      </c>
      <c r="D2863" s="2">
        <v>0.14449999999999999</v>
      </c>
      <c r="E2863" s="2">
        <v>1.4161E-3</v>
      </c>
      <c r="F2863" s="2" t="s">
        <v>168</v>
      </c>
    </row>
    <row r="2864" spans="1:6" ht="22.5" hidden="1" customHeight="1" x14ac:dyDescent="0.25">
      <c r="A2864" s="3">
        <v>44166</v>
      </c>
      <c r="B2864" s="2" t="s">
        <v>294</v>
      </c>
      <c r="C2864" s="2">
        <v>1.06</v>
      </c>
      <c r="D2864" s="2">
        <v>0.13189999999999999</v>
      </c>
      <c r="E2864" s="2">
        <v>1.39814E-3</v>
      </c>
      <c r="F2864" s="2" t="s">
        <v>168</v>
      </c>
    </row>
    <row r="2865" spans="1:6" ht="22.5" hidden="1" customHeight="1" x14ac:dyDescent="0.25">
      <c r="A2865" s="3">
        <v>44136</v>
      </c>
      <c r="B2865" s="2" t="s">
        <v>279</v>
      </c>
      <c r="C2865" s="2">
        <v>1.44</v>
      </c>
      <c r="D2865" s="2">
        <v>9.5299999999999996E-2</v>
      </c>
      <c r="E2865" s="2">
        <v>1.37232E-3</v>
      </c>
      <c r="F2865" s="2" t="s">
        <v>168</v>
      </c>
    </row>
    <row r="2866" spans="1:6" ht="22.5" hidden="1" customHeight="1" x14ac:dyDescent="0.25">
      <c r="A2866" s="3">
        <v>44044</v>
      </c>
      <c r="B2866" s="2" t="s">
        <v>297</v>
      </c>
      <c r="C2866" s="2">
        <v>0.45</v>
      </c>
      <c r="D2866" s="2">
        <v>0.3044</v>
      </c>
      <c r="E2866" s="2">
        <v>1.3698E-3</v>
      </c>
      <c r="F2866" s="2" t="s">
        <v>168</v>
      </c>
    </row>
    <row r="2867" spans="1:6" ht="22.5" hidden="1" customHeight="1" x14ac:dyDescent="0.25">
      <c r="A2867" s="3">
        <v>44075</v>
      </c>
      <c r="B2867" s="2" t="s">
        <v>302</v>
      </c>
      <c r="C2867" s="2">
        <v>0.56000000000000005</v>
      </c>
      <c r="D2867" s="2">
        <v>0.29780000000000001</v>
      </c>
      <c r="E2867" s="2">
        <v>1.6676799999999999E-3</v>
      </c>
      <c r="F2867" s="2" t="s">
        <v>170</v>
      </c>
    </row>
    <row r="2868" spans="1:6" ht="22.5" hidden="1" customHeight="1" x14ac:dyDescent="0.25">
      <c r="A2868" s="3">
        <v>44075</v>
      </c>
      <c r="B2868" s="2" t="s">
        <v>303</v>
      </c>
      <c r="C2868" s="2">
        <v>0.19</v>
      </c>
      <c r="D2868" s="2">
        <v>0.55600000000000005</v>
      </c>
      <c r="E2868" s="2">
        <v>1.0564000000000001E-3</v>
      </c>
      <c r="F2868" s="2" t="s">
        <v>165</v>
      </c>
    </row>
    <row r="2869" spans="1:6" ht="22.5" hidden="1" customHeight="1" x14ac:dyDescent="0.25">
      <c r="A2869" s="3">
        <v>44075</v>
      </c>
      <c r="B2869" s="2" t="s">
        <v>304</v>
      </c>
      <c r="C2869" s="2">
        <v>0.42</v>
      </c>
      <c r="D2869" s="2">
        <v>0.53029999999999999</v>
      </c>
      <c r="E2869" s="2">
        <v>2.22726E-3</v>
      </c>
      <c r="F2869" s="2" t="s">
        <v>165</v>
      </c>
    </row>
    <row r="2870" spans="1:6" ht="22.5" hidden="1" customHeight="1" x14ac:dyDescent="0.25">
      <c r="A2870" s="3">
        <v>44075</v>
      </c>
      <c r="B2870" s="2" t="s">
        <v>305</v>
      </c>
      <c r="C2870" s="2">
        <v>0.08</v>
      </c>
      <c r="D2870" s="2">
        <v>1.9099999999999999E-2</v>
      </c>
      <c r="E2870" s="2">
        <v>1.5279999999999999E-5</v>
      </c>
      <c r="F2870" s="2" t="s">
        <v>170</v>
      </c>
    </row>
    <row r="2871" spans="1:6" ht="22.5" hidden="1" customHeight="1" x14ac:dyDescent="0.25">
      <c r="A2871" s="3">
        <v>44075</v>
      </c>
      <c r="B2871" s="2" t="s">
        <v>306</v>
      </c>
      <c r="C2871" s="2">
        <v>1.27</v>
      </c>
      <c r="D2871" s="2">
        <v>4.8599999999999997E-2</v>
      </c>
      <c r="E2871" s="2">
        <v>6.1722000000000003E-4</v>
      </c>
      <c r="F2871" s="2" t="s">
        <v>165</v>
      </c>
    </row>
    <row r="2872" spans="1:6" ht="22.5" hidden="1" customHeight="1" x14ac:dyDescent="0.25">
      <c r="A2872" s="3">
        <v>44075</v>
      </c>
      <c r="B2872" s="2" t="s">
        <v>307</v>
      </c>
      <c r="C2872" s="2">
        <v>0.72</v>
      </c>
      <c r="D2872" s="2">
        <v>0.10970000000000001</v>
      </c>
      <c r="E2872" s="2">
        <v>7.8983999999999999E-4</v>
      </c>
      <c r="F2872" s="2" t="s">
        <v>165</v>
      </c>
    </row>
    <row r="2873" spans="1:6" ht="22.5" hidden="1" customHeight="1" x14ac:dyDescent="0.25">
      <c r="A2873" s="3">
        <v>44075</v>
      </c>
      <c r="B2873" s="2" t="s">
        <v>308</v>
      </c>
      <c r="C2873" s="2">
        <v>-0.16</v>
      </c>
      <c r="D2873" s="2">
        <v>0.38779999999999998</v>
      </c>
      <c r="E2873" s="2">
        <v>-6.2047999999999997E-4</v>
      </c>
      <c r="F2873" s="2" t="s">
        <v>165</v>
      </c>
    </row>
    <row r="2874" spans="1:6" ht="22.5" hidden="1" customHeight="1" x14ac:dyDescent="0.25">
      <c r="A2874" s="3">
        <v>44075</v>
      </c>
      <c r="B2874" s="2" t="s">
        <v>309</v>
      </c>
      <c r="C2874" s="2">
        <v>0.2</v>
      </c>
      <c r="D2874" s="2">
        <v>0.13500000000000001</v>
      </c>
      <c r="E2874" s="2">
        <v>2.7E-4</v>
      </c>
      <c r="F2874" s="2" t="s">
        <v>165</v>
      </c>
    </row>
    <row r="2875" spans="1:6" ht="22.5" hidden="1" customHeight="1" x14ac:dyDescent="0.25">
      <c r="A2875" s="3">
        <v>44501</v>
      </c>
      <c r="B2875" s="2" t="s">
        <v>294</v>
      </c>
      <c r="C2875" s="2">
        <v>1.05</v>
      </c>
      <c r="D2875" s="2">
        <v>0.12909999999999999</v>
      </c>
      <c r="E2875" s="2">
        <v>1.3555500000000001E-3</v>
      </c>
      <c r="F2875" s="2" t="s">
        <v>168</v>
      </c>
    </row>
    <row r="2876" spans="1:6" ht="22.5" hidden="1" customHeight="1" x14ac:dyDescent="0.25">
      <c r="A2876" s="3">
        <v>44075</v>
      </c>
      <c r="B2876" s="2" t="s">
        <v>311</v>
      </c>
      <c r="C2876" s="2">
        <v>0.8</v>
      </c>
      <c r="D2876" s="2">
        <v>0.63080000000000003</v>
      </c>
      <c r="E2876" s="2">
        <v>5.0464000000000004E-3</v>
      </c>
      <c r="F2876" s="2" t="s">
        <v>174</v>
      </c>
    </row>
    <row r="2877" spans="1:6" ht="22.5" hidden="1" customHeight="1" x14ac:dyDescent="0.25">
      <c r="A2877" s="3">
        <v>44075</v>
      </c>
      <c r="B2877" s="2" t="s">
        <v>312</v>
      </c>
      <c r="C2877" s="2">
        <v>0.93</v>
      </c>
      <c r="D2877" s="2">
        <v>0.21879999999999999</v>
      </c>
      <c r="E2877" s="2">
        <v>2.03484E-3</v>
      </c>
      <c r="F2877" s="2" t="s">
        <v>174</v>
      </c>
    </row>
    <row r="2878" spans="1:6" ht="22.5" hidden="1" customHeight="1" x14ac:dyDescent="0.25">
      <c r="A2878" s="3">
        <v>44075</v>
      </c>
      <c r="B2878" s="2" t="s">
        <v>313</v>
      </c>
      <c r="C2878" s="2">
        <v>1.26</v>
      </c>
      <c r="D2878" s="2">
        <v>0.13400000000000001</v>
      </c>
      <c r="E2878" s="2">
        <v>1.6884000000000001E-3</v>
      </c>
      <c r="F2878" s="2" t="s">
        <v>174</v>
      </c>
    </row>
    <row r="2879" spans="1:6" ht="22.5" hidden="1" customHeight="1" x14ac:dyDescent="0.25">
      <c r="A2879" s="3">
        <v>44075</v>
      </c>
      <c r="B2879" s="2" t="s">
        <v>314</v>
      </c>
      <c r="C2879" s="2">
        <v>-4</v>
      </c>
      <c r="D2879" s="2">
        <v>0.4093</v>
      </c>
      <c r="E2879" s="2">
        <v>-1.6372000000000001E-2</v>
      </c>
      <c r="F2879" s="2" t="s">
        <v>174</v>
      </c>
    </row>
    <row r="2880" spans="1:6" ht="22.5" hidden="1" customHeight="1" x14ac:dyDescent="0.25">
      <c r="A2880" s="3">
        <v>44075</v>
      </c>
      <c r="B2880" s="2" t="s">
        <v>315</v>
      </c>
      <c r="C2880" s="2">
        <v>1.42</v>
      </c>
      <c r="D2880" s="2">
        <v>0.2626</v>
      </c>
      <c r="E2880" s="2">
        <v>3.7289200000000002E-3</v>
      </c>
      <c r="F2880" s="2" t="s">
        <v>174</v>
      </c>
    </row>
    <row r="2881" spans="1:6" ht="22.5" hidden="1" customHeight="1" x14ac:dyDescent="0.25">
      <c r="A2881" s="3">
        <v>44075</v>
      </c>
      <c r="B2881" s="2" t="s">
        <v>316</v>
      </c>
      <c r="C2881" s="2">
        <v>3.17</v>
      </c>
      <c r="D2881" s="2">
        <v>4.0000000000000001E-3</v>
      </c>
      <c r="E2881" s="2">
        <v>1.2679999999999999E-4</v>
      </c>
      <c r="F2881" s="2" t="s">
        <v>174</v>
      </c>
    </row>
    <row r="2882" spans="1:6" ht="22.5" hidden="1" customHeight="1" x14ac:dyDescent="0.25">
      <c r="A2882" s="3">
        <v>44075</v>
      </c>
      <c r="B2882" s="2" t="s">
        <v>317</v>
      </c>
      <c r="C2882" s="2">
        <v>-0.27</v>
      </c>
      <c r="D2882" s="2">
        <v>1.024</v>
      </c>
      <c r="E2882" s="2">
        <v>-2.7648E-3</v>
      </c>
      <c r="F2882" s="2" t="s">
        <v>174</v>
      </c>
    </row>
    <row r="2883" spans="1:6" ht="22.5" hidden="1" customHeight="1" x14ac:dyDescent="0.25">
      <c r="A2883" s="3">
        <v>44075</v>
      </c>
      <c r="B2883" s="2" t="s">
        <v>318</v>
      </c>
      <c r="C2883" s="2">
        <v>2.0099999999999998</v>
      </c>
      <c r="D2883" s="2">
        <v>0.44869999999999999</v>
      </c>
      <c r="E2883" s="2">
        <v>9.01887E-3</v>
      </c>
      <c r="F2883" s="2" t="s">
        <v>174</v>
      </c>
    </row>
    <row r="2884" spans="1:6" ht="22.5" hidden="1" customHeight="1" x14ac:dyDescent="0.25">
      <c r="A2884" s="3">
        <v>44075</v>
      </c>
      <c r="B2884" s="2" t="s">
        <v>319</v>
      </c>
      <c r="C2884" s="2">
        <v>-0.5</v>
      </c>
      <c r="D2884" s="2">
        <v>0.1125</v>
      </c>
      <c r="E2884" s="2">
        <v>-5.6249999999999996E-4</v>
      </c>
      <c r="F2884" s="2" t="s">
        <v>174</v>
      </c>
    </row>
    <row r="2885" spans="1:6" ht="22.5" hidden="1" customHeight="1" x14ac:dyDescent="0.25">
      <c r="A2885" s="3">
        <v>44075</v>
      </c>
      <c r="B2885" s="2" t="s">
        <v>320</v>
      </c>
      <c r="C2885" s="2">
        <v>1.03</v>
      </c>
      <c r="D2885" s="2">
        <v>0.29749999999999999</v>
      </c>
      <c r="E2885" s="2">
        <v>3.0642500000000001E-3</v>
      </c>
      <c r="F2885" s="2" t="s">
        <v>174</v>
      </c>
    </row>
    <row r="2886" spans="1:6" ht="22.5" hidden="1" customHeight="1" x14ac:dyDescent="0.25">
      <c r="A2886" s="3">
        <v>44075</v>
      </c>
      <c r="B2886" s="2" t="s">
        <v>321</v>
      </c>
      <c r="C2886" s="2">
        <v>0.34</v>
      </c>
      <c r="D2886" s="2">
        <v>0.2107</v>
      </c>
      <c r="E2886" s="2">
        <v>7.1637999999999997E-4</v>
      </c>
      <c r="F2886" s="2" t="s">
        <v>174</v>
      </c>
    </row>
    <row r="2887" spans="1:6" ht="22.5" hidden="1" customHeight="1" x14ac:dyDescent="0.25">
      <c r="A2887" s="3">
        <v>44075</v>
      </c>
      <c r="B2887" s="2" t="s">
        <v>322</v>
      </c>
      <c r="C2887" s="2">
        <v>-3.75</v>
      </c>
      <c r="D2887" s="2">
        <v>0.17480000000000001</v>
      </c>
      <c r="E2887" s="2">
        <v>-6.5550000000000001E-3</v>
      </c>
      <c r="F2887" s="2" t="s">
        <v>174</v>
      </c>
    </row>
    <row r="2888" spans="1:6" ht="22.5" hidden="1" customHeight="1" x14ac:dyDescent="0.25">
      <c r="A2888" s="3">
        <v>44075</v>
      </c>
      <c r="B2888" s="2" t="s">
        <v>323</v>
      </c>
      <c r="C2888" s="2">
        <v>-0.17</v>
      </c>
      <c r="D2888" s="2">
        <v>1.12E-2</v>
      </c>
      <c r="E2888" s="2">
        <v>-1.9040000000000001E-5</v>
      </c>
      <c r="F2888" s="2" t="s">
        <v>165</v>
      </c>
    </row>
    <row r="2889" spans="1:6" ht="22.5" hidden="1" customHeight="1" x14ac:dyDescent="0.25">
      <c r="A2889" s="3">
        <v>44075</v>
      </c>
      <c r="B2889" s="2" t="s">
        <v>324</v>
      </c>
      <c r="C2889" s="2">
        <v>0.02</v>
      </c>
      <c r="D2889" s="2">
        <v>0.39800000000000002</v>
      </c>
      <c r="E2889" s="2">
        <v>7.9599999999999997E-5</v>
      </c>
      <c r="F2889" s="2" t="s">
        <v>165</v>
      </c>
    </row>
    <row r="2890" spans="1:6" ht="22.5" hidden="1" customHeight="1" x14ac:dyDescent="0.25">
      <c r="A2890" s="3">
        <v>44075</v>
      </c>
      <c r="B2890" s="2" t="s">
        <v>325</v>
      </c>
      <c r="C2890" s="2">
        <v>0.06</v>
      </c>
      <c r="D2890" s="2">
        <v>3.1968000000000001</v>
      </c>
      <c r="E2890" s="2">
        <v>1.91808E-3</v>
      </c>
      <c r="F2890" s="2" t="s">
        <v>165</v>
      </c>
    </row>
    <row r="2891" spans="1:6" ht="22.5" hidden="1" customHeight="1" x14ac:dyDescent="0.25">
      <c r="A2891" s="3">
        <v>44075</v>
      </c>
      <c r="B2891" s="2" t="s">
        <v>326</v>
      </c>
      <c r="C2891" s="2">
        <v>-0.64</v>
      </c>
      <c r="D2891" s="2">
        <v>1.075</v>
      </c>
      <c r="E2891" s="2">
        <v>-6.8799999999999998E-3</v>
      </c>
      <c r="F2891" s="2" t="s">
        <v>165</v>
      </c>
    </row>
    <row r="2892" spans="1:6" ht="22.5" hidden="1" customHeight="1" x14ac:dyDescent="0.25">
      <c r="A2892" s="3">
        <v>44075</v>
      </c>
      <c r="B2892" s="2" t="s">
        <v>327</v>
      </c>
      <c r="C2892" s="2">
        <v>0.78</v>
      </c>
      <c r="D2892" s="2">
        <v>6.1800000000000001E-2</v>
      </c>
      <c r="E2892" s="2">
        <v>4.8203999999999999E-4</v>
      </c>
      <c r="F2892" s="2" t="s">
        <v>165</v>
      </c>
    </row>
    <row r="2893" spans="1:6" ht="22.5" hidden="1" customHeight="1" x14ac:dyDescent="0.25">
      <c r="A2893" s="3">
        <v>44075</v>
      </c>
      <c r="B2893" s="2" t="s">
        <v>328</v>
      </c>
      <c r="C2893" s="2">
        <v>0</v>
      </c>
      <c r="D2893" s="2">
        <v>1.8800000000000001E-2</v>
      </c>
      <c r="E2893" s="2">
        <v>0</v>
      </c>
      <c r="F2893" s="2" t="s">
        <v>165</v>
      </c>
    </row>
    <row r="2894" spans="1:6" ht="22.5" hidden="1" customHeight="1" x14ac:dyDescent="0.25">
      <c r="A2894" s="3">
        <v>44075</v>
      </c>
      <c r="B2894" s="2" t="s">
        <v>329</v>
      </c>
      <c r="C2894" s="2">
        <v>-0.61</v>
      </c>
      <c r="D2894" s="2">
        <v>9.8599999999999993E-2</v>
      </c>
      <c r="E2894" s="2">
        <v>-6.0145999999999995E-4</v>
      </c>
      <c r="F2894" s="2" t="s">
        <v>165</v>
      </c>
    </row>
    <row r="2895" spans="1:6" ht="22.5" hidden="1" customHeight="1" x14ac:dyDescent="0.25">
      <c r="A2895" s="3">
        <v>44075</v>
      </c>
      <c r="B2895" s="2" t="s">
        <v>330</v>
      </c>
      <c r="C2895" s="2">
        <v>0.14000000000000001</v>
      </c>
      <c r="D2895" s="2">
        <v>1.8080000000000001</v>
      </c>
      <c r="E2895" s="2">
        <v>2.5311999999999999E-3</v>
      </c>
      <c r="F2895" s="2" t="s">
        <v>165</v>
      </c>
    </row>
    <row r="2896" spans="1:6" ht="22.5" hidden="1" customHeight="1" x14ac:dyDescent="0.25">
      <c r="A2896" s="3">
        <v>44075</v>
      </c>
      <c r="B2896" s="2" t="s">
        <v>331</v>
      </c>
      <c r="C2896" s="2">
        <v>0.14000000000000001</v>
      </c>
      <c r="D2896" s="2">
        <v>5.9299999999999999E-2</v>
      </c>
      <c r="E2896" s="2">
        <v>8.3020000000000001E-5</v>
      </c>
      <c r="F2896" s="2" t="s">
        <v>165</v>
      </c>
    </row>
    <row r="2897" spans="1:6" ht="22.5" hidden="1" customHeight="1" x14ac:dyDescent="0.25">
      <c r="A2897" s="3">
        <v>44075</v>
      </c>
      <c r="B2897" s="2" t="s">
        <v>332</v>
      </c>
      <c r="C2897" s="2">
        <v>-0.18</v>
      </c>
      <c r="D2897" s="2">
        <v>0.1104</v>
      </c>
      <c r="E2897" s="2">
        <v>-1.9871999999999999E-4</v>
      </c>
      <c r="F2897" s="2" t="s">
        <v>165</v>
      </c>
    </row>
    <row r="2898" spans="1:6" ht="22.5" hidden="1" customHeight="1" x14ac:dyDescent="0.25">
      <c r="A2898" s="3">
        <v>44075</v>
      </c>
      <c r="B2898" s="2" t="s">
        <v>333</v>
      </c>
      <c r="C2898" s="2">
        <v>0.14000000000000001</v>
      </c>
      <c r="D2898" s="2">
        <v>8.4900000000000003E-2</v>
      </c>
      <c r="E2898" s="2">
        <v>1.1886E-4</v>
      </c>
      <c r="F2898" s="2" t="s">
        <v>165</v>
      </c>
    </row>
    <row r="2899" spans="1:6" ht="22.5" hidden="1" customHeight="1" x14ac:dyDescent="0.25">
      <c r="A2899" s="3">
        <v>44075</v>
      </c>
      <c r="B2899" s="2" t="s">
        <v>334</v>
      </c>
      <c r="C2899" s="2">
        <v>0.96</v>
      </c>
      <c r="D2899" s="2">
        <v>2.06E-2</v>
      </c>
      <c r="E2899" s="2">
        <v>1.9776E-4</v>
      </c>
      <c r="F2899" s="2" t="s">
        <v>170</v>
      </c>
    </row>
    <row r="2900" spans="1:6" ht="22.5" hidden="1" customHeight="1" x14ac:dyDescent="0.25">
      <c r="A2900" s="3">
        <v>44075</v>
      </c>
      <c r="B2900" s="2" t="s">
        <v>335</v>
      </c>
      <c r="C2900" s="2">
        <v>0.73</v>
      </c>
      <c r="D2900" s="2">
        <v>0.29809999999999998</v>
      </c>
      <c r="E2900" s="2">
        <v>2.1761300000000001E-3</v>
      </c>
      <c r="F2900" s="2" t="s">
        <v>165</v>
      </c>
    </row>
    <row r="2901" spans="1:6" ht="22.5" hidden="1" customHeight="1" x14ac:dyDescent="0.25">
      <c r="A2901" s="3">
        <v>44075</v>
      </c>
      <c r="B2901" s="2" t="s">
        <v>336</v>
      </c>
      <c r="C2901" s="2">
        <v>0.7</v>
      </c>
      <c r="D2901" s="2">
        <v>9.8299999999999998E-2</v>
      </c>
      <c r="E2901" s="2">
        <v>6.8809999999999997E-4</v>
      </c>
      <c r="F2901" s="2" t="s">
        <v>170</v>
      </c>
    </row>
    <row r="2902" spans="1:6" ht="22.5" hidden="1" customHeight="1" x14ac:dyDescent="0.25">
      <c r="A2902" s="3">
        <v>44075</v>
      </c>
      <c r="B2902" s="2" t="s">
        <v>337</v>
      </c>
      <c r="C2902" s="2">
        <v>0.41</v>
      </c>
      <c r="D2902" s="2">
        <v>0.34350000000000003</v>
      </c>
      <c r="E2902" s="2">
        <v>1.4083500000000001E-3</v>
      </c>
      <c r="F2902" s="2" t="s">
        <v>174</v>
      </c>
    </row>
    <row r="2903" spans="1:6" ht="22.5" hidden="1" customHeight="1" x14ac:dyDescent="0.25">
      <c r="A2903" s="3">
        <v>44075</v>
      </c>
      <c r="B2903" s="2" t="s">
        <v>338</v>
      </c>
      <c r="C2903" s="2">
        <v>1.37</v>
      </c>
      <c r="D2903" s="2">
        <v>0.20699999999999999</v>
      </c>
      <c r="E2903" s="2">
        <v>2.8359000000000001E-3</v>
      </c>
      <c r="F2903" s="2" t="s">
        <v>174</v>
      </c>
    </row>
    <row r="2904" spans="1:6" ht="22.5" hidden="1" customHeight="1" x14ac:dyDescent="0.25">
      <c r="A2904" s="3">
        <v>44075</v>
      </c>
      <c r="B2904" s="2" t="s">
        <v>339</v>
      </c>
      <c r="C2904" s="2">
        <v>0</v>
      </c>
      <c r="D2904" s="2">
        <v>4.5199999999999997E-2</v>
      </c>
      <c r="E2904" s="2">
        <v>0</v>
      </c>
      <c r="F2904" s="2" t="s">
        <v>165</v>
      </c>
    </row>
    <row r="2905" spans="1:6" ht="22.5" hidden="1" customHeight="1" x14ac:dyDescent="0.25">
      <c r="A2905" s="3">
        <v>44593</v>
      </c>
      <c r="B2905" s="2" t="s">
        <v>264</v>
      </c>
      <c r="C2905" s="2">
        <v>1.34</v>
      </c>
      <c r="D2905" s="2">
        <v>0.1008</v>
      </c>
      <c r="E2905" s="2">
        <v>1.3507199999999999E-3</v>
      </c>
      <c r="F2905" s="2" t="s">
        <v>168</v>
      </c>
    </row>
    <row r="2906" spans="1:6" ht="22.5" hidden="1" customHeight="1" x14ac:dyDescent="0.25">
      <c r="A2906" s="3">
        <v>44075</v>
      </c>
      <c r="B2906" s="2" t="s">
        <v>341</v>
      </c>
      <c r="C2906" s="2">
        <v>0.94</v>
      </c>
      <c r="D2906" s="2">
        <v>1.17E-2</v>
      </c>
      <c r="E2906" s="2">
        <v>1.0998E-4</v>
      </c>
      <c r="F2906" s="2" t="s">
        <v>174</v>
      </c>
    </row>
    <row r="2907" spans="1:6" ht="22.5" hidden="1" customHeight="1" x14ac:dyDescent="0.25">
      <c r="A2907" s="3">
        <v>44075</v>
      </c>
      <c r="B2907" s="2" t="s">
        <v>342</v>
      </c>
      <c r="C2907" s="2">
        <v>-1.59</v>
      </c>
      <c r="D2907" s="2">
        <v>0.55500000000000005</v>
      </c>
      <c r="E2907" s="2">
        <v>-8.8245000000000007E-3</v>
      </c>
      <c r="F2907" s="2" t="s">
        <v>165</v>
      </c>
    </row>
    <row r="2908" spans="1:6" ht="22.5" hidden="1" customHeight="1" x14ac:dyDescent="0.25">
      <c r="A2908" s="3">
        <v>44075</v>
      </c>
      <c r="B2908" s="2" t="s">
        <v>343</v>
      </c>
      <c r="C2908" s="2">
        <v>1.45</v>
      </c>
      <c r="D2908" s="2">
        <v>0.46989999999999998</v>
      </c>
      <c r="E2908" s="2">
        <v>6.8135499999999998E-3</v>
      </c>
      <c r="F2908" s="2" t="s">
        <v>165</v>
      </c>
    </row>
    <row r="2909" spans="1:6" ht="22.5" hidden="1" customHeight="1" x14ac:dyDescent="0.25">
      <c r="A2909" s="3">
        <v>44075</v>
      </c>
      <c r="B2909" s="2" t="s">
        <v>344</v>
      </c>
      <c r="C2909" s="2">
        <v>-0.92</v>
      </c>
      <c r="D2909" s="2">
        <v>0.1469</v>
      </c>
      <c r="E2909" s="2">
        <v>-1.35148E-3</v>
      </c>
      <c r="F2909" s="2" t="s">
        <v>165</v>
      </c>
    </row>
    <row r="2910" spans="1:6" ht="22.5" hidden="1" customHeight="1" x14ac:dyDescent="0.25">
      <c r="A2910" s="3">
        <v>44075</v>
      </c>
      <c r="B2910" s="2" t="s">
        <v>345</v>
      </c>
      <c r="C2910" s="2">
        <v>7.0000000000000007E-2</v>
      </c>
      <c r="D2910" s="2">
        <v>0.54769999999999996</v>
      </c>
      <c r="E2910" s="2">
        <v>3.8339E-4</v>
      </c>
      <c r="F2910" s="2" t="s">
        <v>165</v>
      </c>
    </row>
    <row r="2911" spans="1:6" ht="22.5" hidden="1" customHeight="1" x14ac:dyDescent="0.25">
      <c r="A2911" s="3">
        <v>44075</v>
      </c>
      <c r="B2911" s="2" t="s">
        <v>346</v>
      </c>
      <c r="C2911" s="2">
        <v>1.46</v>
      </c>
      <c r="D2911" s="2">
        <v>0.56479999999999997</v>
      </c>
      <c r="E2911" s="2">
        <v>8.2460799999999994E-3</v>
      </c>
      <c r="F2911" s="2" t="s">
        <v>174</v>
      </c>
    </row>
    <row r="2912" spans="1:6" ht="22.5" hidden="1" customHeight="1" x14ac:dyDescent="0.25">
      <c r="A2912" s="3">
        <v>44075</v>
      </c>
      <c r="B2912" s="2" t="s">
        <v>347</v>
      </c>
      <c r="C2912" s="2">
        <v>0</v>
      </c>
      <c r="D2912" s="2">
        <v>0.19800000000000001</v>
      </c>
      <c r="E2912" s="2">
        <v>0</v>
      </c>
      <c r="F2912" s="2" t="s">
        <v>165</v>
      </c>
    </row>
    <row r="2913" spans="1:6" ht="22.5" hidden="1" customHeight="1" x14ac:dyDescent="0.25">
      <c r="A2913" s="3">
        <v>44075</v>
      </c>
      <c r="B2913" s="2" t="s">
        <v>348</v>
      </c>
      <c r="C2913" s="2">
        <v>0</v>
      </c>
      <c r="D2913" s="2">
        <v>0.3226</v>
      </c>
      <c r="E2913" s="2">
        <v>0</v>
      </c>
      <c r="F2913" s="2" t="s">
        <v>165</v>
      </c>
    </row>
    <row r="2914" spans="1:6" ht="22.5" hidden="1" customHeight="1" x14ac:dyDescent="0.25">
      <c r="A2914" s="3">
        <v>44075</v>
      </c>
      <c r="B2914" s="2" t="s">
        <v>349</v>
      </c>
      <c r="C2914" s="2">
        <v>0</v>
      </c>
      <c r="D2914" s="2">
        <v>1.5591999999999999</v>
      </c>
      <c r="E2914" s="2">
        <v>0</v>
      </c>
      <c r="F2914" s="2" t="s">
        <v>165</v>
      </c>
    </row>
    <row r="2915" spans="1:6" ht="22.5" hidden="1" customHeight="1" x14ac:dyDescent="0.25">
      <c r="A2915" s="3">
        <v>44075</v>
      </c>
      <c r="B2915" s="2" t="s">
        <v>350</v>
      </c>
      <c r="C2915" s="2">
        <v>0</v>
      </c>
      <c r="D2915" s="2">
        <v>0.39219999999999999</v>
      </c>
      <c r="E2915" s="2">
        <v>0</v>
      </c>
      <c r="F2915" s="2" t="s">
        <v>165</v>
      </c>
    </row>
    <row r="2916" spans="1:6" ht="22.5" hidden="1" customHeight="1" x14ac:dyDescent="0.25">
      <c r="A2916" s="3">
        <v>44075</v>
      </c>
      <c r="B2916" s="2" t="s">
        <v>351</v>
      </c>
      <c r="C2916" s="2">
        <v>0</v>
      </c>
      <c r="D2916" s="2">
        <v>1.849</v>
      </c>
      <c r="E2916" s="2">
        <v>0</v>
      </c>
      <c r="F2916" s="2" t="s">
        <v>165</v>
      </c>
    </row>
    <row r="2917" spans="1:6" ht="22.5" hidden="1" customHeight="1" x14ac:dyDescent="0.25">
      <c r="A2917" s="3">
        <v>44075</v>
      </c>
      <c r="B2917" s="2" t="s">
        <v>352</v>
      </c>
      <c r="C2917" s="2">
        <v>0</v>
      </c>
      <c r="D2917" s="2">
        <v>0.2928</v>
      </c>
      <c r="E2917" s="2">
        <v>0</v>
      </c>
      <c r="F2917" s="2" t="s">
        <v>165</v>
      </c>
    </row>
    <row r="2918" spans="1:6" ht="22.5" hidden="1" customHeight="1" x14ac:dyDescent="0.25">
      <c r="A2918" s="3">
        <v>44075</v>
      </c>
      <c r="B2918" s="2" t="s">
        <v>353</v>
      </c>
      <c r="C2918" s="2">
        <v>0</v>
      </c>
      <c r="D2918" s="2">
        <v>4.2500000000000003E-2</v>
      </c>
      <c r="E2918" s="2">
        <v>0</v>
      </c>
      <c r="F2918" s="2" t="s">
        <v>165</v>
      </c>
    </row>
    <row r="2919" spans="1:6" ht="22.5" hidden="1" customHeight="1" x14ac:dyDescent="0.25">
      <c r="A2919" s="3">
        <v>44075</v>
      </c>
      <c r="B2919" s="2" t="s">
        <v>354</v>
      </c>
      <c r="C2919" s="2">
        <v>0</v>
      </c>
      <c r="D2919" s="2">
        <v>3.2599999999999997E-2</v>
      </c>
      <c r="E2919" s="2">
        <v>0</v>
      </c>
      <c r="F2919" s="2" t="s">
        <v>165</v>
      </c>
    </row>
    <row r="2920" spans="1:6" ht="22.5" hidden="1" customHeight="1" x14ac:dyDescent="0.25">
      <c r="A2920" s="3">
        <v>44075</v>
      </c>
      <c r="B2920" s="2" t="s">
        <v>355</v>
      </c>
      <c r="C2920" s="2">
        <v>0</v>
      </c>
      <c r="D2920" s="2">
        <v>3.0599999999999999E-2</v>
      </c>
      <c r="E2920" s="2">
        <v>0</v>
      </c>
      <c r="F2920" s="2" t="s">
        <v>174</v>
      </c>
    </row>
    <row r="2921" spans="1:6" ht="22.5" hidden="1" customHeight="1" x14ac:dyDescent="0.25">
      <c r="A2921" s="3">
        <v>44075</v>
      </c>
      <c r="B2921" s="2" t="s">
        <v>356</v>
      </c>
      <c r="C2921" s="2">
        <v>0</v>
      </c>
      <c r="D2921" s="2">
        <v>2.9899999999999999E-2</v>
      </c>
      <c r="E2921" s="2">
        <v>0</v>
      </c>
      <c r="F2921" s="2" t="s">
        <v>174</v>
      </c>
    </row>
    <row r="2922" spans="1:6" ht="22.5" hidden="1" customHeight="1" x14ac:dyDescent="0.25">
      <c r="A2922" s="3">
        <v>44075</v>
      </c>
      <c r="B2922" s="2" t="s">
        <v>357</v>
      </c>
      <c r="C2922" s="2">
        <v>0</v>
      </c>
      <c r="D2922" s="2">
        <v>0.38550000000000001</v>
      </c>
      <c r="E2922" s="2">
        <v>0</v>
      </c>
      <c r="F2922" s="2" t="s">
        <v>174</v>
      </c>
    </row>
    <row r="2923" spans="1:6" ht="22.5" hidden="1" customHeight="1" x14ac:dyDescent="0.25">
      <c r="A2923" s="3">
        <v>44075</v>
      </c>
      <c r="B2923" s="2" t="s">
        <v>358</v>
      </c>
      <c r="C2923" s="2">
        <v>0.34</v>
      </c>
      <c r="D2923" s="2">
        <v>0.1028</v>
      </c>
      <c r="E2923" s="2">
        <v>3.4951999999999997E-4</v>
      </c>
      <c r="F2923" s="2" t="s">
        <v>174</v>
      </c>
    </row>
    <row r="2924" spans="1:6" ht="22.5" hidden="1" customHeight="1" x14ac:dyDescent="0.25">
      <c r="A2924" s="3">
        <v>44075</v>
      </c>
      <c r="B2924" s="2" t="s">
        <v>359</v>
      </c>
      <c r="C2924" s="2">
        <v>-0.82</v>
      </c>
      <c r="D2924" s="2">
        <v>4.9000000000000002E-2</v>
      </c>
      <c r="E2924" s="2">
        <v>-4.0180000000000001E-4</v>
      </c>
      <c r="F2924" s="2" t="s">
        <v>174</v>
      </c>
    </row>
    <row r="2925" spans="1:6" ht="22.5" hidden="1" customHeight="1" x14ac:dyDescent="0.25">
      <c r="A2925" s="3">
        <v>44075</v>
      </c>
      <c r="B2925" s="2" t="s">
        <v>360</v>
      </c>
      <c r="C2925" s="2">
        <v>-0.1</v>
      </c>
      <c r="D2925" s="2">
        <v>9.0300000000000005E-2</v>
      </c>
      <c r="E2925" s="2">
        <v>-9.0299999999999999E-5</v>
      </c>
      <c r="F2925" s="2" t="s">
        <v>174</v>
      </c>
    </row>
    <row r="2926" spans="1:6" ht="22.5" hidden="1" customHeight="1" x14ac:dyDescent="0.25">
      <c r="A2926" s="3">
        <v>44075</v>
      </c>
      <c r="B2926" s="2" t="s">
        <v>361</v>
      </c>
      <c r="C2926" s="2">
        <v>-0.66</v>
      </c>
      <c r="D2926" s="2">
        <v>8.1000000000000003E-2</v>
      </c>
      <c r="E2926" s="2">
        <v>-5.3459999999999998E-4</v>
      </c>
      <c r="F2926" s="2" t="s">
        <v>165</v>
      </c>
    </row>
    <row r="2927" spans="1:6" ht="22.5" hidden="1" customHeight="1" x14ac:dyDescent="0.25">
      <c r="A2927" s="3">
        <v>44075</v>
      </c>
      <c r="B2927" s="2" t="s">
        <v>362</v>
      </c>
      <c r="C2927" s="2">
        <v>-1.54</v>
      </c>
      <c r="D2927" s="2">
        <v>0.3196</v>
      </c>
      <c r="E2927" s="2">
        <v>-4.9218400000000002E-3</v>
      </c>
      <c r="F2927" s="2" t="s">
        <v>165</v>
      </c>
    </row>
    <row r="2928" spans="1:6" ht="22.5" hidden="1" customHeight="1" x14ac:dyDescent="0.25">
      <c r="A2928" s="3">
        <v>44075</v>
      </c>
      <c r="B2928" s="2" t="s">
        <v>363</v>
      </c>
      <c r="C2928" s="2">
        <v>-0.39</v>
      </c>
      <c r="D2928" s="2">
        <v>5.0299999999999997E-2</v>
      </c>
      <c r="E2928" s="2">
        <v>-1.9616999999999999E-4</v>
      </c>
      <c r="F2928" s="2" t="s">
        <v>165</v>
      </c>
    </row>
    <row r="2929" spans="1:6" ht="22.5" hidden="1" customHeight="1" x14ac:dyDescent="0.25">
      <c r="A2929" s="3">
        <v>44075</v>
      </c>
      <c r="B2929" s="2" t="s">
        <v>364</v>
      </c>
      <c r="C2929" s="2">
        <v>-0.32</v>
      </c>
      <c r="D2929" s="2">
        <v>0.41520000000000001</v>
      </c>
      <c r="E2929" s="2">
        <v>-1.3286400000000001E-3</v>
      </c>
      <c r="F2929" s="2" t="s">
        <v>165</v>
      </c>
    </row>
    <row r="2930" spans="1:6" ht="22.5" hidden="1" customHeight="1" x14ac:dyDescent="0.25">
      <c r="A2930" s="3">
        <v>44378</v>
      </c>
      <c r="B2930" s="2" t="s">
        <v>296</v>
      </c>
      <c r="C2930" s="2">
        <v>0.68</v>
      </c>
      <c r="D2930" s="2">
        <v>0.19670000000000001</v>
      </c>
      <c r="E2930" s="2">
        <v>1.33756E-3</v>
      </c>
      <c r="F2930" s="2" t="s">
        <v>168</v>
      </c>
    </row>
    <row r="2931" spans="1:6" ht="22.5" hidden="1" customHeight="1" x14ac:dyDescent="0.25">
      <c r="A2931" s="3">
        <v>44501</v>
      </c>
      <c r="B2931" s="2" t="s">
        <v>271</v>
      </c>
      <c r="C2931" s="2">
        <v>0.06</v>
      </c>
      <c r="D2931" s="2">
        <v>2.2088000000000001</v>
      </c>
      <c r="E2931" s="2">
        <v>1.3252800000000001E-3</v>
      </c>
      <c r="F2931" s="2" t="s">
        <v>168</v>
      </c>
    </row>
    <row r="2932" spans="1:6" ht="22.5" hidden="1" customHeight="1" x14ac:dyDescent="0.25">
      <c r="A2932" s="3">
        <v>43983</v>
      </c>
      <c r="B2932" s="2" t="s">
        <v>291</v>
      </c>
      <c r="C2932" s="2">
        <v>0.67</v>
      </c>
      <c r="D2932" s="2">
        <v>0.1971</v>
      </c>
      <c r="E2932" s="2">
        <v>1.3205700000000001E-3</v>
      </c>
      <c r="F2932" s="2" t="s">
        <v>168</v>
      </c>
    </row>
    <row r="2933" spans="1:6" ht="22.5" hidden="1" customHeight="1" x14ac:dyDescent="0.25">
      <c r="A2933" s="3">
        <v>44075</v>
      </c>
      <c r="B2933" s="2" t="s">
        <v>368</v>
      </c>
      <c r="C2933" s="2">
        <v>0</v>
      </c>
      <c r="D2933" s="2">
        <v>0.40639999999999998</v>
      </c>
      <c r="E2933" s="2">
        <v>0</v>
      </c>
      <c r="F2933" s="2" t="s">
        <v>165</v>
      </c>
    </row>
    <row r="2934" spans="1:6" ht="22.5" hidden="1" customHeight="1" x14ac:dyDescent="0.25">
      <c r="A2934" s="3">
        <v>44075</v>
      </c>
      <c r="B2934" s="2" t="s">
        <v>369</v>
      </c>
      <c r="C2934" s="2">
        <v>0</v>
      </c>
      <c r="D2934" s="2">
        <v>0.58930000000000005</v>
      </c>
      <c r="E2934" s="2">
        <v>0</v>
      </c>
      <c r="F2934" s="2" t="s">
        <v>165</v>
      </c>
    </row>
    <row r="2935" spans="1:6" ht="22.5" hidden="1" customHeight="1" x14ac:dyDescent="0.25">
      <c r="A2935" s="3">
        <v>44075</v>
      </c>
      <c r="B2935" s="2" t="s">
        <v>370</v>
      </c>
      <c r="C2935" s="2">
        <v>0.85</v>
      </c>
      <c r="D2935" s="2">
        <v>1.0293000000000001</v>
      </c>
      <c r="E2935" s="2">
        <v>8.7490499999999995E-3</v>
      </c>
      <c r="F2935" s="2" t="s">
        <v>170</v>
      </c>
    </row>
    <row r="2936" spans="1:6" ht="22.5" hidden="1" customHeight="1" x14ac:dyDescent="0.25">
      <c r="A2936" s="3">
        <v>44075</v>
      </c>
      <c r="B2936" s="2" t="s">
        <v>371</v>
      </c>
      <c r="C2936" s="2">
        <v>0</v>
      </c>
      <c r="D2936" s="2">
        <v>6.9699999999999998E-2</v>
      </c>
      <c r="E2936" s="2">
        <v>0</v>
      </c>
      <c r="F2936" s="2" t="s">
        <v>165</v>
      </c>
    </row>
    <row r="2937" spans="1:6" ht="22.5" hidden="1" customHeight="1" x14ac:dyDescent="0.25">
      <c r="A2937" s="3">
        <v>44075</v>
      </c>
      <c r="B2937" s="2" t="s">
        <v>372</v>
      </c>
      <c r="C2937" s="2">
        <v>0</v>
      </c>
      <c r="D2937" s="2">
        <v>1.7632000000000001</v>
      </c>
      <c r="E2937" s="2">
        <v>0</v>
      </c>
      <c r="F2937" s="2" t="s">
        <v>165</v>
      </c>
    </row>
    <row r="2938" spans="1:6" ht="22.5" hidden="1" customHeight="1" x14ac:dyDescent="0.25">
      <c r="A2938" s="3">
        <v>44105</v>
      </c>
      <c r="B2938" s="2" t="s">
        <v>6</v>
      </c>
      <c r="C2938" s="2">
        <v>18.48</v>
      </c>
      <c r="D2938" s="2">
        <v>0.57199999999999995</v>
      </c>
      <c r="E2938" s="2">
        <v>0.1057056</v>
      </c>
      <c r="F2938" s="2" t="s">
        <v>7</v>
      </c>
    </row>
    <row r="2939" spans="1:6" ht="22.5" hidden="1" customHeight="1" x14ac:dyDescent="0.25">
      <c r="A2939" s="3">
        <v>44105</v>
      </c>
      <c r="B2939" s="2" t="s">
        <v>8</v>
      </c>
      <c r="C2939" s="2">
        <v>2.4500000000000002</v>
      </c>
      <c r="D2939" s="2">
        <v>1.43E-2</v>
      </c>
      <c r="E2939" s="2">
        <v>3.5034999999999998E-4</v>
      </c>
      <c r="F2939" s="2" t="s">
        <v>7</v>
      </c>
    </row>
    <row r="2940" spans="1:6" ht="22.5" hidden="1" customHeight="1" x14ac:dyDescent="0.25">
      <c r="A2940" s="3">
        <v>44105</v>
      </c>
      <c r="B2940" s="2" t="s">
        <v>9</v>
      </c>
      <c r="C2940" s="2">
        <v>4.91</v>
      </c>
      <c r="D2940" s="2">
        <v>6.1100000000000002E-2</v>
      </c>
      <c r="E2940" s="2">
        <v>3.00001E-3</v>
      </c>
      <c r="F2940" s="2" t="s">
        <v>7</v>
      </c>
    </row>
    <row r="2941" spans="1:6" ht="22.5" hidden="1" customHeight="1" x14ac:dyDescent="0.25">
      <c r="A2941" s="3">
        <v>44105</v>
      </c>
      <c r="B2941" s="2" t="s">
        <v>10</v>
      </c>
      <c r="C2941" s="2">
        <v>5.23</v>
      </c>
      <c r="D2941" s="2">
        <v>1.9900000000000001E-2</v>
      </c>
      <c r="E2941" s="2">
        <v>1.0407700000000001E-3</v>
      </c>
      <c r="F2941" s="2" t="s">
        <v>7</v>
      </c>
    </row>
    <row r="2942" spans="1:6" ht="22.5" hidden="1" customHeight="1" x14ac:dyDescent="0.25">
      <c r="A2942" s="3">
        <v>44105</v>
      </c>
      <c r="B2942" s="2" t="s">
        <v>11</v>
      </c>
      <c r="C2942" s="2">
        <v>1.73</v>
      </c>
      <c r="D2942" s="2">
        <v>0.14810000000000001</v>
      </c>
      <c r="E2942" s="2">
        <v>2.5621300000000001E-3</v>
      </c>
      <c r="F2942" s="2" t="s">
        <v>7</v>
      </c>
    </row>
    <row r="2943" spans="1:6" ht="22.5" hidden="1" customHeight="1" x14ac:dyDescent="0.25">
      <c r="A2943" s="3">
        <v>44105</v>
      </c>
      <c r="B2943" s="2" t="s">
        <v>12</v>
      </c>
      <c r="C2943" s="2">
        <v>1.98</v>
      </c>
      <c r="D2943" s="2">
        <v>1.0800000000000001E-2</v>
      </c>
      <c r="E2943" s="2">
        <v>2.1384E-4</v>
      </c>
      <c r="F2943" s="2" t="s">
        <v>7</v>
      </c>
    </row>
    <row r="2944" spans="1:6" ht="22.5" hidden="1" customHeight="1" x14ac:dyDescent="0.25">
      <c r="A2944" s="3">
        <v>44105</v>
      </c>
      <c r="B2944" s="2" t="s">
        <v>13</v>
      </c>
      <c r="C2944" s="2">
        <v>-1.98</v>
      </c>
      <c r="D2944" s="2">
        <v>3.2000000000000002E-3</v>
      </c>
      <c r="E2944" s="2">
        <v>-6.3360000000000003E-5</v>
      </c>
      <c r="F2944" s="2" t="s">
        <v>7</v>
      </c>
    </row>
    <row r="2945" spans="1:6" ht="22.5" hidden="1" customHeight="1" x14ac:dyDescent="0.25">
      <c r="A2945" s="3">
        <v>44105</v>
      </c>
      <c r="B2945" s="2" t="s">
        <v>14</v>
      </c>
      <c r="C2945" s="2">
        <v>1.21</v>
      </c>
      <c r="D2945" s="2">
        <v>0.14710000000000001</v>
      </c>
      <c r="E2945" s="2">
        <v>1.77991E-3</v>
      </c>
      <c r="F2945" s="2" t="s">
        <v>7</v>
      </c>
    </row>
    <row r="2946" spans="1:6" ht="22.5" hidden="1" customHeight="1" x14ac:dyDescent="0.25">
      <c r="A2946" s="3">
        <v>44105</v>
      </c>
      <c r="B2946" s="2" t="s">
        <v>15</v>
      </c>
      <c r="C2946" s="2">
        <v>1.67</v>
      </c>
      <c r="D2946" s="2">
        <v>7.3000000000000001E-3</v>
      </c>
      <c r="E2946" s="2">
        <v>1.2191E-4</v>
      </c>
      <c r="F2946" s="2" t="s">
        <v>7</v>
      </c>
    </row>
    <row r="2947" spans="1:6" ht="22.5" hidden="1" customHeight="1" x14ac:dyDescent="0.25">
      <c r="A2947" s="3">
        <v>44105</v>
      </c>
      <c r="B2947" s="2" t="s">
        <v>16</v>
      </c>
      <c r="C2947" s="2">
        <v>0.88</v>
      </c>
      <c r="D2947" s="2">
        <v>9.4999999999999998E-3</v>
      </c>
      <c r="E2947" s="2">
        <v>8.3599999999999999E-5</v>
      </c>
      <c r="F2947" s="2" t="s">
        <v>7</v>
      </c>
    </row>
    <row r="2948" spans="1:6" ht="22.5" hidden="1" customHeight="1" x14ac:dyDescent="0.25">
      <c r="A2948" s="3">
        <v>44105</v>
      </c>
      <c r="B2948" s="2" t="s">
        <v>17</v>
      </c>
      <c r="C2948" s="2">
        <v>0.33</v>
      </c>
      <c r="D2948" s="2">
        <v>5.0599999999999999E-2</v>
      </c>
      <c r="E2948" s="2">
        <v>1.6698E-4</v>
      </c>
      <c r="F2948" s="2" t="s">
        <v>7</v>
      </c>
    </row>
    <row r="2949" spans="1:6" ht="22.5" hidden="1" customHeight="1" x14ac:dyDescent="0.25">
      <c r="A2949" s="3">
        <v>44105</v>
      </c>
      <c r="B2949" s="2" t="s">
        <v>18</v>
      </c>
      <c r="C2949" s="2">
        <v>-0.24</v>
      </c>
      <c r="D2949" s="2">
        <v>0.10059999999999999</v>
      </c>
      <c r="E2949" s="2">
        <v>-2.4143999999999999E-4</v>
      </c>
      <c r="F2949" s="2" t="s">
        <v>7</v>
      </c>
    </row>
    <row r="2950" spans="1:6" ht="22.5" hidden="1" customHeight="1" x14ac:dyDescent="0.25">
      <c r="A2950" s="3">
        <v>44105</v>
      </c>
      <c r="B2950" s="2" t="s">
        <v>19</v>
      </c>
      <c r="C2950" s="2">
        <v>1.1499999999999999</v>
      </c>
      <c r="D2950" s="2">
        <v>0.1192</v>
      </c>
      <c r="E2950" s="2">
        <v>1.3707999999999999E-3</v>
      </c>
      <c r="F2950" s="2" t="s">
        <v>7</v>
      </c>
    </row>
    <row r="2951" spans="1:6" ht="22.5" hidden="1" customHeight="1" x14ac:dyDescent="0.25">
      <c r="A2951" s="3">
        <v>44105</v>
      </c>
      <c r="B2951" s="2" t="s">
        <v>20</v>
      </c>
      <c r="C2951" s="2">
        <v>0.26</v>
      </c>
      <c r="D2951" s="2">
        <v>2.63E-2</v>
      </c>
      <c r="E2951" s="2">
        <v>6.8380000000000006E-5</v>
      </c>
      <c r="F2951" s="2" t="s">
        <v>7</v>
      </c>
    </row>
    <row r="2952" spans="1:6" ht="22.5" hidden="1" customHeight="1" x14ac:dyDescent="0.25">
      <c r="A2952" s="3">
        <v>44105</v>
      </c>
      <c r="B2952" s="2" t="s">
        <v>21</v>
      </c>
      <c r="C2952" s="2">
        <v>-2.58</v>
      </c>
      <c r="D2952" s="2">
        <v>2.5899999999999999E-2</v>
      </c>
      <c r="E2952" s="2">
        <v>-6.6821999999999997E-4</v>
      </c>
      <c r="F2952" s="2" t="s">
        <v>7</v>
      </c>
    </row>
    <row r="2953" spans="1:6" ht="22.5" hidden="1" customHeight="1" x14ac:dyDescent="0.25">
      <c r="A2953" s="3">
        <v>44105</v>
      </c>
      <c r="B2953" s="2" t="s">
        <v>22</v>
      </c>
      <c r="C2953" s="2">
        <v>-4.3899999999999997</v>
      </c>
      <c r="D2953" s="2">
        <v>0.15040000000000001</v>
      </c>
      <c r="E2953" s="2">
        <v>-6.6025600000000004E-3</v>
      </c>
      <c r="F2953" s="2" t="s">
        <v>7</v>
      </c>
    </row>
    <row r="2954" spans="1:6" ht="22.5" hidden="1" customHeight="1" x14ac:dyDescent="0.25">
      <c r="A2954" s="3">
        <v>44105</v>
      </c>
      <c r="B2954" s="2" t="s">
        <v>23</v>
      </c>
      <c r="C2954" s="2">
        <v>-0.48</v>
      </c>
      <c r="D2954" s="2">
        <v>1.5100000000000001E-2</v>
      </c>
      <c r="E2954" s="2">
        <v>-7.2479999999999997E-5</v>
      </c>
      <c r="F2954" s="2" t="s">
        <v>7</v>
      </c>
    </row>
    <row r="2955" spans="1:6" ht="22.5" hidden="1" customHeight="1" x14ac:dyDescent="0.25">
      <c r="A2955" s="3">
        <v>44105</v>
      </c>
      <c r="B2955" s="2" t="s">
        <v>24</v>
      </c>
      <c r="C2955" s="2">
        <v>6.75</v>
      </c>
      <c r="D2955" s="2">
        <v>8.9999999999999993E-3</v>
      </c>
      <c r="E2955" s="2">
        <v>6.0749999999999997E-4</v>
      </c>
      <c r="F2955" s="2" t="s">
        <v>7</v>
      </c>
    </row>
    <row r="2956" spans="1:6" ht="22.5" hidden="1" customHeight="1" x14ac:dyDescent="0.25">
      <c r="A2956" s="3">
        <v>44105</v>
      </c>
      <c r="B2956" s="2" t="s">
        <v>25</v>
      </c>
      <c r="C2956" s="2">
        <v>13.1</v>
      </c>
      <c r="D2956" s="2">
        <v>3.2000000000000002E-3</v>
      </c>
      <c r="E2956" s="2">
        <v>4.192E-4</v>
      </c>
      <c r="F2956" s="2" t="s">
        <v>7</v>
      </c>
    </row>
    <row r="2957" spans="1:6" ht="22.5" hidden="1" customHeight="1" x14ac:dyDescent="0.25">
      <c r="A2957" s="3">
        <v>44105</v>
      </c>
      <c r="B2957" s="2" t="s">
        <v>26</v>
      </c>
      <c r="C2957" s="2">
        <v>-12.11</v>
      </c>
      <c r="D2957" s="2">
        <v>1.72E-2</v>
      </c>
      <c r="E2957" s="2">
        <v>-2.0829199999999998E-3</v>
      </c>
      <c r="F2957" s="2" t="s">
        <v>7</v>
      </c>
    </row>
    <row r="2958" spans="1:6" ht="22.5" hidden="1" customHeight="1" x14ac:dyDescent="0.25">
      <c r="A2958" s="3">
        <v>44105</v>
      </c>
      <c r="B2958" s="2" t="s">
        <v>27</v>
      </c>
      <c r="C2958" s="2">
        <v>14.25</v>
      </c>
      <c r="D2958" s="2">
        <v>0.2094</v>
      </c>
      <c r="E2958" s="2">
        <v>2.9839500000000001E-2</v>
      </c>
      <c r="F2958" s="2" t="s">
        <v>7</v>
      </c>
    </row>
    <row r="2959" spans="1:6" ht="22.5" hidden="1" customHeight="1" x14ac:dyDescent="0.25">
      <c r="A2959" s="3">
        <v>44105</v>
      </c>
      <c r="B2959" s="2" t="s">
        <v>28</v>
      </c>
      <c r="C2959" s="2">
        <v>-9.9499999999999993</v>
      </c>
      <c r="D2959" s="2">
        <v>0.14000000000000001</v>
      </c>
      <c r="E2959" s="2">
        <v>-1.393E-2</v>
      </c>
      <c r="F2959" s="2" t="s">
        <v>7</v>
      </c>
    </row>
    <row r="2960" spans="1:6" ht="22.5" hidden="1" customHeight="1" x14ac:dyDescent="0.25">
      <c r="A2960" s="3">
        <v>44105</v>
      </c>
      <c r="B2960" s="2" t="s">
        <v>29</v>
      </c>
      <c r="C2960" s="2">
        <v>2.6</v>
      </c>
      <c r="D2960" s="2">
        <v>5.2400000000000002E-2</v>
      </c>
      <c r="E2960" s="2">
        <v>1.3623999999999999E-3</v>
      </c>
      <c r="F2960" s="2" t="s">
        <v>7</v>
      </c>
    </row>
    <row r="2961" spans="1:6" ht="22.5" hidden="1" customHeight="1" x14ac:dyDescent="0.25">
      <c r="A2961" s="3">
        <v>44105</v>
      </c>
      <c r="B2961" s="2" t="s">
        <v>30</v>
      </c>
      <c r="C2961" s="2">
        <v>1.67</v>
      </c>
      <c r="D2961" s="2">
        <v>9.0999999999999998E-2</v>
      </c>
      <c r="E2961" s="2">
        <v>1.5196999999999999E-3</v>
      </c>
      <c r="F2961" s="2" t="s">
        <v>7</v>
      </c>
    </row>
    <row r="2962" spans="1:6" ht="22.5" hidden="1" customHeight="1" x14ac:dyDescent="0.25">
      <c r="A2962" s="3">
        <v>44105</v>
      </c>
      <c r="B2962" s="2" t="s">
        <v>31</v>
      </c>
      <c r="C2962" s="2">
        <v>2.0499999999999998</v>
      </c>
      <c r="D2962" s="2">
        <v>9.8000000000000004E-2</v>
      </c>
      <c r="E2962" s="2">
        <v>2.0089999999999999E-3</v>
      </c>
      <c r="F2962" s="2" t="s">
        <v>7</v>
      </c>
    </row>
    <row r="2963" spans="1:6" ht="22.5" hidden="1" customHeight="1" x14ac:dyDescent="0.25">
      <c r="A2963" s="3">
        <v>44105</v>
      </c>
      <c r="B2963" s="2" t="s">
        <v>32</v>
      </c>
      <c r="C2963" s="2">
        <v>1.83</v>
      </c>
      <c r="D2963" s="2">
        <v>1.5800000000000002E-2</v>
      </c>
      <c r="E2963" s="2">
        <v>2.8914000000000001E-4</v>
      </c>
      <c r="F2963" s="2" t="s">
        <v>7</v>
      </c>
    </row>
    <row r="2964" spans="1:6" ht="22.5" hidden="1" customHeight="1" x14ac:dyDescent="0.25">
      <c r="A2964" s="3">
        <v>44105</v>
      </c>
      <c r="B2964" s="2" t="s">
        <v>33</v>
      </c>
      <c r="C2964" s="2">
        <v>0.6</v>
      </c>
      <c r="D2964" s="2">
        <v>0.19500000000000001</v>
      </c>
      <c r="E2964" s="2">
        <v>1.17E-3</v>
      </c>
      <c r="F2964" s="2" t="s">
        <v>7</v>
      </c>
    </row>
    <row r="2965" spans="1:6" ht="22.5" hidden="1" customHeight="1" x14ac:dyDescent="0.25">
      <c r="A2965" s="3">
        <v>44105</v>
      </c>
      <c r="B2965" s="2" t="s">
        <v>34</v>
      </c>
      <c r="C2965" s="2">
        <v>2.2599999999999998</v>
      </c>
      <c r="D2965" s="2">
        <v>0.14330000000000001</v>
      </c>
      <c r="E2965" s="2">
        <v>3.23858E-3</v>
      </c>
      <c r="F2965" s="2" t="s">
        <v>7</v>
      </c>
    </row>
    <row r="2966" spans="1:6" ht="22.5" hidden="1" customHeight="1" x14ac:dyDescent="0.25">
      <c r="A2966" s="3">
        <v>44105</v>
      </c>
      <c r="B2966" s="2" t="s">
        <v>35</v>
      </c>
      <c r="C2966" s="2">
        <v>0.43</v>
      </c>
      <c r="D2966" s="2">
        <v>0.1094</v>
      </c>
      <c r="E2966" s="2">
        <v>4.7041999999999999E-4</v>
      </c>
      <c r="F2966" s="2" t="s">
        <v>7</v>
      </c>
    </row>
    <row r="2967" spans="1:6" ht="22.5" hidden="1" customHeight="1" x14ac:dyDescent="0.25">
      <c r="A2967" s="3">
        <v>44105</v>
      </c>
      <c r="B2967" s="2" t="s">
        <v>36</v>
      </c>
      <c r="C2967" s="2">
        <v>-0.55000000000000004</v>
      </c>
      <c r="D2967" s="2">
        <v>1.6999999999999999E-3</v>
      </c>
      <c r="E2967" s="2">
        <v>-9.3500000000000003E-6</v>
      </c>
      <c r="F2967" s="2" t="s">
        <v>7</v>
      </c>
    </row>
    <row r="2968" spans="1:6" ht="22.5" hidden="1" customHeight="1" x14ac:dyDescent="0.25">
      <c r="A2968" s="3">
        <v>44105</v>
      </c>
      <c r="B2968" s="2" t="s">
        <v>37</v>
      </c>
      <c r="C2968" s="2">
        <v>-3.53</v>
      </c>
      <c r="D2968" s="2">
        <v>8.3299999999999999E-2</v>
      </c>
      <c r="E2968" s="2">
        <v>-2.94049E-3</v>
      </c>
      <c r="F2968" s="2" t="s">
        <v>7</v>
      </c>
    </row>
    <row r="2969" spans="1:6" ht="22.5" hidden="1" customHeight="1" x14ac:dyDescent="0.25">
      <c r="A2969" s="3">
        <v>44105</v>
      </c>
      <c r="B2969" s="2" t="s">
        <v>38</v>
      </c>
      <c r="C2969" s="2">
        <v>-1.22</v>
      </c>
      <c r="D2969" s="2">
        <v>9.9000000000000008E-3</v>
      </c>
      <c r="E2969" s="2">
        <v>-1.2078000000000001E-4</v>
      </c>
      <c r="F2969" s="2" t="s">
        <v>7</v>
      </c>
    </row>
    <row r="2970" spans="1:6" ht="22.5" hidden="1" customHeight="1" x14ac:dyDescent="0.25">
      <c r="A2970" s="3">
        <v>44105</v>
      </c>
      <c r="B2970" s="2" t="s">
        <v>39</v>
      </c>
      <c r="C2970" s="2">
        <v>-3.8</v>
      </c>
      <c r="D2970" s="2">
        <v>1.47E-2</v>
      </c>
      <c r="E2970" s="2">
        <v>-5.5860000000000003E-4</v>
      </c>
      <c r="F2970" s="2" t="s">
        <v>7</v>
      </c>
    </row>
    <row r="2971" spans="1:6" ht="22.5" hidden="1" customHeight="1" x14ac:dyDescent="0.25">
      <c r="A2971" s="3">
        <v>44105</v>
      </c>
      <c r="B2971" s="2" t="s">
        <v>40</v>
      </c>
      <c r="C2971" s="2">
        <v>-2.78</v>
      </c>
      <c r="D2971" s="2">
        <v>2.8999999999999998E-3</v>
      </c>
      <c r="E2971" s="2">
        <v>-8.0619999999999997E-5</v>
      </c>
      <c r="F2971" s="2" t="s">
        <v>7</v>
      </c>
    </row>
    <row r="2972" spans="1:6" ht="22.5" hidden="1" customHeight="1" x14ac:dyDescent="0.25">
      <c r="A2972" s="3">
        <v>44105</v>
      </c>
      <c r="B2972" s="2" t="s">
        <v>41</v>
      </c>
      <c r="C2972" s="2">
        <v>6.29</v>
      </c>
      <c r="D2972" s="2">
        <v>1.43E-2</v>
      </c>
      <c r="E2972" s="2">
        <v>8.9946999999999998E-4</v>
      </c>
      <c r="F2972" s="2" t="s">
        <v>7</v>
      </c>
    </row>
    <row r="2973" spans="1:6" ht="22.5" hidden="1" customHeight="1" x14ac:dyDescent="0.25">
      <c r="A2973" s="3">
        <v>44105</v>
      </c>
      <c r="B2973" s="2" t="s">
        <v>42</v>
      </c>
      <c r="C2973" s="2">
        <v>-2.76</v>
      </c>
      <c r="D2973" s="2">
        <v>4.2299999999999997E-2</v>
      </c>
      <c r="E2973" s="2">
        <v>-1.16748E-3</v>
      </c>
      <c r="F2973" s="2" t="s">
        <v>7</v>
      </c>
    </row>
    <row r="2974" spans="1:6" ht="22.5" hidden="1" customHeight="1" x14ac:dyDescent="0.25">
      <c r="A2974" s="3">
        <v>44105</v>
      </c>
      <c r="B2974" s="2" t="s">
        <v>43</v>
      </c>
      <c r="C2974" s="2">
        <v>6.63</v>
      </c>
      <c r="D2974" s="2">
        <v>2.6700000000000002E-2</v>
      </c>
      <c r="E2974" s="2">
        <v>1.7702099999999999E-3</v>
      </c>
      <c r="F2974" s="2" t="s">
        <v>7</v>
      </c>
    </row>
    <row r="2975" spans="1:6" ht="22.5" hidden="1" customHeight="1" x14ac:dyDescent="0.25">
      <c r="A2975" s="3">
        <v>44105</v>
      </c>
      <c r="B2975" s="2" t="s">
        <v>44</v>
      </c>
      <c r="C2975" s="2">
        <v>-1.21</v>
      </c>
      <c r="D2975" s="2">
        <v>1.7399999999999999E-2</v>
      </c>
      <c r="E2975" s="2">
        <v>-2.1054E-4</v>
      </c>
      <c r="F2975" s="2" t="s">
        <v>7</v>
      </c>
    </row>
    <row r="2976" spans="1:6" ht="22.5" hidden="1" customHeight="1" x14ac:dyDescent="0.25">
      <c r="A2976" s="3">
        <v>44105</v>
      </c>
      <c r="B2976" s="2" t="s">
        <v>45</v>
      </c>
      <c r="C2976" s="2">
        <v>-4.38</v>
      </c>
      <c r="D2976" s="2">
        <v>1.6799999999999999E-2</v>
      </c>
      <c r="E2976" s="2">
        <v>-7.3583999999999998E-4</v>
      </c>
      <c r="F2976" s="2" t="s">
        <v>7</v>
      </c>
    </row>
    <row r="2977" spans="1:6" ht="22.5" hidden="1" customHeight="1" x14ac:dyDescent="0.25">
      <c r="A2977" s="3">
        <v>44105</v>
      </c>
      <c r="B2977" s="2" t="s">
        <v>46</v>
      </c>
      <c r="C2977" s="2">
        <v>10.26</v>
      </c>
      <c r="D2977" s="2">
        <v>1.1999999999999999E-3</v>
      </c>
      <c r="E2977" s="2">
        <v>1.2312E-4</v>
      </c>
      <c r="F2977" s="2" t="s">
        <v>7</v>
      </c>
    </row>
    <row r="2978" spans="1:6" ht="22.5" hidden="1" customHeight="1" x14ac:dyDescent="0.25">
      <c r="A2978" s="3">
        <v>44105</v>
      </c>
      <c r="B2978" s="2" t="s">
        <v>47</v>
      </c>
      <c r="C2978" s="2">
        <v>9.93</v>
      </c>
      <c r="D2978" s="2">
        <v>9.8000000000000004E-2</v>
      </c>
      <c r="E2978" s="2">
        <v>9.7313999999999994E-3</v>
      </c>
      <c r="F2978" s="2" t="s">
        <v>7</v>
      </c>
    </row>
    <row r="2979" spans="1:6" ht="22.5" hidden="1" customHeight="1" x14ac:dyDescent="0.25">
      <c r="A2979" s="3">
        <v>44105</v>
      </c>
      <c r="B2979" s="2" t="s">
        <v>48</v>
      </c>
      <c r="C2979" s="2">
        <v>-2.72</v>
      </c>
      <c r="D2979" s="2">
        <v>4.0000000000000001E-3</v>
      </c>
      <c r="E2979" s="2">
        <v>-1.088E-4</v>
      </c>
      <c r="F2979" s="2" t="s">
        <v>7</v>
      </c>
    </row>
    <row r="2980" spans="1:6" ht="22.5" hidden="1" customHeight="1" x14ac:dyDescent="0.25">
      <c r="A2980" s="3">
        <v>44105</v>
      </c>
      <c r="B2980" s="2" t="s">
        <v>49</v>
      </c>
      <c r="C2980" s="2">
        <v>5.71</v>
      </c>
      <c r="D2980" s="2">
        <v>0.1394</v>
      </c>
      <c r="E2980" s="2">
        <v>7.9597399999999999E-3</v>
      </c>
      <c r="F2980" s="2" t="s">
        <v>7</v>
      </c>
    </row>
    <row r="2981" spans="1:6" ht="22.5" hidden="1" customHeight="1" x14ac:dyDescent="0.25">
      <c r="A2981" s="3">
        <v>44105</v>
      </c>
      <c r="B2981" s="2" t="s">
        <v>50</v>
      </c>
      <c r="C2981" s="2">
        <v>-3.21</v>
      </c>
      <c r="D2981" s="2">
        <v>4.4000000000000003E-3</v>
      </c>
      <c r="E2981" s="2">
        <v>-1.4124E-4</v>
      </c>
      <c r="F2981" s="2" t="s">
        <v>7</v>
      </c>
    </row>
    <row r="2982" spans="1:6" ht="22.5" hidden="1" customHeight="1" x14ac:dyDescent="0.25">
      <c r="A2982" s="3">
        <v>44105</v>
      </c>
      <c r="B2982" s="2" t="s">
        <v>51</v>
      </c>
      <c r="C2982" s="2">
        <v>23.64</v>
      </c>
      <c r="D2982" s="2">
        <v>3.8999999999999998E-3</v>
      </c>
      <c r="E2982" s="2">
        <v>9.2195999999999999E-4</v>
      </c>
      <c r="F2982" s="2" t="s">
        <v>7</v>
      </c>
    </row>
    <row r="2983" spans="1:6" ht="22.5" hidden="1" customHeight="1" x14ac:dyDescent="0.25">
      <c r="A2983" s="3">
        <v>44105</v>
      </c>
      <c r="B2983" s="2" t="s">
        <v>52</v>
      </c>
      <c r="C2983" s="2">
        <v>8.3699999999999992</v>
      </c>
      <c r="D2983" s="2">
        <v>4.7E-2</v>
      </c>
      <c r="E2983" s="2">
        <v>3.9338999999999997E-3</v>
      </c>
      <c r="F2983" s="2" t="s">
        <v>7</v>
      </c>
    </row>
    <row r="2984" spans="1:6" ht="22.5" hidden="1" customHeight="1" x14ac:dyDescent="0.25">
      <c r="A2984" s="3">
        <v>44105</v>
      </c>
      <c r="B2984" s="2" t="s">
        <v>53</v>
      </c>
      <c r="C2984" s="2">
        <v>3.54</v>
      </c>
      <c r="D2984" s="2">
        <v>0.1573</v>
      </c>
      <c r="E2984" s="2">
        <v>5.5684200000000001E-3</v>
      </c>
      <c r="F2984" s="2" t="s">
        <v>7</v>
      </c>
    </row>
    <row r="2985" spans="1:6" ht="22.5" hidden="1" customHeight="1" x14ac:dyDescent="0.25">
      <c r="A2985" s="3">
        <v>44105</v>
      </c>
      <c r="B2985" s="2" t="s">
        <v>54</v>
      </c>
      <c r="C2985" s="2">
        <v>-9.8000000000000007</v>
      </c>
      <c r="D2985" s="2">
        <v>9.2799999999999994E-2</v>
      </c>
      <c r="E2985" s="2">
        <v>-9.0944000000000007E-3</v>
      </c>
      <c r="F2985" s="2" t="s">
        <v>7</v>
      </c>
    </row>
    <row r="2986" spans="1:6" ht="22.5" hidden="1" customHeight="1" x14ac:dyDescent="0.25">
      <c r="A2986" s="3">
        <v>44105</v>
      </c>
      <c r="B2986" s="2" t="s">
        <v>55</v>
      </c>
      <c r="C2986" s="2">
        <v>-7.73</v>
      </c>
      <c r="D2986" s="2">
        <v>7.3999999999999996E-2</v>
      </c>
      <c r="E2986" s="2">
        <v>-5.7201999999999999E-3</v>
      </c>
      <c r="F2986" s="2" t="s">
        <v>7</v>
      </c>
    </row>
    <row r="2987" spans="1:6" ht="22.5" hidden="1" customHeight="1" x14ac:dyDescent="0.25">
      <c r="A2987" s="3">
        <v>44105</v>
      </c>
      <c r="B2987" s="2" t="s">
        <v>56</v>
      </c>
      <c r="C2987" s="2">
        <v>4.1500000000000004</v>
      </c>
      <c r="D2987" s="2">
        <v>7.4000000000000003E-3</v>
      </c>
      <c r="E2987" s="2">
        <v>3.0709999999999998E-4</v>
      </c>
      <c r="F2987" s="2" t="s">
        <v>7</v>
      </c>
    </row>
    <row r="2988" spans="1:6" ht="22.5" hidden="1" customHeight="1" x14ac:dyDescent="0.25">
      <c r="A2988" s="3">
        <v>44105</v>
      </c>
      <c r="B2988" s="2" t="s">
        <v>57</v>
      </c>
      <c r="C2988" s="2">
        <v>-5.92</v>
      </c>
      <c r="D2988" s="2">
        <v>3.09E-2</v>
      </c>
      <c r="E2988" s="2">
        <v>-1.82928E-3</v>
      </c>
      <c r="F2988" s="2" t="s">
        <v>7</v>
      </c>
    </row>
    <row r="2989" spans="1:6" ht="22.5" hidden="1" customHeight="1" x14ac:dyDescent="0.25">
      <c r="A2989" s="3">
        <v>44105</v>
      </c>
      <c r="B2989" s="2" t="s">
        <v>58</v>
      </c>
      <c r="C2989" s="2">
        <v>3.1</v>
      </c>
      <c r="D2989" s="2">
        <v>1.6E-2</v>
      </c>
      <c r="E2989" s="2">
        <v>4.9600000000000002E-4</v>
      </c>
      <c r="F2989" s="2" t="s">
        <v>7</v>
      </c>
    </row>
    <row r="2990" spans="1:6" ht="22.5" hidden="1" customHeight="1" x14ac:dyDescent="0.25">
      <c r="A2990" s="3">
        <v>44105</v>
      </c>
      <c r="B2990" s="2" t="s">
        <v>59</v>
      </c>
      <c r="C2990" s="2">
        <v>-0.98</v>
      </c>
      <c r="D2990" s="2">
        <v>2.1899999999999999E-2</v>
      </c>
      <c r="E2990" s="2">
        <v>-2.1462E-4</v>
      </c>
      <c r="F2990" s="2" t="s">
        <v>7</v>
      </c>
    </row>
    <row r="2991" spans="1:6" ht="22.5" hidden="1" customHeight="1" x14ac:dyDescent="0.25">
      <c r="A2991" s="3">
        <v>44105</v>
      </c>
      <c r="B2991" s="2" t="s">
        <v>60</v>
      </c>
      <c r="C2991" s="2">
        <v>0.84</v>
      </c>
      <c r="D2991" s="2">
        <v>3.39E-2</v>
      </c>
      <c r="E2991" s="2">
        <v>2.8476E-4</v>
      </c>
      <c r="F2991" s="2" t="s">
        <v>7</v>
      </c>
    </row>
    <row r="2992" spans="1:6" ht="22.5" hidden="1" customHeight="1" x14ac:dyDescent="0.25">
      <c r="A2992" s="3">
        <v>44105</v>
      </c>
      <c r="B2992" s="2" t="s">
        <v>61</v>
      </c>
      <c r="C2992" s="2">
        <v>2.16</v>
      </c>
      <c r="D2992" s="2">
        <v>7.2400000000000006E-2</v>
      </c>
      <c r="E2992" s="2">
        <v>1.5638399999999999E-3</v>
      </c>
      <c r="F2992" s="2" t="s">
        <v>7</v>
      </c>
    </row>
    <row r="2993" spans="1:6" ht="22.5" hidden="1" customHeight="1" x14ac:dyDescent="0.25">
      <c r="A2993" s="3">
        <v>44105</v>
      </c>
      <c r="B2993" s="2" t="s">
        <v>62</v>
      </c>
      <c r="C2993" s="2">
        <v>-0.48</v>
      </c>
      <c r="D2993" s="2">
        <v>8.9700000000000002E-2</v>
      </c>
      <c r="E2993" s="2">
        <v>-4.3056000000000002E-4</v>
      </c>
      <c r="F2993" s="2" t="s">
        <v>7</v>
      </c>
    </row>
    <row r="2994" spans="1:6" ht="22.5" hidden="1" customHeight="1" x14ac:dyDescent="0.25">
      <c r="A2994" s="3">
        <v>44105</v>
      </c>
      <c r="B2994" s="2" t="s">
        <v>63</v>
      </c>
      <c r="C2994" s="2">
        <v>7.23</v>
      </c>
      <c r="D2994" s="2">
        <v>1.03E-2</v>
      </c>
      <c r="E2994" s="2">
        <v>7.4469E-4</v>
      </c>
      <c r="F2994" s="2" t="s">
        <v>7</v>
      </c>
    </row>
    <row r="2995" spans="1:6" ht="22.5" hidden="1" customHeight="1" x14ac:dyDescent="0.25">
      <c r="A2995" s="3">
        <v>44105</v>
      </c>
      <c r="B2995" s="2" t="s">
        <v>64</v>
      </c>
      <c r="C2995" s="2">
        <v>-3.15</v>
      </c>
      <c r="D2995" s="2">
        <v>4.4999999999999997E-3</v>
      </c>
      <c r="E2995" s="2">
        <v>-1.4175E-4</v>
      </c>
      <c r="F2995" s="2" t="s">
        <v>7</v>
      </c>
    </row>
    <row r="2996" spans="1:6" ht="22.5" hidden="1" customHeight="1" x14ac:dyDescent="0.25">
      <c r="A2996" s="3">
        <v>44105</v>
      </c>
      <c r="B2996" s="2" t="s">
        <v>65</v>
      </c>
      <c r="C2996" s="2">
        <v>1.38</v>
      </c>
      <c r="D2996" s="2">
        <v>2.1899999999999999E-2</v>
      </c>
      <c r="E2996" s="2">
        <v>3.0222000000000002E-4</v>
      </c>
      <c r="F2996" s="2" t="s">
        <v>7</v>
      </c>
    </row>
    <row r="2997" spans="1:6" ht="22.5" hidden="1" customHeight="1" x14ac:dyDescent="0.25">
      <c r="A2997" s="3">
        <v>44105</v>
      </c>
      <c r="B2997" s="2" t="s">
        <v>66</v>
      </c>
      <c r="C2997" s="2">
        <v>6.54</v>
      </c>
      <c r="D2997" s="2">
        <v>0.35289999999999999</v>
      </c>
      <c r="E2997" s="2">
        <v>2.3079659999999998E-2</v>
      </c>
      <c r="F2997" s="2" t="s">
        <v>7</v>
      </c>
    </row>
    <row r="2998" spans="1:6" ht="22.5" hidden="1" customHeight="1" x14ac:dyDescent="0.25">
      <c r="A2998" s="3">
        <v>44105</v>
      </c>
      <c r="B2998" s="2" t="s">
        <v>67</v>
      </c>
      <c r="C2998" s="2">
        <v>4.79</v>
      </c>
      <c r="D2998" s="2">
        <v>3.2000000000000002E-3</v>
      </c>
      <c r="E2998" s="2">
        <v>1.5328E-4</v>
      </c>
      <c r="F2998" s="2" t="s">
        <v>7</v>
      </c>
    </row>
    <row r="2999" spans="1:6" ht="22.5" hidden="1" customHeight="1" x14ac:dyDescent="0.25">
      <c r="A2999" s="3">
        <v>44105</v>
      </c>
      <c r="B2999" s="2" t="s">
        <v>68</v>
      </c>
      <c r="C2999" s="2">
        <v>6.3</v>
      </c>
      <c r="D2999" s="2">
        <v>1.03E-2</v>
      </c>
      <c r="E2999" s="2">
        <v>6.489E-4</v>
      </c>
      <c r="F2999" s="2" t="s">
        <v>7</v>
      </c>
    </row>
    <row r="3000" spans="1:6" ht="22.5" hidden="1" customHeight="1" x14ac:dyDescent="0.25">
      <c r="A3000" s="3">
        <v>44105</v>
      </c>
      <c r="B3000" s="2" t="s">
        <v>69</v>
      </c>
      <c r="C3000" s="2">
        <v>6.14</v>
      </c>
      <c r="D3000" s="2">
        <v>0.42080000000000001</v>
      </c>
      <c r="E3000" s="2">
        <v>2.5837120000000002E-2</v>
      </c>
      <c r="F3000" s="2" t="s">
        <v>7</v>
      </c>
    </row>
    <row r="3001" spans="1:6" ht="22.5" hidden="1" customHeight="1" x14ac:dyDescent="0.25">
      <c r="A3001" s="3">
        <v>44105</v>
      </c>
      <c r="B3001" s="2" t="s">
        <v>70</v>
      </c>
      <c r="C3001" s="2">
        <v>4.1399999999999997</v>
      </c>
      <c r="D3001" s="2">
        <v>2.4E-2</v>
      </c>
      <c r="E3001" s="2">
        <v>9.9360000000000008E-4</v>
      </c>
      <c r="F3001" s="2" t="s">
        <v>7</v>
      </c>
    </row>
    <row r="3002" spans="1:6" ht="22.5" hidden="1" customHeight="1" x14ac:dyDescent="0.25">
      <c r="A3002" s="3">
        <v>44105</v>
      </c>
      <c r="B3002" s="2" t="s">
        <v>71</v>
      </c>
      <c r="C3002" s="2">
        <v>4.5999999999999996</v>
      </c>
      <c r="D3002" s="2">
        <v>0.29659999999999997</v>
      </c>
      <c r="E3002" s="2">
        <v>1.3643600000000001E-2</v>
      </c>
      <c r="F3002" s="2" t="s">
        <v>7</v>
      </c>
    </row>
    <row r="3003" spans="1:6" ht="22.5" hidden="1" customHeight="1" x14ac:dyDescent="0.25">
      <c r="A3003" s="3">
        <v>44105</v>
      </c>
      <c r="B3003" s="2" t="s">
        <v>72</v>
      </c>
      <c r="C3003" s="2">
        <v>3.86</v>
      </c>
      <c r="D3003" s="2">
        <v>0.32090000000000002</v>
      </c>
      <c r="E3003" s="2">
        <v>1.238674E-2</v>
      </c>
      <c r="F3003" s="2" t="s">
        <v>7</v>
      </c>
    </row>
    <row r="3004" spans="1:6" ht="22.5" hidden="1" customHeight="1" x14ac:dyDescent="0.25">
      <c r="A3004" s="3">
        <v>44105</v>
      </c>
      <c r="B3004" s="2" t="s">
        <v>73</v>
      </c>
      <c r="C3004" s="2">
        <v>4.43</v>
      </c>
      <c r="D3004" s="2">
        <v>0.15690000000000001</v>
      </c>
      <c r="E3004" s="2">
        <v>6.9506699999999999E-3</v>
      </c>
      <c r="F3004" s="2" t="s">
        <v>7</v>
      </c>
    </row>
    <row r="3005" spans="1:6" ht="22.5" hidden="1" customHeight="1" x14ac:dyDescent="0.25">
      <c r="A3005" s="3">
        <v>44105</v>
      </c>
      <c r="B3005" s="2" t="s">
        <v>74</v>
      </c>
      <c r="C3005" s="2">
        <v>0.89</v>
      </c>
      <c r="D3005" s="2">
        <v>8.8999999999999999E-3</v>
      </c>
      <c r="E3005" s="2">
        <v>7.9209999999999995E-5</v>
      </c>
      <c r="F3005" s="2" t="s">
        <v>7</v>
      </c>
    </row>
    <row r="3006" spans="1:6" ht="22.5" hidden="1" customHeight="1" x14ac:dyDescent="0.25">
      <c r="A3006" s="3">
        <v>44105</v>
      </c>
      <c r="B3006" s="2" t="s">
        <v>75</v>
      </c>
      <c r="C3006" s="2">
        <v>5.1100000000000003</v>
      </c>
      <c r="D3006" s="2">
        <v>6.7900000000000002E-2</v>
      </c>
      <c r="E3006" s="2">
        <v>3.4696900000000001E-3</v>
      </c>
      <c r="F3006" s="2" t="s">
        <v>7</v>
      </c>
    </row>
    <row r="3007" spans="1:6" ht="22.5" hidden="1" customHeight="1" x14ac:dyDescent="0.25">
      <c r="A3007" s="3">
        <v>44105</v>
      </c>
      <c r="B3007" s="2" t="s">
        <v>76</v>
      </c>
      <c r="C3007" s="2">
        <v>4.62</v>
      </c>
      <c r="D3007" s="2">
        <v>0.14430000000000001</v>
      </c>
      <c r="E3007" s="2">
        <v>6.6666599999999996E-3</v>
      </c>
      <c r="F3007" s="2" t="s">
        <v>7</v>
      </c>
    </row>
    <row r="3008" spans="1:6" ht="22.5" hidden="1" customHeight="1" x14ac:dyDescent="0.25">
      <c r="A3008" s="3">
        <v>44105</v>
      </c>
      <c r="B3008" s="2" t="s">
        <v>77</v>
      </c>
      <c r="C3008" s="2">
        <v>2.99</v>
      </c>
      <c r="D3008" s="2">
        <v>0.10059999999999999</v>
      </c>
      <c r="E3008" s="2">
        <v>3.0079400000000002E-3</v>
      </c>
      <c r="F3008" s="2" t="s">
        <v>7</v>
      </c>
    </row>
    <row r="3009" spans="1:6" ht="22.5" hidden="1" customHeight="1" x14ac:dyDescent="0.25">
      <c r="A3009" s="3">
        <v>44105</v>
      </c>
      <c r="B3009" s="2" t="s">
        <v>78</v>
      </c>
      <c r="C3009" s="2">
        <v>3.2</v>
      </c>
      <c r="D3009" s="2">
        <v>0.27210000000000001</v>
      </c>
      <c r="E3009" s="2">
        <v>8.7072E-3</v>
      </c>
      <c r="F3009" s="2" t="s">
        <v>7</v>
      </c>
    </row>
    <row r="3010" spans="1:6" ht="22.5" hidden="1" customHeight="1" x14ac:dyDescent="0.25">
      <c r="A3010" s="3">
        <v>44105</v>
      </c>
      <c r="B3010" s="2" t="s">
        <v>79</v>
      </c>
      <c r="C3010" s="2">
        <v>4.4800000000000004</v>
      </c>
      <c r="D3010" s="2">
        <v>1.04E-2</v>
      </c>
      <c r="E3010" s="2">
        <v>4.6591999999999998E-4</v>
      </c>
      <c r="F3010" s="2" t="s">
        <v>7</v>
      </c>
    </row>
    <row r="3011" spans="1:6" ht="22.5" hidden="1" customHeight="1" x14ac:dyDescent="0.25">
      <c r="A3011" s="3">
        <v>44105</v>
      </c>
      <c r="B3011" s="2" t="s">
        <v>80</v>
      </c>
      <c r="C3011" s="2">
        <v>7.11</v>
      </c>
      <c r="D3011" s="2">
        <v>3.6799999999999999E-2</v>
      </c>
      <c r="E3011" s="2">
        <v>2.61648E-3</v>
      </c>
      <c r="F3011" s="2" t="s">
        <v>7</v>
      </c>
    </row>
    <row r="3012" spans="1:6" ht="22.5" hidden="1" customHeight="1" x14ac:dyDescent="0.25">
      <c r="A3012" s="3">
        <v>44105</v>
      </c>
      <c r="B3012" s="2" t="s">
        <v>81</v>
      </c>
      <c r="C3012" s="2">
        <v>4.7</v>
      </c>
      <c r="D3012" s="2">
        <v>0.33310000000000001</v>
      </c>
      <c r="E3012" s="2">
        <v>1.5655700000000002E-2</v>
      </c>
      <c r="F3012" s="2" t="s">
        <v>7</v>
      </c>
    </row>
    <row r="3013" spans="1:6" ht="22.5" hidden="1" customHeight="1" x14ac:dyDescent="0.25">
      <c r="A3013" s="3">
        <v>44105</v>
      </c>
      <c r="B3013" s="2" t="s">
        <v>82</v>
      </c>
      <c r="C3013" s="2">
        <v>5.05</v>
      </c>
      <c r="D3013" s="2">
        <v>3.9399999999999998E-2</v>
      </c>
      <c r="E3013" s="2">
        <v>1.9897000000000001E-3</v>
      </c>
      <c r="F3013" s="2" t="s">
        <v>7</v>
      </c>
    </row>
    <row r="3014" spans="1:6" ht="22.5" hidden="1" customHeight="1" x14ac:dyDescent="0.25">
      <c r="A3014" s="3">
        <v>44105</v>
      </c>
      <c r="B3014" s="2" t="s">
        <v>83</v>
      </c>
      <c r="C3014" s="2">
        <v>1.25</v>
      </c>
      <c r="D3014" s="2">
        <v>6.9999999999999999E-4</v>
      </c>
      <c r="E3014" s="2">
        <v>8.7499999999999992E-6</v>
      </c>
      <c r="F3014" s="2" t="s">
        <v>7</v>
      </c>
    </row>
    <row r="3015" spans="1:6" ht="22.5" hidden="1" customHeight="1" x14ac:dyDescent="0.25">
      <c r="A3015" s="3">
        <v>44105</v>
      </c>
      <c r="B3015" s="2" t="s">
        <v>84</v>
      </c>
      <c r="C3015" s="2">
        <v>-2.34</v>
      </c>
      <c r="D3015" s="2">
        <v>2.2700000000000001E-2</v>
      </c>
      <c r="E3015" s="2">
        <v>-5.3118000000000002E-4</v>
      </c>
      <c r="F3015" s="2" t="s">
        <v>7</v>
      </c>
    </row>
    <row r="3016" spans="1:6" ht="22.5" hidden="1" customHeight="1" x14ac:dyDescent="0.25">
      <c r="A3016" s="3">
        <v>44105</v>
      </c>
      <c r="B3016" s="2" t="s">
        <v>85</v>
      </c>
      <c r="C3016" s="2">
        <v>0.76</v>
      </c>
      <c r="D3016" s="2">
        <v>5.4999999999999997E-3</v>
      </c>
      <c r="E3016" s="2">
        <v>4.18E-5</v>
      </c>
      <c r="F3016" s="2" t="s">
        <v>7</v>
      </c>
    </row>
    <row r="3017" spans="1:6" ht="22.5" hidden="1" customHeight="1" x14ac:dyDescent="0.25">
      <c r="A3017" s="3">
        <v>44105</v>
      </c>
      <c r="B3017" s="2" t="s">
        <v>86</v>
      </c>
      <c r="C3017" s="2">
        <v>-0.77</v>
      </c>
      <c r="D3017" s="2">
        <v>2.5499999999999998E-2</v>
      </c>
      <c r="E3017" s="2">
        <v>-1.9635E-4</v>
      </c>
      <c r="F3017" s="2" t="s">
        <v>7</v>
      </c>
    </row>
    <row r="3018" spans="1:6" ht="22.5" hidden="1" customHeight="1" x14ac:dyDescent="0.25">
      <c r="A3018" s="3">
        <v>44105</v>
      </c>
      <c r="B3018" s="2" t="s">
        <v>87</v>
      </c>
      <c r="C3018" s="2">
        <v>-3.04</v>
      </c>
      <c r="D3018" s="2">
        <v>1E-3</v>
      </c>
      <c r="E3018" s="2">
        <v>-3.04E-5</v>
      </c>
      <c r="F3018" s="2" t="s">
        <v>7</v>
      </c>
    </row>
    <row r="3019" spans="1:6" ht="22.5" hidden="1" customHeight="1" x14ac:dyDescent="0.25">
      <c r="A3019" s="3">
        <v>44105</v>
      </c>
      <c r="B3019" s="2" t="s">
        <v>88</v>
      </c>
      <c r="C3019" s="2">
        <v>1.83</v>
      </c>
      <c r="D3019" s="2">
        <v>7.0000000000000001E-3</v>
      </c>
      <c r="E3019" s="2">
        <v>1.281E-4</v>
      </c>
      <c r="F3019" s="2" t="s">
        <v>7</v>
      </c>
    </row>
    <row r="3020" spans="1:6" ht="22.5" hidden="1" customHeight="1" x14ac:dyDescent="0.25">
      <c r="A3020" s="3">
        <v>44105</v>
      </c>
      <c r="B3020" s="2" t="s">
        <v>89</v>
      </c>
      <c r="C3020" s="2">
        <v>-0.78</v>
      </c>
      <c r="D3020" s="2">
        <v>1.78E-2</v>
      </c>
      <c r="E3020" s="2">
        <v>-1.3883999999999999E-4</v>
      </c>
      <c r="F3020" s="2" t="s">
        <v>7</v>
      </c>
    </row>
    <row r="3021" spans="1:6" ht="22.5" hidden="1" customHeight="1" x14ac:dyDescent="0.25">
      <c r="A3021" s="3">
        <v>44105</v>
      </c>
      <c r="B3021" s="2" t="s">
        <v>90</v>
      </c>
      <c r="C3021" s="2">
        <v>-0.12</v>
      </c>
      <c r="D3021" s="2">
        <v>1.6000000000000001E-3</v>
      </c>
      <c r="E3021" s="2">
        <v>-1.9199999999999998E-6</v>
      </c>
      <c r="F3021" s="2" t="s">
        <v>7</v>
      </c>
    </row>
    <row r="3022" spans="1:6" ht="22.5" hidden="1" customHeight="1" x14ac:dyDescent="0.25">
      <c r="A3022" s="3">
        <v>44105</v>
      </c>
      <c r="B3022" s="2" t="s">
        <v>91</v>
      </c>
      <c r="C3022" s="2">
        <v>-1.25</v>
      </c>
      <c r="D3022" s="2">
        <v>2.5000000000000001E-2</v>
      </c>
      <c r="E3022" s="2">
        <v>-3.1250000000000001E-4</v>
      </c>
      <c r="F3022" s="2" t="s">
        <v>7</v>
      </c>
    </row>
    <row r="3023" spans="1:6" ht="22.5" hidden="1" customHeight="1" x14ac:dyDescent="0.25">
      <c r="A3023" s="3">
        <v>44105</v>
      </c>
      <c r="B3023" s="2" t="s">
        <v>92</v>
      </c>
      <c r="C3023" s="2">
        <v>0</v>
      </c>
      <c r="D3023" s="2">
        <v>5.4999999999999997E-3</v>
      </c>
      <c r="E3023" s="2">
        <v>0</v>
      </c>
      <c r="F3023" s="2" t="s">
        <v>7</v>
      </c>
    </row>
    <row r="3024" spans="1:6" ht="22.5" hidden="1" customHeight="1" x14ac:dyDescent="0.25">
      <c r="A3024" s="3">
        <v>44105</v>
      </c>
      <c r="B3024" s="2" t="s">
        <v>93</v>
      </c>
      <c r="C3024" s="2">
        <v>1.25</v>
      </c>
      <c r="D3024" s="2">
        <v>1.1000000000000001E-3</v>
      </c>
      <c r="E3024" s="2">
        <v>1.375E-5</v>
      </c>
      <c r="F3024" s="2" t="s">
        <v>7</v>
      </c>
    </row>
    <row r="3025" spans="1:6" ht="22.5" hidden="1" customHeight="1" x14ac:dyDescent="0.25">
      <c r="A3025" s="3">
        <v>44105</v>
      </c>
      <c r="B3025" s="2" t="s">
        <v>94</v>
      </c>
      <c r="C3025" s="2">
        <v>-0.12</v>
      </c>
      <c r="D3025" s="2">
        <v>1E-3</v>
      </c>
      <c r="E3025" s="2">
        <v>-1.1999999999999999E-6</v>
      </c>
      <c r="F3025" s="2" t="s">
        <v>7</v>
      </c>
    </row>
    <row r="3026" spans="1:6" ht="22.5" hidden="1" customHeight="1" x14ac:dyDescent="0.25">
      <c r="A3026" s="3">
        <v>44105</v>
      </c>
      <c r="B3026" s="2" t="s">
        <v>95</v>
      </c>
      <c r="C3026" s="2">
        <v>-3.3</v>
      </c>
      <c r="D3026" s="2">
        <v>1.7600000000000001E-2</v>
      </c>
      <c r="E3026" s="2">
        <v>-5.8080000000000002E-4</v>
      </c>
      <c r="F3026" s="2" t="s">
        <v>7</v>
      </c>
    </row>
    <row r="3027" spans="1:6" ht="22.5" hidden="1" customHeight="1" x14ac:dyDescent="0.25">
      <c r="A3027" s="3">
        <v>44105</v>
      </c>
      <c r="B3027" s="2" t="s">
        <v>96</v>
      </c>
      <c r="C3027" s="2">
        <v>0.66</v>
      </c>
      <c r="D3027" s="2">
        <v>4.8800000000000003E-2</v>
      </c>
      <c r="E3027" s="2">
        <v>3.2207999999999998E-4</v>
      </c>
      <c r="F3027" s="2" t="s">
        <v>7</v>
      </c>
    </row>
    <row r="3028" spans="1:6" ht="22.5" hidden="1" customHeight="1" x14ac:dyDescent="0.25">
      <c r="A3028" s="3">
        <v>44105</v>
      </c>
      <c r="B3028" s="2" t="s">
        <v>97</v>
      </c>
      <c r="C3028" s="2">
        <v>-1.68</v>
      </c>
      <c r="D3028" s="2">
        <v>1.11E-2</v>
      </c>
      <c r="E3028" s="2">
        <v>-1.8647999999999999E-4</v>
      </c>
      <c r="F3028" s="2" t="s">
        <v>7</v>
      </c>
    </row>
    <row r="3029" spans="1:6" ht="22.5" hidden="1" customHeight="1" x14ac:dyDescent="0.25">
      <c r="A3029" s="3">
        <v>44105</v>
      </c>
      <c r="B3029" s="2" t="s">
        <v>98</v>
      </c>
      <c r="C3029" s="2">
        <v>-6.64</v>
      </c>
      <c r="D3029" s="2">
        <v>6.8999999999999999E-3</v>
      </c>
      <c r="E3029" s="2">
        <v>-4.5815999999999999E-4</v>
      </c>
      <c r="F3029" s="2" t="s">
        <v>7</v>
      </c>
    </row>
    <row r="3030" spans="1:6" ht="22.5" hidden="1" customHeight="1" x14ac:dyDescent="0.25">
      <c r="A3030" s="3">
        <v>44105</v>
      </c>
      <c r="B3030" s="2" t="s">
        <v>99</v>
      </c>
      <c r="C3030" s="2">
        <v>-1.71</v>
      </c>
      <c r="D3030" s="2">
        <v>3.7000000000000002E-3</v>
      </c>
      <c r="E3030" s="2">
        <v>-6.3269999999999996E-5</v>
      </c>
      <c r="F3030" s="2" t="s">
        <v>7</v>
      </c>
    </row>
    <row r="3031" spans="1:6" ht="22.5" hidden="1" customHeight="1" x14ac:dyDescent="0.25">
      <c r="A3031" s="3">
        <v>44105</v>
      </c>
      <c r="B3031" s="2" t="s">
        <v>100</v>
      </c>
      <c r="C3031" s="2">
        <v>-0.82</v>
      </c>
      <c r="D3031" s="2">
        <v>6.9999999999999999E-4</v>
      </c>
      <c r="E3031" s="2">
        <v>-5.7400000000000001E-6</v>
      </c>
      <c r="F3031" s="2" t="s">
        <v>7</v>
      </c>
    </row>
    <row r="3032" spans="1:6" ht="22.5" hidden="1" customHeight="1" x14ac:dyDescent="0.25">
      <c r="A3032" s="3">
        <v>44105</v>
      </c>
      <c r="B3032" s="2" t="s">
        <v>101</v>
      </c>
      <c r="C3032" s="2">
        <v>1.02</v>
      </c>
      <c r="D3032" s="2">
        <v>9.7299999999999998E-2</v>
      </c>
      <c r="E3032" s="2">
        <v>9.9245999999999991E-4</v>
      </c>
      <c r="F3032" s="2" t="s">
        <v>7</v>
      </c>
    </row>
    <row r="3033" spans="1:6" ht="22.5" hidden="1" customHeight="1" x14ac:dyDescent="0.25">
      <c r="A3033" s="3">
        <v>44105</v>
      </c>
      <c r="B3033" s="2" t="s">
        <v>102</v>
      </c>
      <c r="C3033" s="2">
        <v>2.4</v>
      </c>
      <c r="D3033" s="2">
        <v>4.5499999999999999E-2</v>
      </c>
      <c r="E3033" s="2">
        <v>1.0920000000000001E-3</v>
      </c>
      <c r="F3033" s="2" t="s">
        <v>7</v>
      </c>
    </row>
    <row r="3034" spans="1:6" ht="22.5" hidden="1" customHeight="1" x14ac:dyDescent="0.25">
      <c r="A3034" s="3">
        <v>44105</v>
      </c>
      <c r="B3034" s="2" t="s">
        <v>103</v>
      </c>
      <c r="C3034" s="2">
        <v>1.25</v>
      </c>
      <c r="D3034" s="2">
        <v>0.33040000000000003</v>
      </c>
      <c r="E3034" s="2">
        <v>4.13E-3</v>
      </c>
      <c r="F3034" s="2" t="s">
        <v>7</v>
      </c>
    </row>
    <row r="3035" spans="1:6" ht="22.5" hidden="1" customHeight="1" x14ac:dyDescent="0.25">
      <c r="A3035" s="3">
        <v>44105</v>
      </c>
      <c r="B3035" s="2" t="s">
        <v>104</v>
      </c>
      <c r="C3035" s="2">
        <v>-1.56</v>
      </c>
      <c r="D3035" s="2">
        <v>5.4300000000000001E-2</v>
      </c>
      <c r="E3035" s="2">
        <v>-8.4707999999999995E-4</v>
      </c>
      <c r="F3035" s="2" t="s">
        <v>7</v>
      </c>
    </row>
    <row r="3036" spans="1:6" ht="22.5" hidden="1" customHeight="1" x14ac:dyDescent="0.25">
      <c r="A3036" s="3">
        <v>44105</v>
      </c>
      <c r="B3036" s="2" t="s">
        <v>105</v>
      </c>
      <c r="C3036" s="2">
        <v>2.79</v>
      </c>
      <c r="D3036" s="2">
        <v>9.1000000000000004E-3</v>
      </c>
      <c r="E3036" s="2">
        <v>2.5389E-4</v>
      </c>
      <c r="F3036" s="2" t="s">
        <v>7</v>
      </c>
    </row>
    <row r="3037" spans="1:6" ht="22.5" hidden="1" customHeight="1" x14ac:dyDescent="0.25">
      <c r="A3037" s="3">
        <v>44105</v>
      </c>
      <c r="B3037" s="2" t="s">
        <v>106</v>
      </c>
      <c r="C3037" s="2">
        <v>0.78</v>
      </c>
      <c r="D3037" s="2">
        <v>9.1000000000000004E-3</v>
      </c>
      <c r="E3037" s="2">
        <v>7.0980000000000001E-5</v>
      </c>
      <c r="F3037" s="2" t="s">
        <v>7</v>
      </c>
    </row>
    <row r="3038" spans="1:6" ht="22.5" hidden="1" customHeight="1" x14ac:dyDescent="0.25">
      <c r="A3038" s="3">
        <v>44105</v>
      </c>
      <c r="B3038" s="2" t="s">
        <v>107</v>
      </c>
      <c r="C3038" s="2">
        <v>0.66</v>
      </c>
      <c r="D3038" s="2">
        <v>0.1168</v>
      </c>
      <c r="E3038" s="2">
        <v>7.7088000000000005E-4</v>
      </c>
      <c r="F3038" s="2" t="s">
        <v>7</v>
      </c>
    </row>
    <row r="3039" spans="1:6" ht="22.5" hidden="1" customHeight="1" x14ac:dyDescent="0.25">
      <c r="A3039" s="3">
        <v>44105</v>
      </c>
      <c r="B3039" s="2" t="s">
        <v>108</v>
      </c>
      <c r="C3039" s="2">
        <v>1.79</v>
      </c>
      <c r="D3039" s="2">
        <v>7.6E-3</v>
      </c>
      <c r="E3039" s="2">
        <v>1.3604000000000001E-4</v>
      </c>
      <c r="F3039" s="2" t="s">
        <v>7</v>
      </c>
    </row>
    <row r="3040" spans="1:6" ht="22.5" hidden="1" customHeight="1" x14ac:dyDescent="0.25">
      <c r="A3040" s="3">
        <v>44105</v>
      </c>
      <c r="B3040" s="2" t="s">
        <v>109</v>
      </c>
      <c r="C3040" s="2">
        <v>1.64</v>
      </c>
      <c r="D3040" s="2">
        <v>0.33279999999999998</v>
      </c>
      <c r="E3040" s="2">
        <v>5.4579199999999998E-3</v>
      </c>
      <c r="F3040" s="2" t="s">
        <v>7</v>
      </c>
    </row>
    <row r="3041" spans="1:6" ht="22.5" hidden="1" customHeight="1" x14ac:dyDescent="0.25">
      <c r="A3041" s="3">
        <v>44105</v>
      </c>
      <c r="B3041" s="2" t="s">
        <v>110</v>
      </c>
      <c r="C3041" s="2">
        <v>1.42</v>
      </c>
      <c r="D3041" s="2">
        <v>0.5887</v>
      </c>
      <c r="E3041" s="2">
        <v>8.3595400000000004E-3</v>
      </c>
      <c r="F3041" s="2" t="s">
        <v>7</v>
      </c>
    </row>
    <row r="3042" spans="1:6" ht="22.5" hidden="1" customHeight="1" x14ac:dyDescent="0.25">
      <c r="A3042" s="3">
        <v>44105</v>
      </c>
      <c r="B3042" s="2" t="s">
        <v>111</v>
      </c>
      <c r="C3042" s="2">
        <v>-0.75</v>
      </c>
      <c r="D3042" s="2">
        <v>0.23480000000000001</v>
      </c>
      <c r="E3042" s="2">
        <v>-1.761E-3</v>
      </c>
      <c r="F3042" s="2" t="s">
        <v>7</v>
      </c>
    </row>
    <row r="3043" spans="1:6" ht="22.5" hidden="1" customHeight="1" x14ac:dyDescent="0.25">
      <c r="A3043" s="3">
        <v>44105</v>
      </c>
      <c r="B3043" s="2" t="s">
        <v>112</v>
      </c>
      <c r="C3043" s="2">
        <v>4.26</v>
      </c>
      <c r="D3043" s="2">
        <v>0.77239999999999998</v>
      </c>
      <c r="E3043" s="2">
        <v>3.2904240000000001E-2</v>
      </c>
      <c r="F3043" s="2" t="s">
        <v>7</v>
      </c>
    </row>
    <row r="3044" spans="1:6" ht="22.5" hidden="1" customHeight="1" x14ac:dyDescent="0.25">
      <c r="A3044" s="3">
        <v>44105</v>
      </c>
      <c r="B3044" s="2" t="s">
        <v>113</v>
      </c>
      <c r="C3044" s="2">
        <v>2.35</v>
      </c>
      <c r="D3044" s="2">
        <v>2.0500000000000001E-2</v>
      </c>
      <c r="E3044" s="2">
        <v>4.8174999999999997E-4</v>
      </c>
      <c r="F3044" s="2" t="s">
        <v>7</v>
      </c>
    </row>
    <row r="3045" spans="1:6" ht="22.5" hidden="1" customHeight="1" x14ac:dyDescent="0.25">
      <c r="A3045" s="3">
        <v>44105</v>
      </c>
      <c r="B3045" s="2" t="s">
        <v>114</v>
      </c>
      <c r="C3045" s="2">
        <v>2.78</v>
      </c>
      <c r="D3045" s="2">
        <v>0.19159999999999999</v>
      </c>
      <c r="E3045" s="2">
        <v>5.3264799999999998E-3</v>
      </c>
      <c r="F3045" s="2" t="s">
        <v>7</v>
      </c>
    </row>
    <row r="3046" spans="1:6" ht="22.5" hidden="1" customHeight="1" x14ac:dyDescent="0.25">
      <c r="A3046" s="3">
        <v>44105</v>
      </c>
      <c r="B3046" s="2" t="s">
        <v>115</v>
      </c>
      <c r="C3046" s="2">
        <v>3.16</v>
      </c>
      <c r="D3046" s="2">
        <v>0.52210000000000001</v>
      </c>
      <c r="E3046" s="2">
        <v>1.649836E-2</v>
      </c>
      <c r="F3046" s="2" t="s">
        <v>7</v>
      </c>
    </row>
    <row r="3047" spans="1:6" ht="22.5" hidden="1" customHeight="1" x14ac:dyDescent="0.25">
      <c r="A3047" s="3">
        <v>44105</v>
      </c>
      <c r="B3047" s="2" t="s">
        <v>116</v>
      </c>
      <c r="C3047" s="2">
        <v>1.33</v>
      </c>
      <c r="D3047" s="2">
        <v>0.14879999999999999</v>
      </c>
      <c r="E3047" s="2">
        <v>1.9790400000000001E-3</v>
      </c>
      <c r="F3047" s="2" t="s">
        <v>7</v>
      </c>
    </row>
    <row r="3048" spans="1:6" ht="22.5" hidden="1" customHeight="1" x14ac:dyDescent="0.25">
      <c r="A3048" s="3">
        <v>44105</v>
      </c>
      <c r="B3048" s="2" t="s">
        <v>117</v>
      </c>
      <c r="C3048" s="2">
        <v>2.72</v>
      </c>
      <c r="D3048" s="2">
        <v>5.3400000000000003E-2</v>
      </c>
      <c r="E3048" s="2">
        <v>1.4524799999999999E-3</v>
      </c>
      <c r="F3048" s="2" t="s">
        <v>7</v>
      </c>
    </row>
    <row r="3049" spans="1:6" ht="22.5" hidden="1" customHeight="1" x14ac:dyDescent="0.25">
      <c r="A3049" s="3">
        <v>44105</v>
      </c>
      <c r="B3049" s="2" t="s">
        <v>118</v>
      </c>
      <c r="C3049" s="2">
        <v>1.52</v>
      </c>
      <c r="D3049" s="2">
        <v>6.08E-2</v>
      </c>
      <c r="E3049" s="2">
        <v>9.2416000000000004E-4</v>
      </c>
      <c r="F3049" s="2" t="s">
        <v>7</v>
      </c>
    </row>
    <row r="3050" spans="1:6" ht="22.5" hidden="1" customHeight="1" x14ac:dyDescent="0.25">
      <c r="A3050" s="3">
        <v>44105</v>
      </c>
      <c r="B3050" s="2" t="s">
        <v>119</v>
      </c>
      <c r="C3050" s="2">
        <v>-0.56000000000000005</v>
      </c>
      <c r="D3050" s="2">
        <v>1.0800000000000001E-2</v>
      </c>
      <c r="E3050" s="2">
        <v>-6.0479999999999997E-5</v>
      </c>
      <c r="F3050" s="2" t="s">
        <v>7</v>
      </c>
    </row>
    <row r="3051" spans="1:6" ht="22.5" hidden="1" customHeight="1" x14ac:dyDescent="0.25">
      <c r="A3051" s="3">
        <v>44105</v>
      </c>
      <c r="B3051" s="2" t="s">
        <v>120</v>
      </c>
      <c r="C3051" s="2">
        <v>1.1599999999999999</v>
      </c>
      <c r="D3051" s="2">
        <v>0.45610000000000001</v>
      </c>
      <c r="E3051" s="2">
        <v>5.2907600000000003E-3</v>
      </c>
      <c r="F3051" s="2" t="s">
        <v>7</v>
      </c>
    </row>
    <row r="3052" spans="1:6" ht="22.5" hidden="1" customHeight="1" x14ac:dyDescent="0.25">
      <c r="A3052" s="3">
        <v>44105</v>
      </c>
      <c r="B3052" s="2" t="s">
        <v>121</v>
      </c>
      <c r="C3052" s="2">
        <v>0.39</v>
      </c>
      <c r="D3052" s="2">
        <v>0.79169999999999996</v>
      </c>
      <c r="E3052" s="2">
        <v>3.0876300000000001E-3</v>
      </c>
      <c r="F3052" s="2" t="s">
        <v>7</v>
      </c>
    </row>
    <row r="3053" spans="1:6" ht="22.5" hidden="1" customHeight="1" x14ac:dyDescent="0.25">
      <c r="A3053" s="3">
        <v>44105</v>
      </c>
      <c r="B3053" s="2" t="s">
        <v>122</v>
      </c>
      <c r="C3053" s="2">
        <v>0.11</v>
      </c>
      <c r="D3053" s="2">
        <v>8.3599999999999994E-2</v>
      </c>
      <c r="E3053" s="2">
        <v>9.1959999999999994E-5</v>
      </c>
      <c r="F3053" s="2" t="s">
        <v>7</v>
      </c>
    </row>
    <row r="3054" spans="1:6" ht="22.5" hidden="1" customHeight="1" x14ac:dyDescent="0.25">
      <c r="A3054" s="3">
        <v>44105</v>
      </c>
      <c r="B3054" s="2" t="s">
        <v>123</v>
      </c>
      <c r="C3054" s="2">
        <v>-1.1200000000000001</v>
      </c>
      <c r="D3054" s="2">
        <v>9.4899999999999998E-2</v>
      </c>
      <c r="E3054" s="2">
        <v>-1.06288E-3</v>
      </c>
      <c r="F3054" s="2" t="s">
        <v>7</v>
      </c>
    </row>
    <row r="3055" spans="1:6" ht="22.5" hidden="1" customHeight="1" x14ac:dyDescent="0.25">
      <c r="A3055" s="3">
        <v>44105</v>
      </c>
      <c r="B3055" s="2" t="s">
        <v>124</v>
      </c>
      <c r="C3055" s="2">
        <v>1.02</v>
      </c>
      <c r="D3055" s="2">
        <v>0.13689999999999999</v>
      </c>
      <c r="E3055" s="2">
        <v>1.39638E-3</v>
      </c>
      <c r="F3055" s="2" t="s">
        <v>7</v>
      </c>
    </row>
    <row r="3056" spans="1:6" ht="22.5" hidden="1" customHeight="1" x14ac:dyDescent="0.25">
      <c r="A3056" s="3">
        <v>44105</v>
      </c>
      <c r="B3056" s="2" t="s">
        <v>125</v>
      </c>
      <c r="C3056" s="2">
        <v>2.58</v>
      </c>
      <c r="D3056" s="2">
        <v>3.2300000000000002E-2</v>
      </c>
      <c r="E3056" s="2">
        <v>8.3334000000000001E-4</v>
      </c>
      <c r="F3056" s="2" t="s">
        <v>7</v>
      </c>
    </row>
    <row r="3057" spans="1:6" ht="22.5" hidden="1" customHeight="1" x14ac:dyDescent="0.25">
      <c r="A3057" s="3">
        <v>44105</v>
      </c>
      <c r="B3057" s="2" t="s">
        <v>126</v>
      </c>
      <c r="C3057" s="2">
        <v>22.34</v>
      </c>
      <c r="D3057" s="2">
        <v>0.22720000000000001</v>
      </c>
      <c r="E3057" s="2">
        <v>5.075648E-2</v>
      </c>
      <c r="F3057" s="2" t="s">
        <v>7</v>
      </c>
    </row>
    <row r="3058" spans="1:6" ht="22.5" hidden="1" customHeight="1" x14ac:dyDescent="0.25">
      <c r="A3058" s="3">
        <v>44105</v>
      </c>
      <c r="B3058" s="2" t="s">
        <v>127</v>
      </c>
      <c r="C3058" s="2">
        <v>2.66</v>
      </c>
      <c r="D3058" s="2">
        <v>6.4199999999999993E-2</v>
      </c>
      <c r="E3058" s="2">
        <v>1.70772E-3</v>
      </c>
      <c r="F3058" s="2" t="s">
        <v>7</v>
      </c>
    </row>
    <row r="3059" spans="1:6" ht="22.5" hidden="1" customHeight="1" x14ac:dyDescent="0.25">
      <c r="A3059" s="3">
        <v>44105</v>
      </c>
      <c r="B3059" s="2" t="s">
        <v>128</v>
      </c>
      <c r="C3059" s="2">
        <v>1.45</v>
      </c>
      <c r="D3059" s="2">
        <v>9.3200000000000005E-2</v>
      </c>
      <c r="E3059" s="2">
        <v>1.3514E-3</v>
      </c>
      <c r="F3059" s="2" t="s">
        <v>7</v>
      </c>
    </row>
    <row r="3060" spans="1:6" ht="22.5" hidden="1" customHeight="1" x14ac:dyDescent="0.25">
      <c r="A3060" s="3">
        <v>44105</v>
      </c>
      <c r="B3060" s="2" t="s">
        <v>129</v>
      </c>
      <c r="C3060" s="2">
        <v>0.39</v>
      </c>
      <c r="D3060" s="2">
        <v>0.13569999999999999</v>
      </c>
      <c r="E3060" s="2">
        <v>5.2923E-4</v>
      </c>
      <c r="F3060" s="2" t="s">
        <v>7</v>
      </c>
    </row>
    <row r="3061" spans="1:6" ht="22.5" hidden="1" customHeight="1" x14ac:dyDescent="0.25">
      <c r="A3061" s="3">
        <v>44105</v>
      </c>
      <c r="B3061" s="2" t="s">
        <v>130</v>
      </c>
      <c r="C3061" s="2">
        <v>-0.61</v>
      </c>
      <c r="D3061" s="2">
        <v>1.35E-2</v>
      </c>
      <c r="E3061" s="2">
        <v>-8.2349999999999996E-5</v>
      </c>
      <c r="F3061" s="2" t="s">
        <v>7</v>
      </c>
    </row>
    <row r="3062" spans="1:6" ht="22.5" hidden="1" customHeight="1" x14ac:dyDescent="0.25">
      <c r="A3062" s="3">
        <v>44105</v>
      </c>
      <c r="B3062" s="2" t="s">
        <v>131</v>
      </c>
      <c r="C3062" s="2">
        <v>-2.56</v>
      </c>
      <c r="D3062" s="2">
        <v>5.9299999999999999E-2</v>
      </c>
      <c r="E3062" s="2">
        <v>-1.51808E-3</v>
      </c>
      <c r="F3062" s="2" t="s">
        <v>7</v>
      </c>
    </row>
    <row r="3063" spans="1:6" ht="22.5" hidden="1" customHeight="1" x14ac:dyDescent="0.25">
      <c r="A3063" s="3">
        <v>44105</v>
      </c>
      <c r="B3063" s="2" t="s">
        <v>132</v>
      </c>
      <c r="C3063" s="2">
        <v>-0.62</v>
      </c>
      <c r="D3063" s="2">
        <v>0.29260000000000003</v>
      </c>
      <c r="E3063" s="2">
        <v>-1.81412E-3</v>
      </c>
      <c r="F3063" s="2" t="s">
        <v>7</v>
      </c>
    </row>
    <row r="3064" spans="1:6" ht="22.5" hidden="1" customHeight="1" x14ac:dyDescent="0.25">
      <c r="A3064" s="3">
        <v>44105</v>
      </c>
      <c r="B3064" s="2" t="s">
        <v>133</v>
      </c>
      <c r="C3064" s="2">
        <v>0.8</v>
      </c>
      <c r="D3064" s="2">
        <v>8.9999999999999993E-3</v>
      </c>
      <c r="E3064" s="2">
        <v>7.2000000000000002E-5</v>
      </c>
      <c r="F3064" s="2" t="s">
        <v>7</v>
      </c>
    </row>
    <row r="3065" spans="1:6" ht="22.5" hidden="1" customHeight="1" x14ac:dyDescent="0.25">
      <c r="A3065" s="3">
        <v>44105</v>
      </c>
      <c r="B3065" s="2" t="s">
        <v>134</v>
      </c>
      <c r="C3065" s="2">
        <v>0.43</v>
      </c>
      <c r="D3065" s="2">
        <v>0.51739999999999997</v>
      </c>
      <c r="E3065" s="2">
        <v>2.2248200000000002E-3</v>
      </c>
      <c r="F3065" s="2" t="s">
        <v>7</v>
      </c>
    </row>
    <row r="3066" spans="1:6" ht="22.5" hidden="1" customHeight="1" x14ac:dyDescent="0.25">
      <c r="A3066" s="3">
        <v>44105</v>
      </c>
      <c r="B3066" s="2" t="s">
        <v>135</v>
      </c>
      <c r="C3066" s="2">
        <v>2.06</v>
      </c>
      <c r="D3066" s="2">
        <v>0.39900000000000002</v>
      </c>
      <c r="E3066" s="2">
        <v>8.2194E-3</v>
      </c>
      <c r="F3066" s="2" t="s">
        <v>7</v>
      </c>
    </row>
    <row r="3067" spans="1:6" ht="22.5" hidden="1" customHeight="1" x14ac:dyDescent="0.25">
      <c r="A3067" s="3">
        <v>44105</v>
      </c>
      <c r="B3067" s="2" t="s">
        <v>136</v>
      </c>
      <c r="C3067" s="2">
        <v>0.09</v>
      </c>
      <c r="D3067" s="2">
        <v>3.6700000000000003E-2</v>
      </c>
      <c r="E3067" s="2">
        <v>3.3030000000000001E-5</v>
      </c>
      <c r="F3067" s="2" t="s">
        <v>7</v>
      </c>
    </row>
    <row r="3068" spans="1:6" ht="22.5" hidden="1" customHeight="1" x14ac:dyDescent="0.25">
      <c r="A3068" s="3">
        <v>44105</v>
      </c>
      <c r="B3068" s="2" t="s">
        <v>137</v>
      </c>
      <c r="C3068" s="2">
        <v>-0.92</v>
      </c>
      <c r="D3068" s="2">
        <v>7.1400000000000005E-2</v>
      </c>
      <c r="E3068" s="2">
        <v>-6.5687999999999999E-4</v>
      </c>
      <c r="F3068" s="2" t="s">
        <v>7</v>
      </c>
    </row>
    <row r="3069" spans="1:6" ht="22.5" hidden="1" customHeight="1" x14ac:dyDescent="0.25">
      <c r="A3069" s="3">
        <v>44105</v>
      </c>
      <c r="B3069" s="2" t="s">
        <v>138</v>
      </c>
      <c r="C3069" s="2">
        <v>2.4300000000000002</v>
      </c>
      <c r="D3069" s="2">
        <v>4.8899999999999999E-2</v>
      </c>
      <c r="E3069" s="2">
        <v>1.18827E-3</v>
      </c>
      <c r="F3069" s="2" t="s">
        <v>7</v>
      </c>
    </row>
    <row r="3070" spans="1:6" ht="22.5" hidden="1" customHeight="1" x14ac:dyDescent="0.25">
      <c r="A3070" s="3">
        <v>44105</v>
      </c>
      <c r="B3070" s="2" t="s">
        <v>139</v>
      </c>
      <c r="C3070" s="2">
        <v>0.34</v>
      </c>
      <c r="D3070" s="2">
        <v>2.7900000000000001E-2</v>
      </c>
      <c r="E3070" s="2">
        <v>9.4859999999999996E-5</v>
      </c>
      <c r="F3070" s="2" t="s">
        <v>7</v>
      </c>
    </row>
    <row r="3071" spans="1:6" ht="22.5" hidden="1" customHeight="1" x14ac:dyDescent="0.25">
      <c r="A3071" s="3">
        <v>44105</v>
      </c>
      <c r="B3071" s="2" t="s">
        <v>140</v>
      </c>
      <c r="C3071" s="2">
        <v>3.11</v>
      </c>
      <c r="D3071" s="2">
        <v>2.3E-3</v>
      </c>
      <c r="E3071" s="2">
        <v>7.1530000000000001E-5</v>
      </c>
      <c r="F3071" s="2" t="s">
        <v>7</v>
      </c>
    </row>
    <row r="3072" spans="1:6" ht="22.5" hidden="1" customHeight="1" x14ac:dyDescent="0.25">
      <c r="A3072" s="3">
        <v>44105</v>
      </c>
      <c r="B3072" s="2" t="s">
        <v>141</v>
      </c>
      <c r="C3072" s="2">
        <v>1.1299999999999999</v>
      </c>
      <c r="D3072" s="2">
        <v>1.9900000000000001E-2</v>
      </c>
      <c r="E3072" s="2">
        <v>2.2487000000000001E-4</v>
      </c>
      <c r="F3072" s="2" t="s">
        <v>7</v>
      </c>
    </row>
    <row r="3073" spans="1:6" ht="22.5" hidden="1" customHeight="1" x14ac:dyDescent="0.25">
      <c r="A3073" s="3">
        <v>44105</v>
      </c>
      <c r="B3073" s="2" t="s">
        <v>142</v>
      </c>
      <c r="C3073" s="2">
        <v>0</v>
      </c>
      <c r="D3073" s="2">
        <v>4.4000000000000003E-3</v>
      </c>
      <c r="E3073" s="2">
        <v>0</v>
      </c>
      <c r="F3073" s="2" t="s">
        <v>7</v>
      </c>
    </row>
    <row r="3074" spans="1:6" ht="22.5" hidden="1" customHeight="1" x14ac:dyDescent="0.25">
      <c r="A3074" s="3">
        <v>44105</v>
      </c>
      <c r="B3074" s="2" t="s">
        <v>143</v>
      </c>
      <c r="C3074" s="2">
        <v>4.37</v>
      </c>
      <c r="D3074" s="2">
        <v>3.8600000000000002E-2</v>
      </c>
      <c r="E3074" s="2">
        <v>1.6868199999999999E-3</v>
      </c>
      <c r="F3074" s="2" t="s">
        <v>7</v>
      </c>
    </row>
    <row r="3075" spans="1:6" ht="22.5" hidden="1" customHeight="1" x14ac:dyDescent="0.25">
      <c r="A3075" s="3">
        <v>44105</v>
      </c>
      <c r="B3075" s="2" t="s">
        <v>144</v>
      </c>
      <c r="C3075" s="2">
        <v>3.42</v>
      </c>
      <c r="D3075" s="2">
        <v>1.5E-3</v>
      </c>
      <c r="E3075" s="2">
        <v>5.13E-5</v>
      </c>
      <c r="F3075" s="2" t="s">
        <v>7</v>
      </c>
    </row>
    <row r="3076" spans="1:6" ht="22.5" hidden="1" customHeight="1" x14ac:dyDescent="0.25">
      <c r="A3076" s="3">
        <v>44105</v>
      </c>
      <c r="B3076" s="2" t="s">
        <v>145</v>
      </c>
      <c r="C3076" s="2">
        <v>1.92</v>
      </c>
      <c r="D3076" s="2">
        <v>1.6000000000000001E-3</v>
      </c>
      <c r="E3076" s="2">
        <v>3.0719999999999997E-5</v>
      </c>
      <c r="F3076" s="2" t="s">
        <v>7</v>
      </c>
    </row>
    <row r="3077" spans="1:6" ht="22.5" hidden="1" customHeight="1" x14ac:dyDescent="0.25">
      <c r="A3077" s="3">
        <v>44105</v>
      </c>
      <c r="B3077" s="2" t="s">
        <v>146</v>
      </c>
      <c r="C3077" s="2">
        <v>0.44</v>
      </c>
      <c r="D3077" s="2">
        <v>3.3000000000000002E-2</v>
      </c>
      <c r="E3077" s="2">
        <v>1.4520000000000001E-4</v>
      </c>
      <c r="F3077" s="2" t="s">
        <v>7</v>
      </c>
    </row>
    <row r="3078" spans="1:6" ht="22.5" hidden="1" customHeight="1" x14ac:dyDescent="0.25">
      <c r="A3078" s="3">
        <v>44105</v>
      </c>
      <c r="B3078" s="2" t="s">
        <v>147</v>
      </c>
      <c r="C3078" s="2">
        <v>-0.06</v>
      </c>
      <c r="D3078" s="2">
        <v>2.6800000000000001E-2</v>
      </c>
      <c r="E3078" s="2">
        <v>-1.6079999999999999E-5</v>
      </c>
      <c r="F3078" s="2" t="s">
        <v>7</v>
      </c>
    </row>
    <row r="3079" spans="1:6" ht="22.5" hidden="1" customHeight="1" x14ac:dyDescent="0.25">
      <c r="A3079" s="3">
        <v>44105</v>
      </c>
      <c r="B3079" s="2" t="s">
        <v>148</v>
      </c>
      <c r="C3079" s="2">
        <v>2.14</v>
      </c>
      <c r="D3079" s="2">
        <v>2.29E-2</v>
      </c>
      <c r="E3079" s="2">
        <v>4.9005999999999995E-4</v>
      </c>
      <c r="F3079" s="2" t="s">
        <v>7</v>
      </c>
    </row>
    <row r="3080" spans="1:6" ht="22.5" hidden="1" customHeight="1" x14ac:dyDescent="0.25">
      <c r="A3080" s="3">
        <v>44105</v>
      </c>
      <c r="B3080" s="2" t="s">
        <v>149</v>
      </c>
      <c r="C3080" s="2">
        <v>-1.03</v>
      </c>
      <c r="D3080" s="2">
        <v>2.5999999999999999E-3</v>
      </c>
      <c r="E3080" s="2">
        <v>-2.6780000000000001E-5</v>
      </c>
      <c r="F3080" s="2" t="s">
        <v>7</v>
      </c>
    </row>
    <row r="3081" spans="1:6" ht="22.5" hidden="1" customHeight="1" x14ac:dyDescent="0.25">
      <c r="A3081" s="3">
        <v>44105</v>
      </c>
      <c r="B3081" s="2" t="s">
        <v>150</v>
      </c>
      <c r="C3081" s="2">
        <v>0.38</v>
      </c>
      <c r="D3081" s="2">
        <v>0.1171</v>
      </c>
      <c r="E3081" s="2">
        <v>4.4497999999999998E-4</v>
      </c>
      <c r="F3081" s="2" t="s">
        <v>7</v>
      </c>
    </row>
    <row r="3082" spans="1:6" ht="22.5" hidden="1" customHeight="1" x14ac:dyDescent="0.25">
      <c r="A3082" s="3">
        <v>44105</v>
      </c>
      <c r="B3082" s="2" t="s">
        <v>151</v>
      </c>
      <c r="C3082" s="2">
        <v>-1.83</v>
      </c>
      <c r="D3082" s="2">
        <v>0.1181</v>
      </c>
      <c r="E3082" s="2">
        <v>-2.1612300000000001E-3</v>
      </c>
      <c r="F3082" s="2" t="s">
        <v>7</v>
      </c>
    </row>
    <row r="3083" spans="1:6" ht="22.5" hidden="1" customHeight="1" x14ac:dyDescent="0.25">
      <c r="A3083" s="3">
        <v>44105</v>
      </c>
      <c r="B3083" s="2" t="s">
        <v>152</v>
      </c>
      <c r="C3083" s="2">
        <v>0.02</v>
      </c>
      <c r="D3083" s="2">
        <v>3.2000000000000002E-3</v>
      </c>
      <c r="E3083" s="2">
        <v>6.4000000000000001E-7</v>
      </c>
      <c r="F3083" s="2" t="s">
        <v>7</v>
      </c>
    </row>
    <row r="3084" spans="1:6" ht="22.5" hidden="1" customHeight="1" x14ac:dyDescent="0.25">
      <c r="A3084" s="3">
        <v>44105</v>
      </c>
      <c r="B3084" s="2" t="s">
        <v>153</v>
      </c>
      <c r="C3084" s="2">
        <v>2.33</v>
      </c>
      <c r="D3084" s="2">
        <v>8.9999999999999998E-4</v>
      </c>
      <c r="E3084" s="2">
        <v>2.0970000000000001E-5</v>
      </c>
      <c r="F3084" s="2" t="s">
        <v>7</v>
      </c>
    </row>
    <row r="3085" spans="1:6" ht="22.5" hidden="1" customHeight="1" x14ac:dyDescent="0.25">
      <c r="A3085" s="3">
        <v>44105</v>
      </c>
      <c r="B3085" s="2" t="s">
        <v>154</v>
      </c>
      <c r="C3085" s="2">
        <v>-0.35</v>
      </c>
      <c r="D3085" s="2">
        <v>1.1000000000000001E-3</v>
      </c>
      <c r="E3085" s="2">
        <v>-3.8500000000000004E-6</v>
      </c>
      <c r="F3085" s="2" t="s">
        <v>7</v>
      </c>
    </row>
    <row r="3086" spans="1:6" ht="22.5" hidden="1" customHeight="1" x14ac:dyDescent="0.25">
      <c r="A3086" s="3">
        <v>44105</v>
      </c>
      <c r="B3086" s="2" t="s">
        <v>155</v>
      </c>
      <c r="C3086" s="2">
        <v>2.4900000000000002</v>
      </c>
      <c r="D3086" s="2">
        <v>5.8999999999999999E-3</v>
      </c>
      <c r="E3086" s="2">
        <v>1.4690999999999999E-4</v>
      </c>
      <c r="F3086" s="2" t="s">
        <v>7</v>
      </c>
    </row>
    <row r="3087" spans="1:6" ht="22.5" hidden="1" customHeight="1" x14ac:dyDescent="0.25">
      <c r="A3087" s="3">
        <v>44105</v>
      </c>
      <c r="B3087" s="2" t="s">
        <v>156</v>
      </c>
      <c r="C3087" s="2">
        <v>1.34</v>
      </c>
      <c r="D3087" s="2">
        <v>4.6300000000000001E-2</v>
      </c>
      <c r="E3087" s="2">
        <v>6.2042E-4</v>
      </c>
      <c r="F3087" s="2" t="s">
        <v>7</v>
      </c>
    </row>
    <row r="3088" spans="1:6" ht="22.5" hidden="1" customHeight="1" x14ac:dyDescent="0.25">
      <c r="A3088" s="3">
        <v>44105</v>
      </c>
      <c r="B3088" s="2" t="s">
        <v>157</v>
      </c>
      <c r="C3088" s="2">
        <v>0.52</v>
      </c>
      <c r="D3088" s="2">
        <v>1.7299999999999999E-2</v>
      </c>
      <c r="E3088" s="2">
        <v>8.9959999999999999E-5</v>
      </c>
      <c r="F3088" s="2" t="s">
        <v>7</v>
      </c>
    </row>
    <row r="3089" spans="1:6" ht="22.5" hidden="1" customHeight="1" x14ac:dyDescent="0.25">
      <c r="A3089" s="3">
        <v>44105</v>
      </c>
      <c r="B3089" s="2" t="s">
        <v>158</v>
      </c>
      <c r="C3089" s="2">
        <v>-0.56000000000000005</v>
      </c>
      <c r="D3089" s="2">
        <v>0.01</v>
      </c>
      <c r="E3089" s="2">
        <v>-5.5999999999999999E-5</v>
      </c>
      <c r="F3089" s="2" t="s">
        <v>7</v>
      </c>
    </row>
    <row r="3090" spans="1:6" ht="22.5" hidden="1" customHeight="1" x14ac:dyDescent="0.25">
      <c r="A3090" s="3">
        <v>44105</v>
      </c>
      <c r="B3090" s="2" t="s">
        <v>159</v>
      </c>
      <c r="C3090" s="2">
        <v>0.12</v>
      </c>
      <c r="D3090" s="2">
        <v>5.4800000000000001E-2</v>
      </c>
      <c r="E3090" s="2">
        <v>6.5759999999999994E-5</v>
      </c>
      <c r="F3090" s="2" t="s">
        <v>7</v>
      </c>
    </row>
    <row r="3091" spans="1:6" ht="22.5" hidden="1" customHeight="1" x14ac:dyDescent="0.25">
      <c r="A3091" s="3">
        <v>44105</v>
      </c>
      <c r="B3091" s="2" t="s">
        <v>160</v>
      </c>
      <c r="C3091" s="2">
        <v>0.93</v>
      </c>
      <c r="D3091" s="2">
        <v>3.7599</v>
      </c>
      <c r="E3091" s="2">
        <v>3.4967070000000003E-2</v>
      </c>
      <c r="F3091" s="2" t="s">
        <v>7</v>
      </c>
    </row>
    <row r="3092" spans="1:6" ht="22.5" hidden="1" customHeight="1" x14ac:dyDescent="0.25">
      <c r="A3092" s="3">
        <v>44105</v>
      </c>
      <c r="B3092" s="2" t="s">
        <v>161</v>
      </c>
      <c r="C3092" s="2">
        <v>-0.37</v>
      </c>
      <c r="D3092" s="2">
        <v>1.7294</v>
      </c>
      <c r="E3092" s="2">
        <v>-6.3987799999999997E-3</v>
      </c>
      <c r="F3092" s="2" t="s">
        <v>7</v>
      </c>
    </row>
    <row r="3093" spans="1:6" ht="22.5" hidden="1" customHeight="1" x14ac:dyDescent="0.25">
      <c r="A3093" s="3">
        <v>44105</v>
      </c>
      <c r="B3093" s="2" t="s">
        <v>134</v>
      </c>
      <c r="C3093" s="2">
        <v>0.25</v>
      </c>
      <c r="D3093" s="2">
        <v>0.1265</v>
      </c>
      <c r="E3093" s="2">
        <v>3.1625000000000002E-4</v>
      </c>
      <c r="F3093" s="2" t="s">
        <v>7</v>
      </c>
    </row>
    <row r="3094" spans="1:6" ht="22.5" hidden="1" customHeight="1" x14ac:dyDescent="0.25">
      <c r="A3094" s="3">
        <v>44105</v>
      </c>
      <c r="B3094" s="2" t="s">
        <v>162</v>
      </c>
      <c r="C3094" s="2">
        <v>0.94</v>
      </c>
      <c r="D3094" s="2">
        <v>4.36E-2</v>
      </c>
      <c r="E3094" s="2">
        <v>4.0984000000000002E-4</v>
      </c>
      <c r="F3094" s="2" t="s">
        <v>7</v>
      </c>
    </row>
    <row r="3095" spans="1:6" ht="22.5" hidden="1" customHeight="1" x14ac:dyDescent="0.25">
      <c r="A3095" s="3">
        <v>44105</v>
      </c>
      <c r="B3095" s="2" t="s">
        <v>135</v>
      </c>
      <c r="C3095" s="2">
        <v>0.8</v>
      </c>
      <c r="D3095" s="2">
        <v>0.29039999999999999</v>
      </c>
      <c r="E3095" s="2">
        <v>2.3232000000000001E-3</v>
      </c>
      <c r="F3095" s="2" t="s">
        <v>7</v>
      </c>
    </row>
    <row r="3096" spans="1:6" ht="22.5" hidden="1" customHeight="1" x14ac:dyDescent="0.25">
      <c r="A3096" s="3">
        <v>44105</v>
      </c>
      <c r="B3096" s="2" t="s">
        <v>136</v>
      </c>
      <c r="C3096" s="2">
        <v>-6.33</v>
      </c>
      <c r="D3096" s="2">
        <v>4.3E-3</v>
      </c>
      <c r="E3096" s="2">
        <v>-2.7219000000000001E-4</v>
      </c>
      <c r="F3096" s="2" t="s">
        <v>7</v>
      </c>
    </row>
    <row r="3097" spans="1:6" ht="22.5" hidden="1" customHeight="1" x14ac:dyDescent="0.25">
      <c r="A3097" s="3">
        <v>44105</v>
      </c>
      <c r="B3097" s="2" t="s">
        <v>137</v>
      </c>
      <c r="C3097" s="2">
        <v>5.33</v>
      </c>
      <c r="D3097" s="2">
        <v>9.5999999999999992E-3</v>
      </c>
      <c r="E3097" s="2">
        <v>5.1168000000000003E-4</v>
      </c>
      <c r="F3097" s="2" t="s">
        <v>7</v>
      </c>
    </row>
    <row r="3098" spans="1:6" ht="22.5" hidden="1" customHeight="1" x14ac:dyDescent="0.25">
      <c r="A3098" s="3">
        <v>44105</v>
      </c>
      <c r="B3098" s="2" t="s">
        <v>163</v>
      </c>
      <c r="C3098" s="2">
        <v>-0.6</v>
      </c>
      <c r="D3098" s="2">
        <v>4.4000000000000003E-3</v>
      </c>
      <c r="E3098" s="2">
        <v>-2.6400000000000001E-5</v>
      </c>
      <c r="F3098" s="2" t="s">
        <v>7</v>
      </c>
    </row>
    <row r="3099" spans="1:6" ht="22.5" hidden="1" customHeight="1" x14ac:dyDescent="0.25">
      <c r="A3099" s="3">
        <v>44105</v>
      </c>
      <c r="B3099" s="2" t="s">
        <v>34</v>
      </c>
      <c r="C3099" s="2">
        <v>1.62</v>
      </c>
      <c r="D3099" s="2">
        <v>5.2999999999999999E-2</v>
      </c>
      <c r="E3099" s="2">
        <v>8.5860000000000005E-4</v>
      </c>
      <c r="F3099" s="2" t="s">
        <v>7</v>
      </c>
    </row>
    <row r="3100" spans="1:6" ht="22.5" hidden="1" customHeight="1" x14ac:dyDescent="0.25">
      <c r="A3100" s="3">
        <v>44105</v>
      </c>
      <c r="B3100" s="2" t="s">
        <v>164</v>
      </c>
      <c r="C3100" s="2">
        <v>0.17</v>
      </c>
      <c r="D3100" s="2">
        <v>3.8584999999999998</v>
      </c>
      <c r="E3100" s="2">
        <v>6.5594499999999997E-3</v>
      </c>
      <c r="F3100" s="2" t="s">
        <v>165</v>
      </c>
    </row>
    <row r="3101" spans="1:6" ht="22.5" hidden="1" customHeight="1" x14ac:dyDescent="0.25">
      <c r="A3101" s="3">
        <v>44105</v>
      </c>
      <c r="B3101" s="2" t="s">
        <v>166</v>
      </c>
      <c r="C3101" s="2">
        <v>0.28999999999999998</v>
      </c>
      <c r="D3101" s="2">
        <v>2.3858999999999999</v>
      </c>
      <c r="E3101" s="2">
        <v>6.91911E-3</v>
      </c>
      <c r="F3101" s="2" t="s">
        <v>165</v>
      </c>
    </row>
    <row r="3102" spans="1:6" ht="22.5" hidden="1" customHeight="1" x14ac:dyDescent="0.25">
      <c r="A3102" s="3">
        <v>44287</v>
      </c>
      <c r="B3102" s="2" t="s">
        <v>294</v>
      </c>
      <c r="C3102" s="2">
        <v>1</v>
      </c>
      <c r="D3102" s="2">
        <v>0.1308</v>
      </c>
      <c r="E3102" s="2">
        <v>1.3079999999999999E-3</v>
      </c>
      <c r="F3102" s="2" t="s">
        <v>168</v>
      </c>
    </row>
    <row r="3103" spans="1:6" ht="22.5" hidden="1" customHeight="1" x14ac:dyDescent="0.25">
      <c r="A3103" s="3">
        <v>44105</v>
      </c>
      <c r="B3103" s="2" t="s">
        <v>169</v>
      </c>
      <c r="C3103" s="2">
        <v>-0.48</v>
      </c>
      <c r="D3103" s="2">
        <v>1.0200000000000001E-2</v>
      </c>
      <c r="E3103" s="2">
        <v>-4.8959999999999999E-5</v>
      </c>
      <c r="F3103" s="2" t="s">
        <v>170</v>
      </c>
    </row>
    <row r="3104" spans="1:6" ht="22.5" hidden="1" customHeight="1" x14ac:dyDescent="0.25">
      <c r="A3104" s="3">
        <v>44105</v>
      </c>
      <c r="B3104" s="2" t="s">
        <v>171</v>
      </c>
      <c r="C3104" s="2">
        <v>0.96</v>
      </c>
      <c r="D3104" s="2">
        <v>1.46E-2</v>
      </c>
      <c r="E3104" s="2">
        <v>1.4016000000000001E-4</v>
      </c>
      <c r="F3104" s="2" t="s">
        <v>170</v>
      </c>
    </row>
    <row r="3105" spans="1:6" ht="22.5" hidden="1" customHeight="1" x14ac:dyDescent="0.25">
      <c r="A3105" s="3">
        <v>44105</v>
      </c>
      <c r="B3105" s="2" t="s">
        <v>172</v>
      </c>
      <c r="C3105" s="2">
        <v>2.35</v>
      </c>
      <c r="D3105" s="2">
        <v>3.2000000000000002E-3</v>
      </c>
      <c r="E3105" s="2">
        <v>7.5199999999999998E-5</v>
      </c>
      <c r="F3105" s="2" t="s">
        <v>170</v>
      </c>
    </row>
    <row r="3106" spans="1:6" ht="22.5" hidden="1" customHeight="1" x14ac:dyDescent="0.25">
      <c r="A3106" s="3">
        <v>44105</v>
      </c>
      <c r="B3106" s="2" t="s">
        <v>173</v>
      </c>
      <c r="C3106" s="2">
        <v>1.22</v>
      </c>
      <c r="D3106" s="2">
        <v>0.26019999999999999</v>
      </c>
      <c r="E3106" s="2">
        <v>3.1744400000000002E-3</v>
      </c>
      <c r="F3106" s="2" t="s">
        <v>174</v>
      </c>
    </row>
    <row r="3107" spans="1:6" ht="22.5" hidden="1" customHeight="1" x14ac:dyDescent="0.25">
      <c r="A3107" s="3">
        <v>44105</v>
      </c>
      <c r="B3107" s="2" t="s">
        <v>175</v>
      </c>
      <c r="C3107" s="2">
        <v>2.2000000000000002</v>
      </c>
      <c r="D3107" s="2">
        <v>0.22700000000000001</v>
      </c>
      <c r="E3107" s="2">
        <v>4.9940000000000002E-3</v>
      </c>
      <c r="F3107" s="2" t="s">
        <v>174</v>
      </c>
    </row>
    <row r="3108" spans="1:6" ht="22.5" hidden="1" customHeight="1" x14ac:dyDescent="0.25">
      <c r="A3108" s="3">
        <v>44105</v>
      </c>
      <c r="B3108" s="2" t="s">
        <v>176</v>
      </c>
      <c r="C3108" s="2">
        <v>0.74</v>
      </c>
      <c r="D3108" s="2">
        <v>1.3299999999999999E-2</v>
      </c>
      <c r="E3108" s="2">
        <v>9.8419999999999996E-5</v>
      </c>
      <c r="F3108" s="2" t="s">
        <v>170</v>
      </c>
    </row>
    <row r="3109" spans="1:6" ht="22.5" hidden="1" customHeight="1" x14ac:dyDescent="0.25">
      <c r="A3109" s="3">
        <v>44105</v>
      </c>
      <c r="B3109" s="2" t="s">
        <v>177</v>
      </c>
      <c r="C3109" s="2">
        <v>4.5599999999999996</v>
      </c>
      <c r="D3109" s="2">
        <v>2.3E-2</v>
      </c>
      <c r="E3109" s="2">
        <v>1.0487999999999999E-3</v>
      </c>
      <c r="F3109" s="2" t="s">
        <v>170</v>
      </c>
    </row>
    <row r="3110" spans="1:6" ht="22.5" hidden="1" customHeight="1" x14ac:dyDescent="0.25">
      <c r="A3110" s="3">
        <v>44105</v>
      </c>
      <c r="B3110" s="2" t="s">
        <v>178</v>
      </c>
      <c r="C3110" s="2">
        <v>5.71</v>
      </c>
      <c r="D3110" s="2">
        <v>2.0799999999999999E-2</v>
      </c>
      <c r="E3110" s="2">
        <v>1.18768E-3</v>
      </c>
      <c r="F3110" s="2" t="s">
        <v>170</v>
      </c>
    </row>
    <row r="3111" spans="1:6" ht="22.5" hidden="1" customHeight="1" x14ac:dyDescent="0.25">
      <c r="A3111" s="3">
        <v>44105</v>
      </c>
      <c r="B3111" s="2" t="s">
        <v>179</v>
      </c>
      <c r="C3111" s="2">
        <v>3.07</v>
      </c>
      <c r="D3111" s="2">
        <v>3.8199999999999998E-2</v>
      </c>
      <c r="E3111" s="2">
        <v>1.17274E-3</v>
      </c>
      <c r="F3111" s="2" t="s">
        <v>170</v>
      </c>
    </row>
    <row r="3112" spans="1:6" ht="22.5" hidden="1" customHeight="1" x14ac:dyDescent="0.25">
      <c r="A3112" s="3">
        <v>44105</v>
      </c>
      <c r="B3112" s="2" t="s">
        <v>180</v>
      </c>
      <c r="C3112" s="2">
        <v>-0.12</v>
      </c>
      <c r="D3112" s="2">
        <v>0.6653</v>
      </c>
      <c r="E3112" s="2">
        <v>-7.9836000000000002E-4</v>
      </c>
      <c r="F3112" s="2" t="s">
        <v>165</v>
      </c>
    </row>
    <row r="3113" spans="1:6" ht="22.5" hidden="1" customHeight="1" x14ac:dyDescent="0.25">
      <c r="A3113" s="3">
        <v>44105</v>
      </c>
      <c r="B3113" s="2" t="s">
        <v>181</v>
      </c>
      <c r="C3113" s="2">
        <v>-0.1</v>
      </c>
      <c r="D3113" s="2">
        <v>1.2699999999999999E-2</v>
      </c>
      <c r="E3113" s="2">
        <v>-1.27E-5</v>
      </c>
      <c r="F3113" s="2" t="s">
        <v>174</v>
      </c>
    </row>
    <row r="3114" spans="1:6" ht="22.5" hidden="1" customHeight="1" x14ac:dyDescent="0.25">
      <c r="A3114" s="3">
        <v>44105</v>
      </c>
      <c r="B3114" s="2" t="s">
        <v>182</v>
      </c>
      <c r="C3114" s="2">
        <v>3.25</v>
      </c>
      <c r="D3114" s="2">
        <v>3.8199999999999998E-2</v>
      </c>
      <c r="E3114" s="2">
        <v>1.2415E-3</v>
      </c>
      <c r="F3114" s="2" t="s">
        <v>170</v>
      </c>
    </row>
    <row r="3115" spans="1:6" ht="22.5" hidden="1" customHeight="1" x14ac:dyDescent="0.25">
      <c r="A3115" s="3">
        <v>44105</v>
      </c>
      <c r="B3115" s="2" t="s">
        <v>183</v>
      </c>
      <c r="C3115" s="2">
        <v>-0.37</v>
      </c>
      <c r="D3115" s="2">
        <v>4.1999999999999997E-3</v>
      </c>
      <c r="E3115" s="2">
        <v>-1.554E-5</v>
      </c>
      <c r="F3115" s="2" t="s">
        <v>174</v>
      </c>
    </row>
    <row r="3116" spans="1:6" ht="22.5" hidden="1" customHeight="1" x14ac:dyDescent="0.25">
      <c r="A3116" s="3">
        <v>44105</v>
      </c>
      <c r="B3116" s="2" t="s">
        <v>184</v>
      </c>
      <c r="C3116" s="2">
        <v>1.46</v>
      </c>
      <c r="D3116" s="2">
        <v>6.4000000000000001E-2</v>
      </c>
      <c r="E3116" s="2">
        <v>9.3440000000000005E-4</v>
      </c>
      <c r="F3116" s="2" t="s">
        <v>174</v>
      </c>
    </row>
    <row r="3117" spans="1:6" ht="22.5" hidden="1" customHeight="1" x14ac:dyDescent="0.25">
      <c r="A3117" s="3">
        <v>44105</v>
      </c>
      <c r="B3117" s="2" t="s">
        <v>185</v>
      </c>
      <c r="C3117" s="2">
        <v>1.23</v>
      </c>
      <c r="D3117" s="2">
        <v>0.154</v>
      </c>
      <c r="E3117" s="2">
        <v>1.8942E-3</v>
      </c>
      <c r="F3117" s="2" t="s">
        <v>174</v>
      </c>
    </row>
    <row r="3118" spans="1:6" ht="22.5" hidden="1" customHeight="1" x14ac:dyDescent="0.25">
      <c r="A3118" s="3">
        <v>44105</v>
      </c>
      <c r="B3118" s="2" t="s">
        <v>186</v>
      </c>
      <c r="C3118" s="2">
        <v>0.93</v>
      </c>
      <c r="D3118" s="2">
        <v>0.2235</v>
      </c>
      <c r="E3118" s="2">
        <v>2.0785500000000002E-3</v>
      </c>
      <c r="F3118" s="2" t="s">
        <v>174</v>
      </c>
    </row>
    <row r="3119" spans="1:6" ht="22.5" hidden="1" customHeight="1" x14ac:dyDescent="0.25">
      <c r="A3119" s="3">
        <v>44105</v>
      </c>
      <c r="B3119" s="2" t="s">
        <v>187</v>
      </c>
      <c r="C3119" s="2">
        <v>0.22</v>
      </c>
      <c r="D3119" s="2">
        <v>6.1199999999999997E-2</v>
      </c>
      <c r="E3119" s="2">
        <v>1.3464E-4</v>
      </c>
      <c r="F3119" s="2" t="s">
        <v>174</v>
      </c>
    </row>
    <row r="3120" spans="1:6" ht="22.5" hidden="1" customHeight="1" x14ac:dyDescent="0.25">
      <c r="A3120" s="3">
        <v>44105</v>
      </c>
      <c r="B3120" s="2" t="s">
        <v>188</v>
      </c>
      <c r="C3120" s="2">
        <v>2.12</v>
      </c>
      <c r="D3120" s="2">
        <v>2.64E-2</v>
      </c>
      <c r="E3120" s="2">
        <v>5.5968000000000001E-4</v>
      </c>
      <c r="F3120" s="2" t="s">
        <v>174</v>
      </c>
    </row>
    <row r="3121" spans="1:6" ht="22.5" hidden="1" customHeight="1" x14ac:dyDescent="0.25">
      <c r="A3121" s="3">
        <v>44105</v>
      </c>
      <c r="B3121" s="2" t="s">
        <v>189</v>
      </c>
      <c r="C3121" s="2">
        <v>-0.18</v>
      </c>
      <c r="D3121" s="2">
        <v>3.7000000000000002E-3</v>
      </c>
      <c r="E3121" s="2">
        <v>-6.6599999999999998E-6</v>
      </c>
      <c r="F3121" s="2" t="s">
        <v>174</v>
      </c>
    </row>
    <row r="3122" spans="1:6" ht="22.5" hidden="1" customHeight="1" x14ac:dyDescent="0.25">
      <c r="A3122" s="3">
        <v>44105</v>
      </c>
      <c r="B3122" s="2" t="s">
        <v>190</v>
      </c>
      <c r="C3122" s="2">
        <v>0.83</v>
      </c>
      <c r="D3122" s="2">
        <v>5.0000000000000001E-3</v>
      </c>
      <c r="E3122" s="2">
        <v>4.1499999999999999E-5</v>
      </c>
      <c r="F3122" s="2" t="s">
        <v>174</v>
      </c>
    </row>
    <row r="3123" spans="1:6" ht="22.5" hidden="1" customHeight="1" x14ac:dyDescent="0.25">
      <c r="A3123" s="3">
        <v>44105</v>
      </c>
      <c r="B3123" s="2" t="s">
        <v>191</v>
      </c>
      <c r="C3123" s="2">
        <v>0.62</v>
      </c>
      <c r="D3123" s="2">
        <v>2.76E-2</v>
      </c>
      <c r="E3123" s="2">
        <v>1.7112E-4</v>
      </c>
      <c r="F3123" s="2" t="s">
        <v>174</v>
      </c>
    </row>
    <row r="3124" spans="1:6" ht="22.5" hidden="1" customHeight="1" x14ac:dyDescent="0.25">
      <c r="A3124" s="3">
        <v>44105</v>
      </c>
      <c r="B3124" s="2" t="s">
        <v>192</v>
      </c>
      <c r="C3124" s="2">
        <v>-4.8899999999999997</v>
      </c>
      <c r="D3124" s="2">
        <v>5.1999999999999998E-3</v>
      </c>
      <c r="E3124" s="2">
        <v>-2.5428000000000001E-4</v>
      </c>
      <c r="F3124" s="2" t="s">
        <v>174</v>
      </c>
    </row>
    <row r="3125" spans="1:6" ht="22.5" hidden="1" customHeight="1" x14ac:dyDescent="0.25">
      <c r="A3125" s="3">
        <v>44105</v>
      </c>
      <c r="B3125" s="2" t="s">
        <v>193</v>
      </c>
      <c r="C3125" s="2">
        <v>1.3</v>
      </c>
      <c r="D3125" s="2">
        <v>0.1701</v>
      </c>
      <c r="E3125" s="2">
        <v>2.2112999999999998E-3</v>
      </c>
      <c r="F3125" s="2" t="s">
        <v>174</v>
      </c>
    </row>
    <row r="3126" spans="1:6" ht="22.5" hidden="1" customHeight="1" x14ac:dyDescent="0.25">
      <c r="A3126" s="3">
        <v>44105</v>
      </c>
      <c r="B3126" s="2" t="s">
        <v>194</v>
      </c>
      <c r="C3126" s="2">
        <v>0.46</v>
      </c>
      <c r="D3126" s="2">
        <v>3.3999999999999998E-3</v>
      </c>
      <c r="E3126" s="2">
        <v>1.5639999999999999E-5</v>
      </c>
      <c r="F3126" s="2" t="s">
        <v>174</v>
      </c>
    </row>
    <row r="3127" spans="1:6" ht="22.5" hidden="1" customHeight="1" x14ac:dyDescent="0.25">
      <c r="A3127" s="3">
        <v>43983</v>
      </c>
      <c r="B3127" s="2" t="s">
        <v>292</v>
      </c>
      <c r="C3127" s="2">
        <v>1.03</v>
      </c>
      <c r="D3127" s="2">
        <v>0.1265</v>
      </c>
      <c r="E3127" s="2">
        <v>1.30295E-3</v>
      </c>
      <c r="F3127" s="2" t="s">
        <v>168</v>
      </c>
    </row>
    <row r="3128" spans="1:6" ht="22.5" hidden="1" customHeight="1" x14ac:dyDescent="0.25">
      <c r="A3128" s="3">
        <v>44593</v>
      </c>
      <c r="B3128" s="2" t="s">
        <v>294</v>
      </c>
      <c r="C3128" s="2">
        <v>1.01</v>
      </c>
      <c r="D3128" s="2">
        <v>0.1285</v>
      </c>
      <c r="E3128" s="2">
        <v>1.2978499999999999E-3</v>
      </c>
      <c r="F3128" s="2" t="s">
        <v>168</v>
      </c>
    </row>
    <row r="3129" spans="1:6" ht="22.5" hidden="1" customHeight="1" x14ac:dyDescent="0.25">
      <c r="A3129" s="3">
        <v>44166</v>
      </c>
      <c r="B3129" s="2" t="s">
        <v>287</v>
      </c>
      <c r="C3129" s="2">
        <v>2.11</v>
      </c>
      <c r="D3129" s="2">
        <v>6.1199999999999997E-2</v>
      </c>
      <c r="E3129" s="2">
        <v>1.2913200000000001E-3</v>
      </c>
      <c r="F3129" s="2" t="s">
        <v>168</v>
      </c>
    </row>
    <row r="3130" spans="1:6" ht="22.5" hidden="1" customHeight="1" x14ac:dyDescent="0.25">
      <c r="A3130" s="3">
        <v>44105</v>
      </c>
      <c r="B3130" s="2" t="s">
        <v>198</v>
      </c>
      <c r="C3130" s="2">
        <v>1.81</v>
      </c>
      <c r="D3130" s="2">
        <v>0.33100000000000002</v>
      </c>
      <c r="E3130" s="2">
        <v>5.9911000000000001E-3</v>
      </c>
      <c r="F3130" s="2" t="s">
        <v>170</v>
      </c>
    </row>
    <row r="3131" spans="1:6" ht="22.5" hidden="1" customHeight="1" x14ac:dyDescent="0.25">
      <c r="A3131" s="3">
        <v>44105</v>
      </c>
      <c r="B3131" s="2" t="s">
        <v>199</v>
      </c>
      <c r="C3131" s="2">
        <v>1.79</v>
      </c>
      <c r="D3131" s="2">
        <v>0.44629999999999997</v>
      </c>
      <c r="E3131" s="2">
        <v>7.9887699999999992E-3</v>
      </c>
      <c r="F3131" s="2" t="s">
        <v>170</v>
      </c>
    </row>
    <row r="3132" spans="1:6" ht="22.5" hidden="1" customHeight="1" x14ac:dyDescent="0.25">
      <c r="A3132" s="3">
        <v>44105</v>
      </c>
      <c r="B3132" s="2" t="s">
        <v>200</v>
      </c>
      <c r="C3132" s="2">
        <v>0.9</v>
      </c>
      <c r="D3132" s="2">
        <v>0.1822</v>
      </c>
      <c r="E3132" s="2">
        <v>1.6398000000000001E-3</v>
      </c>
      <c r="F3132" s="2" t="s">
        <v>170</v>
      </c>
    </row>
    <row r="3133" spans="1:6" ht="22.5" hidden="1" customHeight="1" x14ac:dyDescent="0.25">
      <c r="A3133" s="3">
        <v>44105</v>
      </c>
      <c r="B3133" s="2" t="s">
        <v>201</v>
      </c>
      <c r="C3133" s="2">
        <v>1.76</v>
      </c>
      <c r="D3133" s="2">
        <v>2.5999999999999999E-2</v>
      </c>
      <c r="E3133" s="2">
        <v>4.5760000000000001E-4</v>
      </c>
      <c r="F3133" s="2" t="s">
        <v>170</v>
      </c>
    </row>
    <row r="3134" spans="1:6" ht="22.5" hidden="1" customHeight="1" x14ac:dyDescent="0.25">
      <c r="A3134" s="3">
        <v>44105</v>
      </c>
      <c r="B3134" s="2" t="s">
        <v>202</v>
      </c>
      <c r="C3134" s="2">
        <v>9.36</v>
      </c>
      <c r="D3134" s="2">
        <v>1.5100000000000001E-2</v>
      </c>
      <c r="E3134" s="2">
        <v>1.41336E-3</v>
      </c>
      <c r="F3134" s="2" t="s">
        <v>170</v>
      </c>
    </row>
    <row r="3135" spans="1:6" ht="22.5" hidden="1" customHeight="1" x14ac:dyDescent="0.25">
      <c r="A3135" s="3">
        <v>44105</v>
      </c>
      <c r="B3135" s="2" t="s">
        <v>203</v>
      </c>
      <c r="C3135" s="2">
        <v>1.07</v>
      </c>
      <c r="D3135" s="2">
        <v>8.3699999999999997E-2</v>
      </c>
      <c r="E3135" s="2">
        <v>8.9559000000000004E-4</v>
      </c>
      <c r="F3135" s="2" t="s">
        <v>170</v>
      </c>
    </row>
    <row r="3136" spans="1:6" ht="22.5" hidden="1" customHeight="1" x14ac:dyDescent="0.25">
      <c r="A3136" s="3">
        <v>44105</v>
      </c>
      <c r="B3136" s="2" t="s">
        <v>204</v>
      </c>
      <c r="C3136" s="2">
        <v>0.66</v>
      </c>
      <c r="D3136" s="2">
        <v>6.1199999999999997E-2</v>
      </c>
      <c r="E3136" s="2">
        <v>4.0392E-4</v>
      </c>
      <c r="F3136" s="2" t="s">
        <v>174</v>
      </c>
    </row>
    <row r="3137" spans="1:6" ht="22.5" hidden="1" customHeight="1" x14ac:dyDescent="0.25">
      <c r="A3137" s="3">
        <v>44105</v>
      </c>
      <c r="B3137" s="2" t="s">
        <v>205</v>
      </c>
      <c r="C3137" s="2">
        <v>0.4</v>
      </c>
      <c r="D3137" s="2">
        <v>9.6500000000000002E-2</v>
      </c>
      <c r="E3137" s="2">
        <v>3.86E-4</v>
      </c>
      <c r="F3137" s="2" t="s">
        <v>174</v>
      </c>
    </row>
    <row r="3138" spans="1:6" ht="22.5" hidden="1" customHeight="1" x14ac:dyDescent="0.25">
      <c r="A3138" s="3">
        <v>44105</v>
      </c>
      <c r="B3138" s="2" t="s">
        <v>206</v>
      </c>
      <c r="C3138" s="2">
        <v>1.01</v>
      </c>
      <c r="D3138" s="2">
        <v>0.15809999999999999</v>
      </c>
      <c r="E3138" s="2">
        <v>1.5968099999999999E-3</v>
      </c>
      <c r="F3138" s="2" t="s">
        <v>174</v>
      </c>
    </row>
    <row r="3139" spans="1:6" ht="22.5" hidden="1" customHeight="1" x14ac:dyDescent="0.25">
      <c r="A3139" s="3">
        <v>44105</v>
      </c>
      <c r="B3139" s="2" t="s">
        <v>207</v>
      </c>
      <c r="C3139" s="2">
        <v>-0.09</v>
      </c>
      <c r="D3139" s="2">
        <v>4.9500000000000002E-2</v>
      </c>
      <c r="E3139" s="2">
        <v>-4.4549999999999999E-5</v>
      </c>
      <c r="F3139" s="2" t="s">
        <v>174</v>
      </c>
    </row>
    <row r="3140" spans="1:6" ht="22.5" hidden="1" customHeight="1" x14ac:dyDescent="0.25">
      <c r="A3140" s="3">
        <v>44105</v>
      </c>
      <c r="B3140" s="2" t="s">
        <v>208</v>
      </c>
      <c r="C3140" s="2">
        <v>0.51</v>
      </c>
      <c r="D3140" s="2">
        <v>8.8999999999999999E-3</v>
      </c>
      <c r="E3140" s="2">
        <v>4.5389999999999997E-5</v>
      </c>
      <c r="F3140" s="2" t="s">
        <v>174</v>
      </c>
    </row>
    <row r="3141" spans="1:6" ht="22.5" hidden="1" customHeight="1" x14ac:dyDescent="0.25">
      <c r="A3141" s="3">
        <v>44105</v>
      </c>
      <c r="B3141" s="2" t="s">
        <v>209</v>
      </c>
      <c r="C3141" s="2">
        <v>-0.15</v>
      </c>
      <c r="D3141" s="2">
        <v>6.4000000000000003E-3</v>
      </c>
      <c r="E3141" s="2">
        <v>-9.5999999999999996E-6</v>
      </c>
      <c r="F3141" s="2" t="s">
        <v>174</v>
      </c>
    </row>
    <row r="3142" spans="1:6" ht="22.5" hidden="1" customHeight="1" x14ac:dyDescent="0.25">
      <c r="A3142" s="3">
        <v>44105</v>
      </c>
      <c r="B3142" s="2" t="s">
        <v>210</v>
      </c>
      <c r="C3142" s="2">
        <v>0.26</v>
      </c>
      <c r="D3142" s="2">
        <v>1.4500000000000001E-2</v>
      </c>
      <c r="E3142" s="2">
        <v>3.7700000000000002E-5</v>
      </c>
      <c r="F3142" s="2" t="s">
        <v>170</v>
      </c>
    </row>
    <row r="3143" spans="1:6" ht="22.5" hidden="1" customHeight="1" x14ac:dyDescent="0.25">
      <c r="A3143" s="3">
        <v>44105</v>
      </c>
      <c r="B3143" s="2" t="s">
        <v>211</v>
      </c>
      <c r="C3143" s="2">
        <v>1.1599999999999999</v>
      </c>
      <c r="D3143" s="2">
        <v>0.19239999999999999</v>
      </c>
      <c r="E3143" s="2">
        <v>2.2318400000000001E-3</v>
      </c>
      <c r="F3143" s="2" t="s">
        <v>174</v>
      </c>
    </row>
    <row r="3144" spans="1:6" ht="22.5" hidden="1" customHeight="1" x14ac:dyDescent="0.25">
      <c r="A3144" s="3">
        <v>44105</v>
      </c>
      <c r="B3144" s="2" t="s">
        <v>212</v>
      </c>
      <c r="C3144" s="2">
        <v>0.13</v>
      </c>
      <c r="D3144" s="2">
        <v>4.4999999999999997E-3</v>
      </c>
      <c r="E3144" s="2">
        <v>5.8499999999999999E-6</v>
      </c>
      <c r="F3144" s="2" t="s">
        <v>174</v>
      </c>
    </row>
    <row r="3145" spans="1:6" ht="22.5" hidden="1" customHeight="1" x14ac:dyDescent="0.25">
      <c r="A3145" s="3">
        <v>44105</v>
      </c>
      <c r="B3145" s="2" t="s">
        <v>213</v>
      </c>
      <c r="C3145" s="2">
        <v>0.84</v>
      </c>
      <c r="D3145" s="2">
        <v>0.3342</v>
      </c>
      <c r="E3145" s="2">
        <v>2.8072800000000001E-3</v>
      </c>
      <c r="F3145" s="2" t="s">
        <v>170</v>
      </c>
    </row>
    <row r="3146" spans="1:6" ht="22.5" hidden="1" customHeight="1" x14ac:dyDescent="0.25">
      <c r="A3146" s="3">
        <v>44105</v>
      </c>
      <c r="B3146" s="2" t="s">
        <v>214</v>
      </c>
      <c r="C3146" s="2">
        <v>4.5</v>
      </c>
      <c r="D3146" s="2">
        <v>9.9000000000000005E-2</v>
      </c>
      <c r="E3146" s="2">
        <v>4.4549999999999998E-3</v>
      </c>
      <c r="F3146" s="2" t="s">
        <v>170</v>
      </c>
    </row>
    <row r="3147" spans="1:6" ht="22.5" hidden="1" customHeight="1" x14ac:dyDescent="0.25">
      <c r="A3147" s="3">
        <v>44105</v>
      </c>
      <c r="B3147" s="2" t="s">
        <v>215</v>
      </c>
      <c r="C3147" s="2">
        <v>-0.35</v>
      </c>
      <c r="D3147" s="2">
        <v>0.25729999999999997</v>
      </c>
      <c r="E3147" s="2">
        <v>-9.0054999999999996E-4</v>
      </c>
      <c r="F3147" s="2" t="s">
        <v>170</v>
      </c>
    </row>
    <row r="3148" spans="1:6" ht="22.5" hidden="1" customHeight="1" x14ac:dyDescent="0.25">
      <c r="A3148" s="3">
        <v>44105</v>
      </c>
      <c r="B3148" s="2" t="s">
        <v>216</v>
      </c>
      <c r="C3148" s="2">
        <v>1.78</v>
      </c>
      <c r="D3148" s="2">
        <v>1.52E-2</v>
      </c>
      <c r="E3148" s="2">
        <v>2.7055999999999998E-4</v>
      </c>
      <c r="F3148" s="2" t="s">
        <v>170</v>
      </c>
    </row>
    <row r="3149" spans="1:6" ht="22.5" hidden="1" customHeight="1" x14ac:dyDescent="0.25">
      <c r="A3149" s="3">
        <v>44105</v>
      </c>
      <c r="B3149" s="2" t="s">
        <v>217</v>
      </c>
      <c r="C3149" s="2">
        <v>2.4</v>
      </c>
      <c r="D3149" s="2">
        <v>0.1678</v>
      </c>
      <c r="E3149" s="2">
        <v>4.0271999999999999E-3</v>
      </c>
      <c r="F3149" s="2" t="s">
        <v>170</v>
      </c>
    </row>
    <row r="3150" spans="1:6" ht="22.5" hidden="1" customHeight="1" x14ac:dyDescent="0.25">
      <c r="A3150" s="3">
        <v>44105</v>
      </c>
      <c r="B3150" s="2" t="s">
        <v>218</v>
      </c>
      <c r="C3150" s="2">
        <v>1.59</v>
      </c>
      <c r="D3150" s="2">
        <v>7.1000000000000004E-3</v>
      </c>
      <c r="E3150" s="2">
        <v>1.1289E-4</v>
      </c>
      <c r="F3150" s="2" t="s">
        <v>170</v>
      </c>
    </row>
    <row r="3151" spans="1:6" ht="22.5" hidden="1" customHeight="1" x14ac:dyDescent="0.25">
      <c r="A3151" s="3">
        <v>44105</v>
      </c>
      <c r="B3151" s="2" t="s">
        <v>219</v>
      </c>
      <c r="C3151" s="2">
        <v>1.07</v>
      </c>
      <c r="D3151" s="2">
        <v>0.48959999999999998</v>
      </c>
      <c r="E3151" s="2">
        <v>5.2387199999999997E-3</v>
      </c>
      <c r="F3151" s="2" t="s">
        <v>170</v>
      </c>
    </row>
    <row r="3152" spans="1:6" ht="22.5" hidden="1" customHeight="1" x14ac:dyDescent="0.25">
      <c r="A3152" s="3">
        <v>44105</v>
      </c>
      <c r="B3152" s="2" t="s">
        <v>220</v>
      </c>
      <c r="C3152" s="2">
        <v>-0.01</v>
      </c>
      <c r="D3152" s="2">
        <v>1.1599999999999999E-2</v>
      </c>
      <c r="E3152" s="2">
        <v>-1.1599999999999999E-6</v>
      </c>
      <c r="F3152" s="2" t="s">
        <v>170</v>
      </c>
    </row>
    <row r="3153" spans="1:6" ht="22.5" hidden="1" customHeight="1" x14ac:dyDescent="0.25">
      <c r="A3153" s="3">
        <v>44105</v>
      </c>
      <c r="B3153" s="2" t="s">
        <v>221</v>
      </c>
      <c r="C3153" s="2">
        <v>3.18</v>
      </c>
      <c r="D3153" s="2">
        <v>3.5999999999999999E-3</v>
      </c>
      <c r="E3153" s="2">
        <v>1.1448E-4</v>
      </c>
      <c r="F3153" s="2" t="s">
        <v>170</v>
      </c>
    </row>
    <row r="3154" spans="1:6" ht="22.5" hidden="1" customHeight="1" x14ac:dyDescent="0.25">
      <c r="A3154" s="3">
        <v>44105</v>
      </c>
      <c r="B3154" s="2" t="s">
        <v>222</v>
      </c>
      <c r="C3154" s="2">
        <v>2.56</v>
      </c>
      <c r="D3154" s="2">
        <v>0.35539999999999999</v>
      </c>
      <c r="E3154" s="2">
        <v>9.0982400000000005E-3</v>
      </c>
      <c r="F3154" s="2" t="s">
        <v>170</v>
      </c>
    </row>
    <row r="3155" spans="1:6" ht="22.5" hidden="1" customHeight="1" x14ac:dyDescent="0.25">
      <c r="A3155" s="3">
        <v>44105</v>
      </c>
      <c r="B3155" s="2" t="s">
        <v>223</v>
      </c>
      <c r="C3155" s="2">
        <v>-0.15</v>
      </c>
      <c r="D3155" s="2">
        <v>1.7100000000000001E-2</v>
      </c>
      <c r="E3155" s="2">
        <v>-2.565E-5</v>
      </c>
      <c r="F3155" s="2" t="s">
        <v>165</v>
      </c>
    </row>
    <row r="3156" spans="1:6" ht="22.5" hidden="1" customHeight="1" x14ac:dyDescent="0.25">
      <c r="A3156" s="3">
        <v>44105</v>
      </c>
      <c r="B3156" s="2" t="s">
        <v>224</v>
      </c>
      <c r="C3156" s="2">
        <v>2.96</v>
      </c>
      <c r="D3156" s="2">
        <v>2.3E-3</v>
      </c>
      <c r="E3156" s="2">
        <v>6.8079999999999999E-5</v>
      </c>
      <c r="F3156" s="2" t="s">
        <v>165</v>
      </c>
    </row>
    <row r="3157" spans="1:6" ht="22.5" hidden="1" customHeight="1" x14ac:dyDescent="0.25">
      <c r="A3157" s="3">
        <v>44105</v>
      </c>
      <c r="B3157" s="2" t="s">
        <v>225</v>
      </c>
      <c r="C3157" s="2">
        <v>0.14000000000000001</v>
      </c>
      <c r="D3157" s="2">
        <v>4.7000000000000002E-3</v>
      </c>
      <c r="E3157" s="2">
        <v>6.5799999999999997E-6</v>
      </c>
      <c r="F3157" s="2" t="s">
        <v>165</v>
      </c>
    </row>
    <row r="3158" spans="1:6" ht="22.5" hidden="1" customHeight="1" x14ac:dyDescent="0.25">
      <c r="A3158" s="3">
        <v>44105</v>
      </c>
      <c r="B3158" s="2" t="s">
        <v>226</v>
      </c>
      <c r="C3158" s="2">
        <v>0.3</v>
      </c>
      <c r="D3158" s="2">
        <v>4.7300000000000002E-2</v>
      </c>
      <c r="E3158" s="2">
        <v>1.4190000000000001E-4</v>
      </c>
      <c r="F3158" s="2" t="s">
        <v>165</v>
      </c>
    </row>
    <row r="3159" spans="1:6" ht="22.5" hidden="1" customHeight="1" x14ac:dyDescent="0.25">
      <c r="A3159" s="3">
        <v>44105</v>
      </c>
      <c r="B3159" s="2" t="s">
        <v>227</v>
      </c>
      <c r="C3159" s="2">
        <v>0.25</v>
      </c>
      <c r="D3159" s="2">
        <v>6.7599999999999993E-2</v>
      </c>
      <c r="E3159" s="2">
        <v>1.6899999999999999E-4</v>
      </c>
      <c r="F3159" s="2" t="s">
        <v>165</v>
      </c>
    </row>
    <row r="3160" spans="1:6" ht="22.5" hidden="1" customHeight="1" x14ac:dyDescent="0.25">
      <c r="A3160" s="3">
        <v>44105</v>
      </c>
      <c r="B3160" s="2" t="s">
        <v>228</v>
      </c>
      <c r="C3160" s="2">
        <v>2.1800000000000002</v>
      </c>
      <c r="D3160" s="2">
        <v>0.187</v>
      </c>
      <c r="E3160" s="2">
        <v>4.0765999999999997E-3</v>
      </c>
      <c r="F3160" s="2" t="s">
        <v>165</v>
      </c>
    </row>
    <row r="3161" spans="1:6" ht="22.5" hidden="1" customHeight="1" x14ac:dyDescent="0.25">
      <c r="A3161" s="3">
        <v>44105</v>
      </c>
      <c r="B3161" s="2" t="s">
        <v>229</v>
      </c>
      <c r="C3161" s="2">
        <v>0.84</v>
      </c>
      <c r="D3161" s="2">
        <v>0.28539999999999999</v>
      </c>
      <c r="E3161" s="2">
        <v>2.3973599999999999E-3</v>
      </c>
      <c r="F3161" s="2" t="s">
        <v>174</v>
      </c>
    </row>
    <row r="3162" spans="1:6" ht="22.5" hidden="1" customHeight="1" x14ac:dyDescent="0.25">
      <c r="A3162" s="3">
        <v>44105</v>
      </c>
      <c r="B3162" s="2" t="s">
        <v>230</v>
      </c>
      <c r="C3162" s="2">
        <v>-0.49</v>
      </c>
      <c r="D3162" s="2">
        <v>2.18E-2</v>
      </c>
      <c r="E3162" s="2">
        <v>-1.0682E-4</v>
      </c>
      <c r="F3162" s="2" t="s">
        <v>174</v>
      </c>
    </row>
    <row r="3163" spans="1:6" ht="22.5" hidden="1" customHeight="1" x14ac:dyDescent="0.25">
      <c r="A3163" s="3">
        <v>44105</v>
      </c>
      <c r="B3163" s="2" t="s">
        <v>231</v>
      </c>
      <c r="C3163" s="2">
        <v>1.84</v>
      </c>
      <c r="D3163" s="2">
        <v>0.1666</v>
      </c>
      <c r="E3163" s="2">
        <v>3.06544E-3</v>
      </c>
      <c r="F3163" s="2" t="s">
        <v>174</v>
      </c>
    </row>
    <row r="3164" spans="1:6" ht="22.5" hidden="1" customHeight="1" x14ac:dyDescent="0.25">
      <c r="A3164" s="3">
        <v>44105</v>
      </c>
      <c r="B3164" s="2" t="s">
        <v>232</v>
      </c>
      <c r="C3164" s="2">
        <v>3.04</v>
      </c>
      <c r="D3164" s="2">
        <v>5.4999999999999997E-3</v>
      </c>
      <c r="E3164" s="2">
        <v>1.672E-4</v>
      </c>
      <c r="F3164" s="2" t="s">
        <v>174</v>
      </c>
    </row>
    <row r="3165" spans="1:6" ht="22.5" hidden="1" customHeight="1" x14ac:dyDescent="0.25">
      <c r="A3165" s="3">
        <v>44105</v>
      </c>
      <c r="B3165" s="2" t="s">
        <v>233</v>
      </c>
      <c r="C3165" s="2">
        <v>1.45</v>
      </c>
      <c r="D3165" s="2">
        <v>0.56079999999999997</v>
      </c>
      <c r="E3165" s="2">
        <v>8.1315999999999992E-3</v>
      </c>
      <c r="F3165" s="2" t="s">
        <v>174</v>
      </c>
    </row>
    <row r="3166" spans="1:6" ht="22.5" hidden="1" customHeight="1" x14ac:dyDescent="0.25">
      <c r="A3166" s="3">
        <v>44105</v>
      </c>
      <c r="B3166" s="2" t="s">
        <v>234</v>
      </c>
      <c r="C3166" s="2">
        <v>0.45</v>
      </c>
      <c r="D3166" s="2">
        <v>0.31390000000000001</v>
      </c>
      <c r="E3166" s="2">
        <v>1.41255E-3</v>
      </c>
      <c r="F3166" s="2" t="s">
        <v>174</v>
      </c>
    </row>
    <row r="3167" spans="1:6" ht="22.5" hidden="1" customHeight="1" x14ac:dyDescent="0.25">
      <c r="A3167" s="3">
        <v>44105</v>
      </c>
      <c r="B3167" s="2" t="s">
        <v>235</v>
      </c>
      <c r="C3167" s="2">
        <v>-2.82</v>
      </c>
      <c r="D3167" s="2">
        <v>2.5499999999999998E-2</v>
      </c>
      <c r="E3167" s="2">
        <v>-7.1909999999999997E-4</v>
      </c>
      <c r="F3167" s="2" t="s">
        <v>174</v>
      </c>
    </row>
    <row r="3168" spans="1:6" ht="22.5" hidden="1" customHeight="1" x14ac:dyDescent="0.25">
      <c r="A3168" s="3">
        <v>44105</v>
      </c>
      <c r="B3168" s="2" t="s">
        <v>236</v>
      </c>
      <c r="C3168" s="2">
        <v>2.4</v>
      </c>
      <c r="D3168" s="2">
        <v>7.7000000000000002E-3</v>
      </c>
      <c r="E3168" s="2">
        <v>1.8479999999999999E-4</v>
      </c>
      <c r="F3168" s="2" t="s">
        <v>174</v>
      </c>
    </row>
    <row r="3169" spans="1:6" ht="22.5" hidden="1" customHeight="1" x14ac:dyDescent="0.25">
      <c r="A3169" s="3">
        <v>44105</v>
      </c>
      <c r="B3169" s="2" t="s">
        <v>237</v>
      </c>
      <c r="C3169" s="2">
        <v>-0.28000000000000003</v>
      </c>
      <c r="D3169" s="2">
        <v>0.28689999999999999</v>
      </c>
      <c r="E3169" s="2">
        <v>-8.0332000000000005E-4</v>
      </c>
      <c r="F3169" s="2" t="s">
        <v>174</v>
      </c>
    </row>
    <row r="3170" spans="1:6" ht="22.5" hidden="1" customHeight="1" x14ac:dyDescent="0.25">
      <c r="A3170" s="3">
        <v>44105</v>
      </c>
      <c r="B3170" s="2" t="s">
        <v>238</v>
      </c>
      <c r="C3170" s="2">
        <v>-0.89</v>
      </c>
      <c r="D3170" s="2">
        <v>0.52080000000000004</v>
      </c>
      <c r="E3170" s="2">
        <v>-4.6351200000000004E-3</v>
      </c>
      <c r="F3170" s="2" t="s">
        <v>174</v>
      </c>
    </row>
    <row r="3171" spans="1:6" ht="22.5" hidden="1" customHeight="1" x14ac:dyDescent="0.25">
      <c r="A3171" s="3">
        <v>44105</v>
      </c>
      <c r="B3171" s="2" t="s">
        <v>239</v>
      </c>
      <c r="C3171" s="2">
        <v>1.8</v>
      </c>
      <c r="D3171" s="2">
        <v>0.1101</v>
      </c>
      <c r="E3171" s="2">
        <v>1.9818000000000001E-3</v>
      </c>
      <c r="F3171" s="2" t="s">
        <v>174</v>
      </c>
    </row>
    <row r="3172" spans="1:6" ht="22.5" hidden="1" customHeight="1" x14ac:dyDescent="0.25">
      <c r="A3172" s="3">
        <v>44105</v>
      </c>
      <c r="B3172" s="2" t="s">
        <v>240</v>
      </c>
      <c r="C3172" s="2">
        <v>2</v>
      </c>
      <c r="D3172" s="2">
        <v>6.3200000000000006E-2</v>
      </c>
      <c r="E3172" s="2">
        <v>1.2639999999999999E-3</v>
      </c>
      <c r="F3172" s="2" t="s">
        <v>174</v>
      </c>
    </row>
    <row r="3173" spans="1:6" ht="22.5" hidden="1" customHeight="1" x14ac:dyDescent="0.25">
      <c r="A3173" s="3">
        <v>44105</v>
      </c>
      <c r="B3173" s="2" t="s">
        <v>241</v>
      </c>
      <c r="C3173" s="2">
        <v>0.46</v>
      </c>
      <c r="D3173" s="2">
        <v>8.5699999999999998E-2</v>
      </c>
      <c r="E3173" s="2">
        <v>3.9421999999999998E-4</v>
      </c>
      <c r="F3173" s="2" t="s">
        <v>174</v>
      </c>
    </row>
    <row r="3174" spans="1:6" ht="22.5" hidden="1" customHeight="1" x14ac:dyDescent="0.25">
      <c r="A3174" s="3">
        <v>44105</v>
      </c>
      <c r="B3174" s="2" t="s">
        <v>242</v>
      </c>
      <c r="C3174" s="2">
        <v>1.74</v>
      </c>
      <c r="D3174" s="2">
        <v>7.2700000000000001E-2</v>
      </c>
      <c r="E3174" s="2">
        <v>1.26498E-3</v>
      </c>
      <c r="F3174" s="2" t="s">
        <v>174</v>
      </c>
    </row>
    <row r="3175" spans="1:6" ht="22.5" hidden="1" customHeight="1" x14ac:dyDescent="0.25">
      <c r="A3175" s="3">
        <v>44105</v>
      </c>
      <c r="B3175" s="2" t="s">
        <v>243</v>
      </c>
      <c r="C3175" s="2">
        <v>-1.88</v>
      </c>
      <c r="D3175" s="2">
        <v>8.2000000000000007E-3</v>
      </c>
      <c r="E3175" s="2">
        <v>-1.5416E-4</v>
      </c>
      <c r="F3175" s="2" t="s">
        <v>174</v>
      </c>
    </row>
    <row r="3176" spans="1:6" ht="22.5" hidden="1" customHeight="1" x14ac:dyDescent="0.25">
      <c r="A3176" s="3">
        <v>44105</v>
      </c>
      <c r="B3176" s="2" t="s">
        <v>244</v>
      </c>
      <c r="C3176" s="2">
        <v>0.57999999999999996</v>
      </c>
      <c r="D3176" s="2">
        <v>5.3100000000000001E-2</v>
      </c>
      <c r="E3176" s="2">
        <v>3.0798000000000002E-4</v>
      </c>
      <c r="F3176" s="2" t="s">
        <v>174</v>
      </c>
    </row>
    <row r="3177" spans="1:6" ht="22.5" hidden="1" customHeight="1" x14ac:dyDescent="0.25">
      <c r="A3177" s="3">
        <v>44105</v>
      </c>
      <c r="B3177" s="2" t="s">
        <v>245</v>
      </c>
      <c r="C3177" s="2">
        <v>1.4</v>
      </c>
      <c r="D3177" s="2">
        <v>5.2299999999999999E-2</v>
      </c>
      <c r="E3177" s="2">
        <v>7.3220000000000002E-4</v>
      </c>
      <c r="F3177" s="2" t="s">
        <v>174</v>
      </c>
    </row>
    <row r="3178" spans="1:6" ht="22.5" hidden="1" customHeight="1" x14ac:dyDescent="0.25">
      <c r="A3178" s="3">
        <v>44105</v>
      </c>
      <c r="B3178" s="2" t="s">
        <v>246</v>
      </c>
      <c r="C3178" s="2">
        <v>1.73</v>
      </c>
      <c r="D3178" s="2">
        <v>0.1908</v>
      </c>
      <c r="E3178" s="2">
        <v>3.3008400000000002E-3</v>
      </c>
      <c r="F3178" s="2" t="s">
        <v>174</v>
      </c>
    </row>
    <row r="3179" spans="1:6" ht="22.5" hidden="1" customHeight="1" x14ac:dyDescent="0.25">
      <c r="A3179" s="3">
        <v>44105</v>
      </c>
      <c r="B3179" s="2" t="s">
        <v>247</v>
      </c>
      <c r="C3179" s="2">
        <v>0.42</v>
      </c>
      <c r="D3179" s="2">
        <v>0.13800000000000001</v>
      </c>
      <c r="E3179" s="2">
        <v>5.7959999999999999E-4</v>
      </c>
      <c r="F3179" s="2" t="s">
        <v>174</v>
      </c>
    </row>
    <row r="3180" spans="1:6" ht="22.5" hidden="1" customHeight="1" x14ac:dyDescent="0.25">
      <c r="A3180" s="3">
        <v>44105</v>
      </c>
      <c r="B3180" s="2" t="s">
        <v>248</v>
      </c>
      <c r="C3180" s="2">
        <v>1.1000000000000001</v>
      </c>
      <c r="D3180" s="2">
        <v>0.14910000000000001</v>
      </c>
      <c r="E3180" s="2">
        <v>1.6401E-3</v>
      </c>
      <c r="F3180" s="2" t="s">
        <v>174</v>
      </c>
    </row>
    <row r="3181" spans="1:6" ht="22.5" hidden="1" customHeight="1" x14ac:dyDescent="0.25">
      <c r="A3181" s="3">
        <v>44105</v>
      </c>
      <c r="B3181" s="2" t="s">
        <v>249</v>
      </c>
      <c r="C3181" s="2">
        <v>0.33</v>
      </c>
      <c r="D3181" s="2">
        <v>0.2707</v>
      </c>
      <c r="E3181" s="2">
        <v>8.9331000000000002E-4</v>
      </c>
      <c r="F3181" s="2" t="s">
        <v>174</v>
      </c>
    </row>
    <row r="3182" spans="1:6" ht="22.5" hidden="1" customHeight="1" x14ac:dyDescent="0.25">
      <c r="A3182" s="3">
        <v>44105</v>
      </c>
      <c r="B3182" s="2" t="s">
        <v>250</v>
      </c>
      <c r="C3182" s="2">
        <v>-0.84</v>
      </c>
      <c r="D3182" s="2">
        <v>2.6700000000000002E-2</v>
      </c>
      <c r="E3182" s="2">
        <v>-2.2427999999999999E-4</v>
      </c>
      <c r="F3182" s="2" t="s">
        <v>174</v>
      </c>
    </row>
    <row r="3183" spans="1:6" ht="22.5" hidden="1" customHeight="1" x14ac:dyDescent="0.25">
      <c r="A3183" s="3">
        <v>44105</v>
      </c>
      <c r="B3183" s="2" t="s">
        <v>251</v>
      </c>
      <c r="C3183" s="2">
        <v>-0.16</v>
      </c>
      <c r="D3183" s="2">
        <v>6.1800000000000001E-2</v>
      </c>
      <c r="E3183" s="2">
        <v>-9.8880000000000002E-5</v>
      </c>
      <c r="F3183" s="2" t="s">
        <v>174</v>
      </c>
    </row>
    <row r="3184" spans="1:6" ht="22.5" hidden="1" customHeight="1" x14ac:dyDescent="0.25">
      <c r="A3184" s="3">
        <v>44105</v>
      </c>
      <c r="B3184" s="2" t="s">
        <v>252</v>
      </c>
      <c r="C3184" s="2">
        <v>-0.2</v>
      </c>
      <c r="D3184" s="2">
        <v>8.6E-3</v>
      </c>
      <c r="E3184" s="2">
        <v>-1.7200000000000001E-5</v>
      </c>
      <c r="F3184" s="2" t="s">
        <v>174</v>
      </c>
    </row>
    <row r="3185" spans="1:6" ht="22.5" hidden="1" customHeight="1" x14ac:dyDescent="0.25">
      <c r="A3185" s="3">
        <v>44105</v>
      </c>
      <c r="B3185" s="2" t="s">
        <v>253</v>
      </c>
      <c r="C3185" s="2">
        <v>2.14</v>
      </c>
      <c r="D3185" s="2">
        <v>0.4355</v>
      </c>
      <c r="E3185" s="2">
        <v>9.3197000000000002E-3</v>
      </c>
      <c r="F3185" s="2" t="s">
        <v>174</v>
      </c>
    </row>
    <row r="3186" spans="1:6" ht="22.5" hidden="1" customHeight="1" x14ac:dyDescent="0.25">
      <c r="A3186" s="3">
        <v>44105</v>
      </c>
      <c r="B3186" s="2" t="s">
        <v>254</v>
      </c>
      <c r="C3186" s="2">
        <v>1.23</v>
      </c>
      <c r="D3186" s="2">
        <v>0.18640000000000001</v>
      </c>
      <c r="E3186" s="2">
        <v>2.2927199999999998E-3</v>
      </c>
      <c r="F3186" s="2" t="s">
        <v>174</v>
      </c>
    </row>
    <row r="3187" spans="1:6" ht="22.5" hidden="1" customHeight="1" x14ac:dyDescent="0.25">
      <c r="A3187" s="3">
        <v>44105</v>
      </c>
      <c r="B3187" s="2" t="s">
        <v>255</v>
      </c>
      <c r="C3187" s="2">
        <v>0.42</v>
      </c>
      <c r="D3187" s="2">
        <v>1.66E-2</v>
      </c>
      <c r="E3187" s="2">
        <v>6.9720000000000003E-5</v>
      </c>
      <c r="F3187" s="2" t="s">
        <v>170</v>
      </c>
    </row>
    <row r="3188" spans="1:6" ht="22.5" hidden="1" customHeight="1" x14ac:dyDescent="0.25">
      <c r="A3188" s="3">
        <v>44105</v>
      </c>
      <c r="B3188" s="2" t="s">
        <v>256</v>
      </c>
      <c r="C3188" s="2">
        <v>2.38</v>
      </c>
      <c r="D3188" s="2">
        <v>0.14099999999999999</v>
      </c>
      <c r="E3188" s="2">
        <v>3.3557999999999999E-3</v>
      </c>
      <c r="F3188" s="2" t="s">
        <v>170</v>
      </c>
    </row>
    <row r="3189" spans="1:6" ht="22.5" hidden="1" customHeight="1" x14ac:dyDescent="0.25">
      <c r="A3189" s="3">
        <v>44105</v>
      </c>
      <c r="B3189" s="2" t="s">
        <v>257</v>
      </c>
      <c r="C3189" s="2">
        <v>0.36</v>
      </c>
      <c r="D3189" s="2">
        <v>5.0999999999999997E-2</v>
      </c>
      <c r="E3189" s="2">
        <v>1.8359999999999999E-4</v>
      </c>
      <c r="F3189" s="2" t="s">
        <v>170</v>
      </c>
    </row>
    <row r="3190" spans="1:6" ht="22.5" hidden="1" customHeight="1" x14ac:dyDescent="0.25">
      <c r="A3190" s="3">
        <v>44105</v>
      </c>
      <c r="B3190" s="2" t="s">
        <v>258</v>
      </c>
      <c r="C3190" s="2">
        <v>0.73</v>
      </c>
      <c r="D3190" s="2">
        <v>4.65E-2</v>
      </c>
      <c r="E3190" s="2">
        <v>3.3944999999999998E-4</v>
      </c>
      <c r="F3190" s="2" t="s">
        <v>174</v>
      </c>
    </row>
    <row r="3191" spans="1:6" ht="22.5" hidden="1" customHeight="1" x14ac:dyDescent="0.25">
      <c r="A3191" s="3">
        <v>44105</v>
      </c>
      <c r="B3191" s="2" t="s">
        <v>259</v>
      </c>
      <c r="C3191" s="2">
        <v>1.39</v>
      </c>
      <c r="D3191" s="2">
        <v>0.01</v>
      </c>
      <c r="E3191" s="2">
        <v>1.3899999999999999E-4</v>
      </c>
      <c r="F3191" s="2" t="s">
        <v>174</v>
      </c>
    </row>
    <row r="3192" spans="1:6" ht="22.5" hidden="1" customHeight="1" x14ac:dyDescent="0.25">
      <c r="A3192" s="3">
        <v>44197</v>
      </c>
      <c r="B3192" s="2" t="s">
        <v>297</v>
      </c>
      <c r="C3192" s="2">
        <v>0.44</v>
      </c>
      <c r="D3192" s="2">
        <v>0.29049999999999998</v>
      </c>
      <c r="E3192" s="2">
        <v>1.2782E-3</v>
      </c>
      <c r="F3192" s="2" t="s">
        <v>168</v>
      </c>
    </row>
    <row r="3193" spans="1:6" ht="22.5" hidden="1" customHeight="1" x14ac:dyDescent="0.25">
      <c r="A3193" s="3">
        <v>44501</v>
      </c>
      <c r="B3193" s="2" t="s">
        <v>196</v>
      </c>
      <c r="C3193" s="2">
        <v>0.88</v>
      </c>
      <c r="D3193" s="2">
        <v>0.14430000000000001</v>
      </c>
      <c r="E3193" s="2">
        <v>1.2698399999999999E-3</v>
      </c>
      <c r="F3193" s="2" t="s">
        <v>168</v>
      </c>
    </row>
    <row r="3194" spans="1:6" ht="22.5" hidden="1" customHeight="1" x14ac:dyDescent="0.25">
      <c r="A3194" s="3">
        <v>44440</v>
      </c>
      <c r="B3194" s="2" t="s">
        <v>299</v>
      </c>
      <c r="C3194" s="2">
        <v>1.45</v>
      </c>
      <c r="D3194" s="2">
        <v>8.7300000000000003E-2</v>
      </c>
      <c r="E3194" s="2">
        <v>1.26585E-3</v>
      </c>
      <c r="F3194" s="2" t="s">
        <v>168</v>
      </c>
    </row>
    <row r="3195" spans="1:6" ht="22.5" hidden="1" customHeight="1" x14ac:dyDescent="0.25">
      <c r="A3195" s="3">
        <v>44348</v>
      </c>
      <c r="B3195" s="2" t="s">
        <v>294</v>
      </c>
      <c r="C3195" s="2">
        <v>0.94</v>
      </c>
      <c r="D3195" s="2">
        <v>0.13450000000000001</v>
      </c>
      <c r="E3195" s="2">
        <v>1.2643000000000001E-3</v>
      </c>
      <c r="F3195" s="2" t="s">
        <v>168</v>
      </c>
    </row>
    <row r="3196" spans="1:6" ht="22.5" hidden="1" customHeight="1" x14ac:dyDescent="0.25">
      <c r="A3196" s="3">
        <v>44531</v>
      </c>
      <c r="B3196" s="2" t="s">
        <v>296</v>
      </c>
      <c r="C3196" s="2">
        <v>0.68</v>
      </c>
      <c r="D3196" s="2">
        <v>0.1855</v>
      </c>
      <c r="E3196" s="2">
        <v>1.2614E-3</v>
      </c>
      <c r="F3196" s="2" t="s">
        <v>168</v>
      </c>
    </row>
    <row r="3197" spans="1:6" ht="22.5" hidden="1" customHeight="1" x14ac:dyDescent="0.25">
      <c r="A3197" s="3">
        <v>43862</v>
      </c>
      <c r="B3197" s="2" t="s">
        <v>266</v>
      </c>
      <c r="C3197" s="2">
        <v>1.75</v>
      </c>
      <c r="D3197" s="2">
        <v>7.1999999999999995E-2</v>
      </c>
      <c r="E3197" s="2">
        <v>1.2600000000000001E-3</v>
      </c>
      <c r="F3197" s="2" t="s">
        <v>168</v>
      </c>
    </row>
    <row r="3198" spans="1:6" ht="22.5" hidden="1" customHeight="1" x14ac:dyDescent="0.25">
      <c r="A3198" s="3">
        <v>44562</v>
      </c>
      <c r="B3198" s="2" t="s">
        <v>297</v>
      </c>
      <c r="C3198" s="2">
        <v>0.44</v>
      </c>
      <c r="D3198" s="2">
        <v>0.28560000000000002</v>
      </c>
      <c r="E3198" s="2">
        <v>1.2566400000000001E-3</v>
      </c>
      <c r="F3198" s="2" t="s">
        <v>168</v>
      </c>
    </row>
    <row r="3199" spans="1:6" ht="22.5" hidden="1" customHeight="1" x14ac:dyDescent="0.25">
      <c r="A3199" s="3">
        <v>44105</v>
      </c>
      <c r="B3199" s="2" t="s">
        <v>267</v>
      </c>
      <c r="C3199" s="2">
        <v>0</v>
      </c>
      <c r="D3199" s="2">
        <v>0.13600000000000001</v>
      </c>
      <c r="E3199" s="2">
        <v>0</v>
      </c>
      <c r="F3199" s="2" t="s">
        <v>165</v>
      </c>
    </row>
    <row r="3200" spans="1:6" ht="22.5" hidden="1" customHeight="1" x14ac:dyDescent="0.25">
      <c r="A3200" s="3">
        <v>44105</v>
      </c>
      <c r="B3200" s="2" t="s">
        <v>268</v>
      </c>
      <c r="C3200" s="2">
        <v>2.0699999999999998</v>
      </c>
      <c r="D3200" s="2">
        <v>0.1709</v>
      </c>
      <c r="E3200" s="2">
        <v>3.5376299999999999E-3</v>
      </c>
      <c r="F3200" s="2" t="s">
        <v>165</v>
      </c>
    </row>
    <row r="3201" spans="1:6" ht="22.5" hidden="1" customHeight="1" x14ac:dyDescent="0.25">
      <c r="A3201" s="3">
        <v>44105</v>
      </c>
      <c r="B3201" s="2" t="s">
        <v>269</v>
      </c>
      <c r="C3201" s="2">
        <v>0</v>
      </c>
      <c r="D3201" s="2">
        <v>6.9900000000000004E-2</v>
      </c>
      <c r="E3201" s="2">
        <v>0</v>
      </c>
      <c r="F3201" s="2" t="s">
        <v>165</v>
      </c>
    </row>
    <row r="3202" spans="1:6" ht="22.5" hidden="1" customHeight="1" x14ac:dyDescent="0.25">
      <c r="A3202" s="3">
        <v>44105</v>
      </c>
      <c r="B3202" s="2" t="s">
        <v>270</v>
      </c>
      <c r="C3202" s="2">
        <v>0.55000000000000004</v>
      </c>
      <c r="D3202" s="2">
        <v>2.9738000000000002</v>
      </c>
      <c r="E3202" s="2">
        <v>1.63559E-2</v>
      </c>
      <c r="F3202" s="2" t="s">
        <v>170</v>
      </c>
    </row>
    <row r="3203" spans="1:6" ht="22.5" hidden="1" customHeight="1" x14ac:dyDescent="0.25">
      <c r="A3203" s="3">
        <v>44075</v>
      </c>
      <c r="B3203" s="2" t="s">
        <v>296</v>
      </c>
      <c r="C3203" s="2">
        <v>0.62</v>
      </c>
      <c r="D3203" s="2">
        <v>0.19769999999999999</v>
      </c>
      <c r="E3203" s="2">
        <v>1.2257399999999999E-3</v>
      </c>
      <c r="F3203" s="2" t="s">
        <v>168</v>
      </c>
    </row>
    <row r="3204" spans="1:6" ht="22.5" hidden="1" customHeight="1" x14ac:dyDescent="0.25">
      <c r="A3204" s="3">
        <v>44105</v>
      </c>
      <c r="B3204" s="2" t="s">
        <v>272</v>
      </c>
      <c r="C3204" s="2">
        <v>2.46</v>
      </c>
      <c r="D3204" s="2">
        <v>0.73950000000000005</v>
      </c>
      <c r="E3204" s="2">
        <v>1.8191700000000002E-2</v>
      </c>
      <c r="F3204" s="2" t="s">
        <v>165</v>
      </c>
    </row>
    <row r="3205" spans="1:6" ht="22.5" hidden="1" customHeight="1" x14ac:dyDescent="0.25">
      <c r="A3205" s="3">
        <v>44440</v>
      </c>
      <c r="B3205" s="2" t="s">
        <v>292</v>
      </c>
      <c r="C3205" s="2">
        <v>0.95</v>
      </c>
      <c r="D3205" s="2">
        <v>0.128</v>
      </c>
      <c r="E3205" s="2">
        <v>1.2160000000000001E-3</v>
      </c>
      <c r="F3205" s="2" t="s">
        <v>168</v>
      </c>
    </row>
    <row r="3206" spans="1:6" ht="22.5" hidden="1" customHeight="1" x14ac:dyDescent="0.25">
      <c r="A3206" s="3">
        <v>44105</v>
      </c>
      <c r="B3206" s="2" t="s">
        <v>274</v>
      </c>
      <c r="C3206" s="2">
        <v>0.54</v>
      </c>
      <c r="D3206" s="2">
        <v>0.1278</v>
      </c>
      <c r="E3206" s="2">
        <v>6.9012000000000001E-4</v>
      </c>
      <c r="F3206" s="2" t="s">
        <v>170</v>
      </c>
    </row>
    <row r="3207" spans="1:6" ht="22.5" hidden="1" customHeight="1" x14ac:dyDescent="0.25">
      <c r="A3207" s="3">
        <v>44105</v>
      </c>
      <c r="B3207" s="2" t="s">
        <v>275</v>
      </c>
      <c r="C3207" s="2">
        <v>0.77</v>
      </c>
      <c r="D3207" s="2">
        <v>0.17480000000000001</v>
      </c>
      <c r="E3207" s="2">
        <v>1.34596E-3</v>
      </c>
      <c r="F3207" s="2" t="s">
        <v>170</v>
      </c>
    </row>
    <row r="3208" spans="1:6" ht="22.5" hidden="1" customHeight="1" x14ac:dyDescent="0.25">
      <c r="A3208" s="3">
        <v>44105</v>
      </c>
      <c r="B3208" s="2" t="s">
        <v>276</v>
      </c>
      <c r="C3208" s="2">
        <v>2.38</v>
      </c>
      <c r="D3208" s="2">
        <v>0.20830000000000001</v>
      </c>
      <c r="E3208" s="2">
        <v>4.9575399999999999E-3</v>
      </c>
      <c r="F3208" s="2" t="s">
        <v>170</v>
      </c>
    </row>
    <row r="3209" spans="1:6" ht="22.5" hidden="1" customHeight="1" x14ac:dyDescent="0.25">
      <c r="A3209" s="3">
        <v>44105</v>
      </c>
      <c r="B3209" s="2" t="s">
        <v>277</v>
      </c>
      <c r="C3209" s="2">
        <v>0.51</v>
      </c>
      <c r="D3209" s="2">
        <v>1.7081999999999999</v>
      </c>
      <c r="E3209" s="2">
        <v>8.7118200000000003E-3</v>
      </c>
      <c r="F3209" s="2" t="s">
        <v>165</v>
      </c>
    </row>
    <row r="3210" spans="1:6" ht="22.5" hidden="1" customHeight="1" x14ac:dyDescent="0.25">
      <c r="A3210" s="3">
        <v>44105</v>
      </c>
      <c r="B3210" s="2" t="s">
        <v>278</v>
      </c>
      <c r="C3210" s="2">
        <v>1.55</v>
      </c>
      <c r="D3210" s="2">
        <v>7.1099999999999997E-2</v>
      </c>
      <c r="E3210" s="2">
        <v>1.10205E-3</v>
      </c>
      <c r="F3210" s="2" t="s">
        <v>165</v>
      </c>
    </row>
    <row r="3211" spans="1:6" ht="22.5" hidden="1" customHeight="1" x14ac:dyDescent="0.25">
      <c r="A3211" s="3">
        <v>44409</v>
      </c>
      <c r="B3211" s="2" t="s">
        <v>292</v>
      </c>
      <c r="C3211" s="2">
        <v>0.95</v>
      </c>
      <c r="D3211" s="2">
        <v>0.12790000000000001</v>
      </c>
      <c r="E3211" s="2">
        <v>1.2150500000000001E-3</v>
      </c>
      <c r="F3211" s="2" t="s">
        <v>168</v>
      </c>
    </row>
    <row r="3212" spans="1:6" ht="22.5" hidden="1" customHeight="1" x14ac:dyDescent="0.25">
      <c r="A3212" s="3">
        <v>44105</v>
      </c>
      <c r="B3212" s="2" t="s">
        <v>280</v>
      </c>
      <c r="C3212" s="2">
        <v>0.5</v>
      </c>
      <c r="D3212" s="2">
        <v>1.8859999999999999</v>
      </c>
      <c r="E3212" s="2">
        <v>9.4299999999999991E-3</v>
      </c>
      <c r="F3212" s="2" t="s">
        <v>170</v>
      </c>
    </row>
    <row r="3213" spans="1:6" ht="22.5" hidden="1" customHeight="1" x14ac:dyDescent="0.25">
      <c r="A3213" s="3">
        <v>44105</v>
      </c>
      <c r="B3213" s="2" t="s">
        <v>281</v>
      </c>
      <c r="C3213" s="2">
        <v>0.69</v>
      </c>
      <c r="D3213" s="2">
        <v>1.6400000000000001E-2</v>
      </c>
      <c r="E3213" s="2">
        <v>1.1315999999999999E-4</v>
      </c>
      <c r="F3213" s="2" t="s">
        <v>165</v>
      </c>
    </row>
    <row r="3214" spans="1:6" ht="22.5" hidden="1" customHeight="1" x14ac:dyDescent="0.25">
      <c r="A3214" s="3">
        <v>44105</v>
      </c>
      <c r="B3214" s="2" t="s">
        <v>282</v>
      </c>
      <c r="C3214" s="2">
        <v>7.49</v>
      </c>
      <c r="D3214" s="2">
        <v>2.1600000000000001E-2</v>
      </c>
      <c r="E3214" s="2">
        <v>1.6178399999999999E-3</v>
      </c>
      <c r="F3214" s="2" t="s">
        <v>165</v>
      </c>
    </row>
    <row r="3215" spans="1:6" ht="22.5" hidden="1" customHeight="1" x14ac:dyDescent="0.25">
      <c r="A3215" s="3">
        <v>44105</v>
      </c>
      <c r="B3215" s="2" t="s">
        <v>283</v>
      </c>
      <c r="C3215" s="2">
        <v>0.4</v>
      </c>
      <c r="D3215" s="2">
        <v>0.58009999999999995</v>
      </c>
      <c r="E3215" s="2">
        <v>2.3203999999999998E-3</v>
      </c>
      <c r="F3215" s="2" t="s">
        <v>170</v>
      </c>
    </row>
    <row r="3216" spans="1:6" ht="22.5" hidden="1" customHeight="1" x14ac:dyDescent="0.25">
      <c r="A3216" s="3">
        <v>44470</v>
      </c>
      <c r="B3216" s="2" t="s">
        <v>167</v>
      </c>
      <c r="C3216" s="2">
        <v>7.0000000000000007E-2</v>
      </c>
      <c r="D3216" s="2">
        <v>1.7252000000000001</v>
      </c>
      <c r="E3216" s="2">
        <v>1.2076400000000001E-3</v>
      </c>
      <c r="F3216" s="2" t="s">
        <v>168</v>
      </c>
    </row>
    <row r="3217" spans="1:6" ht="22.5" hidden="1" customHeight="1" x14ac:dyDescent="0.25">
      <c r="A3217" s="3">
        <v>43952</v>
      </c>
      <c r="B3217" s="2" t="s">
        <v>296</v>
      </c>
      <c r="C3217" s="2">
        <v>0.63</v>
      </c>
      <c r="D3217" s="2">
        <v>0.19139999999999999</v>
      </c>
      <c r="E3217" s="2">
        <v>1.20582E-3</v>
      </c>
      <c r="F3217" s="2" t="s">
        <v>168</v>
      </c>
    </row>
    <row r="3218" spans="1:6" ht="22.5" hidden="1" customHeight="1" x14ac:dyDescent="0.25">
      <c r="A3218" s="3">
        <v>44287</v>
      </c>
      <c r="B3218" s="2" t="s">
        <v>288</v>
      </c>
      <c r="C3218" s="2">
        <v>0.54</v>
      </c>
      <c r="D3218" s="2">
        <v>0.222</v>
      </c>
      <c r="E3218" s="2">
        <v>1.1988000000000001E-3</v>
      </c>
      <c r="F3218" s="2" t="s">
        <v>168</v>
      </c>
    </row>
    <row r="3219" spans="1:6" ht="22.5" hidden="1" customHeight="1" x14ac:dyDescent="0.25">
      <c r="A3219" s="3">
        <v>44501</v>
      </c>
      <c r="B3219" s="2" t="s">
        <v>292</v>
      </c>
      <c r="C3219" s="2">
        <v>0.95</v>
      </c>
      <c r="D3219" s="2">
        <v>0.126</v>
      </c>
      <c r="E3219" s="2">
        <v>1.1969999999999999E-3</v>
      </c>
      <c r="F3219" s="2" t="s">
        <v>168</v>
      </c>
    </row>
    <row r="3220" spans="1:6" ht="22.5" hidden="1" customHeight="1" x14ac:dyDescent="0.25">
      <c r="A3220" s="3">
        <v>44501</v>
      </c>
      <c r="B3220" s="2" t="s">
        <v>167</v>
      </c>
      <c r="C3220" s="2">
        <v>7.0000000000000007E-2</v>
      </c>
      <c r="D3220" s="2">
        <v>1.7055</v>
      </c>
      <c r="E3220" s="2">
        <v>1.19385E-3</v>
      </c>
      <c r="F3220" s="2" t="s">
        <v>168</v>
      </c>
    </row>
    <row r="3221" spans="1:6" ht="22.5" hidden="1" customHeight="1" x14ac:dyDescent="0.25">
      <c r="A3221" s="3">
        <v>44531</v>
      </c>
      <c r="B3221" s="2" t="s">
        <v>294</v>
      </c>
      <c r="C3221" s="2">
        <v>0.92</v>
      </c>
      <c r="D3221" s="2">
        <v>0.12889999999999999</v>
      </c>
      <c r="E3221" s="2">
        <v>1.1858800000000001E-3</v>
      </c>
      <c r="F3221" s="2" t="s">
        <v>168</v>
      </c>
    </row>
    <row r="3222" spans="1:6" ht="22.5" hidden="1" customHeight="1" x14ac:dyDescent="0.25">
      <c r="A3222" s="3">
        <v>44197</v>
      </c>
      <c r="B3222" s="2" t="s">
        <v>291</v>
      </c>
      <c r="C3222" s="2">
        <v>0.63</v>
      </c>
      <c r="D3222" s="2">
        <v>0.1867</v>
      </c>
      <c r="E3222" s="2">
        <v>1.17621E-3</v>
      </c>
      <c r="F3222" s="2" t="s">
        <v>168</v>
      </c>
    </row>
    <row r="3223" spans="1:6" ht="22.5" hidden="1" customHeight="1" x14ac:dyDescent="0.25">
      <c r="A3223" s="3">
        <v>44562</v>
      </c>
      <c r="B3223" s="2" t="s">
        <v>292</v>
      </c>
      <c r="C3223" s="2">
        <v>0.93</v>
      </c>
      <c r="D3223" s="2">
        <v>0.12509999999999999</v>
      </c>
      <c r="E3223" s="2">
        <v>1.16343E-3</v>
      </c>
      <c r="F3223" s="2" t="s">
        <v>168</v>
      </c>
    </row>
    <row r="3224" spans="1:6" ht="22.5" hidden="1" customHeight="1" x14ac:dyDescent="0.25">
      <c r="A3224" s="3">
        <v>44075</v>
      </c>
      <c r="B3224" s="2" t="s">
        <v>292</v>
      </c>
      <c r="C3224" s="2">
        <v>0.88</v>
      </c>
      <c r="D3224" s="2">
        <v>0.13120000000000001</v>
      </c>
      <c r="E3224" s="2">
        <v>1.15456E-3</v>
      </c>
      <c r="F3224" s="2" t="s">
        <v>168</v>
      </c>
    </row>
    <row r="3225" spans="1:6" ht="22.5" hidden="1" customHeight="1" x14ac:dyDescent="0.25">
      <c r="A3225" s="3">
        <v>44593</v>
      </c>
      <c r="B3225" s="2" t="s">
        <v>293</v>
      </c>
      <c r="C3225" s="2">
        <v>0.71</v>
      </c>
      <c r="D3225" s="2">
        <v>0.16250000000000001</v>
      </c>
      <c r="E3225" s="2">
        <v>1.15375E-3</v>
      </c>
      <c r="F3225" s="2" t="s">
        <v>168</v>
      </c>
    </row>
    <row r="3226" spans="1:6" ht="22.5" hidden="1" customHeight="1" x14ac:dyDescent="0.25">
      <c r="A3226" s="3">
        <v>44105</v>
      </c>
      <c r="B3226" s="2" t="s">
        <v>286</v>
      </c>
      <c r="C3226" s="2">
        <v>0.62</v>
      </c>
      <c r="D3226" s="2">
        <v>0.17949999999999999</v>
      </c>
      <c r="E3226" s="2">
        <v>1.1129E-3</v>
      </c>
      <c r="F3226" s="2" t="s">
        <v>168</v>
      </c>
    </row>
    <row r="3227" spans="1:6" ht="22.5" hidden="1" customHeight="1" x14ac:dyDescent="0.25">
      <c r="A3227" s="3">
        <v>44197</v>
      </c>
      <c r="B3227" s="2" t="s">
        <v>263</v>
      </c>
      <c r="C3227" s="2">
        <v>0.26</v>
      </c>
      <c r="D3227" s="2">
        <v>0.4209</v>
      </c>
      <c r="E3227" s="2">
        <v>1.0943400000000001E-3</v>
      </c>
      <c r="F3227" s="2" t="s">
        <v>168</v>
      </c>
    </row>
    <row r="3228" spans="1:6" ht="22.5" hidden="1" customHeight="1" x14ac:dyDescent="0.25">
      <c r="A3228" s="3">
        <v>44593</v>
      </c>
      <c r="B3228" s="2" t="s">
        <v>290</v>
      </c>
      <c r="C3228" s="2">
        <v>0.75</v>
      </c>
      <c r="D3228" s="2">
        <v>0.14419999999999999</v>
      </c>
      <c r="E3228" s="2">
        <v>1.0815E-3</v>
      </c>
      <c r="F3228" s="2" t="s">
        <v>168</v>
      </c>
    </row>
    <row r="3229" spans="1:6" ht="22.5" hidden="1" customHeight="1" x14ac:dyDescent="0.25">
      <c r="A3229" s="3">
        <v>44440</v>
      </c>
      <c r="B3229" s="2" t="s">
        <v>293</v>
      </c>
      <c r="C3229" s="2">
        <v>0.65</v>
      </c>
      <c r="D3229" s="2">
        <v>0.16600000000000001</v>
      </c>
      <c r="E3229" s="2">
        <v>1.0790000000000001E-3</v>
      </c>
      <c r="F3229" s="2" t="s">
        <v>168</v>
      </c>
    </row>
    <row r="3230" spans="1:6" ht="22.5" hidden="1" customHeight="1" x14ac:dyDescent="0.25">
      <c r="A3230" s="3">
        <v>44228</v>
      </c>
      <c r="B3230" s="2" t="s">
        <v>260</v>
      </c>
      <c r="C3230" s="2">
        <v>0.08</v>
      </c>
      <c r="D3230" s="2">
        <v>1.3304</v>
      </c>
      <c r="E3230" s="2">
        <v>1.0643199999999999E-3</v>
      </c>
      <c r="F3230" s="2" t="s">
        <v>168</v>
      </c>
    </row>
    <row r="3231" spans="1:6" ht="22.5" hidden="1" customHeight="1" x14ac:dyDescent="0.25">
      <c r="A3231" s="3">
        <v>44409</v>
      </c>
      <c r="B3231" s="2" t="s">
        <v>196</v>
      </c>
      <c r="C3231" s="2">
        <v>0.73</v>
      </c>
      <c r="D3231" s="2">
        <v>0.1449</v>
      </c>
      <c r="E3231" s="2">
        <v>1.05777E-3</v>
      </c>
      <c r="F3231" s="2" t="s">
        <v>168</v>
      </c>
    </row>
    <row r="3232" spans="1:6" ht="22.5" hidden="1" customHeight="1" x14ac:dyDescent="0.25">
      <c r="A3232" s="3">
        <v>43983</v>
      </c>
      <c r="B3232" s="2" t="s">
        <v>294</v>
      </c>
      <c r="C3232" s="2">
        <v>0.78</v>
      </c>
      <c r="D3232" s="2">
        <v>0.13489999999999999</v>
      </c>
      <c r="E3232" s="2">
        <v>1.05222E-3</v>
      </c>
      <c r="F3232" s="2" t="s">
        <v>168</v>
      </c>
    </row>
    <row r="3233" spans="1:6" ht="22.5" hidden="1" customHeight="1" x14ac:dyDescent="0.25">
      <c r="A3233" s="3">
        <v>44075</v>
      </c>
      <c r="B3233" s="2" t="s">
        <v>297</v>
      </c>
      <c r="C3233" s="2">
        <v>0.34</v>
      </c>
      <c r="D3233" s="2">
        <v>0.30509999999999998</v>
      </c>
      <c r="E3233" s="2">
        <v>1.0373400000000001E-3</v>
      </c>
      <c r="F3233" s="2" t="s">
        <v>168</v>
      </c>
    </row>
    <row r="3234" spans="1:6" ht="22.5" hidden="1" customHeight="1" x14ac:dyDescent="0.25">
      <c r="A3234" s="3">
        <v>44105</v>
      </c>
      <c r="B3234" s="2" t="s">
        <v>302</v>
      </c>
      <c r="C3234" s="2">
        <v>-0.1</v>
      </c>
      <c r="D3234" s="2">
        <v>0.29809999999999998</v>
      </c>
      <c r="E3234" s="2">
        <v>-2.9809999999999998E-4</v>
      </c>
      <c r="F3234" s="2" t="s">
        <v>170</v>
      </c>
    </row>
    <row r="3235" spans="1:6" ht="22.5" hidden="1" customHeight="1" x14ac:dyDescent="0.25">
      <c r="A3235" s="3">
        <v>44105</v>
      </c>
      <c r="B3235" s="2" t="s">
        <v>303</v>
      </c>
      <c r="C3235" s="2">
        <v>0.21</v>
      </c>
      <c r="D3235" s="2">
        <v>0.55459999999999998</v>
      </c>
      <c r="E3235" s="2">
        <v>1.1646600000000001E-3</v>
      </c>
      <c r="F3235" s="2" t="s">
        <v>165</v>
      </c>
    </row>
    <row r="3236" spans="1:6" ht="22.5" hidden="1" customHeight="1" x14ac:dyDescent="0.25">
      <c r="A3236" s="3">
        <v>44105</v>
      </c>
      <c r="B3236" s="2" t="s">
        <v>304</v>
      </c>
      <c r="C3236" s="2">
        <v>0.8</v>
      </c>
      <c r="D3236" s="2">
        <v>0.5302</v>
      </c>
      <c r="E3236" s="2">
        <v>4.2415999999999999E-3</v>
      </c>
      <c r="F3236" s="2" t="s">
        <v>165</v>
      </c>
    </row>
    <row r="3237" spans="1:6" ht="22.5" hidden="1" customHeight="1" x14ac:dyDescent="0.25">
      <c r="A3237" s="3">
        <v>44105</v>
      </c>
      <c r="B3237" s="2" t="s">
        <v>305</v>
      </c>
      <c r="C3237" s="2">
        <v>0.03</v>
      </c>
      <c r="D3237" s="2">
        <v>1.9099999999999999E-2</v>
      </c>
      <c r="E3237" s="2">
        <v>5.7300000000000002E-6</v>
      </c>
      <c r="F3237" s="2" t="s">
        <v>170</v>
      </c>
    </row>
    <row r="3238" spans="1:6" ht="22.5" hidden="1" customHeight="1" x14ac:dyDescent="0.25">
      <c r="A3238" s="3">
        <v>44105</v>
      </c>
      <c r="B3238" s="2" t="s">
        <v>306</v>
      </c>
      <c r="C3238" s="2">
        <v>0.65</v>
      </c>
      <c r="D3238" s="2">
        <v>4.9000000000000002E-2</v>
      </c>
      <c r="E3238" s="2">
        <v>3.1849999999999999E-4</v>
      </c>
      <c r="F3238" s="2" t="s">
        <v>165</v>
      </c>
    </row>
    <row r="3239" spans="1:6" ht="22.5" hidden="1" customHeight="1" x14ac:dyDescent="0.25">
      <c r="A3239" s="3">
        <v>44105</v>
      </c>
      <c r="B3239" s="2" t="s">
        <v>307</v>
      </c>
      <c r="C3239" s="2">
        <v>-0.01</v>
      </c>
      <c r="D3239" s="2">
        <v>0.11</v>
      </c>
      <c r="E3239" s="2">
        <v>-1.1E-5</v>
      </c>
      <c r="F3239" s="2" t="s">
        <v>165</v>
      </c>
    </row>
    <row r="3240" spans="1:6" ht="22.5" hidden="1" customHeight="1" x14ac:dyDescent="0.25">
      <c r="A3240" s="3">
        <v>44105</v>
      </c>
      <c r="B3240" s="2" t="s">
        <v>308</v>
      </c>
      <c r="C3240" s="2">
        <v>-0.17</v>
      </c>
      <c r="D3240" s="2">
        <v>0.38529999999999998</v>
      </c>
      <c r="E3240" s="2">
        <v>-6.5501000000000003E-4</v>
      </c>
      <c r="F3240" s="2" t="s">
        <v>165</v>
      </c>
    </row>
    <row r="3241" spans="1:6" ht="22.5" hidden="1" customHeight="1" x14ac:dyDescent="0.25">
      <c r="A3241" s="3">
        <v>44105</v>
      </c>
      <c r="B3241" s="2" t="s">
        <v>309</v>
      </c>
      <c r="C3241" s="2">
        <v>-0.12</v>
      </c>
      <c r="D3241" s="2">
        <v>0.13469999999999999</v>
      </c>
      <c r="E3241" s="2">
        <v>-1.6164E-4</v>
      </c>
      <c r="F3241" s="2" t="s">
        <v>165</v>
      </c>
    </row>
    <row r="3242" spans="1:6" ht="22.5" hidden="1" customHeight="1" x14ac:dyDescent="0.25">
      <c r="A3242" s="3">
        <v>44044</v>
      </c>
      <c r="B3242" s="2" t="s">
        <v>299</v>
      </c>
      <c r="C3242" s="2">
        <v>1.08</v>
      </c>
      <c r="D3242" s="2">
        <v>9.5100000000000004E-2</v>
      </c>
      <c r="E3242" s="2">
        <v>1.0270800000000001E-3</v>
      </c>
      <c r="F3242" s="2" t="s">
        <v>168</v>
      </c>
    </row>
    <row r="3243" spans="1:6" ht="22.5" hidden="1" customHeight="1" x14ac:dyDescent="0.25">
      <c r="A3243" s="3">
        <v>44105</v>
      </c>
      <c r="B3243" s="2" t="s">
        <v>311</v>
      </c>
      <c r="C3243" s="2">
        <v>-7.0000000000000007E-2</v>
      </c>
      <c r="D3243" s="2">
        <v>0.63300000000000001</v>
      </c>
      <c r="E3243" s="2">
        <v>-4.4309999999999998E-4</v>
      </c>
      <c r="F3243" s="2" t="s">
        <v>174</v>
      </c>
    </row>
    <row r="3244" spans="1:6" ht="22.5" hidden="1" customHeight="1" x14ac:dyDescent="0.25">
      <c r="A3244" s="3">
        <v>44105</v>
      </c>
      <c r="B3244" s="2" t="s">
        <v>312</v>
      </c>
      <c r="C3244" s="2">
        <v>-7.0000000000000007E-2</v>
      </c>
      <c r="D3244" s="2">
        <v>0.2198</v>
      </c>
      <c r="E3244" s="2">
        <v>-1.5385999999999999E-4</v>
      </c>
      <c r="F3244" s="2" t="s">
        <v>174</v>
      </c>
    </row>
    <row r="3245" spans="1:6" ht="22.5" hidden="1" customHeight="1" x14ac:dyDescent="0.25">
      <c r="A3245" s="3">
        <v>44105</v>
      </c>
      <c r="B3245" s="2" t="s">
        <v>313</v>
      </c>
      <c r="C3245" s="2">
        <v>0.8</v>
      </c>
      <c r="D3245" s="2">
        <v>0.1351</v>
      </c>
      <c r="E3245" s="2">
        <v>1.0808E-3</v>
      </c>
      <c r="F3245" s="2" t="s">
        <v>174</v>
      </c>
    </row>
    <row r="3246" spans="1:6" ht="22.5" hidden="1" customHeight="1" x14ac:dyDescent="0.25">
      <c r="A3246" s="3">
        <v>44105</v>
      </c>
      <c r="B3246" s="2" t="s">
        <v>314</v>
      </c>
      <c r="C3246" s="2">
        <v>-1.7</v>
      </c>
      <c r="D3246" s="2">
        <v>0.3911</v>
      </c>
      <c r="E3246" s="2">
        <v>-6.6486999999999996E-3</v>
      </c>
      <c r="F3246" s="2" t="s">
        <v>174</v>
      </c>
    </row>
    <row r="3247" spans="1:6" ht="22.5" hidden="1" customHeight="1" x14ac:dyDescent="0.25">
      <c r="A3247" s="3">
        <v>44105</v>
      </c>
      <c r="B3247" s="2" t="s">
        <v>315</v>
      </c>
      <c r="C3247" s="2">
        <v>1.1399999999999999</v>
      </c>
      <c r="D3247" s="2">
        <v>0.2651</v>
      </c>
      <c r="E3247" s="2">
        <v>3.02214E-3</v>
      </c>
      <c r="F3247" s="2" t="s">
        <v>174</v>
      </c>
    </row>
    <row r="3248" spans="1:6" ht="22.5" hidden="1" customHeight="1" x14ac:dyDescent="0.25">
      <c r="A3248" s="3">
        <v>44105</v>
      </c>
      <c r="B3248" s="2" t="s">
        <v>316</v>
      </c>
      <c r="C3248" s="2">
        <v>0.09</v>
      </c>
      <c r="D3248" s="2">
        <v>4.1000000000000003E-3</v>
      </c>
      <c r="E3248" s="2">
        <v>3.6899999999999998E-6</v>
      </c>
      <c r="F3248" s="2" t="s">
        <v>174</v>
      </c>
    </row>
    <row r="3249" spans="1:6" ht="22.5" hidden="1" customHeight="1" x14ac:dyDescent="0.25">
      <c r="A3249" s="3">
        <v>44105</v>
      </c>
      <c r="B3249" s="2" t="s">
        <v>317</v>
      </c>
      <c r="C3249" s="2">
        <v>3.55</v>
      </c>
      <c r="D3249" s="2">
        <v>1.0166999999999999</v>
      </c>
      <c r="E3249" s="2">
        <v>3.6092850000000003E-2</v>
      </c>
      <c r="F3249" s="2" t="s">
        <v>174</v>
      </c>
    </row>
    <row r="3250" spans="1:6" ht="22.5" hidden="1" customHeight="1" x14ac:dyDescent="0.25">
      <c r="A3250" s="3">
        <v>44105</v>
      </c>
      <c r="B3250" s="2" t="s">
        <v>318</v>
      </c>
      <c r="C3250" s="2">
        <v>-0.83</v>
      </c>
      <c r="D3250" s="2">
        <v>0.45569999999999999</v>
      </c>
      <c r="E3250" s="2">
        <v>-3.7823100000000001E-3</v>
      </c>
      <c r="F3250" s="2" t="s">
        <v>174</v>
      </c>
    </row>
    <row r="3251" spans="1:6" ht="22.5" hidden="1" customHeight="1" x14ac:dyDescent="0.25">
      <c r="A3251" s="3">
        <v>44105</v>
      </c>
      <c r="B3251" s="2" t="s">
        <v>319</v>
      </c>
      <c r="C3251" s="2">
        <v>1.23</v>
      </c>
      <c r="D3251" s="2">
        <v>0.1114</v>
      </c>
      <c r="E3251" s="2">
        <v>1.3702199999999999E-3</v>
      </c>
      <c r="F3251" s="2" t="s">
        <v>174</v>
      </c>
    </row>
    <row r="3252" spans="1:6" ht="22.5" hidden="1" customHeight="1" x14ac:dyDescent="0.25">
      <c r="A3252" s="3">
        <v>44105</v>
      </c>
      <c r="B3252" s="2" t="s">
        <v>320</v>
      </c>
      <c r="C3252" s="2">
        <v>0.75</v>
      </c>
      <c r="D3252" s="2">
        <v>0.29930000000000001</v>
      </c>
      <c r="E3252" s="2">
        <v>2.2447499999999998E-3</v>
      </c>
      <c r="F3252" s="2" t="s">
        <v>174</v>
      </c>
    </row>
    <row r="3253" spans="1:6" ht="22.5" hidden="1" customHeight="1" x14ac:dyDescent="0.25">
      <c r="A3253" s="3">
        <v>44105</v>
      </c>
      <c r="B3253" s="2" t="s">
        <v>321</v>
      </c>
      <c r="C3253" s="2">
        <v>-0.3</v>
      </c>
      <c r="D3253" s="2">
        <v>0.21049999999999999</v>
      </c>
      <c r="E3253" s="2">
        <v>-6.3150000000000001E-4</v>
      </c>
      <c r="F3253" s="2" t="s">
        <v>174</v>
      </c>
    </row>
    <row r="3254" spans="1:6" ht="22.5" hidden="1" customHeight="1" x14ac:dyDescent="0.25">
      <c r="A3254" s="3">
        <v>44105</v>
      </c>
      <c r="B3254" s="2" t="s">
        <v>322</v>
      </c>
      <c r="C3254" s="2">
        <v>3.98</v>
      </c>
      <c r="D3254" s="2">
        <v>0.16739999999999999</v>
      </c>
      <c r="E3254" s="2">
        <v>6.6625199999999999E-3</v>
      </c>
      <c r="F3254" s="2" t="s">
        <v>174</v>
      </c>
    </row>
    <row r="3255" spans="1:6" ht="22.5" hidden="1" customHeight="1" x14ac:dyDescent="0.25">
      <c r="A3255" s="3">
        <v>44105</v>
      </c>
      <c r="B3255" s="2" t="s">
        <v>323</v>
      </c>
      <c r="C3255" s="2">
        <v>0.34</v>
      </c>
      <c r="D3255" s="2">
        <v>1.12E-2</v>
      </c>
      <c r="E3255" s="2">
        <v>3.8080000000000001E-5</v>
      </c>
      <c r="F3255" s="2" t="s">
        <v>165</v>
      </c>
    </row>
    <row r="3256" spans="1:6" ht="22.5" hidden="1" customHeight="1" x14ac:dyDescent="0.25">
      <c r="A3256" s="3">
        <v>44105</v>
      </c>
      <c r="B3256" s="2" t="s">
        <v>324</v>
      </c>
      <c r="C3256" s="2">
        <v>0.99</v>
      </c>
      <c r="D3256" s="2">
        <v>0.39639999999999997</v>
      </c>
      <c r="E3256" s="2">
        <v>3.92436E-3</v>
      </c>
      <c r="F3256" s="2" t="s">
        <v>165</v>
      </c>
    </row>
    <row r="3257" spans="1:6" ht="22.5" hidden="1" customHeight="1" x14ac:dyDescent="0.25">
      <c r="A3257" s="3">
        <v>44105</v>
      </c>
      <c r="B3257" s="2" t="s">
        <v>325</v>
      </c>
      <c r="C3257" s="2">
        <v>0.12</v>
      </c>
      <c r="D3257" s="2">
        <v>3.1848000000000001</v>
      </c>
      <c r="E3257" s="2">
        <v>3.82176E-3</v>
      </c>
      <c r="F3257" s="2" t="s">
        <v>165</v>
      </c>
    </row>
    <row r="3258" spans="1:6" ht="22.5" hidden="1" customHeight="1" x14ac:dyDescent="0.25">
      <c r="A3258" s="3">
        <v>44105</v>
      </c>
      <c r="B3258" s="2" t="s">
        <v>326</v>
      </c>
      <c r="C3258" s="2">
        <v>0.5</v>
      </c>
      <c r="D3258" s="2">
        <v>1.0633999999999999</v>
      </c>
      <c r="E3258" s="2">
        <v>5.3169999999999997E-3</v>
      </c>
      <c r="F3258" s="2" t="s">
        <v>165</v>
      </c>
    </row>
    <row r="3259" spans="1:6" ht="22.5" hidden="1" customHeight="1" x14ac:dyDescent="0.25">
      <c r="A3259" s="3">
        <v>44105</v>
      </c>
      <c r="B3259" s="2" t="s">
        <v>327</v>
      </c>
      <c r="C3259" s="2">
        <v>0.96</v>
      </c>
      <c r="D3259" s="2">
        <v>6.2E-2</v>
      </c>
      <c r="E3259" s="2">
        <v>5.9520000000000005E-4</v>
      </c>
      <c r="F3259" s="2" t="s">
        <v>165</v>
      </c>
    </row>
    <row r="3260" spans="1:6" ht="22.5" hidden="1" customHeight="1" x14ac:dyDescent="0.25">
      <c r="A3260" s="3">
        <v>44105</v>
      </c>
      <c r="B3260" s="2" t="s">
        <v>328</v>
      </c>
      <c r="C3260" s="2">
        <v>0</v>
      </c>
      <c r="D3260" s="2">
        <v>1.8700000000000001E-2</v>
      </c>
      <c r="E3260" s="2">
        <v>0</v>
      </c>
      <c r="F3260" s="2" t="s">
        <v>165</v>
      </c>
    </row>
    <row r="3261" spans="1:6" ht="22.5" hidden="1" customHeight="1" x14ac:dyDescent="0.25">
      <c r="A3261" s="3">
        <v>44105</v>
      </c>
      <c r="B3261" s="2" t="s">
        <v>329</v>
      </c>
      <c r="C3261" s="2">
        <v>0.3</v>
      </c>
      <c r="D3261" s="2">
        <v>9.7500000000000003E-2</v>
      </c>
      <c r="E3261" s="2">
        <v>2.9250000000000001E-4</v>
      </c>
      <c r="F3261" s="2" t="s">
        <v>165</v>
      </c>
    </row>
    <row r="3262" spans="1:6" ht="22.5" hidden="1" customHeight="1" x14ac:dyDescent="0.25">
      <c r="A3262" s="3">
        <v>44105</v>
      </c>
      <c r="B3262" s="2" t="s">
        <v>330</v>
      </c>
      <c r="C3262" s="2">
        <v>0.13</v>
      </c>
      <c r="D3262" s="2">
        <v>1.8021</v>
      </c>
      <c r="E3262" s="2">
        <v>2.3427299999999999E-3</v>
      </c>
      <c r="F3262" s="2" t="s">
        <v>165</v>
      </c>
    </row>
    <row r="3263" spans="1:6" ht="22.5" hidden="1" customHeight="1" x14ac:dyDescent="0.25">
      <c r="A3263" s="3">
        <v>44105</v>
      </c>
      <c r="B3263" s="2" t="s">
        <v>331</v>
      </c>
      <c r="C3263" s="2">
        <v>0.13</v>
      </c>
      <c r="D3263" s="2">
        <v>5.91E-2</v>
      </c>
      <c r="E3263" s="2">
        <v>7.6829999999999995E-5</v>
      </c>
      <c r="F3263" s="2" t="s">
        <v>165</v>
      </c>
    </row>
    <row r="3264" spans="1:6" ht="22.5" hidden="1" customHeight="1" x14ac:dyDescent="0.25">
      <c r="A3264" s="3">
        <v>44105</v>
      </c>
      <c r="B3264" s="2" t="s">
        <v>332</v>
      </c>
      <c r="C3264" s="2">
        <v>-0.31</v>
      </c>
      <c r="D3264" s="2">
        <v>0.10970000000000001</v>
      </c>
      <c r="E3264" s="2">
        <v>-3.4006999999999999E-4</v>
      </c>
      <c r="F3264" s="2" t="s">
        <v>165</v>
      </c>
    </row>
    <row r="3265" spans="1:6" ht="22.5" hidden="1" customHeight="1" x14ac:dyDescent="0.25">
      <c r="A3265" s="3">
        <v>44105</v>
      </c>
      <c r="B3265" s="2" t="s">
        <v>333</v>
      </c>
      <c r="C3265" s="2">
        <v>0.88</v>
      </c>
      <c r="D3265" s="2">
        <v>8.4599999999999995E-2</v>
      </c>
      <c r="E3265" s="2">
        <v>7.4447999999999995E-4</v>
      </c>
      <c r="F3265" s="2" t="s">
        <v>165</v>
      </c>
    </row>
    <row r="3266" spans="1:6" ht="22.5" hidden="1" customHeight="1" x14ac:dyDescent="0.25">
      <c r="A3266" s="3">
        <v>44105</v>
      </c>
      <c r="B3266" s="2" t="s">
        <v>334</v>
      </c>
      <c r="C3266" s="2">
        <v>2.68</v>
      </c>
      <c r="D3266" s="2">
        <v>2.06E-2</v>
      </c>
      <c r="E3266" s="2">
        <v>5.5208000000000004E-4</v>
      </c>
      <c r="F3266" s="2" t="s">
        <v>170</v>
      </c>
    </row>
    <row r="3267" spans="1:6" ht="22.5" hidden="1" customHeight="1" x14ac:dyDescent="0.25">
      <c r="A3267" s="3">
        <v>44105</v>
      </c>
      <c r="B3267" s="2" t="s">
        <v>335</v>
      </c>
      <c r="C3267" s="2">
        <v>-0.92</v>
      </c>
      <c r="D3267" s="2">
        <v>0.2989</v>
      </c>
      <c r="E3267" s="2">
        <v>-2.7498800000000001E-3</v>
      </c>
      <c r="F3267" s="2" t="s">
        <v>165</v>
      </c>
    </row>
    <row r="3268" spans="1:6" ht="22.5" hidden="1" customHeight="1" x14ac:dyDescent="0.25">
      <c r="A3268" s="3">
        <v>44105</v>
      </c>
      <c r="B3268" s="2" t="s">
        <v>336</v>
      </c>
      <c r="C3268" s="2">
        <v>1.08</v>
      </c>
      <c r="D3268" s="2">
        <v>9.8500000000000004E-2</v>
      </c>
      <c r="E3268" s="2">
        <v>1.0637999999999999E-3</v>
      </c>
      <c r="F3268" s="2" t="s">
        <v>170</v>
      </c>
    </row>
    <row r="3269" spans="1:6" ht="22.5" hidden="1" customHeight="1" x14ac:dyDescent="0.25">
      <c r="A3269" s="3">
        <v>44105</v>
      </c>
      <c r="B3269" s="2" t="s">
        <v>337</v>
      </c>
      <c r="C3269" s="2">
        <v>0.39</v>
      </c>
      <c r="D3269" s="2">
        <v>0.34339999999999998</v>
      </c>
      <c r="E3269" s="2">
        <v>1.3392600000000001E-3</v>
      </c>
      <c r="F3269" s="2" t="s">
        <v>174</v>
      </c>
    </row>
    <row r="3270" spans="1:6" ht="22.5" hidden="1" customHeight="1" x14ac:dyDescent="0.25">
      <c r="A3270" s="3">
        <v>44105</v>
      </c>
      <c r="B3270" s="2" t="s">
        <v>338</v>
      </c>
      <c r="C3270" s="2">
        <v>-0.45</v>
      </c>
      <c r="D3270" s="2">
        <v>0.2089</v>
      </c>
      <c r="E3270" s="2">
        <v>-9.4005E-4</v>
      </c>
      <c r="F3270" s="2" t="s">
        <v>174</v>
      </c>
    </row>
    <row r="3271" spans="1:6" ht="22.5" hidden="1" customHeight="1" x14ac:dyDescent="0.25">
      <c r="A3271" s="3">
        <v>44105</v>
      </c>
      <c r="B3271" s="2" t="s">
        <v>339</v>
      </c>
      <c r="C3271" s="2">
        <v>0</v>
      </c>
      <c r="D3271" s="2">
        <v>4.4999999999999998E-2</v>
      </c>
      <c r="E3271" s="2">
        <v>0</v>
      </c>
      <c r="F3271" s="2" t="s">
        <v>165</v>
      </c>
    </row>
    <row r="3272" spans="1:6" ht="22.5" hidden="1" customHeight="1" x14ac:dyDescent="0.25">
      <c r="A3272" s="3">
        <v>44562</v>
      </c>
      <c r="B3272" s="2" t="s">
        <v>263</v>
      </c>
      <c r="C3272" s="2">
        <v>0.26</v>
      </c>
      <c r="D3272" s="2">
        <v>0.38869999999999999</v>
      </c>
      <c r="E3272" s="2">
        <v>1.0106200000000001E-3</v>
      </c>
      <c r="F3272" s="2" t="s">
        <v>168</v>
      </c>
    </row>
    <row r="3273" spans="1:6" ht="22.5" hidden="1" customHeight="1" x14ac:dyDescent="0.25">
      <c r="A3273" s="3">
        <v>44105</v>
      </c>
      <c r="B3273" s="2" t="s">
        <v>341</v>
      </c>
      <c r="C3273" s="2">
        <v>-0.36</v>
      </c>
      <c r="D3273" s="2">
        <v>1.1599999999999999E-2</v>
      </c>
      <c r="E3273" s="2">
        <v>-4.176E-5</v>
      </c>
      <c r="F3273" s="2" t="s">
        <v>174</v>
      </c>
    </row>
    <row r="3274" spans="1:6" ht="22.5" hidden="1" customHeight="1" x14ac:dyDescent="0.25">
      <c r="A3274" s="3">
        <v>44105</v>
      </c>
      <c r="B3274" s="2" t="s">
        <v>342</v>
      </c>
      <c r="C3274" s="2">
        <v>0.19</v>
      </c>
      <c r="D3274" s="2">
        <v>0.54369999999999996</v>
      </c>
      <c r="E3274" s="2">
        <v>1.0330300000000001E-3</v>
      </c>
      <c r="F3274" s="2" t="s">
        <v>165</v>
      </c>
    </row>
    <row r="3275" spans="1:6" ht="22.5" hidden="1" customHeight="1" x14ac:dyDescent="0.25">
      <c r="A3275" s="3">
        <v>44105</v>
      </c>
      <c r="B3275" s="2" t="s">
        <v>343</v>
      </c>
      <c r="C3275" s="2">
        <v>1.4</v>
      </c>
      <c r="D3275" s="2">
        <v>0.4743</v>
      </c>
      <c r="E3275" s="2">
        <v>6.6401999999999997E-3</v>
      </c>
      <c r="F3275" s="2" t="s">
        <v>165</v>
      </c>
    </row>
    <row r="3276" spans="1:6" ht="22.5" hidden="1" customHeight="1" x14ac:dyDescent="0.25">
      <c r="A3276" s="3">
        <v>44105</v>
      </c>
      <c r="B3276" s="2" t="s">
        <v>344</v>
      </c>
      <c r="C3276" s="2">
        <v>-0.04</v>
      </c>
      <c r="D3276" s="2">
        <v>0.14480000000000001</v>
      </c>
      <c r="E3276" s="2">
        <v>-5.7920000000000001E-5</v>
      </c>
      <c r="F3276" s="2" t="s">
        <v>165</v>
      </c>
    </row>
    <row r="3277" spans="1:6" ht="22.5" hidden="1" customHeight="1" x14ac:dyDescent="0.25">
      <c r="A3277" s="3">
        <v>44105</v>
      </c>
      <c r="B3277" s="2" t="s">
        <v>345</v>
      </c>
      <c r="C3277" s="2">
        <v>-0.56999999999999995</v>
      </c>
      <c r="D3277" s="2">
        <v>0.54569999999999996</v>
      </c>
      <c r="E3277" s="2">
        <v>-3.11049E-3</v>
      </c>
      <c r="F3277" s="2" t="s">
        <v>165</v>
      </c>
    </row>
    <row r="3278" spans="1:6" ht="22.5" hidden="1" customHeight="1" x14ac:dyDescent="0.25">
      <c r="A3278" s="3">
        <v>44105</v>
      </c>
      <c r="B3278" s="2" t="s">
        <v>346</v>
      </c>
      <c r="C3278" s="2">
        <v>-0.88</v>
      </c>
      <c r="D3278" s="2">
        <v>0.57040000000000002</v>
      </c>
      <c r="E3278" s="2">
        <v>-5.0195200000000004E-3</v>
      </c>
      <c r="F3278" s="2" t="s">
        <v>174</v>
      </c>
    </row>
    <row r="3279" spans="1:6" ht="22.5" hidden="1" customHeight="1" x14ac:dyDescent="0.25">
      <c r="A3279" s="3">
        <v>44105</v>
      </c>
      <c r="B3279" s="2" t="s">
        <v>347</v>
      </c>
      <c r="C3279" s="2">
        <v>0</v>
      </c>
      <c r="D3279" s="2">
        <v>0.1971</v>
      </c>
      <c r="E3279" s="2">
        <v>0</v>
      </c>
      <c r="F3279" s="2" t="s">
        <v>165</v>
      </c>
    </row>
    <row r="3280" spans="1:6" ht="22.5" hidden="1" customHeight="1" x14ac:dyDescent="0.25">
      <c r="A3280" s="3">
        <v>44105</v>
      </c>
      <c r="B3280" s="2" t="s">
        <v>348</v>
      </c>
      <c r="C3280" s="2">
        <v>0</v>
      </c>
      <c r="D3280" s="2">
        <v>0.3211</v>
      </c>
      <c r="E3280" s="2">
        <v>0</v>
      </c>
      <c r="F3280" s="2" t="s">
        <v>165</v>
      </c>
    </row>
    <row r="3281" spans="1:6" ht="22.5" hidden="1" customHeight="1" x14ac:dyDescent="0.25">
      <c r="A3281" s="3">
        <v>44105</v>
      </c>
      <c r="B3281" s="2" t="s">
        <v>349</v>
      </c>
      <c r="C3281" s="2">
        <v>0</v>
      </c>
      <c r="D3281" s="2">
        <v>1.5522</v>
      </c>
      <c r="E3281" s="2">
        <v>0</v>
      </c>
      <c r="F3281" s="2" t="s">
        <v>165</v>
      </c>
    </row>
    <row r="3282" spans="1:6" ht="22.5" hidden="1" customHeight="1" x14ac:dyDescent="0.25">
      <c r="A3282" s="3">
        <v>44105</v>
      </c>
      <c r="B3282" s="2" t="s">
        <v>350</v>
      </c>
      <c r="C3282" s="2">
        <v>0</v>
      </c>
      <c r="D3282" s="2">
        <v>0.39050000000000001</v>
      </c>
      <c r="E3282" s="2">
        <v>0</v>
      </c>
      <c r="F3282" s="2" t="s">
        <v>165</v>
      </c>
    </row>
    <row r="3283" spans="1:6" ht="22.5" hidden="1" customHeight="1" x14ac:dyDescent="0.25">
      <c r="A3283" s="3">
        <v>44105</v>
      </c>
      <c r="B3283" s="2" t="s">
        <v>351</v>
      </c>
      <c r="C3283" s="2">
        <v>0</v>
      </c>
      <c r="D3283" s="2">
        <v>1.8404</v>
      </c>
      <c r="E3283" s="2">
        <v>0</v>
      </c>
      <c r="F3283" s="2" t="s">
        <v>165</v>
      </c>
    </row>
    <row r="3284" spans="1:6" ht="22.5" hidden="1" customHeight="1" x14ac:dyDescent="0.25">
      <c r="A3284" s="3">
        <v>44105</v>
      </c>
      <c r="B3284" s="2" t="s">
        <v>352</v>
      </c>
      <c r="C3284" s="2">
        <v>0</v>
      </c>
      <c r="D3284" s="2">
        <v>0.29149999999999998</v>
      </c>
      <c r="E3284" s="2">
        <v>0</v>
      </c>
      <c r="F3284" s="2" t="s">
        <v>165</v>
      </c>
    </row>
    <row r="3285" spans="1:6" ht="22.5" hidden="1" customHeight="1" x14ac:dyDescent="0.25">
      <c r="A3285" s="3">
        <v>44105</v>
      </c>
      <c r="B3285" s="2" t="s">
        <v>353</v>
      </c>
      <c r="C3285" s="2">
        <v>0</v>
      </c>
      <c r="D3285" s="2">
        <v>4.2299999999999997E-2</v>
      </c>
      <c r="E3285" s="2">
        <v>0</v>
      </c>
      <c r="F3285" s="2" t="s">
        <v>165</v>
      </c>
    </row>
    <row r="3286" spans="1:6" ht="22.5" hidden="1" customHeight="1" x14ac:dyDescent="0.25">
      <c r="A3286" s="3">
        <v>44105</v>
      </c>
      <c r="B3286" s="2" t="s">
        <v>354</v>
      </c>
      <c r="C3286" s="2">
        <v>0</v>
      </c>
      <c r="D3286" s="2">
        <v>3.2500000000000001E-2</v>
      </c>
      <c r="E3286" s="2">
        <v>0</v>
      </c>
      <c r="F3286" s="2" t="s">
        <v>165</v>
      </c>
    </row>
    <row r="3287" spans="1:6" ht="22.5" hidden="1" customHeight="1" x14ac:dyDescent="0.25">
      <c r="A3287" s="3">
        <v>44105</v>
      </c>
      <c r="B3287" s="2" t="s">
        <v>355</v>
      </c>
      <c r="C3287" s="2">
        <v>0</v>
      </c>
      <c r="D3287" s="2">
        <v>3.0499999999999999E-2</v>
      </c>
      <c r="E3287" s="2">
        <v>0</v>
      </c>
      <c r="F3287" s="2" t="s">
        <v>174</v>
      </c>
    </row>
    <row r="3288" spans="1:6" ht="22.5" hidden="1" customHeight="1" x14ac:dyDescent="0.25">
      <c r="A3288" s="3">
        <v>44105</v>
      </c>
      <c r="B3288" s="2" t="s">
        <v>356</v>
      </c>
      <c r="C3288" s="2">
        <v>1.83</v>
      </c>
      <c r="D3288" s="2">
        <v>2.98E-2</v>
      </c>
      <c r="E3288" s="2">
        <v>5.4533999999999995E-4</v>
      </c>
      <c r="F3288" s="2" t="s">
        <v>174</v>
      </c>
    </row>
    <row r="3289" spans="1:6" ht="22.5" hidden="1" customHeight="1" x14ac:dyDescent="0.25">
      <c r="A3289" s="3">
        <v>44105</v>
      </c>
      <c r="B3289" s="2" t="s">
        <v>357</v>
      </c>
      <c r="C3289" s="2">
        <v>0</v>
      </c>
      <c r="D3289" s="2">
        <v>0.38369999999999999</v>
      </c>
      <c r="E3289" s="2">
        <v>0</v>
      </c>
      <c r="F3289" s="2" t="s">
        <v>174</v>
      </c>
    </row>
    <row r="3290" spans="1:6" ht="22.5" hidden="1" customHeight="1" x14ac:dyDescent="0.25">
      <c r="A3290" s="3">
        <v>44105</v>
      </c>
      <c r="B3290" s="2" t="s">
        <v>358</v>
      </c>
      <c r="C3290" s="2">
        <v>-0.38</v>
      </c>
      <c r="D3290" s="2">
        <v>0.1027</v>
      </c>
      <c r="E3290" s="2">
        <v>-3.9026000000000002E-4</v>
      </c>
      <c r="F3290" s="2" t="s">
        <v>174</v>
      </c>
    </row>
    <row r="3291" spans="1:6" ht="22.5" hidden="1" customHeight="1" x14ac:dyDescent="0.25">
      <c r="A3291" s="3">
        <v>44105</v>
      </c>
      <c r="B3291" s="2" t="s">
        <v>359</v>
      </c>
      <c r="C3291" s="2">
        <v>0.64</v>
      </c>
      <c r="D3291" s="2">
        <v>4.8300000000000003E-2</v>
      </c>
      <c r="E3291" s="2">
        <v>3.0912000000000002E-4</v>
      </c>
      <c r="F3291" s="2" t="s">
        <v>174</v>
      </c>
    </row>
    <row r="3292" spans="1:6" ht="22.5" hidden="1" customHeight="1" x14ac:dyDescent="0.25">
      <c r="A3292" s="3">
        <v>44105</v>
      </c>
      <c r="B3292" s="2" t="s">
        <v>360</v>
      </c>
      <c r="C3292" s="2">
        <v>0.31</v>
      </c>
      <c r="D3292" s="2">
        <v>8.9800000000000005E-2</v>
      </c>
      <c r="E3292" s="2">
        <v>2.7838E-4</v>
      </c>
      <c r="F3292" s="2" t="s">
        <v>174</v>
      </c>
    </row>
    <row r="3293" spans="1:6" ht="22.5" hidden="1" customHeight="1" x14ac:dyDescent="0.25">
      <c r="A3293" s="3">
        <v>44105</v>
      </c>
      <c r="B3293" s="2" t="s">
        <v>361</v>
      </c>
      <c r="C3293" s="2">
        <v>0</v>
      </c>
      <c r="D3293" s="2">
        <v>8.0100000000000005E-2</v>
      </c>
      <c r="E3293" s="2">
        <v>0</v>
      </c>
      <c r="F3293" s="2" t="s">
        <v>165</v>
      </c>
    </row>
    <row r="3294" spans="1:6" ht="22.5" hidden="1" customHeight="1" x14ac:dyDescent="0.25">
      <c r="A3294" s="3">
        <v>44105</v>
      </c>
      <c r="B3294" s="2" t="s">
        <v>362</v>
      </c>
      <c r="C3294" s="2">
        <v>0</v>
      </c>
      <c r="D3294" s="2">
        <v>0.31319999999999998</v>
      </c>
      <c r="E3294" s="2">
        <v>0</v>
      </c>
      <c r="F3294" s="2" t="s">
        <v>165</v>
      </c>
    </row>
    <row r="3295" spans="1:6" ht="22.5" hidden="1" customHeight="1" x14ac:dyDescent="0.25">
      <c r="A3295" s="3">
        <v>44105</v>
      </c>
      <c r="B3295" s="2" t="s">
        <v>363</v>
      </c>
      <c r="C3295" s="2">
        <v>-0.17</v>
      </c>
      <c r="D3295" s="2">
        <v>4.99E-2</v>
      </c>
      <c r="E3295" s="2">
        <v>-8.4829999999999999E-5</v>
      </c>
      <c r="F3295" s="2" t="s">
        <v>165</v>
      </c>
    </row>
    <row r="3296" spans="1:6" ht="22.5" hidden="1" customHeight="1" x14ac:dyDescent="0.25">
      <c r="A3296" s="3">
        <v>44105</v>
      </c>
      <c r="B3296" s="2" t="s">
        <v>364</v>
      </c>
      <c r="C3296" s="2">
        <v>-0.51</v>
      </c>
      <c r="D3296" s="2">
        <v>0.41210000000000002</v>
      </c>
      <c r="E3296" s="2">
        <v>-2.1017100000000001E-3</v>
      </c>
      <c r="F3296" s="2" t="s">
        <v>165</v>
      </c>
    </row>
    <row r="3297" spans="1:6" ht="22.5" hidden="1" customHeight="1" x14ac:dyDescent="0.25">
      <c r="A3297" s="3">
        <v>43891</v>
      </c>
      <c r="B3297" s="2" t="s">
        <v>366</v>
      </c>
      <c r="C3297" s="2">
        <v>0.38</v>
      </c>
      <c r="D3297" s="2">
        <v>0.2636</v>
      </c>
      <c r="E3297" s="2">
        <v>1.00168E-3</v>
      </c>
      <c r="F3297" s="2" t="s">
        <v>168</v>
      </c>
    </row>
    <row r="3298" spans="1:6" ht="22.5" hidden="1" customHeight="1" x14ac:dyDescent="0.25">
      <c r="A3298" s="3">
        <v>44348</v>
      </c>
      <c r="B3298" s="2" t="s">
        <v>291</v>
      </c>
      <c r="C3298" s="2">
        <v>0.53</v>
      </c>
      <c r="D3298" s="2">
        <v>0.1842</v>
      </c>
      <c r="E3298" s="2">
        <v>9.7625999999999995E-4</v>
      </c>
      <c r="F3298" s="2" t="s">
        <v>168</v>
      </c>
    </row>
    <row r="3299" spans="1:6" ht="22.5" hidden="1" customHeight="1" x14ac:dyDescent="0.25">
      <c r="A3299" s="3">
        <v>44136</v>
      </c>
      <c r="B3299" s="2" t="s">
        <v>286</v>
      </c>
      <c r="C3299" s="2">
        <v>0.53</v>
      </c>
      <c r="D3299" s="2">
        <v>0.17899999999999999</v>
      </c>
      <c r="E3299" s="2">
        <v>9.4870000000000002E-4</v>
      </c>
      <c r="F3299" s="2" t="s">
        <v>168</v>
      </c>
    </row>
    <row r="3300" spans="1:6" ht="22.5" hidden="1" customHeight="1" x14ac:dyDescent="0.25">
      <c r="A3300" s="3">
        <v>44105</v>
      </c>
      <c r="B3300" s="2" t="s">
        <v>368</v>
      </c>
      <c r="C3300" s="2">
        <v>0</v>
      </c>
      <c r="D3300" s="2">
        <v>0.4047</v>
      </c>
      <c r="E3300" s="2">
        <v>0</v>
      </c>
      <c r="F3300" s="2" t="s">
        <v>165</v>
      </c>
    </row>
    <row r="3301" spans="1:6" ht="22.5" hidden="1" customHeight="1" x14ac:dyDescent="0.25">
      <c r="A3301" s="3">
        <v>44105</v>
      </c>
      <c r="B3301" s="2" t="s">
        <v>369</v>
      </c>
      <c r="C3301" s="2">
        <v>0</v>
      </c>
      <c r="D3301" s="2">
        <v>0.58660000000000001</v>
      </c>
      <c r="E3301" s="2">
        <v>0</v>
      </c>
      <c r="F3301" s="2" t="s">
        <v>165</v>
      </c>
    </row>
    <row r="3302" spans="1:6" ht="22.5" hidden="1" customHeight="1" x14ac:dyDescent="0.25">
      <c r="A3302" s="3">
        <v>44105</v>
      </c>
      <c r="B3302" s="2" t="s">
        <v>370</v>
      </c>
      <c r="C3302" s="2">
        <v>0.95</v>
      </c>
      <c r="D3302" s="2">
        <v>1.0336000000000001</v>
      </c>
      <c r="E3302" s="2">
        <v>9.8192000000000002E-3</v>
      </c>
      <c r="F3302" s="2" t="s">
        <v>170</v>
      </c>
    </row>
    <row r="3303" spans="1:6" ht="22.5" hidden="1" customHeight="1" x14ac:dyDescent="0.25">
      <c r="A3303" s="3">
        <v>44105</v>
      </c>
      <c r="B3303" s="2" t="s">
        <v>371</v>
      </c>
      <c r="C3303" s="2">
        <v>0</v>
      </c>
      <c r="D3303" s="2">
        <v>6.9400000000000003E-2</v>
      </c>
      <c r="E3303" s="2">
        <v>0</v>
      </c>
      <c r="F3303" s="2" t="s">
        <v>165</v>
      </c>
    </row>
    <row r="3304" spans="1:6" ht="22.5" hidden="1" customHeight="1" x14ac:dyDescent="0.25">
      <c r="A3304" s="3">
        <v>44105</v>
      </c>
      <c r="B3304" s="2" t="s">
        <v>372</v>
      </c>
      <c r="C3304" s="2">
        <v>0</v>
      </c>
      <c r="D3304" s="2">
        <v>1.7555000000000001</v>
      </c>
      <c r="E3304" s="2">
        <v>0</v>
      </c>
      <c r="F3304" s="2" t="s">
        <v>165</v>
      </c>
    </row>
    <row r="3305" spans="1:6" ht="22.5" hidden="1" customHeight="1" x14ac:dyDescent="0.25">
      <c r="A3305" s="3">
        <v>44136</v>
      </c>
      <c r="B3305" s="2" t="s">
        <v>6</v>
      </c>
      <c r="C3305" s="2">
        <v>8.2899999999999991</v>
      </c>
      <c r="D3305" s="2">
        <v>0.67120000000000002</v>
      </c>
      <c r="E3305" s="2">
        <v>5.5642480000000001E-2</v>
      </c>
      <c r="F3305" s="2" t="s">
        <v>7</v>
      </c>
    </row>
    <row r="3306" spans="1:6" ht="22.5" hidden="1" customHeight="1" x14ac:dyDescent="0.25">
      <c r="A3306" s="3">
        <v>44136</v>
      </c>
      <c r="B3306" s="2" t="s">
        <v>8</v>
      </c>
      <c r="C3306" s="2">
        <v>4.4400000000000004</v>
      </c>
      <c r="D3306" s="2">
        <v>1.46E-2</v>
      </c>
      <c r="E3306" s="2">
        <v>6.4824000000000001E-4</v>
      </c>
      <c r="F3306" s="2" t="s">
        <v>7</v>
      </c>
    </row>
    <row r="3307" spans="1:6" ht="22.5" hidden="1" customHeight="1" x14ac:dyDescent="0.25">
      <c r="A3307" s="3">
        <v>44136</v>
      </c>
      <c r="B3307" s="2" t="s">
        <v>9</v>
      </c>
      <c r="C3307" s="2">
        <v>1.83</v>
      </c>
      <c r="D3307" s="2">
        <v>6.3600000000000004E-2</v>
      </c>
      <c r="E3307" s="2">
        <v>1.1638799999999999E-3</v>
      </c>
      <c r="F3307" s="2" t="s">
        <v>7</v>
      </c>
    </row>
    <row r="3308" spans="1:6" ht="22.5" hidden="1" customHeight="1" x14ac:dyDescent="0.25">
      <c r="A3308" s="3">
        <v>44136</v>
      </c>
      <c r="B3308" s="2" t="s">
        <v>10</v>
      </c>
      <c r="C3308" s="2">
        <v>-0.08</v>
      </c>
      <c r="D3308" s="2">
        <v>2.07E-2</v>
      </c>
      <c r="E3308" s="2">
        <v>-1.6560000000000001E-5</v>
      </c>
      <c r="F3308" s="2" t="s">
        <v>7</v>
      </c>
    </row>
    <row r="3309" spans="1:6" ht="22.5" hidden="1" customHeight="1" x14ac:dyDescent="0.25">
      <c r="A3309" s="3">
        <v>44136</v>
      </c>
      <c r="B3309" s="2" t="s">
        <v>11</v>
      </c>
      <c r="C3309" s="2">
        <v>0.2</v>
      </c>
      <c r="D3309" s="2">
        <v>0.1492</v>
      </c>
      <c r="E3309" s="2">
        <v>2.9839999999999999E-4</v>
      </c>
      <c r="F3309" s="2" t="s">
        <v>7</v>
      </c>
    </row>
    <row r="3310" spans="1:6" ht="22.5" hidden="1" customHeight="1" x14ac:dyDescent="0.25">
      <c r="A3310" s="3">
        <v>44136</v>
      </c>
      <c r="B3310" s="2" t="s">
        <v>12</v>
      </c>
      <c r="C3310" s="2">
        <v>-0.57999999999999996</v>
      </c>
      <c r="D3310" s="2">
        <v>1.09E-2</v>
      </c>
      <c r="E3310" s="2">
        <v>-6.3219999999999994E-5</v>
      </c>
      <c r="F3310" s="2" t="s">
        <v>7</v>
      </c>
    </row>
    <row r="3311" spans="1:6" ht="22.5" hidden="1" customHeight="1" x14ac:dyDescent="0.25">
      <c r="A3311" s="3">
        <v>44136</v>
      </c>
      <c r="B3311" s="2" t="s">
        <v>13</v>
      </c>
      <c r="C3311" s="2">
        <v>-1.49</v>
      </c>
      <c r="D3311" s="2">
        <v>3.0999999999999999E-3</v>
      </c>
      <c r="E3311" s="2">
        <v>-4.6190000000000003E-5</v>
      </c>
      <c r="F3311" s="2" t="s">
        <v>7</v>
      </c>
    </row>
    <row r="3312" spans="1:6" ht="22.5" hidden="1" customHeight="1" x14ac:dyDescent="0.25">
      <c r="A3312" s="3">
        <v>44136</v>
      </c>
      <c r="B3312" s="2" t="s">
        <v>14</v>
      </c>
      <c r="C3312" s="2">
        <v>0.53</v>
      </c>
      <c r="D3312" s="2">
        <v>0.14749999999999999</v>
      </c>
      <c r="E3312" s="2">
        <v>7.8175E-4</v>
      </c>
      <c r="F3312" s="2" t="s">
        <v>7</v>
      </c>
    </row>
    <row r="3313" spans="1:6" ht="22.5" hidden="1" customHeight="1" x14ac:dyDescent="0.25">
      <c r="A3313" s="3">
        <v>44136</v>
      </c>
      <c r="B3313" s="2" t="s">
        <v>15</v>
      </c>
      <c r="C3313" s="2">
        <v>1.07</v>
      </c>
      <c r="D3313" s="2">
        <v>7.4000000000000003E-3</v>
      </c>
      <c r="E3313" s="2">
        <v>7.9179999999999997E-5</v>
      </c>
      <c r="F3313" s="2" t="s">
        <v>7</v>
      </c>
    </row>
    <row r="3314" spans="1:6" ht="22.5" hidden="1" customHeight="1" x14ac:dyDescent="0.25">
      <c r="A3314" s="3">
        <v>44136</v>
      </c>
      <c r="B3314" s="2" t="s">
        <v>16</v>
      </c>
      <c r="C3314" s="2">
        <v>-2.35</v>
      </c>
      <c r="D3314" s="2">
        <v>9.4999999999999998E-3</v>
      </c>
      <c r="E3314" s="2">
        <v>-2.2325000000000001E-4</v>
      </c>
      <c r="F3314" s="2" t="s">
        <v>7</v>
      </c>
    </row>
    <row r="3315" spans="1:6" ht="22.5" hidden="1" customHeight="1" x14ac:dyDescent="0.25">
      <c r="A3315" s="3">
        <v>44136</v>
      </c>
      <c r="B3315" s="2" t="s">
        <v>17</v>
      </c>
      <c r="C3315" s="2">
        <v>-0.77</v>
      </c>
      <c r="D3315" s="2">
        <v>5.0299999999999997E-2</v>
      </c>
      <c r="E3315" s="2">
        <v>-3.8730999999999998E-4</v>
      </c>
      <c r="F3315" s="2" t="s">
        <v>7</v>
      </c>
    </row>
    <row r="3316" spans="1:6" ht="22.5" hidden="1" customHeight="1" x14ac:dyDescent="0.25">
      <c r="A3316" s="3">
        <v>44136</v>
      </c>
      <c r="B3316" s="2" t="s">
        <v>18</v>
      </c>
      <c r="C3316" s="2">
        <v>1.34</v>
      </c>
      <c r="D3316" s="2">
        <v>9.9299999999999999E-2</v>
      </c>
      <c r="E3316" s="2">
        <v>1.33062E-3</v>
      </c>
      <c r="F3316" s="2" t="s">
        <v>7</v>
      </c>
    </row>
    <row r="3317" spans="1:6" ht="22.5" hidden="1" customHeight="1" x14ac:dyDescent="0.25">
      <c r="A3317" s="3">
        <v>44136</v>
      </c>
      <c r="B3317" s="2" t="s">
        <v>19</v>
      </c>
      <c r="C3317" s="2">
        <v>0.13</v>
      </c>
      <c r="D3317" s="2">
        <v>0.1195</v>
      </c>
      <c r="E3317" s="2">
        <v>1.5535000000000001E-4</v>
      </c>
      <c r="F3317" s="2" t="s">
        <v>7</v>
      </c>
    </row>
    <row r="3318" spans="1:6" ht="22.5" hidden="1" customHeight="1" x14ac:dyDescent="0.25">
      <c r="A3318" s="3">
        <v>44136</v>
      </c>
      <c r="B3318" s="2" t="s">
        <v>20</v>
      </c>
      <c r="C3318" s="2">
        <v>1.31</v>
      </c>
      <c r="D3318" s="2">
        <v>2.6100000000000002E-2</v>
      </c>
      <c r="E3318" s="2">
        <v>3.4191000000000001E-4</v>
      </c>
      <c r="F3318" s="2" t="s">
        <v>7</v>
      </c>
    </row>
    <row r="3319" spans="1:6" ht="22.5" hidden="1" customHeight="1" x14ac:dyDescent="0.25">
      <c r="A3319" s="3">
        <v>44136</v>
      </c>
      <c r="B3319" s="2" t="s">
        <v>21</v>
      </c>
      <c r="C3319" s="2">
        <v>16.190000000000001</v>
      </c>
      <c r="D3319" s="2">
        <v>2.5100000000000001E-2</v>
      </c>
      <c r="E3319" s="2">
        <v>4.06369E-3</v>
      </c>
      <c r="F3319" s="2" t="s">
        <v>7</v>
      </c>
    </row>
    <row r="3320" spans="1:6" ht="22.5" hidden="1" customHeight="1" x14ac:dyDescent="0.25">
      <c r="A3320" s="3">
        <v>44136</v>
      </c>
      <c r="B3320" s="2" t="s">
        <v>22</v>
      </c>
      <c r="C3320" s="2">
        <v>33.369999999999997</v>
      </c>
      <c r="D3320" s="2">
        <v>0.14249999999999999</v>
      </c>
      <c r="E3320" s="2">
        <v>4.7552249999999997E-2</v>
      </c>
      <c r="F3320" s="2" t="s">
        <v>7</v>
      </c>
    </row>
    <row r="3321" spans="1:6" ht="22.5" hidden="1" customHeight="1" x14ac:dyDescent="0.25">
      <c r="A3321" s="3">
        <v>44136</v>
      </c>
      <c r="B3321" s="2" t="s">
        <v>23</v>
      </c>
      <c r="C3321" s="2">
        <v>14.16</v>
      </c>
      <c r="D3321" s="2">
        <v>1.49E-2</v>
      </c>
      <c r="E3321" s="2">
        <v>2.10984E-3</v>
      </c>
      <c r="F3321" s="2" t="s">
        <v>7</v>
      </c>
    </row>
    <row r="3322" spans="1:6" ht="22.5" hidden="1" customHeight="1" x14ac:dyDescent="0.25">
      <c r="A3322" s="3">
        <v>44136</v>
      </c>
      <c r="B3322" s="2" t="s">
        <v>24</v>
      </c>
      <c r="C3322" s="2">
        <v>-13.56</v>
      </c>
      <c r="D3322" s="2">
        <v>9.4999999999999998E-3</v>
      </c>
      <c r="E3322" s="2">
        <v>-1.2882E-3</v>
      </c>
      <c r="F3322" s="2" t="s">
        <v>7</v>
      </c>
    </row>
    <row r="3323" spans="1:6" ht="22.5" hidden="1" customHeight="1" x14ac:dyDescent="0.25">
      <c r="A3323" s="3">
        <v>44136</v>
      </c>
      <c r="B3323" s="2" t="s">
        <v>25</v>
      </c>
      <c r="C3323" s="2">
        <v>0.16</v>
      </c>
      <c r="D3323" s="2">
        <v>3.5999999999999999E-3</v>
      </c>
      <c r="E3323" s="2">
        <v>5.7599999999999999E-6</v>
      </c>
      <c r="F3323" s="2" t="s">
        <v>7</v>
      </c>
    </row>
    <row r="3324" spans="1:6" ht="22.5" hidden="1" customHeight="1" x14ac:dyDescent="0.25">
      <c r="A3324" s="3">
        <v>44136</v>
      </c>
      <c r="B3324" s="2" t="s">
        <v>26</v>
      </c>
      <c r="C3324" s="2">
        <v>20.05</v>
      </c>
      <c r="D3324" s="2">
        <v>1.4999999999999999E-2</v>
      </c>
      <c r="E3324" s="2">
        <v>3.0075000000000002E-3</v>
      </c>
      <c r="F3324" s="2" t="s">
        <v>7</v>
      </c>
    </row>
    <row r="3325" spans="1:6" ht="22.5" hidden="1" customHeight="1" x14ac:dyDescent="0.25">
      <c r="A3325" s="3">
        <v>44136</v>
      </c>
      <c r="B3325" s="2" t="s">
        <v>27</v>
      </c>
      <c r="C3325" s="2">
        <v>19.89</v>
      </c>
      <c r="D3325" s="2">
        <v>0.23699999999999999</v>
      </c>
      <c r="E3325" s="2">
        <v>4.7139300000000002E-2</v>
      </c>
      <c r="F3325" s="2" t="s">
        <v>7</v>
      </c>
    </row>
    <row r="3326" spans="1:6" ht="22.5" hidden="1" customHeight="1" x14ac:dyDescent="0.25">
      <c r="A3326" s="3">
        <v>44136</v>
      </c>
      <c r="B3326" s="2" t="s">
        <v>28</v>
      </c>
      <c r="C3326" s="2">
        <v>-6.87</v>
      </c>
      <c r="D3326" s="2">
        <v>0.1249</v>
      </c>
      <c r="E3326" s="2">
        <v>-8.5806300000000005E-3</v>
      </c>
      <c r="F3326" s="2" t="s">
        <v>7</v>
      </c>
    </row>
    <row r="3327" spans="1:6" ht="22.5" hidden="1" customHeight="1" x14ac:dyDescent="0.25">
      <c r="A3327" s="3">
        <v>44136</v>
      </c>
      <c r="B3327" s="2" t="s">
        <v>29</v>
      </c>
      <c r="C3327" s="2">
        <v>-5.0199999999999996</v>
      </c>
      <c r="D3327" s="2">
        <v>5.33E-2</v>
      </c>
      <c r="E3327" s="2">
        <v>-2.6756599999999998E-3</v>
      </c>
      <c r="F3327" s="2" t="s">
        <v>7</v>
      </c>
    </row>
    <row r="3328" spans="1:6" ht="22.5" hidden="1" customHeight="1" x14ac:dyDescent="0.25">
      <c r="A3328" s="3">
        <v>44136</v>
      </c>
      <c r="B3328" s="2" t="s">
        <v>30</v>
      </c>
      <c r="C3328" s="2">
        <v>2.82</v>
      </c>
      <c r="D3328" s="2">
        <v>9.1700000000000004E-2</v>
      </c>
      <c r="E3328" s="2">
        <v>2.5859400000000001E-3</v>
      </c>
      <c r="F3328" s="2" t="s">
        <v>7</v>
      </c>
    </row>
    <row r="3329" spans="1:6" ht="22.5" hidden="1" customHeight="1" x14ac:dyDescent="0.25">
      <c r="A3329" s="3">
        <v>44136</v>
      </c>
      <c r="B3329" s="2" t="s">
        <v>31</v>
      </c>
      <c r="C3329" s="2">
        <v>2.85</v>
      </c>
      <c r="D3329" s="2">
        <v>9.9000000000000005E-2</v>
      </c>
      <c r="E3329" s="2">
        <v>2.8214999999999998E-3</v>
      </c>
      <c r="F3329" s="2" t="s">
        <v>7</v>
      </c>
    </row>
    <row r="3330" spans="1:6" ht="22.5" hidden="1" customHeight="1" x14ac:dyDescent="0.25">
      <c r="A3330" s="3">
        <v>44136</v>
      </c>
      <c r="B3330" s="2" t="s">
        <v>32</v>
      </c>
      <c r="C3330" s="2">
        <v>-0.21</v>
      </c>
      <c r="D3330" s="2">
        <v>1.5900000000000001E-2</v>
      </c>
      <c r="E3330" s="2">
        <v>-3.3389999999999997E-5</v>
      </c>
      <c r="F3330" s="2" t="s">
        <v>7</v>
      </c>
    </row>
    <row r="3331" spans="1:6" ht="22.5" hidden="1" customHeight="1" x14ac:dyDescent="0.25">
      <c r="A3331" s="3">
        <v>44136</v>
      </c>
      <c r="B3331" s="2" t="s">
        <v>33</v>
      </c>
      <c r="C3331" s="2">
        <v>-0.55000000000000004</v>
      </c>
      <c r="D3331" s="2">
        <v>0.19439999999999999</v>
      </c>
      <c r="E3331" s="2">
        <v>-1.0692E-3</v>
      </c>
      <c r="F3331" s="2" t="s">
        <v>7</v>
      </c>
    </row>
    <row r="3332" spans="1:6" ht="22.5" hidden="1" customHeight="1" x14ac:dyDescent="0.25">
      <c r="A3332" s="3">
        <v>44136</v>
      </c>
      <c r="B3332" s="2" t="s">
        <v>34</v>
      </c>
      <c r="C3332" s="2">
        <v>1.8</v>
      </c>
      <c r="D3332" s="2">
        <v>0.1452</v>
      </c>
      <c r="E3332" s="2">
        <v>2.6136000000000002E-3</v>
      </c>
      <c r="F3332" s="2" t="s">
        <v>7</v>
      </c>
    </row>
    <row r="3333" spans="1:6" ht="22.5" hidden="1" customHeight="1" x14ac:dyDescent="0.25">
      <c r="A3333" s="3">
        <v>44136</v>
      </c>
      <c r="B3333" s="2" t="s">
        <v>35</v>
      </c>
      <c r="C3333" s="2">
        <v>0.28000000000000003</v>
      </c>
      <c r="D3333" s="2">
        <v>0.10879999999999999</v>
      </c>
      <c r="E3333" s="2">
        <v>3.0464000000000001E-4</v>
      </c>
      <c r="F3333" s="2" t="s">
        <v>7</v>
      </c>
    </row>
    <row r="3334" spans="1:6" ht="22.5" hidden="1" customHeight="1" x14ac:dyDescent="0.25">
      <c r="A3334" s="3">
        <v>44136</v>
      </c>
      <c r="B3334" s="2" t="s">
        <v>36</v>
      </c>
      <c r="C3334" s="2">
        <v>-2.65</v>
      </c>
      <c r="D3334" s="2">
        <v>1.6000000000000001E-3</v>
      </c>
      <c r="E3334" s="2">
        <v>-4.2400000000000001E-5</v>
      </c>
      <c r="F3334" s="2" t="s">
        <v>7</v>
      </c>
    </row>
    <row r="3335" spans="1:6" ht="22.5" hidden="1" customHeight="1" x14ac:dyDescent="0.25">
      <c r="A3335" s="3">
        <v>44136</v>
      </c>
      <c r="B3335" s="2" t="s">
        <v>37</v>
      </c>
      <c r="C3335" s="2">
        <v>7.62</v>
      </c>
      <c r="D3335" s="2">
        <v>7.9600000000000004E-2</v>
      </c>
      <c r="E3335" s="2">
        <v>6.0655199999999996E-3</v>
      </c>
      <c r="F3335" s="2" t="s">
        <v>7</v>
      </c>
    </row>
    <row r="3336" spans="1:6" ht="22.5" hidden="1" customHeight="1" x14ac:dyDescent="0.25">
      <c r="A3336" s="3">
        <v>44136</v>
      </c>
      <c r="B3336" s="2" t="s">
        <v>38</v>
      </c>
      <c r="C3336" s="2">
        <v>11.99</v>
      </c>
      <c r="D3336" s="2">
        <v>9.7000000000000003E-3</v>
      </c>
      <c r="E3336" s="2">
        <v>1.16303E-3</v>
      </c>
      <c r="F3336" s="2" t="s">
        <v>7</v>
      </c>
    </row>
    <row r="3337" spans="1:6" ht="22.5" hidden="1" customHeight="1" x14ac:dyDescent="0.25">
      <c r="A3337" s="3">
        <v>44136</v>
      </c>
      <c r="B3337" s="2" t="s">
        <v>39</v>
      </c>
      <c r="C3337" s="2">
        <v>4.3</v>
      </c>
      <c r="D3337" s="2">
        <v>1.4E-2</v>
      </c>
      <c r="E3337" s="2">
        <v>6.02E-4</v>
      </c>
      <c r="F3337" s="2" t="s">
        <v>7</v>
      </c>
    </row>
    <row r="3338" spans="1:6" ht="22.5" hidden="1" customHeight="1" x14ac:dyDescent="0.25">
      <c r="A3338" s="3">
        <v>44136</v>
      </c>
      <c r="B3338" s="2" t="s">
        <v>40</v>
      </c>
      <c r="C3338" s="2">
        <v>5.64</v>
      </c>
      <c r="D3338" s="2">
        <v>2.7000000000000001E-3</v>
      </c>
      <c r="E3338" s="2">
        <v>1.5228E-4</v>
      </c>
      <c r="F3338" s="2" t="s">
        <v>7</v>
      </c>
    </row>
    <row r="3339" spans="1:6" ht="22.5" hidden="1" customHeight="1" x14ac:dyDescent="0.25">
      <c r="A3339" s="3">
        <v>44136</v>
      </c>
      <c r="B3339" s="2" t="s">
        <v>41</v>
      </c>
      <c r="C3339" s="2">
        <v>14.33</v>
      </c>
      <c r="D3339" s="2">
        <v>1.4999999999999999E-2</v>
      </c>
      <c r="E3339" s="2">
        <v>2.1494999999999999E-3</v>
      </c>
      <c r="F3339" s="2" t="s">
        <v>7</v>
      </c>
    </row>
    <row r="3340" spans="1:6" ht="22.5" hidden="1" customHeight="1" x14ac:dyDescent="0.25">
      <c r="A3340" s="3">
        <v>44136</v>
      </c>
      <c r="B3340" s="2" t="s">
        <v>42</v>
      </c>
      <c r="C3340" s="2">
        <v>1.52</v>
      </c>
      <c r="D3340" s="2">
        <v>4.07E-2</v>
      </c>
      <c r="E3340" s="2">
        <v>6.1864000000000005E-4</v>
      </c>
      <c r="F3340" s="2" t="s">
        <v>7</v>
      </c>
    </row>
    <row r="3341" spans="1:6" ht="22.5" hidden="1" customHeight="1" x14ac:dyDescent="0.25">
      <c r="A3341" s="3">
        <v>44136</v>
      </c>
      <c r="B3341" s="2" t="s">
        <v>43</v>
      </c>
      <c r="C3341" s="2">
        <v>5.26</v>
      </c>
      <c r="D3341" s="2">
        <v>2.8199999999999999E-2</v>
      </c>
      <c r="E3341" s="2">
        <v>1.48332E-3</v>
      </c>
      <c r="F3341" s="2" t="s">
        <v>7</v>
      </c>
    </row>
    <row r="3342" spans="1:6" ht="22.5" hidden="1" customHeight="1" x14ac:dyDescent="0.25">
      <c r="A3342" s="3">
        <v>44136</v>
      </c>
      <c r="B3342" s="2" t="s">
        <v>44</v>
      </c>
      <c r="C3342" s="2">
        <v>5.71</v>
      </c>
      <c r="D3342" s="2">
        <v>1.7100000000000001E-2</v>
      </c>
      <c r="E3342" s="2">
        <v>9.7641000000000004E-4</v>
      </c>
      <c r="F3342" s="2" t="s">
        <v>7</v>
      </c>
    </row>
    <row r="3343" spans="1:6" ht="22.5" hidden="1" customHeight="1" x14ac:dyDescent="0.25">
      <c r="A3343" s="3">
        <v>44136</v>
      </c>
      <c r="B3343" s="2" t="s">
        <v>45</v>
      </c>
      <c r="C3343" s="2">
        <v>3.29</v>
      </c>
      <c r="D3343" s="2">
        <v>1.5900000000000001E-2</v>
      </c>
      <c r="E3343" s="2">
        <v>5.2311000000000002E-4</v>
      </c>
      <c r="F3343" s="2" t="s">
        <v>7</v>
      </c>
    </row>
    <row r="3344" spans="1:6" ht="22.5" hidden="1" customHeight="1" x14ac:dyDescent="0.25">
      <c r="A3344" s="3">
        <v>44136</v>
      </c>
      <c r="B3344" s="2" t="s">
        <v>46</v>
      </c>
      <c r="C3344" s="2">
        <v>1.78</v>
      </c>
      <c r="D3344" s="2">
        <v>1.2999999999999999E-3</v>
      </c>
      <c r="E3344" s="2">
        <v>2.3139999999999999E-5</v>
      </c>
      <c r="F3344" s="2" t="s">
        <v>7</v>
      </c>
    </row>
    <row r="3345" spans="1:6" ht="22.5" hidden="1" customHeight="1" x14ac:dyDescent="0.25">
      <c r="A3345" s="3">
        <v>44136</v>
      </c>
      <c r="B3345" s="2" t="s">
        <v>47</v>
      </c>
      <c r="C3345" s="2">
        <v>2.91</v>
      </c>
      <c r="D3345" s="2">
        <v>0.10680000000000001</v>
      </c>
      <c r="E3345" s="2">
        <v>3.1078799999999999E-3</v>
      </c>
      <c r="F3345" s="2" t="s">
        <v>7</v>
      </c>
    </row>
    <row r="3346" spans="1:6" ht="22.5" hidden="1" customHeight="1" x14ac:dyDescent="0.25">
      <c r="A3346" s="3">
        <v>44136</v>
      </c>
      <c r="B3346" s="2" t="s">
        <v>48</v>
      </c>
      <c r="C3346" s="2">
        <v>-1.59</v>
      </c>
      <c r="D3346" s="2">
        <v>3.8999999999999998E-3</v>
      </c>
      <c r="E3346" s="2">
        <v>-6.2009999999999998E-5</v>
      </c>
      <c r="F3346" s="2" t="s">
        <v>7</v>
      </c>
    </row>
    <row r="3347" spans="1:6" ht="22.5" hidden="1" customHeight="1" x14ac:dyDescent="0.25">
      <c r="A3347" s="3">
        <v>44136</v>
      </c>
      <c r="B3347" s="2" t="s">
        <v>49</v>
      </c>
      <c r="C3347" s="2">
        <v>-1.0900000000000001</v>
      </c>
      <c r="D3347" s="2">
        <v>0.14599999999999999</v>
      </c>
      <c r="E3347" s="2">
        <v>-1.5914E-3</v>
      </c>
      <c r="F3347" s="2" t="s">
        <v>7</v>
      </c>
    </row>
    <row r="3348" spans="1:6" ht="22.5" hidden="1" customHeight="1" x14ac:dyDescent="0.25">
      <c r="A3348" s="3">
        <v>44136</v>
      </c>
      <c r="B3348" s="2" t="s">
        <v>50</v>
      </c>
      <c r="C3348" s="2">
        <v>21.99</v>
      </c>
      <c r="D3348" s="2">
        <v>4.1999999999999997E-3</v>
      </c>
      <c r="E3348" s="2">
        <v>9.2358000000000002E-4</v>
      </c>
      <c r="F3348" s="2" t="s">
        <v>7</v>
      </c>
    </row>
    <row r="3349" spans="1:6" ht="22.5" hidden="1" customHeight="1" x14ac:dyDescent="0.25">
      <c r="A3349" s="3">
        <v>44136</v>
      </c>
      <c r="B3349" s="2" t="s">
        <v>51</v>
      </c>
      <c r="C3349" s="2">
        <v>39.01</v>
      </c>
      <c r="D3349" s="2">
        <v>4.7999999999999996E-3</v>
      </c>
      <c r="E3349" s="2">
        <v>1.8724799999999999E-3</v>
      </c>
      <c r="F3349" s="2" t="s">
        <v>7</v>
      </c>
    </row>
    <row r="3350" spans="1:6" ht="22.5" hidden="1" customHeight="1" x14ac:dyDescent="0.25">
      <c r="A3350" s="3">
        <v>44136</v>
      </c>
      <c r="B3350" s="2" t="s">
        <v>52</v>
      </c>
      <c r="C3350" s="2">
        <v>-6.7</v>
      </c>
      <c r="D3350" s="2">
        <v>5.0500000000000003E-2</v>
      </c>
      <c r="E3350" s="2">
        <v>-3.3834999999999998E-3</v>
      </c>
      <c r="F3350" s="2" t="s">
        <v>7</v>
      </c>
    </row>
    <row r="3351" spans="1:6" ht="22.5" hidden="1" customHeight="1" x14ac:dyDescent="0.25">
      <c r="A3351" s="3">
        <v>44136</v>
      </c>
      <c r="B3351" s="2" t="s">
        <v>53</v>
      </c>
      <c r="C3351" s="2">
        <v>4.8</v>
      </c>
      <c r="D3351" s="2">
        <v>0.16139999999999999</v>
      </c>
      <c r="E3351" s="2">
        <v>7.7472000000000001E-3</v>
      </c>
      <c r="F3351" s="2" t="s">
        <v>7</v>
      </c>
    </row>
    <row r="3352" spans="1:6" ht="22.5" hidden="1" customHeight="1" x14ac:dyDescent="0.25">
      <c r="A3352" s="3">
        <v>44136</v>
      </c>
      <c r="B3352" s="2" t="s">
        <v>54</v>
      </c>
      <c r="C3352" s="2">
        <v>6.85</v>
      </c>
      <c r="D3352" s="2">
        <v>8.2900000000000001E-2</v>
      </c>
      <c r="E3352" s="2">
        <v>5.6786500000000004E-3</v>
      </c>
      <c r="F3352" s="2" t="s">
        <v>7</v>
      </c>
    </row>
    <row r="3353" spans="1:6" ht="22.5" hidden="1" customHeight="1" x14ac:dyDescent="0.25">
      <c r="A3353" s="3">
        <v>44136</v>
      </c>
      <c r="B3353" s="2" t="s">
        <v>55</v>
      </c>
      <c r="C3353" s="2">
        <v>-13.02</v>
      </c>
      <c r="D3353" s="2">
        <v>6.7699999999999996E-2</v>
      </c>
      <c r="E3353" s="2">
        <v>-8.8145399999999992E-3</v>
      </c>
      <c r="F3353" s="2" t="s">
        <v>7</v>
      </c>
    </row>
    <row r="3354" spans="1:6" ht="22.5" hidden="1" customHeight="1" x14ac:dyDescent="0.25">
      <c r="A3354" s="3">
        <v>44136</v>
      </c>
      <c r="B3354" s="2" t="s">
        <v>56</v>
      </c>
      <c r="C3354" s="2">
        <v>-4.25</v>
      </c>
      <c r="D3354" s="2">
        <v>7.6E-3</v>
      </c>
      <c r="E3354" s="2">
        <v>-3.2299999999999999E-4</v>
      </c>
      <c r="F3354" s="2" t="s">
        <v>7</v>
      </c>
    </row>
    <row r="3355" spans="1:6" ht="22.5" hidden="1" customHeight="1" x14ac:dyDescent="0.25">
      <c r="A3355" s="3">
        <v>44136</v>
      </c>
      <c r="B3355" s="2" t="s">
        <v>57</v>
      </c>
      <c r="C3355" s="2">
        <v>-10</v>
      </c>
      <c r="D3355" s="2">
        <v>2.8799999999999999E-2</v>
      </c>
      <c r="E3355" s="2">
        <v>-2.8800000000000002E-3</v>
      </c>
      <c r="F3355" s="2" t="s">
        <v>7</v>
      </c>
    </row>
    <row r="3356" spans="1:6" ht="22.5" hidden="1" customHeight="1" x14ac:dyDescent="0.25">
      <c r="A3356" s="3">
        <v>44136</v>
      </c>
      <c r="B3356" s="2" t="s">
        <v>58</v>
      </c>
      <c r="C3356" s="2">
        <v>-0.75</v>
      </c>
      <c r="D3356" s="2">
        <v>1.6299999999999999E-2</v>
      </c>
      <c r="E3356" s="2">
        <v>-1.2224999999999999E-4</v>
      </c>
      <c r="F3356" s="2" t="s">
        <v>7</v>
      </c>
    </row>
    <row r="3357" spans="1:6" ht="22.5" hidden="1" customHeight="1" x14ac:dyDescent="0.25">
      <c r="A3357" s="3">
        <v>44136</v>
      </c>
      <c r="B3357" s="2" t="s">
        <v>59</v>
      </c>
      <c r="C3357" s="2">
        <v>2.82</v>
      </c>
      <c r="D3357" s="2">
        <v>2.1499999999999998E-2</v>
      </c>
      <c r="E3357" s="2">
        <v>6.0630000000000005E-4</v>
      </c>
      <c r="F3357" s="2" t="s">
        <v>7</v>
      </c>
    </row>
    <row r="3358" spans="1:6" ht="22.5" hidden="1" customHeight="1" x14ac:dyDescent="0.25">
      <c r="A3358" s="3">
        <v>44136</v>
      </c>
      <c r="B3358" s="2" t="s">
        <v>60</v>
      </c>
      <c r="C3358" s="2">
        <v>1.07</v>
      </c>
      <c r="D3358" s="2">
        <v>3.39E-2</v>
      </c>
      <c r="E3358" s="2">
        <v>3.6273000000000002E-4</v>
      </c>
      <c r="F3358" s="2" t="s">
        <v>7</v>
      </c>
    </row>
    <row r="3359" spans="1:6" ht="22.5" hidden="1" customHeight="1" x14ac:dyDescent="0.25">
      <c r="A3359" s="3">
        <v>44136</v>
      </c>
      <c r="B3359" s="2" t="s">
        <v>61</v>
      </c>
      <c r="C3359" s="2">
        <v>4.9400000000000004</v>
      </c>
      <c r="D3359" s="2">
        <v>7.3200000000000001E-2</v>
      </c>
      <c r="E3359" s="2">
        <v>3.6160799999999998E-3</v>
      </c>
      <c r="F3359" s="2" t="s">
        <v>7</v>
      </c>
    </row>
    <row r="3360" spans="1:6" ht="22.5" hidden="1" customHeight="1" x14ac:dyDescent="0.25">
      <c r="A3360" s="3">
        <v>44136</v>
      </c>
      <c r="B3360" s="2" t="s">
        <v>62</v>
      </c>
      <c r="C3360" s="2">
        <v>9.06</v>
      </c>
      <c r="D3360" s="2">
        <v>8.8400000000000006E-2</v>
      </c>
      <c r="E3360" s="2">
        <v>8.0090400000000003E-3</v>
      </c>
      <c r="F3360" s="2" t="s">
        <v>7</v>
      </c>
    </row>
    <row r="3361" spans="1:6" ht="22.5" hidden="1" customHeight="1" x14ac:dyDescent="0.25">
      <c r="A3361" s="3">
        <v>44136</v>
      </c>
      <c r="B3361" s="2" t="s">
        <v>63</v>
      </c>
      <c r="C3361" s="2">
        <v>-2.69</v>
      </c>
      <c r="D3361" s="2">
        <v>1.0999999999999999E-2</v>
      </c>
      <c r="E3361" s="2">
        <v>-2.9589999999999998E-4</v>
      </c>
      <c r="F3361" s="2" t="s">
        <v>7</v>
      </c>
    </row>
    <row r="3362" spans="1:6" ht="22.5" hidden="1" customHeight="1" x14ac:dyDescent="0.25">
      <c r="A3362" s="3">
        <v>44136</v>
      </c>
      <c r="B3362" s="2" t="s">
        <v>64</v>
      </c>
      <c r="C3362" s="2">
        <v>6.37</v>
      </c>
      <c r="D3362" s="2">
        <v>4.3E-3</v>
      </c>
      <c r="E3362" s="2">
        <v>2.7390999999999998E-4</v>
      </c>
      <c r="F3362" s="2" t="s">
        <v>7</v>
      </c>
    </row>
    <row r="3363" spans="1:6" ht="22.5" hidden="1" customHeight="1" x14ac:dyDescent="0.25">
      <c r="A3363" s="3">
        <v>44136</v>
      </c>
      <c r="B3363" s="2" t="s">
        <v>65</v>
      </c>
      <c r="C3363" s="2">
        <v>3.97</v>
      </c>
      <c r="D3363" s="2">
        <v>2.1999999999999999E-2</v>
      </c>
      <c r="E3363" s="2">
        <v>8.7339999999999998E-4</v>
      </c>
      <c r="F3363" s="2" t="s">
        <v>7</v>
      </c>
    </row>
    <row r="3364" spans="1:6" ht="22.5" hidden="1" customHeight="1" x14ac:dyDescent="0.25">
      <c r="A3364" s="3">
        <v>44136</v>
      </c>
      <c r="B3364" s="2" t="s">
        <v>66</v>
      </c>
      <c r="C3364" s="2">
        <v>6.84</v>
      </c>
      <c r="D3364" s="2">
        <v>0.37240000000000001</v>
      </c>
      <c r="E3364" s="2">
        <v>2.5472160000000001E-2</v>
      </c>
      <c r="F3364" s="2" t="s">
        <v>7</v>
      </c>
    </row>
    <row r="3365" spans="1:6" ht="22.5" hidden="1" customHeight="1" x14ac:dyDescent="0.25">
      <c r="A3365" s="3">
        <v>44136</v>
      </c>
      <c r="B3365" s="2" t="s">
        <v>67</v>
      </c>
      <c r="C3365" s="2">
        <v>3.86</v>
      </c>
      <c r="D3365" s="2">
        <v>3.3999999999999998E-3</v>
      </c>
      <c r="E3365" s="2">
        <v>1.3124E-4</v>
      </c>
      <c r="F3365" s="2" t="s">
        <v>7</v>
      </c>
    </row>
    <row r="3366" spans="1:6" ht="22.5" hidden="1" customHeight="1" x14ac:dyDescent="0.25">
      <c r="A3366" s="3">
        <v>44136</v>
      </c>
      <c r="B3366" s="2" t="s">
        <v>68</v>
      </c>
      <c r="C3366" s="2">
        <v>2.21</v>
      </c>
      <c r="D3366" s="2">
        <v>1.0800000000000001E-2</v>
      </c>
      <c r="E3366" s="2">
        <v>2.3868000000000001E-4</v>
      </c>
      <c r="F3366" s="2" t="s">
        <v>7</v>
      </c>
    </row>
    <row r="3367" spans="1:6" ht="22.5" hidden="1" customHeight="1" x14ac:dyDescent="0.25">
      <c r="A3367" s="3">
        <v>44136</v>
      </c>
      <c r="B3367" s="2" t="s">
        <v>69</v>
      </c>
      <c r="C3367" s="2">
        <v>4.8</v>
      </c>
      <c r="D3367" s="2">
        <v>0.44240000000000002</v>
      </c>
      <c r="E3367" s="2">
        <v>2.1235199999999999E-2</v>
      </c>
      <c r="F3367" s="2" t="s">
        <v>7</v>
      </c>
    </row>
    <row r="3368" spans="1:6" ht="22.5" hidden="1" customHeight="1" x14ac:dyDescent="0.25">
      <c r="A3368" s="3">
        <v>44136</v>
      </c>
      <c r="B3368" s="2" t="s">
        <v>70</v>
      </c>
      <c r="C3368" s="2">
        <v>4.71</v>
      </c>
      <c r="D3368" s="2">
        <v>2.4799999999999999E-2</v>
      </c>
      <c r="E3368" s="2">
        <v>1.1680799999999999E-3</v>
      </c>
      <c r="F3368" s="2" t="s">
        <v>7</v>
      </c>
    </row>
    <row r="3369" spans="1:6" ht="22.5" hidden="1" customHeight="1" x14ac:dyDescent="0.25">
      <c r="A3369" s="3">
        <v>44136</v>
      </c>
      <c r="B3369" s="2" t="s">
        <v>71</v>
      </c>
      <c r="C3369" s="2">
        <v>5.33</v>
      </c>
      <c r="D3369" s="2">
        <v>0.30740000000000001</v>
      </c>
      <c r="E3369" s="2">
        <v>1.638442E-2</v>
      </c>
      <c r="F3369" s="2" t="s">
        <v>7</v>
      </c>
    </row>
    <row r="3370" spans="1:6" ht="22.5" hidden="1" customHeight="1" x14ac:dyDescent="0.25">
      <c r="A3370" s="3">
        <v>44136</v>
      </c>
      <c r="B3370" s="2" t="s">
        <v>72</v>
      </c>
      <c r="C3370" s="2">
        <v>4.4400000000000004</v>
      </c>
      <c r="D3370" s="2">
        <v>0.33019999999999999</v>
      </c>
      <c r="E3370" s="2">
        <v>1.4660879999999999E-2</v>
      </c>
      <c r="F3370" s="2" t="s">
        <v>7</v>
      </c>
    </row>
    <row r="3371" spans="1:6" ht="22.5" hidden="1" customHeight="1" x14ac:dyDescent="0.25">
      <c r="A3371" s="3">
        <v>44136</v>
      </c>
      <c r="B3371" s="2" t="s">
        <v>73</v>
      </c>
      <c r="C3371" s="2">
        <v>5.34</v>
      </c>
      <c r="D3371" s="2">
        <v>0.16220000000000001</v>
      </c>
      <c r="E3371" s="2">
        <v>8.6614799999999992E-3</v>
      </c>
      <c r="F3371" s="2" t="s">
        <v>7</v>
      </c>
    </row>
    <row r="3372" spans="1:6" ht="22.5" hidden="1" customHeight="1" x14ac:dyDescent="0.25">
      <c r="A3372" s="3">
        <v>44136</v>
      </c>
      <c r="B3372" s="2" t="s">
        <v>74</v>
      </c>
      <c r="C3372" s="2">
        <v>4.24</v>
      </c>
      <c r="D3372" s="2">
        <v>8.8999999999999999E-3</v>
      </c>
      <c r="E3372" s="2">
        <v>3.7735999999999998E-4</v>
      </c>
      <c r="F3372" s="2" t="s">
        <v>7</v>
      </c>
    </row>
    <row r="3373" spans="1:6" ht="22.5" hidden="1" customHeight="1" x14ac:dyDescent="0.25">
      <c r="A3373" s="3">
        <v>44136</v>
      </c>
      <c r="B3373" s="2" t="s">
        <v>75</v>
      </c>
      <c r="C3373" s="2">
        <v>5.39</v>
      </c>
      <c r="D3373" s="2">
        <v>7.0800000000000002E-2</v>
      </c>
      <c r="E3373" s="2">
        <v>3.8161200000000001E-3</v>
      </c>
      <c r="F3373" s="2" t="s">
        <v>7</v>
      </c>
    </row>
    <row r="3374" spans="1:6" ht="22.5" hidden="1" customHeight="1" x14ac:dyDescent="0.25">
      <c r="A3374" s="3">
        <v>44136</v>
      </c>
      <c r="B3374" s="2" t="s">
        <v>76</v>
      </c>
      <c r="C3374" s="2">
        <v>4.93</v>
      </c>
      <c r="D3374" s="2">
        <v>0.14960000000000001</v>
      </c>
      <c r="E3374" s="2">
        <v>7.3752799999999997E-3</v>
      </c>
      <c r="F3374" s="2" t="s">
        <v>7</v>
      </c>
    </row>
    <row r="3375" spans="1:6" ht="22.5" hidden="1" customHeight="1" x14ac:dyDescent="0.25">
      <c r="A3375" s="3">
        <v>44136</v>
      </c>
      <c r="B3375" s="2" t="s">
        <v>77</v>
      </c>
      <c r="C3375" s="2">
        <v>2.85</v>
      </c>
      <c r="D3375" s="2">
        <v>0.10249999999999999</v>
      </c>
      <c r="E3375" s="2">
        <v>2.9212499999999998E-3</v>
      </c>
      <c r="F3375" s="2" t="s">
        <v>7</v>
      </c>
    </row>
    <row r="3376" spans="1:6" ht="22.5" hidden="1" customHeight="1" x14ac:dyDescent="0.25">
      <c r="A3376" s="3">
        <v>44136</v>
      </c>
      <c r="B3376" s="2" t="s">
        <v>78</v>
      </c>
      <c r="C3376" s="2">
        <v>3.3</v>
      </c>
      <c r="D3376" s="2">
        <v>0.2782</v>
      </c>
      <c r="E3376" s="2">
        <v>9.1806000000000006E-3</v>
      </c>
      <c r="F3376" s="2" t="s">
        <v>7</v>
      </c>
    </row>
    <row r="3377" spans="1:6" ht="22.5" hidden="1" customHeight="1" x14ac:dyDescent="0.25">
      <c r="A3377" s="3">
        <v>44136</v>
      </c>
      <c r="B3377" s="2" t="s">
        <v>79</v>
      </c>
      <c r="C3377" s="2">
        <v>4.24</v>
      </c>
      <c r="D3377" s="2">
        <v>1.0699999999999999E-2</v>
      </c>
      <c r="E3377" s="2">
        <v>4.5367999999999998E-4</v>
      </c>
      <c r="F3377" s="2" t="s">
        <v>7</v>
      </c>
    </row>
    <row r="3378" spans="1:6" ht="22.5" hidden="1" customHeight="1" x14ac:dyDescent="0.25">
      <c r="A3378" s="3">
        <v>44136</v>
      </c>
      <c r="B3378" s="2" t="s">
        <v>80</v>
      </c>
      <c r="C3378" s="2">
        <v>1.6</v>
      </c>
      <c r="D3378" s="2">
        <v>3.9E-2</v>
      </c>
      <c r="E3378" s="2">
        <v>6.2399999999999999E-4</v>
      </c>
      <c r="F3378" s="2" t="s">
        <v>7</v>
      </c>
    </row>
    <row r="3379" spans="1:6" ht="22.5" hidden="1" customHeight="1" x14ac:dyDescent="0.25">
      <c r="A3379" s="3">
        <v>44136</v>
      </c>
      <c r="B3379" s="2" t="s">
        <v>81</v>
      </c>
      <c r="C3379" s="2">
        <v>4.68</v>
      </c>
      <c r="D3379" s="2">
        <v>0.34560000000000002</v>
      </c>
      <c r="E3379" s="2">
        <v>1.617408E-2</v>
      </c>
      <c r="F3379" s="2" t="s">
        <v>7</v>
      </c>
    </row>
    <row r="3380" spans="1:6" ht="22.5" hidden="1" customHeight="1" x14ac:dyDescent="0.25">
      <c r="A3380" s="3">
        <v>44136</v>
      </c>
      <c r="B3380" s="2" t="s">
        <v>82</v>
      </c>
      <c r="C3380" s="2">
        <v>8.24</v>
      </c>
      <c r="D3380" s="2">
        <v>4.1000000000000002E-2</v>
      </c>
      <c r="E3380" s="2">
        <v>3.3784000000000002E-3</v>
      </c>
      <c r="F3380" s="2" t="s">
        <v>7</v>
      </c>
    </row>
    <row r="3381" spans="1:6" ht="22.5" hidden="1" customHeight="1" x14ac:dyDescent="0.25">
      <c r="A3381" s="3">
        <v>44136</v>
      </c>
      <c r="B3381" s="2" t="s">
        <v>83</v>
      </c>
      <c r="C3381" s="2">
        <v>0.38</v>
      </c>
      <c r="D3381" s="2">
        <v>6.9999999999999999E-4</v>
      </c>
      <c r="E3381" s="2">
        <v>2.6599999999999999E-6</v>
      </c>
      <c r="F3381" s="2" t="s">
        <v>7</v>
      </c>
    </row>
    <row r="3382" spans="1:6" ht="22.5" hidden="1" customHeight="1" x14ac:dyDescent="0.25">
      <c r="A3382" s="3">
        <v>44136</v>
      </c>
      <c r="B3382" s="2" t="s">
        <v>84</v>
      </c>
      <c r="C3382" s="2">
        <v>3.53</v>
      </c>
      <c r="D3382" s="2">
        <v>2.1999999999999999E-2</v>
      </c>
      <c r="E3382" s="2">
        <v>7.7660000000000001E-4</v>
      </c>
      <c r="F3382" s="2" t="s">
        <v>7</v>
      </c>
    </row>
    <row r="3383" spans="1:6" ht="22.5" hidden="1" customHeight="1" x14ac:dyDescent="0.25">
      <c r="A3383" s="3">
        <v>44136</v>
      </c>
      <c r="B3383" s="2" t="s">
        <v>85</v>
      </c>
      <c r="C3383" s="2">
        <v>0.99</v>
      </c>
      <c r="D3383" s="2">
        <v>5.4999999999999997E-3</v>
      </c>
      <c r="E3383" s="2">
        <v>5.4450000000000002E-5</v>
      </c>
      <c r="F3383" s="2" t="s">
        <v>7</v>
      </c>
    </row>
    <row r="3384" spans="1:6" ht="22.5" hidden="1" customHeight="1" x14ac:dyDescent="0.25">
      <c r="A3384" s="3">
        <v>44136</v>
      </c>
      <c r="B3384" s="2" t="s">
        <v>86</v>
      </c>
      <c r="C3384" s="2">
        <v>0.94</v>
      </c>
      <c r="D3384" s="2">
        <v>2.5000000000000001E-2</v>
      </c>
      <c r="E3384" s="2">
        <v>2.3499999999999999E-4</v>
      </c>
      <c r="F3384" s="2" t="s">
        <v>7</v>
      </c>
    </row>
    <row r="3385" spans="1:6" ht="22.5" hidden="1" customHeight="1" x14ac:dyDescent="0.25">
      <c r="A3385" s="3">
        <v>44136</v>
      </c>
      <c r="B3385" s="2" t="s">
        <v>87</v>
      </c>
      <c r="C3385" s="2">
        <v>3.05</v>
      </c>
      <c r="D3385" s="2">
        <v>1E-3</v>
      </c>
      <c r="E3385" s="2">
        <v>3.0499999999999999E-5</v>
      </c>
      <c r="F3385" s="2" t="s">
        <v>7</v>
      </c>
    </row>
    <row r="3386" spans="1:6" ht="22.5" hidden="1" customHeight="1" x14ac:dyDescent="0.25">
      <c r="A3386" s="3">
        <v>44136</v>
      </c>
      <c r="B3386" s="2" t="s">
        <v>88</v>
      </c>
      <c r="C3386" s="2">
        <v>1.73</v>
      </c>
      <c r="D3386" s="2">
        <v>7.0000000000000001E-3</v>
      </c>
      <c r="E3386" s="2">
        <v>1.211E-4</v>
      </c>
      <c r="F3386" s="2" t="s">
        <v>7</v>
      </c>
    </row>
    <row r="3387" spans="1:6" ht="22.5" hidden="1" customHeight="1" x14ac:dyDescent="0.25">
      <c r="A3387" s="3">
        <v>44136</v>
      </c>
      <c r="B3387" s="2" t="s">
        <v>89</v>
      </c>
      <c r="C3387" s="2">
        <v>1.05</v>
      </c>
      <c r="D3387" s="2">
        <v>1.7500000000000002E-2</v>
      </c>
      <c r="E3387" s="2">
        <v>1.8374999999999999E-4</v>
      </c>
      <c r="F3387" s="2" t="s">
        <v>7</v>
      </c>
    </row>
    <row r="3388" spans="1:6" ht="22.5" hidden="1" customHeight="1" x14ac:dyDescent="0.25">
      <c r="A3388" s="3">
        <v>44136</v>
      </c>
      <c r="B3388" s="2" t="s">
        <v>90</v>
      </c>
      <c r="C3388" s="2">
        <v>0.95</v>
      </c>
      <c r="D3388" s="2">
        <v>1.6000000000000001E-3</v>
      </c>
      <c r="E3388" s="2">
        <v>1.52E-5</v>
      </c>
      <c r="F3388" s="2" t="s">
        <v>7</v>
      </c>
    </row>
    <row r="3389" spans="1:6" ht="22.5" hidden="1" customHeight="1" x14ac:dyDescent="0.25">
      <c r="A3389" s="3">
        <v>44136</v>
      </c>
      <c r="B3389" s="2" t="s">
        <v>91</v>
      </c>
      <c r="C3389" s="2">
        <v>0.34</v>
      </c>
      <c r="D3389" s="2">
        <v>2.4400000000000002E-2</v>
      </c>
      <c r="E3389" s="2">
        <v>8.2960000000000005E-5</v>
      </c>
      <c r="F3389" s="2" t="s">
        <v>7</v>
      </c>
    </row>
    <row r="3390" spans="1:6" ht="22.5" hidden="1" customHeight="1" x14ac:dyDescent="0.25">
      <c r="A3390" s="3">
        <v>44136</v>
      </c>
      <c r="B3390" s="2" t="s">
        <v>92</v>
      </c>
      <c r="C3390" s="2">
        <v>0</v>
      </c>
      <c r="D3390" s="2">
        <v>5.4000000000000003E-3</v>
      </c>
      <c r="E3390" s="2">
        <v>0</v>
      </c>
      <c r="F3390" s="2" t="s">
        <v>7</v>
      </c>
    </row>
    <row r="3391" spans="1:6" ht="22.5" hidden="1" customHeight="1" x14ac:dyDescent="0.25">
      <c r="A3391" s="3">
        <v>44136</v>
      </c>
      <c r="B3391" s="2" t="s">
        <v>93</v>
      </c>
      <c r="C3391" s="2">
        <v>-1.29</v>
      </c>
      <c r="D3391" s="2">
        <v>1.1000000000000001E-3</v>
      </c>
      <c r="E3391" s="2">
        <v>-1.419E-5</v>
      </c>
      <c r="F3391" s="2" t="s">
        <v>7</v>
      </c>
    </row>
    <row r="3392" spans="1:6" ht="22.5" hidden="1" customHeight="1" x14ac:dyDescent="0.25">
      <c r="A3392" s="3">
        <v>44136</v>
      </c>
      <c r="B3392" s="2" t="s">
        <v>94</v>
      </c>
      <c r="C3392" s="2">
        <v>0.08</v>
      </c>
      <c r="D3392" s="2">
        <v>1E-3</v>
      </c>
      <c r="E3392" s="2">
        <v>7.9999999999999996E-7</v>
      </c>
      <c r="F3392" s="2" t="s">
        <v>7</v>
      </c>
    </row>
    <row r="3393" spans="1:6" ht="22.5" hidden="1" customHeight="1" x14ac:dyDescent="0.25">
      <c r="A3393" s="3">
        <v>44136</v>
      </c>
      <c r="B3393" s="2" t="s">
        <v>95</v>
      </c>
      <c r="C3393" s="2">
        <v>0.85</v>
      </c>
      <c r="D3393" s="2">
        <v>1.6799999999999999E-2</v>
      </c>
      <c r="E3393" s="2">
        <v>1.428E-4</v>
      </c>
      <c r="F3393" s="2" t="s">
        <v>7</v>
      </c>
    </row>
    <row r="3394" spans="1:6" ht="22.5" hidden="1" customHeight="1" x14ac:dyDescent="0.25">
      <c r="A3394" s="3">
        <v>44136</v>
      </c>
      <c r="B3394" s="2" t="s">
        <v>96</v>
      </c>
      <c r="C3394" s="2">
        <v>-0.28000000000000003</v>
      </c>
      <c r="D3394" s="2">
        <v>4.8599999999999997E-2</v>
      </c>
      <c r="E3394" s="2">
        <v>-1.3608000000000001E-4</v>
      </c>
      <c r="F3394" s="2" t="s">
        <v>7</v>
      </c>
    </row>
    <row r="3395" spans="1:6" ht="22.5" hidden="1" customHeight="1" x14ac:dyDescent="0.25">
      <c r="A3395" s="3">
        <v>44136</v>
      </c>
      <c r="B3395" s="2" t="s">
        <v>97</v>
      </c>
      <c r="C3395" s="2">
        <v>-0.6</v>
      </c>
      <c r="D3395" s="2">
        <v>1.0800000000000001E-2</v>
      </c>
      <c r="E3395" s="2">
        <v>-6.4800000000000003E-5</v>
      </c>
      <c r="F3395" s="2" t="s">
        <v>7</v>
      </c>
    </row>
    <row r="3396" spans="1:6" ht="22.5" hidden="1" customHeight="1" x14ac:dyDescent="0.25">
      <c r="A3396" s="3">
        <v>44136</v>
      </c>
      <c r="B3396" s="2" t="s">
        <v>98</v>
      </c>
      <c r="C3396" s="2">
        <v>3.67</v>
      </c>
      <c r="D3396" s="2">
        <v>6.4000000000000003E-3</v>
      </c>
      <c r="E3396" s="2">
        <v>2.3488E-4</v>
      </c>
      <c r="F3396" s="2" t="s">
        <v>7</v>
      </c>
    </row>
    <row r="3397" spans="1:6" ht="22.5" hidden="1" customHeight="1" x14ac:dyDescent="0.25">
      <c r="A3397" s="3">
        <v>44136</v>
      </c>
      <c r="B3397" s="2" t="s">
        <v>99</v>
      </c>
      <c r="C3397" s="2">
        <v>0.7</v>
      </c>
      <c r="D3397" s="2">
        <v>3.5999999999999999E-3</v>
      </c>
      <c r="E3397" s="2">
        <v>2.5199999999999999E-5</v>
      </c>
      <c r="F3397" s="2" t="s">
        <v>7</v>
      </c>
    </row>
    <row r="3398" spans="1:6" ht="22.5" hidden="1" customHeight="1" x14ac:dyDescent="0.25">
      <c r="A3398" s="3">
        <v>44136</v>
      </c>
      <c r="B3398" s="2" t="s">
        <v>100</v>
      </c>
      <c r="C3398" s="2">
        <v>-0.34</v>
      </c>
      <c r="D3398" s="2">
        <v>6.9999999999999999E-4</v>
      </c>
      <c r="E3398" s="2">
        <v>-2.3800000000000001E-6</v>
      </c>
      <c r="F3398" s="2" t="s">
        <v>7</v>
      </c>
    </row>
    <row r="3399" spans="1:6" ht="22.5" hidden="1" customHeight="1" x14ac:dyDescent="0.25">
      <c r="A3399" s="3">
        <v>44136</v>
      </c>
      <c r="B3399" s="2" t="s">
        <v>101</v>
      </c>
      <c r="C3399" s="2">
        <v>-0.35</v>
      </c>
      <c r="D3399" s="2">
        <v>9.74E-2</v>
      </c>
      <c r="E3399" s="2">
        <v>-3.4089999999999999E-4</v>
      </c>
      <c r="F3399" s="2" t="s">
        <v>7</v>
      </c>
    </row>
    <row r="3400" spans="1:6" ht="22.5" hidden="1" customHeight="1" x14ac:dyDescent="0.25">
      <c r="A3400" s="3">
        <v>44136</v>
      </c>
      <c r="B3400" s="2" t="s">
        <v>102</v>
      </c>
      <c r="C3400" s="2">
        <v>2.5</v>
      </c>
      <c r="D3400" s="2">
        <v>4.6199999999999998E-2</v>
      </c>
      <c r="E3400" s="2">
        <v>1.155E-3</v>
      </c>
      <c r="F3400" s="2" t="s">
        <v>7</v>
      </c>
    </row>
    <row r="3401" spans="1:6" ht="22.5" hidden="1" customHeight="1" x14ac:dyDescent="0.25">
      <c r="A3401" s="3">
        <v>44136</v>
      </c>
      <c r="B3401" s="2" t="s">
        <v>103</v>
      </c>
      <c r="C3401" s="2">
        <v>3.45</v>
      </c>
      <c r="D3401" s="2">
        <v>0.33139999999999997</v>
      </c>
      <c r="E3401" s="2">
        <v>1.14333E-2</v>
      </c>
      <c r="F3401" s="2" t="s">
        <v>7</v>
      </c>
    </row>
    <row r="3402" spans="1:6" ht="22.5" hidden="1" customHeight="1" x14ac:dyDescent="0.25">
      <c r="A3402" s="3">
        <v>44136</v>
      </c>
      <c r="B3402" s="2" t="s">
        <v>104</v>
      </c>
      <c r="C3402" s="2">
        <v>-1.59</v>
      </c>
      <c r="D3402" s="2">
        <v>5.2999999999999999E-2</v>
      </c>
      <c r="E3402" s="2">
        <v>-8.4270000000000005E-4</v>
      </c>
      <c r="F3402" s="2" t="s">
        <v>7</v>
      </c>
    </row>
    <row r="3403" spans="1:6" ht="22.5" hidden="1" customHeight="1" x14ac:dyDescent="0.25">
      <c r="A3403" s="3">
        <v>44136</v>
      </c>
      <c r="B3403" s="2" t="s">
        <v>105</v>
      </c>
      <c r="C3403" s="2">
        <v>2.92</v>
      </c>
      <c r="D3403" s="2">
        <v>9.1999999999999998E-3</v>
      </c>
      <c r="E3403" s="2">
        <v>2.6864E-4</v>
      </c>
      <c r="F3403" s="2" t="s">
        <v>7</v>
      </c>
    </row>
    <row r="3404" spans="1:6" ht="22.5" hidden="1" customHeight="1" x14ac:dyDescent="0.25">
      <c r="A3404" s="3">
        <v>44136</v>
      </c>
      <c r="B3404" s="2" t="s">
        <v>106</v>
      </c>
      <c r="C3404" s="2">
        <v>0.11</v>
      </c>
      <c r="D3404" s="2">
        <v>9.1000000000000004E-3</v>
      </c>
      <c r="E3404" s="2">
        <v>1.0010000000000001E-5</v>
      </c>
      <c r="F3404" s="2" t="s">
        <v>7</v>
      </c>
    </row>
    <row r="3405" spans="1:6" ht="22.5" hidden="1" customHeight="1" x14ac:dyDescent="0.25">
      <c r="A3405" s="3">
        <v>44136</v>
      </c>
      <c r="B3405" s="2" t="s">
        <v>107</v>
      </c>
      <c r="C3405" s="2">
        <v>1.61</v>
      </c>
      <c r="D3405" s="2">
        <v>0.11650000000000001</v>
      </c>
      <c r="E3405" s="2">
        <v>1.87565E-3</v>
      </c>
      <c r="F3405" s="2" t="s">
        <v>7</v>
      </c>
    </row>
    <row r="3406" spans="1:6" ht="22.5" hidden="1" customHeight="1" x14ac:dyDescent="0.25">
      <c r="A3406" s="3">
        <v>44136</v>
      </c>
      <c r="B3406" s="2" t="s">
        <v>108</v>
      </c>
      <c r="C3406" s="2">
        <v>1.24</v>
      </c>
      <c r="D3406" s="2">
        <v>7.7000000000000002E-3</v>
      </c>
      <c r="E3406" s="2">
        <v>9.5480000000000001E-5</v>
      </c>
      <c r="F3406" s="2" t="s">
        <v>7</v>
      </c>
    </row>
    <row r="3407" spans="1:6" ht="22.5" hidden="1" customHeight="1" x14ac:dyDescent="0.25">
      <c r="A3407" s="3">
        <v>44136</v>
      </c>
      <c r="B3407" s="2" t="s">
        <v>109</v>
      </c>
      <c r="C3407" s="2">
        <v>2.16</v>
      </c>
      <c r="D3407" s="2">
        <v>0.33479999999999999</v>
      </c>
      <c r="E3407" s="2">
        <v>7.2316799999999999E-3</v>
      </c>
      <c r="F3407" s="2" t="s">
        <v>7</v>
      </c>
    </row>
    <row r="3408" spans="1:6" ht="22.5" hidden="1" customHeight="1" x14ac:dyDescent="0.25">
      <c r="A3408" s="3">
        <v>44136</v>
      </c>
      <c r="B3408" s="2" t="s">
        <v>110</v>
      </c>
      <c r="C3408" s="2">
        <v>1.1000000000000001</v>
      </c>
      <c r="D3408" s="2">
        <v>0.59160000000000001</v>
      </c>
      <c r="E3408" s="2">
        <v>6.5075999999999997E-3</v>
      </c>
      <c r="F3408" s="2" t="s">
        <v>7</v>
      </c>
    </row>
    <row r="3409" spans="1:6" ht="22.5" hidden="1" customHeight="1" x14ac:dyDescent="0.25">
      <c r="A3409" s="3">
        <v>44136</v>
      </c>
      <c r="B3409" s="2" t="s">
        <v>111</v>
      </c>
      <c r="C3409" s="2">
        <v>1.39</v>
      </c>
      <c r="D3409" s="2">
        <v>0.23089999999999999</v>
      </c>
      <c r="E3409" s="2">
        <v>3.2095100000000001E-3</v>
      </c>
      <c r="F3409" s="2" t="s">
        <v>7</v>
      </c>
    </row>
    <row r="3410" spans="1:6" ht="22.5" hidden="1" customHeight="1" x14ac:dyDescent="0.25">
      <c r="A3410" s="3">
        <v>44136</v>
      </c>
      <c r="B3410" s="2" t="s">
        <v>112</v>
      </c>
      <c r="C3410" s="2">
        <v>-3.81</v>
      </c>
      <c r="D3410" s="2">
        <v>0.79779999999999995</v>
      </c>
      <c r="E3410" s="2">
        <v>-3.0396179999999998E-2</v>
      </c>
      <c r="F3410" s="2" t="s">
        <v>7</v>
      </c>
    </row>
    <row r="3411" spans="1:6" ht="22.5" hidden="1" customHeight="1" x14ac:dyDescent="0.25">
      <c r="A3411" s="3">
        <v>44136</v>
      </c>
      <c r="B3411" s="2" t="s">
        <v>113</v>
      </c>
      <c r="C3411" s="2">
        <v>2.19</v>
      </c>
      <c r="D3411" s="2">
        <v>2.0799999999999999E-2</v>
      </c>
      <c r="E3411" s="2">
        <v>4.5552E-4</v>
      </c>
      <c r="F3411" s="2" t="s">
        <v>7</v>
      </c>
    </row>
    <row r="3412" spans="1:6" ht="22.5" hidden="1" customHeight="1" x14ac:dyDescent="0.25">
      <c r="A3412" s="3">
        <v>44136</v>
      </c>
      <c r="B3412" s="2" t="s">
        <v>114</v>
      </c>
      <c r="C3412" s="2">
        <v>2.19</v>
      </c>
      <c r="D3412" s="2">
        <v>0.19500000000000001</v>
      </c>
      <c r="E3412" s="2">
        <v>4.2705E-3</v>
      </c>
      <c r="F3412" s="2" t="s">
        <v>7</v>
      </c>
    </row>
    <row r="3413" spans="1:6" ht="22.5" hidden="1" customHeight="1" x14ac:dyDescent="0.25">
      <c r="A3413" s="3">
        <v>44136</v>
      </c>
      <c r="B3413" s="2" t="s">
        <v>115</v>
      </c>
      <c r="C3413" s="2">
        <v>0.98</v>
      </c>
      <c r="D3413" s="2">
        <v>0.53369999999999995</v>
      </c>
      <c r="E3413" s="2">
        <v>5.2302599999999996E-3</v>
      </c>
      <c r="F3413" s="2" t="s">
        <v>7</v>
      </c>
    </row>
    <row r="3414" spans="1:6" ht="22.5" hidden="1" customHeight="1" x14ac:dyDescent="0.25">
      <c r="A3414" s="3">
        <v>44136</v>
      </c>
      <c r="B3414" s="2" t="s">
        <v>116</v>
      </c>
      <c r="C3414" s="2">
        <v>0.93</v>
      </c>
      <c r="D3414" s="2">
        <v>0.14929999999999999</v>
      </c>
      <c r="E3414" s="2">
        <v>1.38849E-3</v>
      </c>
      <c r="F3414" s="2" t="s">
        <v>7</v>
      </c>
    </row>
    <row r="3415" spans="1:6" ht="22.5" hidden="1" customHeight="1" x14ac:dyDescent="0.25">
      <c r="A3415" s="3">
        <v>44136</v>
      </c>
      <c r="B3415" s="2" t="s">
        <v>117</v>
      </c>
      <c r="C3415" s="2">
        <v>0.16</v>
      </c>
      <c r="D3415" s="2">
        <v>5.4300000000000001E-2</v>
      </c>
      <c r="E3415" s="2">
        <v>8.6879999999999995E-5</v>
      </c>
      <c r="F3415" s="2" t="s">
        <v>7</v>
      </c>
    </row>
    <row r="3416" spans="1:6" ht="22.5" hidden="1" customHeight="1" x14ac:dyDescent="0.25">
      <c r="A3416" s="3">
        <v>44136</v>
      </c>
      <c r="B3416" s="2" t="s">
        <v>118</v>
      </c>
      <c r="C3416" s="2">
        <v>1.7</v>
      </c>
      <c r="D3416" s="2">
        <v>6.1100000000000002E-2</v>
      </c>
      <c r="E3416" s="2">
        <v>1.0387E-3</v>
      </c>
      <c r="F3416" s="2" t="s">
        <v>7</v>
      </c>
    </row>
    <row r="3417" spans="1:6" ht="22.5" hidden="1" customHeight="1" x14ac:dyDescent="0.25">
      <c r="A3417" s="3">
        <v>44136</v>
      </c>
      <c r="B3417" s="2" t="s">
        <v>119</v>
      </c>
      <c r="C3417" s="2">
        <v>2.16</v>
      </c>
      <c r="D3417" s="2">
        <v>1.0699999999999999E-2</v>
      </c>
      <c r="E3417" s="2">
        <v>2.3112E-4</v>
      </c>
      <c r="F3417" s="2" t="s">
        <v>7</v>
      </c>
    </row>
    <row r="3418" spans="1:6" ht="22.5" hidden="1" customHeight="1" x14ac:dyDescent="0.25">
      <c r="A3418" s="3">
        <v>44136</v>
      </c>
      <c r="B3418" s="2" t="s">
        <v>120</v>
      </c>
      <c r="C3418" s="2">
        <v>-0.77</v>
      </c>
      <c r="D3418" s="2">
        <v>0.45710000000000001</v>
      </c>
      <c r="E3418" s="2">
        <v>-3.5196699999999999E-3</v>
      </c>
      <c r="F3418" s="2" t="s">
        <v>7</v>
      </c>
    </row>
    <row r="3419" spans="1:6" ht="22.5" hidden="1" customHeight="1" x14ac:dyDescent="0.25">
      <c r="A3419" s="3">
        <v>44136</v>
      </c>
      <c r="B3419" s="2" t="s">
        <v>121</v>
      </c>
      <c r="C3419" s="2">
        <v>0.41</v>
      </c>
      <c r="D3419" s="2">
        <v>0.7873</v>
      </c>
      <c r="E3419" s="2">
        <v>3.2279299999999999E-3</v>
      </c>
      <c r="F3419" s="2" t="s">
        <v>7</v>
      </c>
    </row>
    <row r="3420" spans="1:6" ht="22.5" hidden="1" customHeight="1" x14ac:dyDescent="0.25">
      <c r="A3420" s="3">
        <v>44136</v>
      </c>
      <c r="B3420" s="2" t="s">
        <v>122</v>
      </c>
      <c r="C3420" s="2">
        <v>-0.22</v>
      </c>
      <c r="D3420" s="2">
        <v>8.2900000000000001E-2</v>
      </c>
      <c r="E3420" s="2">
        <v>-1.8238E-4</v>
      </c>
      <c r="F3420" s="2" t="s">
        <v>7</v>
      </c>
    </row>
    <row r="3421" spans="1:6" ht="22.5" hidden="1" customHeight="1" x14ac:dyDescent="0.25">
      <c r="A3421" s="3">
        <v>44136</v>
      </c>
      <c r="B3421" s="2" t="s">
        <v>123</v>
      </c>
      <c r="C3421" s="2">
        <v>1.1299999999999999</v>
      </c>
      <c r="D3421" s="2">
        <v>9.2999999999999999E-2</v>
      </c>
      <c r="E3421" s="2">
        <v>1.0509E-3</v>
      </c>
      <c r="F3421" s="2" t="s">
        <v>7</v>
      </c>
    </row>
    <row r="3422" spans="1:6" ht="22.5" hidden="1" customHeight="1" x14ac:dyDescent="0.25">
      <c r="A3422" s="3">
        <v>44136</v>
      </c>
      <c r="B3422" s="2" t="s">
        <v>124</v>
      </c>
      <c r="C3422" s="2">
        <v>1.1299999999999999</v>
      </c>
      <c r="D3422" s="2">
        <v>0.13700000000000001</v>
      </c>
      <c r="E3422" s="2">
        <v>1.5481E-3</v>
      </c>
      <c r="F3422" s="2" t="s">
        <v>7</v>
      </c>
    </row>
    <row r="3423" spans="1:6" ht="22.5" hidden="1" customHeight="1" x14ac:dyDescent="0.25">
      <c r="A3423" s="3">
        <v>44136</v>
      </c>
      <c r="B3423" s="2" t="s">
        <v>125</v>
      </c>
      <c r="C3423" s="2">
        <v>-2.86</v>
      </c>
      <c r="D3423" s="2">
        <v>3.2800000000000003E-2</v>
      </c>
      <c r="E3423" s="2">
        <v>-9.3807999999999999E-4</v>
      </c>
      <c r="F3423" s="2" t="s">
        <v>7</v>
      </c>
    </row>
    <row r="3424" spans="1:6" ht="22.5" hidden="1" customHeight="1" x14ac:dyDescent="0.25">
      <c r="A3424" s="3">
        <v>44136</v>
      </c>
      <c r="B3424" s="2" t="s">
        <v>126</v>
      </c>
      <c r="C3424" s="2">
        <v>14.85</v>
      </c>
      <c r="D3424" s="2">
        <v>0.27539999999999998</v>
      </c>
      <c r="E3424" s="2">
        <v>4.08969E-2</v>
      </c>
      <c r="F3424" s="2" t="s">
        <v>7</v>
      </c>
    </row>
    <row r="3425" spans="1:6" ht="22.5" hidden="1" customHeight="1" x14ac:dyDescent="0.25">
      <c r="A3425" s="3">
        <v>44136</v>
      </c>
      <c r="B3425" s="2" t="s">
        <v>127</v>
      </c>
      <c r="C3425" s="2">
        <v>2</v>
      </c>
      <c r="D3425" s="2">
        <v>6.54E-2</v>
      </c>
      <c r="E3425" s="2">
        <v>1.3079999999999999E-3</v>
      </c>
      <c r="F3425" s="2" t="s">
        <v>7</v>
      </c>
    </row>
    <row r="3426" spans="1:6" ht="22.5" hidden="1" customHeight="1" x14ac:dyDescent="0.25">
      <c r="A3426" s="3">
        <v>44136</v>
      </c>
      <c r="B3426" s="2" t="s">
        <v>128</v>
      </c>
      <c r="C3426" s="2">
        <v>1.3</v>
      </c>
      <c r="D3426" s="2">
        <v>9.3600000000000003E-2</v>
      </c>
      <c r="E3426" s="2">
        <v>1.2168000000000001E-3</v>
      </c>
      <c r="F3426" s="2" t="s">
        <v>7</v>
      </c>
    </row>
    <row r="3427" spans="1:6" ht="22.5" hidden="1" customHeight="1" x14ac:dyDescent="0.25">
      <c r="A3427" s="3">
        <v>44136</v>
      </c>
      <c r="B3427" s="2" t="s">
        <v>129</v>
      </c>
      <c r="C3427" s="2">
        <v>-0.32</v>
      </c>
      <c r="D3427" s="2">
        <v>0.13489999999999999</v>
      </c>
      <c r="E3427" s="2">
        <v>-4.3167999999999999E-4</v>
      </c>
      <c r="F3427" s="2" t="s">
        <v>7</v>
      </c>
    </row>
    <row r="3428" spans="1:6" ht="22.5" hidden="1" customHeight="1" x14ac:dyDescent="0.25">
      <c r="A3428" s="3">
        <v>44136</v>
      </c>
      <c r="B3428" s="2" t="s">
        <v>130</v>
      </c>
      <c r="C3428" s="2">
        <v>0.15</v>
      </c>
      <c r="D3428" s="2">
        <v>1.3299999999999999E-2</v>
      </c>
      <c r="E3428" s="2">
        <v>1.995E-5</v>
      </c>
      <c r="F3428" s="2" t="s">
        <v>7</v>
      </c>
    </row>
    <row r="3429" spans="1:6" ht="22.5" hidden="1" customHeight="1" x14ac:dyDescent="0.25">
      <c r="A3429" s="3">
        <v>44136</v>
      </c>
      <c r="B3429" s="2" t="s">
        <v>131</v>
      </c>
      <c r="C3429" s="2">
        <v>10.37</v>
      </c>
      <c r="D3429" s="2">
        <v>5.7000000000000002E-2</v>
      </c>
      <c r="E3429" s="2">
        <v>5.9109000000000002E-3</v>
      </c>
      <c r="F3429" s="2" t="s">
        <v>7</v>
      </c>
    </row>
    <row r="3430" spans="1:6" ht="22.5" hidden="1" customHeight="1" x14ac:dyDescent="0.25">
      <c r="A3430" s="3">
        <v>44136</v>
      </c>
      <c r="B3430" s="2" t="s">
        <v>132</v>
      </c>
      <c r="C3430" s="2">
        <v>0.42</v>
      </c>
      <c r="D3430" s="2">
        <v>0.28799999999999998</v>
      </c>
      <c r="E3430" s="2">
        <v>1.2095999999999999E-3</v>
      </c>
      <c r="F3430" s="2" t="s">
        <v>7</v>
      </c>
    </row>
    <row r="3431" spans="1:6" ht="22.5" hidden="1" customHeight="1" x14ac:dyDescent="0.25">
      <c r="A3431" s="3">
        <v>44136</v>
      </c>
      <c r="B3431" s="2" t="s">
        <v>133</v>
      </c>
      <c r="C3431" s="2">
        <v>0.59</v>
      </c>
      <c r="D3431" s="2">
        <v>8.9999999999999993E-3</v>
      </c>
      <c r="E3431" s="2">
        <v>5.3100000000000003E-5</v>
      </c>
      <c r="F3431" s="2" t="s">
        <v>7</v>
      </c>
    </row>
    <row r="3432" spans="1:6" ht="22.5" hidden="1" customHeight="1" x14ac:dyDescent="0.25">
      <c r="A3432" s="3">
        <v>44136</v>
      </c>
      <c r="B3432" s="2" t="s">
        <v>134</v>
      </c>
      <c r="C3432" s="2">
        <v>0.37</v>
      </c>
      <c r="D3432" s="2">
        <v>0.51470000000000005</v>
      </c>
      <c r="E3432" s="2">
        <v>1.9043899999999999E-3</v>
      </c>
      <c r="F3432" s="2" t="s">
        <v>7</v>
      </c>
    </row>
    <row r="3433" spans="1:6" ht="22.5" hidden="1" customHeight="1" x14ac:dyDescent="0.25">
      <c r="A3433" s="3">
        <v>44136</v>
      </c>
      <c r="B3433" s="2" t="s">
        <v>135</v>
      </c>
      <c r="C3433" s="2">
        <v>0.56000000000000005</v>
      </c>
      <c r="D3433" s="2">
        <v>0.40350000000000003</v>
      </c>
      <c r="E3433" s="2">
        <v>2.2596000000000001E-3</v>
      </c>
      <c r="F3433" s="2" t="s">
        <v>7</v>
      </c>
    </row>
    <row r="3434" spans="1:6" ht="22.5" hidden="1" customHeight="1" x14ac:dyDescent="0.25">
      <c r="A3434" s="3">
        <v>44136</v>
      </c>
      <c r="B3434" s="2" t="s">
        <v>136</v>
      </c>
      <c r="C3434" s="2">
        <v>3.64</v>
      </c>
      <c r="D3434" s="2">
        <v>3.6299999999999999E-2</v>
      </c>
      <c r="E3434" s="2">
        <v>1.32132E-3</v>
      </c>
      <c r="F3434" s="2" t="s">
        <v>7</v>
      </c>
    </row>
    <row r="3435" spans="1:6" ht="22.5" hidden="1" customHeight="1" x14ac:dyDescent="0.25">
      <c r="A3435" s="3">
        <v>44136</v>
      </c>
      <c r="B3435" s="2" t="s">
        <v>137</v>
      </c>
      <c r="C3435" s="2">
        <v>0.95</v>
      </c>
      <c r="D3435" s="2">
        <v>7.0099999999999996E-2</v>
      </c>
      <c r="E3435" s="2">
        <v>6.6595000000000001E-4</v>
      </c>
      <c r="F3435" s="2" t="s">
        <v>7</v>
      </c>
    </row>
    <row r="3436" spans="1:6" ht="22.5" hidden="1" customHeight="1" x14ac:dyDescent="0.25">
      <c r="A3436" s="3">
        <v>44136</v>
      </c>
      <c r="B3436" s="2" t="s">
        <v>138</v>
      </c>
      <c r="C3436" s="2">
        <v>-0.04</v>
      </c>
      <c r="D3436" s="2">
        <v>4.9700000000000001E-2</v>
      </c>
      <c r="E3436" s="2">
        <v>-1.9879999999999999E-5</v>
      </c>
      <c r="F3436" s="2" t="s">
        <v>7</v>
      </c>
    </row>
    <row r="3437" spans="1:6" ht="22.5" hidden="1" customHeight="1" x14ac:dyDescent="0.25">
      <c r="A3437" s="3">
        <v>44136</v>
      </c>
      <c r="B3437" s="2" t="s">
        <v>139</v>
      </c>
      <c r="C3437" s="2">
        <v>-1.28</v>
      </c>
      <c r="D3437" s="2">
        <v>2.7699999999999999E-2</v>
      </c>
      <c r="E3437" s="2">
        <v>-3.5456000000000002E-4</v>
      </c>
      <c r="F3437" s="2" t="s">
        <v>7</v>
      </c>
    </row>
    <row r="3438" spans="1:6" ht="22.5" hidden="1" customHeight="1" x14ac:dyDescent="0.25">
      <c r="A3438" s="3">
        <v>44136</v>
      </c>
      <c r="B3438" s="2" t="s">
        <v>140</v>
      </c>
      <c r="C3438" s="2">
        <v>-1.02</v>
      </c>
      <c r="D3438" s="2">
        <v>2.3E-3</v>
      </c>
      <c r="E3438" s="2">
        <v>-2.3459999999999999E-5</v>
      </c>
      <c r="F3438" s="2" t="s">
        <v>7</v>
      </c>
    </row>
    <row r="3439" spans="1:6" ht="22.5" hidden="1" customHeight="1" x14ac:dyDescent="0.25">
      <c r="A3439" s="3">
        <v>44136</v>
      </c>
      <c r="B3439" s="2" t="s">
        <v>141</v>
      </c>
      <c r="C3439" s="2">
        <v>-2.48</v>
      </c>
      <c r="D3439" s="2">
        <v>1.9900000000000001E-2</v>
      </c>
      <c r="E3439" s="2">
        <v>-4.9352E-4</v>
      </c>
      <c r="F3439" s="2" t="s">
        <v>7</v>
      </c>
    </row>
    <row r="3440" spans="1:6" ht="22.5" hidden="1" customHeight="1" x14ac:dyDescent="0.25">
      <c r="A3440" s="3">
        <v>44136</v>
      </c>
      <c r="B3440" s="2" t="s">
        <v>142</v>
      </c>
      <c r="C3440" s="2">
        <v>3.7</v>
      </c>
      <c r="D3440" s="2">
        <v>4.3E-3</v>
      </c>
      <c r="E3440" s="2">
        <v>1.5909999999999999E-4</v>
      </c>
      <c r="F3440" s="2" t="s">
        <v>7</v>
      </c>
    </row>
    <row r="3441" spans="1:6" ht="22.5" hidden="1" customHeight="1" x14ac:dyDescent="0.25">
      <c r="A3441" s="3">
        <v>44136</v>
      </c>
      <c r="B3441" s="2" t="s">
        <v>143</v>
      </c>
      <c r="C3441" s="2">
        <v>1.79</v>
      </c>
      <c r="D3441" s="2">
        <v>3.9899999999999998E-2</v>
      </c>
      <c r="E3441" s="2">
        <v>7.1420999999999995E-4</v>
      </c>
      <c r="F3441" s="2" t="s">
        <v>7</v>
      </c>
    </row>
    <row r="3442" spans="1:6" ht="22.5" hidden="1" customHeight="1" x14ac:dyDescent="0.25">
      <c r="A3442" s="3">
        <v>44136</v>
      </c>
      <c r="B3442" s="2" t="s">
        <v>144</v>
      </c>
      <c r="C3442" s="2">
        <v>5.0599999999999996</v>
      </c>
      <c r="D3442" s="2">
        <v>1.5E-3</v>
      </c>
      <c r="E3442" s="2">
        <v>7.5900000000000002E-5</v>
      </c>
      <c r="F3442" s="2" t="s">
        <v>7</v>
      </c>
    </row>
    <row r="3443" spans="1:6" ht="22.5" hidden="1" customHeight="1" x14ac:dyDescent="0.25">
      <c r="A3443" s="3">
        <v>44136</v>
      </c>
      <c r="B3443" s="2" t="s">
        <v>145</v>
      </c>
      <c r="C3443" s="2">
        <v>0.44</v>
      </c>
      <c r="D3443" s="2">
        <v>1.6000000000000001E-3</v>
      </c>
      <c r="E3443" s="2">
        <v>7.0400000000000004E-6</v>
      </c>
      <c r="F3443" s="2" t="s">
        <v>7</v>
      </c>
    </row>
    <row r="3444" spans="1:6" ht="22.5" hidden="1" customHeight="1" x14ac:dyDescent="0.25">
      <c r="A3444" s="3">
        <v>44136</v>
      </c>
      <c r="B3444" s="2" t="s">
        <v>146</v>
      </c>
      <c r="C3444" s="2">
        <v>0.68</v>
      </c>
      <c r="D3444" s="2">
        <v>3.2800000000000003E-2</v>
      </c>
      <c r="E3444" s="2">
        <v>2.2304000000000001E-4</v>
      </c>
      <c r="F3444" s="2" t="s">
        <v>7</v>
      </c>
    </row>
    <row r="3445" spans="1:6" ht="22.5" hidden="1" customHeight="1" x14ac:dyDescent="0.25">
      <c r="A3445" s="3">
        <v>44136</v>
      </c>
      <c r="B3445" s="2" t="s">
        <v>147</v>
      </c>
      <c r="C3445" s="2">
        <v>1.1399999999999999</v>
      </c>
      <c r="D3445" s="2">
        <v>2.6599999999999999E-2</v>
      </c>
      <c r="E3445" s="2">
        <v>3.0323999999999998E-4</v>
      </c>
      <c r="F3445" s="2" t="s">
        <v>7</v>
      </c>
    </row>
    <row r="3446" spans="1:6" ht="22.5" hidden="1" customHeight="1" x14ac:dyDescent="0.25">
      <c r="A3446" s="3">
        <v>44136</v>
      </c>
      <c r="B3446" s="2" t="s">
        <v>148</v>
      </c>
      <c r="C3446" s="2">
        <v>0.61</v>
      </c>
      <c r="D3446" s="2">
        <v>2.3099999999999999E-2</v>
      </c>
      <c r="E3446" s="2">
        <v>1.4091E-4</v>
      </c>
      <c r="F3446" s="2" t="s">
        <v>7</v>
      </c>
    </row>
    <row r="3447" spans="1:6" ht="22.5" hidden="1" customHeight="1" x14ac:dyDescent="0.25">
      <c r="A3447" s="3">
        <v>44136</v>
      </c>
      <c r="B3447" s="2" t="s">
        <v>149</v>
      </c>
      <c r="C3447" s="2">
        <v>-1.43</v>
      </c>
      <c r="D3447" s="2">
        <v>2.5000000000000001E-3</v>
      </c>
      <c r="E3447" s="2">
        <v>-3.5750000000000002E-5</v>
      </c>
      <c r="F3447" s="2" t="s">
        <v>7</v>
      </c>
    </row>
    <row r="3448" spans="1:6" ht="22.5" hidden="1" customHeight="1" x14ac:dyDescent="0.25">
      <c r="A3448" s="3">
        <v>44136</v>
      </c>
      <c r="B3448" s="2" t="s">
        <v>150</v>
      </c>
      <c r="C3448" s="2">
        <v>-0.42</v>
      </c>
      <c r="D3448" s="2">
        <v>0.11650000000000001</v>
      </c>
      <c r="E3448" s="2">
        <v>-4.8930000000000002E-4</v>
      </c>
      <c r="F3448" s="2" t="s">
        <v>7</v>
      </c>
    </row>
    <row r="3449" spans="1:6" ht="22.5" hidden="1" customHeight="1" x14ac:dyDescent="0.25">
      <c r="A3449" s="3">
        <v>44136</v>
      </c>
      <c r="B3449" s="2" t="s">
        <v>151</v>
      </c>
      <c r="C3449" s="2">
        <v>-0.78</v>
      </c>
      <c r="D3449" s="2">
        <v>0.1149</v>
      </c>
      <c r="E3449" s="2">
        <v>-8.9621999999999998E-4</v>
      </c>
      <c r="F3449" s="2" t="s">
        <v>7</v>
      </c>
    </row>
    <row r="3450" spans="1:6" ht="22.5" hidden="1" customHeight="1" x14ac:dyDescent="0.25">
      <c r="A3450" s="3">
        <v>44136</v>
      </c>
      <c r="B3450" s="2" t="s">
        <v>152</v>
      </c>
      <c r="C3450" s="2">
        <v>-0.3</v>
      </c>
      <c r="D3450" s="2">
        <v>3.0999999999999999E-3</v>
      </c>
      <c r="E3450" s="2">
        <v>-9.3000000000000007E-6</v>
      </c>
      <c r="F3450" s="2" t="s">
        <v>7</v>
      </c>
    </row>
    <row r="3451" spans="1:6" ht="22.5" hidden="1" customHeight="1" x14ac:dyDescent="0.25">
      <c r="A3451" s="3">
        <v>44136</v>
      </c>
      <c r="B3451" s="2" t="s">
        <v>153</v>
      </c>
      <c r="C3451" s="2">
        <v>0.35</v>
      </c>
      <c r="D3451" s="2">
        <v>8.9999999999999998E-4</v>
      </c>
      <c r="E3451" s="2">
        <v>3.1499999999999999E-6</v>
      </c>
      <c r="F3451" s="2" t="s">
        <v>7</v>
      </c>
    </row>
    <row r="3452" spans="1:6" ht="22.5" hidden="1" customHeight="1" x14ac:dyDescent="0.25">
      <c r="A3452" s="3">
        <v>44136</v>
      </c>
      <c r="B3452" s="2" t="s">
        <v>154</v>
      </c>
      <c r="C3452" s="2">
        <v>1.23</v>
      </c>
      <c r="D3452" s="2">
        <v>1E-3</v>
      </c>
      <c r="E3452" s="2">
        <v>1.2300000000000001E-5</v>
      </c>
      <c r="F3452" s="2" t="s">
        <v>7</v>
      </c>
    </row>
    <row r="3453" spans="1:6" ht="22.5" hidden="1" customHeight="1" x14ac:dyDescent="0.25">
      <c r="A3453" s="3">
        <v>44136</v>
      </c>
      <c r="B3453" s="2" t="s">
        <v>155</v>
      </c>
      <c r="C3453" s="2">
        <v>0.84</v>
      </c>
      <c r="D3453" s="2">
        <v>6.0000000000000001E-3</v>
      </c>
      <c r="E3453" s="2">
        <v>5.0399999999999999E-5</v>
      </c>
      <c r="F3453" s="2" t="s">
        <v>7</v>
      </c>
    </row>
    <row r="3454" spans="1:6" ht="22.5" hidden="1" customHeight="1" x14ac:dyDescent="0.25">
      <c r="A3454" s="3">
        <v>44136</v>
      </c>
      <c r="B3454" s="2" t="s">
        <v>156</v>
      </c>
      <c r="C3454" s="2">
        <v>0.02</v>
      </c>
      <c r="D3454" s="2">
        <v>4.65E-2</v>
      </c>
      <c r="E3454" s="2">
        <v>9.3000000000000007E-6</v>
      </c>
      <c r="F3454" s="2" t="s">
        <v>7</v>
      </c>
    </row>
    <row r="3455" spans="1:6" ht="22.5" hidden="1" customHeight="1" x14ac:dyDescent="0.25">
      <c r="A3455" s="3">
        <v>44136</v>
      </c>
      <c r="B3455" s="2" t="s">
        <v>157</v>
      </c>
      <c r="C3455" s="2">
        <v>1.19</v>
      </c>
      <c r="D3455" s="2">
        <v>1.72E-2</v>
      </c>
      <c r="E3455" s="2">
        <v>2.0468E-4</v>
      </c>
      <c r="F3455" s="2" t="s">
        <v>7</v>
      </c>
    </row>
    <row r="3456" spans="1:6" ht="22.5" hidden="1" customHeight="1" x14ac:dyDescent="0.25">
      <c r="A3456" s="3">
        <v>44136</v>
      </c>
      <c r="B3456" s="2" t="s">
        <v>158</v>
      </c>
      <c r="C3456" s="2">
        <v>0.52</v>
      </c>
      <c r="D3456" s="2">
        <v>9.9000000000000008E-3</v>
      </c>
      <c r="E3456" s="2">
        <v>5.1480000000000002E-5</v>
      </c>
      <c r="F3456" s="2" t="s">
        <v>7</v>
      </c>
    </row>
    <row r="3457" spans="1:6" ht="22.5" hidden="1" customHeight="1" x14ac:dyDescent="0.25">
      <c r="A3457" s="3">
        <v>44136</v>
      </c>
      <c r="B3457" s="2" t="s">
        <v>159</v>
      </c>
      <c r="C3457" s="2">
        <v>-0.61</v>
      </c>
      <c r="D3457" s="2">
        <v>5.4399999999999997E-2</v>
      </c>
      <c r="E3457" s="2">
        <v>-3.3184000000000002E-4</v>
      </c>
      <c r="F3457" s="2" t="s">
        <v>7</v>
      </c>
    </row>
    <row r="3458" spans="1:6" ht="22.5" hidden="1" customHeight="1" x14ac:dyDescent="0.25">
      <c r="A3458" s="3">
        <v>44136</v>
      </c>
      <c r="B3458" s="2" t="s">
        <v>160</v>
      </c>
      <c r="C3458" s="2">
        <v>0.49</v>
      </c>
      <c r="D3458" s="2">
        <v>3.7597</v>
      </c>
      <c r="E3458" s="2">
        <v>1.8422529999999999E-2</v>
      </c>
      <c r="F3458" s="2" t="s">
        <v>7</v>
      </c>
    </row>
    <row r="3459" spans="1:6" ht="22.5" hidden="1" customHeight="1" x14ac:dyDescent="0.25">
      <c r="A3459" s="3">
        <v>44136</v>
      </c>
      <c r="B3459" s="2" t="s">
        <v>161</v>
      </c>
      <c r="C3459" s="2">
        <v>1.92</v>
      </c>
      <c r="D3459" s="2">
        <v>1.7070000000000001</v>
      </c>
      <c r="E3459" s="2">
        <v>3.2774400000000002E-2</v>
      </c>
      <c r="F3459" s="2" t="s">
        <v>7</v>
      </c>
    </row>
    <row r="3460" spans="1:6" ht="22.5" hidden="1" customHeight="1" x14ac:dyDescent="0.25">
      <c r="A3460" s="3">
        <v>44136</v>
      </c>
      <c r="B3460" s="2" t="s">
        <v>134</v>
      </c>
      <c r="C3460" s="2">
        <v>0.16</v>
      </c>
      <c r="D3460" s="2">
        <v>0.12559999999999999</v>
      </c>
      <c r="E3460" s="2">
        <v>2.0096E-4</v>
      </c>
      <c r="F3460" s="2" t="s">
        <v>7</v>
      </c>
    </row>
    <row r="3461" spans="1:6" ht="22.5" hidden="1" customHeight="1" x14ac:dyDescent="0.25">
      <c r="A3461" s="3">
        <v>44136</v>
      </c>
      <c r="B3461" s="2" t="s">
        <v>162</v>
      </c>
      <c r="C3461" s="2">
        <v>1.37</v>
      </c>
      <c r="D3461" s="2">
        <v>4.36E-2</v>
      </c>
      <c r="E3461" s="2">
        <v>5.9732000000000003E-4</v>
      </c>
      <c r="F3461" s="2" t="s">
        <v>7</v>
      </c>
    </row>
    <row r="3462" spans="1:6" ht="22.5" hidden="1" customHeight="1" x14ac:dyDescent="0.25">
      <c r="A3462" s="3">
        <v>44136</v>
      </c>
      <c r="B3462" s="2" t="s">
        <v>135</v>
      </c>
      <c r="C3462" s="2">
        <v>-0.3</v>
      </c>
      <c r="D3462" s="2">
        <v>0.29010000000000002</v>
      </c>
      <c r="E3462" s="2">
        <v>-8.7029999999999996E-4</v>
      </c>
      <c r="F3462" s="2" t="s">
        <v>7</v>
      </c>
    </row>
    <row r="3463" spans="1:6" ht="22.5" hidden="1" customHeight="1" x14ac:dyDescent="0.25">
      <c r="A3463" s="3">
        <v>44136</v>
      </c>
      <c r="B3463" s="2" t="s">
        <v>136</v>
      </c>
      <c r="C3463" s="2">
        <v>3.58</v>
      </c>
      <c r="D3463" s="2">
        <v>4.0000000000000001E-3</v>
      </c>
      <c r="E3463" s="2">
        <v>1.4320000000000001E-4</v>
      </c>
      <c r="F3463" s="2" t="s">
        <v>7</v>
      </c>
    </row>
    <row r="3464" spans="1:6" ht="22.5" hidden="1" customHeight="1" x14ac:dyDescent="0.25">
      <c r="A3464" s="3">
        <v>44136</v>
      </c>
      <c r="B3464" s="2" t="s">
        <v>137</v>
      </c>
      <c r="C3464" s="2">
        <v>-2.15</v>
      </c>
      <c r="D3464" s="2">
        <v>0.01</v>
      </c>
      <c r="E3464" s="2">
        <v>-2.1499999999999999E-4</v>
      </c>
      <c r="F3464" s="2" t="s">
        <v>7</v>
      </c>
    </row>
    <row r="3465" spans="1:6" ht="22.5" hidden="1" customHeight="1" x14ac:dyDescent="0.25">
      <c r="A3465" s="3">
        <v>44136</v>
      </c>
      <c r="B3465" s="2" t="s">
        <v>163</v>
      </c>
      <c r="C3465" s="2">
        <v>1.61</v>
      </c>
      <c r="D3465" s="2">
        <v>4.3E-3</v>
      </c>
      <c r="E3465" s="2">
        <v>6.923E-5</v>
      </c>
      <c r="F3465" s="2" t="s">
        <v>7</v>
      </c>
    </row>
    <row r="3466" spans="1:6" ht="22.5" hidden="1" customHeight="1" x14ac:dyDescent="0.25">
      <c r="A3466" s="3">
        <v>44136</v>
      </c>
      <c r="B3466" s="2" t="s">
        <v>34</v>
      </c>
      <c r="C3466" s="2">
        <v>1.64</v>
      </c>
      <c r="D3466" s="2">
        <v>5.3400000000000003E-2</v>
      </c>
      <c r="E3466" s="2">
        <v>8.7575999999999995E-4</v>
      </c>
      <c r="F3466" s="2" t="s">
        <v>7</v>
      </c>
    </row>
    <row r="3467" spans="1:6" ht="22.5" hidden="1" customHeight="1" x14ac:dyDescent="0.25">
      <c r="A3467" s="3">
        <v>44136</v>
      </c>
      <c r="B3467" s="2" t="s">
        <v>164</v>
      </c>
      <c r="C3467" s="2">
        <v>0.45</v>
      </c>
      <c r="D3467" s="2">
        <v>3.8289</v>
      </c>
      <c r="E3467" s="2">
        <v>1.723005E-2</v>
      </c>
      <c r="F3467" s="2" t="s">
        <v>165</v>
      </c>
    </row>
    <row r="3468" spans="1:6" ht="22.5" hidden="1" customHeight="1" x14ac:dyDescent="0.25">
      <c r="A3468" s="3">
        <v>44136</v>
      </c>
      <c r="B3468" s="2" t="s">
        <v>166</v>
      </c>
      <c r="C3468" s="2">
        <v>0.53</v>
      </c>
      <c r="D3468" s="2">
        <v>2.3711000000000002</v>
      </c>
      <c r="E3468" s="2">
        <v>1.2566829999999999E-2</v>
      </c>
      <c r="F3468" s="2" t="s">
        <v>165</v>
      </c>
    </row>
    <row r="3469" spans="1:6" ht="22.5" hidden="1" customHeight="1" x14ac:dyDescent="0.25">
      <c r="A3469" s="3">
        <v>44013</v>
      </c>
      <c r="B3469" s="2" t="s">
        <v>299</v>
      </c>
      <c r="C3469" s="2">
        <v>1</v>
      </c>
      <c r="D3469" s="2">
        <v>9.4500000000000001E-2</v>
      </c>
      <c r="E3469" s="2">
        <v>9.4499999999999998E-4</v>
      </c>
      <c r="F3469" s="2" t="s">
        <v>168</v>
      </c>
    </row>
    <row r="3470" spans="1:6" ht="22.5" hidden="1" customHeight="1" x14ac:dyDescent="0.25">
      <c r="A3470" s="3">
        <v>44136</v>
      </c>
      <c r="B3470" s="2" t="s">
        <v>169</v>
      </c>
      <c r="C3470" s="2">
        <v>1.52</v>
      </c>
      <c r="D3470" s="2">
        <v>0.01</v>
      </c>
      <c r="E3470" s="2">
        <v>1.5200000000000001E-4</v>
      </c>
      <c r="F3470" s="2" t="s">
        <v>170</v>
      </c>
    </row>
    <row r="3471" spans="1:6" ht="22.5" hidden="1" customHeight="1" x14ac:dyDescent="0.25">
      <c r="A3471" s="3">
        <v>44136</v>
      </c>
      <c r="B3471" s="2" t="s">
        <v>171</v>
      </c>
      <c r="C3471" s="2">
        <v>2.76</v>
      </c>
      <c r="D3471" s="2">
        <v>1.47E-2</v>
      </c>
      <c r="E3471" s="2">
        <v>4.0571999999999998E-4</v>
      </c>
      <c r="F3471" s="2" t="s">
        <v>170</v>
      </c>
    </row>
    <row r="3472" spans="1:6" ht="22.5" hidden="1" customHeight="1" x14ac:dyDescent="0.25">
      <c r="A3472" s="3">
        <v>44136</v>
      </c>
      <c r="B3472" s="2" t="s">
        <v>172</v>
      </c>
      <c r="C3472" s="2">
        <v>2.61</v>
      </c>
      <c r="D3472" s="2">
        <v>3.3E-3</v>
      </c>
      <c r="E3472" s="2">
        <v>8.6130000000000004E-5</v>
      </c>
      <c r="F3472" s="2" t="s">
        <v>170</v>
      </c>
    </row>
    <row r="3473" spans="1:6" ht="22.5" hidden="1" customHeight="1" x14ac:dyDescent="0.25">
      <c r="A3473" s="3">
        <v>44136</v>
      </c>
      <c r="B3473" s="2" t="s">
        <v>173</v>
      </c>
      <c r="C3473" s="2">
        <v>0.83</v>
      </c>
      <c r="D3473" s="2">
        <v>0.26100000000000001</v>
      </c>
      <c r="E3473" s="2">
        <v>2.1662999999999999E-3</v>
      </c>
      <c r="F3473" s="2" t="s">
        <v>174</v>
      </c>
    </row>
    <row r="3474" spans="1:6" ht="22.5" hidden="1" customHeight="1" x14ac:dyDescent="0.25">
      <c r="A3474" s="3">
        <v>44136</v>
      </c>
      <c r="B3474" s="2" t="s">
        <v>175</v>
      </c>
      <c r="C3474" s="2">
        <v>3.46</v>
      </c>
      <c r="D3474" s="2">
        <v>0.2298</v>
      </c>
      <c r="E3474" s="2">
        <v>7.9510799999999993E-3</v>
      </c>
      <c r="F3474" s="2" t="s">
        <v>174</v>
      </c>
    </row>
    <row r="3475" spans="1:6" ht="22.5" hidden="1" customHeight="1" x14ac:dyDescent="0.25">
      <c r="A3475" s="3">
        <v>44136</v>
      </c>
      <c r="B3475" s="2" t="s">
        <v>176</v>
      </c>
      <c r="C3475" s="2">
        <v>1.84</v>
      </c>
      <c r="D3475" s="2">
        <v>1.3299999999999999E-2</v>
      </c>
      <c r="E3475" s="2">
        <v>2.4471999999999997E-4</v>
      </c>
      <c r="F3475" s="2" t="s">
        <v>170</v>
      </c>
    </row>
    <row r="3476" spans="1:6" ht="22.5" hidden="1" customHeight="1" x14ac:dyDescent="0.25">
      <c r="A3476" s="3">
        <v>44136</v>
      </c>
      <c r="B3476" s="2" t="s">
        <v>177</v>
      </c>
      <c r="C3476" s="2">
        <v>1.26</v>
      </c>
      <c r="D3476" s="2">
        <v>2.3800000000000002E-2</v>
      </c>
      <c r="E3476" s="2">
        <v>2.9987999999999998E-4</v>
      </c>
      <c r="F3476" s="2" t="s">
        <v>170</v>
      </c>
    </row>
    <row r="3477" spans="1:6" ht="22.5" hidden="1" customHeight="1" x14ac:dyDescent="0.25">
      <c r="A3477" s="3">
        <v>44136</v>
      </c>
      <c r="B3477" s="2" t="s">
        <v>178</v>
      </c>
      <c r="C3477" s="2">
        <v>0.37</v>
      </c>
      <c r="D3477" s="2">
        <v>2.1700000000000001E-2</v>
      </c>
      <c r="E3477" s="2">
        <v>8.0290000000000005E-5</v>
      </c>
      <c r="F3477" s="2" t="s">
        <v>170</v>
      </c>
    </row>
    <row r="3478" spans="1:6" ht="22.5" hidden="1" customHeight="1" x14ac:dyDescent="0.25">
      <c r="A3478" s="3">
        <v>44136</v>
      </c>
      <c r="B3478" s="2" t="s">
        <v>179</v>
      </c>
      <c r="C3478" s="2">
        <v>1.74</v>
      </c>
      <c r="D3478" s="2">
        <v>3.9100000000000003E-2</v>
      </c>
      <c r="E3478" s="2">
        <v>6.8033999999999998E-4</v>
      </c>
      <c r="F3478" s="2" t="s">
        <v>170</v>
      </c>
    </row>
    <row r="3479" spans="1:6" ht="22.5" hidden="1" customHeight="1" x14ac:dyDescent="0.25">
      <c r="A3479" s="3">
        <v>44136</v>
      </c>
      <c r="B3479" s="2" t="s">
        <v>180</v>
      </c>
      <c r="C3479" s="2">
        <v>-0.11</v>
      </c>
      <c r="D3479" s="2">
        <v>0.65839999999999999</v>
      </c>
      <c r="E3479" s="2">
        <v>-7.2424000000000002E-4</v>
      </c>
      <c r="F3479" s="2" t="s">
        <v>165</v>
      </c>
    </row>
    <row r="3480" spans="1:6" ht="22.5" hidden="1" customHeight="1" x14ac:dyDescent="0.25">
      <c r="A3480" s="3">
        <v>44136</v>
      </c>
      <c r="B3480" s="2" t="s">
        <v>181</v>
      </c>
      <c r="C3480" s="2">
        <v>3.43</v>
      </c>
      <c r="D3480" s="2">
        <v>1.2500000000000001E-2</v>
      </c>
      <c r="E3480" s="2">
        <v>4.2874999999999999E-4</v>
      </c>
      <c r="F3480" s="2" t="s">
        <v>174</v>
      </c>
    </row>
    <row r="3481" spans="1:6" ht="22.5" hidden="1" customHeight="1" x14ac:dyDescent="0.25">
      <c r="A3481" s="3">
        <v>44136</v>
      </c>
      <c r="B3481" s="2" t="s">
        <v>182</v>
      </c>
      <c r="C3481" s="2">
        <v>2.5499999999999998</v>
      </c>
      <c r="D3481" s="2">
        <v>3.9100000000000003E-2</v>
      </c>
      <c r="E3481" s="2">
        <v>9.9704999999999998E-4</v>
      </c>
      <c r="F3481" s="2" t="s">
        <v>170</v>
      </c>
    </row>
    <row r="3482" spans="1:6" ht="22.5" hidden="1" customHeight="1" x14ac:dyDescent="0.25">
      <c r="A3482" s="3">
        <v>44136</v>
      </c>
      <c r="B3482" s="2" t="s">
        <v>183</v>
      </c>
      <c r="C3482" s="2">
        <v>-0.97</v>
      </c>
      <c r="D3482" s="2">
        <v>4.1999999999999997E-3</v>
      </c>
      <c r="E3482" s="2">
        <v>-4.074E-5</v>
      </c>
      <c r="F3482" s="2" t="s">
        <v>174</v>
      </c>
    </row>
    <row r="3483" spans="1:6" ht="22.5" hidden="1" customHeight="1" x14ac:dyDescent="0.25">
      <c r="A3483" s="3">
        <v>44136</v>
      </c>
      <c r="B3483" s="2" t="s">
        <v>184</v>
      </c>
      <c r="C3483" s="2">
        <v>0.24</v>
      </c>
      <c r="D3483" s="2">
        <v>6.4299999999999996E-2</v>
      </c>
      <c r="E3483" s="2">
        <v>1.5432E-4</v>
      </c>
      <c r="F3483" s="2" t="s">
        <v>174</v>
      </c>
    </row>
    <row r="3484" spans="1:6" ht="22.5" hidden="1" customHeight="1" x14ac:dyDescent="0.25">
      <c r="A3484" s="3">
        <v>44136</v>
      </c>
      <c r="B3484" s="2" t="s">
        <v>185</v>
      </c>
      <c r="C3484" s="2">
        <v>0.43</v>
      </c>
      <c r="D3484" s="2">
        <v>0.1545</v>
      </c>
      <c r="E3484" s="2">
        <v>6.6434999999999997E-4</v>
      </c>
      <c r="F3484" s="2" t="s">
        <v>174</v>
      </c>
    </row>
    <row r="3485" spans="1:6" ht="22.5" hidden="1" customHeight="1" x14ac:dyDescent="0.25">
      <c r="A3485" s="3">
        <v>44136</v>
      </c>
      <c r="B3485" s="2" t="s">
        <v>186</v>
      </c>
      <c r="C3485" s="2">
        <v>-0.36</v>
      </c>
      <c r="D3485" s="2">
        <v>0.2235</v>
      </c>
      <c r="E3485" s="2">
        <v>-8.0460000000000004E-4</v>
      </c>
      <c r="F3485" s="2" t="s">
        <v>174</v>
      </c>
    </row>
    <row r="3486" spans="1:6" ht="22.5" hidden="1" customHeight="1" x14ac:dyDescent="0.25">
      <c r="A3486" s="3">
        <v>44136</v>
      </c>
      <c r="B3486" s="2" t="s">
        <v>187</v>
      </c>
      <c r="C3486" s="2">
        <v>-0.86</v>
      </c>
      <c r="D3486" s="2">
        <v>6.0699999999999997E-2</v>
      </c>
      <c r="E3486" s="2">
        <v>-5.2201999999999999E-4</v>
      </c>
      <c r="F3486" s="2" t="s">
        <v>174</v>
      </c>
    </row>
    <row r="3487" spans="1:6" ht="22.5" hidden="1" customHeight="1" x14ac:dyDescent="0.25">
      <c r="A3487" s="3">
        <v>44136</v>
      </c>
      <c r="B3487" s="2" t="s">
        <v>188</v>
      </c>
      <c r="C3487" s="2">
        <v>3.01</v>
      </c>
      <c r="D3487" s="2">
        <v>2.6700000000000002E-2</v>
      </c>
      <c r="E3487" s="2">
        <v>8.0367000000000004E-4</v>
      </c>
      <c r="F3487" s="2" t="s">
        <v>174</v>
      </c>
    </row>
    <row r="3488" spans="1:6" ht="22.5" hidden="1" customHeight="1" x14ac:dyDescent="0.25">
      <c r="A3488" s="3">
        <v>44136</v>
      </c>
      <c r="B3488" s="2" t="s">
        <v>189</v>
      </c>
      <c r="C3488" s="2">
        <v>3.14</v>
      </c>
      <c r="D3488" s="2">
        <v>3.7000000000000002E-3</v>
      </c>
      <c r="E3488" s="2">
        <v>1.1618E-4</v>
      </c>
      <c r="F3488" s="2" t="s">
        <v>174</v>
      </c>
    </row>
    <row r="3489" spans="1:6" ht="22.5" hidden="1" customHeight="1" x14ac:dyDescent="0.25">
      <c r="A3489" s="3">
        <v>44136</v>
      </c>
      <c r="B3489" s="2" t="s">
        <v>190</v>
      </c>
      <c r="C3489" s="2">
        <v>-1.65</v>
      </c>
      <c r="D3489" s="2">
        <v>5.0000000000000001E-3</v>
      </c>
      <c r="E3489" s="2">
        <v>-8.25E-5</v>
      </c>
      <c r="F3489" s="2" t="s">
        <v>174</v>
      </c>
    </row>
    <row r="3490" spans="1:6" ht="22.5" hidden="1" customHeight="1" x14ac:dyDescent="0.25">
      <c r="A3490" s="3">
        <v>44136</v>
      </c>
      <c r="B3490" s="2" t="s">
        <v>191</v>
      </c>
      <c r="C3490" s="2">
        <v>1.79</v>
      </c>
      <c r="D3490" s="2">
        <v>2.75E-2</v>
      </c>
      <c r="E3490" s="2">
        <v>4.9224999999999996E-4</v>
      </c>
      <c r="F3490" s="2" t="s">
        <v>174</v>
      </c>
    </row>
    <row r="3491" spans="1:6" ht="22.5" hidden="1" customHeight="1" x14ac:dyDescent="0.25">
      <c r="A3491" s="3">
        <v>44136</v>
      </c>
      <c r="B3491" s="2" t="s">
        <v>192</v>
      </c>
      <c r="C3491" s="2">
        <v>5.59</v>
      </c>
      <c r="D3491" s="2">
        <v>4.8999999999999998E-3</v>
      </c>
      <c r="E3491" s="2">
        <v>2.7390999999999998E-4</v>
      </c>
      <c r="F3491" s="2" t="s">
        <v>174</v>
      </c>
    </row>
    <row r="3492" spans="1:6" ht="22.5" hidden="1" customHeight="1" x14ac:dyDescent="0.25">
      <c r="A3492" s="3">
        <v>44136</v>
      </c>
      <c r="B3492" s="2" t="s">
        <v>193</v>
      </c>
      <c r="C3492" s="2">
        <v>1.02</v>
      </c>
      <c r="D3492" s="2">
        <v>0.17069999999999999</v>
      </c>
      <c r="E3492" s="2">
        <v>1.74114E-3</v>
      </c>
      <c r="F3492" s="2" t="s">
        <v>174</v>
      </c>
    </row>
    <row r="3493" spans="1:6" ht="22.5" hidden="1" customHeight="1" x14ac:dyDescent="0.25">
      <c r="A3493" s="3">
        <v>44136</v>
      </c>
      <c r="B3493" s="2" t="s">
        <v>194</v>
      </c>
      <c r="C3493" s="2">
        <v>1.89</v>
      </c>
      <c r="D3493" s="2">
        <v>3.3E-3</v>
      </c>
      <c r="E3493" s="2">
        <v>6.2370000000000001E-5</v>
      </c>
      <c r="F3493" s="2" t="s">
        <v>174</v>
      </c>
    </row>
    <row r="3494" spans="1:6" ht="22.5" hidden="1" customHeight="1" x14ac:dyDescent="0.25">
      <c r="A3494" s="3">
        <v>44440</v>
      </c>
      <c r="B3494" s="2" t="s">
        <v>297</v>
      </c>
      <c r="C3494" s="2">
        <v>0.32</v>
      </c>
      <c r="D3494" s="2">
        <v>0.29260000000000003</v>
      </c>
      <c r="E3494" s="2">
        <v>9.3632000000000003E-4</v>
      </c>
      <c r="F3494" s="2" t="s">
        <v>168</v>
      </c>
    </row>
    <row r="3495" spans="1:6" ht="22.5" hidden="1" customHeight="1" x14ac:dyDescent="0.25">
      <c r="A3495" s="3">
        <v>44105</v>
      </c>
      <c r="B3495" s="2" t="s">
        <v>263</v>
      </c>
      <c r="C3495" s="2">
        <v>0.21</v>
      </c>
      <c r="D3495" s="2">
        <v>0.43719999999999998</v>
      </c>
      <c r="E3495" s="2">
        <v>9.1812000000000003E-4</v>
      </c>
      <c r="F3495" s="2" t="s">
        <v>168</v>
      </c>
    </row>
    <row r="3496" spans="1:6" ht="22.5" hidden="1" customHeight="1" x14ac:dyDescent="0.25">
      <c r="A3496" s="3">
        <v>44287</v>
      </c>
      <c r="B3496" s="2" t="s">
        <v>297</v>
      </c>
      <c r="C3496" s="2">
        <v>0.32</v>
      </c>
      <c r="D3496" s="2">
        <v>0.28670000000000001</v>
      </c>
      <c r="E3496" s="2">
        <v>9.1744000000000005E-4</v>
      </c>
      <c r="F3496" s="2" t="s">
        <v>168</v>
      </c>
    </row>
    <row r="3497" spans="1:6" ht="22.5" hidden="1" customHeight="1" x14ac:dyDescent="0.25">
      <c r="A3497" s="3">
        <v>44136</v>
      </c>
      <c r="B3497" s="2" t="s">
        <v>198</v>
      </c>
      <c r="C3497" s="2">
        <v>1.75</v>
      </c>
      <c r="D3497" s="2">
        <v>0.33389999999999997</v>
      </c>
      <c r="E3497" s="2">
        <v>5.8432500000000004E-3</v>
      </c>
      <c r="F3497" s="2" t="s">
        <v>170</v>
      </c>
    </row>
    <row r="3498" spans="1:6" ht="22.5" hidden="1" customHeight="1" x14ac:dyDescent="0.25">
      <c r="A3498" s="3">
        <v>44136</v>
      </c>
      <c r="B3498" s="2" t="s">
        <v>199</v>
      </c>
      <c r="C3498" s="2">
        <v>3.04</v>
      </c>
      <c r="D3498" s="2">
        <v>0.45</v>
      </c>
      <c r="E3498" s="2">
        <v>1.3679999999999999E-2</v>
      </c>
      <c r="F3498" s="2" t="s">
        <v>170</v>
      </c>
    </row>
    <row r="3499" spans="1:6" ht="22.5" hidden="1" customHeight="1" x14ac:dyDescent="0.25">
      <c r="A3499" s="3">
        <v>44136</v>
      </c>
      <c r="B3499" s="2" t="s">
        <v>200</v>
      </c>
      <c r="C3499" s="2">
        <v>1.86</v>
      </c>
      <c r="D3499" s="2">
        <v>0.18210000000000001</v>
      </c>
      <c r="E3499" s="2">
        <v>3.3870599999999999E-3</v>
      </c>
      <c r="F3499" s="2" t="s">
        <v>170</v>
      </c>
    </row>
    <row r="3500" spans="1:6" ht="22.5" hidden="1" customHeight="1" x14ac:dyDescent="0.25">
      <c r="A3500" s="3">
        <v>44136</v>
      </c>
      <c r="B3500" s="2" t="s">
        <v>201</v>
      </c>
      <c r="C3500" s="2">
        <v>-1.67</v>
      </c>
      <c r="D3500" s="2">
        <v>2.6200000000000001E-2</v>
      </c>
      <c r="E3500" s="2">
        <v>-4.3753999999999999E-4</v>
      </c>
      <c r="F3500" s="2" t="s">
        <v>170</v>
      </c>
    </row>
    <row r="3501" spans="1:6" ht="22.5" hidden="1" customHeight="1" x14ac:dyDescent="0.25">
      <c r="A3501" s="3">
        <v>44136</v>
      </c>
      <c r="B3501" s="2" t="s">
        <v>202</v>
      </c>
      <c r="C3501" s="2">
        <v>10.53</v>
      </c>
      <c r="D3501" s="2">
        <v>1.6299999999999999E-2</v>
      </c>
      <c r="E3501" s="2">
        <v>1.7163899999999999E-3</v>
      </c>
      <c r="F3501" s="2" t="s">
        <v>170</v>
      </c>
    </row>
    <row r="3502" spans="1:6" ht="22.5" hidden="1" customHeight="1" x14ac:dyDescent="0.25">
      <c r="A3502" s="3">
        <v>44136</v>
      </c>
      <c r="B3502" s="2" t="s">
        <v>203</v>
      </c>
      <c r="C3502" s="2">
        <v>-0.16</v>
      </c>
      <c r="D3502" s="2">
        <v>8.3900000000000002E-2</v>
      </c>
      <c r="E3502" s="2">
        <v>-1.3423999999999999E-4</v>
      </c>
      <c r="F3502" s="2" t="s">
        <v>170</v>
      </c>
    </row>
    <row r="3503" spans="1:6" ht="22.5" hidden="1" customHeight="1" x14ac:dyDescent="0.25">
      <c r="A3503" s="3">
        <v>44136</v>
      </c>
      <c r="B3503" s="2" t="s">
        <v>204</v>
      </c>
      <c r="C3503" s="2">
        <v>1.4</v>
      </c>
      <c r="D3503" s="2">
        <v>6.0999999999999999E-2</v>
      </c>
      <c r="E3503" s="2">
        <v>8.5400000000000005E-4</v>
      </c>
      <c r="F3503" s="2" t="s">
        <v>174</v>
      </c>
    </row>
    <row r="3504" spans="1:6" ht="22.5" hidden="1" customHeight="1" x14ac:dyDescent="0.25">
      <c r="A3504" s="3">
        <v>44136</v>
      </c>
      <c r="B3504" s="2" t="s">
        <v>205</v>
      </c>
      <c r="C3504" s="2">
        <v>0.5</v>
      </c>
      <c r="D3504" s="2">
        <v>9.6000000000000002E-2</v>
      </c>
      <c r="E3504" s="2">
        <v>4.8000000000000001E-4</v>
      </c>
      <c r="F3504" s="2" t="s">
        <v>174</v>
      </c>
    </row>
    <row r="3505" spans="1:6" ht="22.5" hidden="1" customHeight="1" x14ac:dyDescent="0.25">
      <c r="A3505" s="3">
        <v>44136</v>
      </c>
      <c r="B3505" s="2" t="s">
        <v>206</v>
      </c>
      <c r="C3505" s="2">
        <v>0.57999999999999996</v>
      </c>
      <c r="D3505" s="2">
        <v>0.1583</v>
      </c>
      <c r="E3505" s="2">
        <v>9.1814000000000002E-4</v>
      </c>
      <c r="F3505" s="2" t="s">
        <v>174</v>
      </c>
    </row>
    <row r="3506" spans="1:6" ht="22.5" hidden="1" customHeight="1" x14ac:dyDescent="0.25">
      <c r="A3506" s="3">
        <v>44136</v>
      </c>
      <c r="B3506" s="2" t="s">
        <v>207</v>
      </c>
      <c r="C3506" s="2">
        <v>0.28999999999999998</v>
      </c>
      <c r="D3506" s="2">
        <v>4.9000000000000002E-2</v>
      </c>
      <c r="E3506" s="2">
        <v>1.4210000000000001E-4</v>
      </c>
      <c r="F3506" s="2" t="s">
        <v>174</v>
      </c>
    </row>
    <row r="3507" spans="1:6" ht="22.5" hidden="1" customHeight="1" x14ac:dyDescent="0.25">
      <c r="A3507" s="3">
        <v>44136</v>
      </c>
      <c r="B3507" s="2" t="s">
        <v>208</v>
      </c>
      <c r="C3507" s="2">
        <v>0.43</v>
      </c>
      <c r="D3507" s="2">
        <v>8.8999999999999999E-3</v>
      </c>
      <c r="E3507" s="2">
        <v>3.8269999999999998E-5</v>
      </c>
      <c r="F3507" s="2" t="s">
        <v>174</v>
      </c>
    </row>
    <row r="3508" spans="1:6" ht="22.5" hidden="1" customHeight="1" x14ac:dyDescent="0.25">
      <c r="A3508" s="3">
        <v>44136</v>
      </c>
      <c r="B3508" s="2" t="s">
        <v>209</v>
      </c>
      <c r="C3508" s="2">
        <v>1.88</v>
      </c>
      <c r="D3508" s="2">
        <v>6.4000000000000003E-3</v>
      </c>
      <c r="E3508" s="2">
        <v>1.2032E-4</v>
      </c>
      <c r="F3508" s="2" t="s">
        <v>174</v>
      </c>
    </row>
    <row r="3509" spans="1:6" ht="22.5" hidden="1" customHeight="1" x14ac:dyDescent="0.25">
      <c r="A3509" s="3">
        <v>44136</v>
      </c>
      <c r="B3509" s="2" t="s">
        <v>210</v>
      </c>
      <c r="C3509" s="2">
        <v>1.38</v>
      </c>
      <c r="D3509" s="2">
        <v>1.44E-2</v>
      </c>
      <c r="E3509" s="2">
        <v>1.9871999999999999E-4</v>
      </c>
      <c r="F3509" s="2" t="s">
        <v>170</v>
      </c>
    </row>
    <row r="3510" spans="1:6" ht="22.5" hidden="1" customHeight="1" x14ac:dyDescent="0.25">
      <c r="A3510" s="3">
        <v>44136</v>
      </c>
      <c r="B3510" s="2" t="s">
        <v>211</v>
      </c>
      <c r="C3510" s="2">
        <v>1.08</v>
      </c>
      <c r="D3510" s="2">
        <v>0.1928</v>
      </c>
      <c r="E3510" s="2">
        <v>2.08224E-3</v>
      </c>
      <c r="F3510" s="2" t="s">
        <v>174</v>
      </c>
    </row>
    <row r="3511" spans="1:6" ht="22.5" hidden="1" customHeight="1" x14ac:dyDescent="0.25">
      <c r="A3511" s="3">
        <v>44136</v>
      </c>
      <c r="B3511" s="2" t="s">
        <v>212</v>
      </c>
      <c r="C3511" s="2">
        <v>0.74</v>
      </c>
      <c r="D3511" s="2">
        <v>4.4000000000000003E-3</v>
      </c>
      <c r="E3511" s="2">
        <v>3.256E-5</v>
      </c>
      <c r="F3511" s="2" t="s">
        <v>174</v>
      </c>
    </row>
    <row r="3512" spans="1:6" ht="22.5" hidden="1" customHeight="1" x14ac:dyDescent="0.25">
      <c r="A3512" s="3">
        <v>44136</v>
      </c>
      <c r="B3512" s="2" t="s">
        <v>213</v>
      </c>
      <c r="C3512" s="2">
        <v>1.1000000000000001</v>
      </c>
      <c r="D3512" s="2">
        <v>0.33389999999999997</v>
      </c>
      <c r="E3512" s="2">
        <v>3.6729000000000002E-3</v>
      </c>
      <c r="F3512" s="2" t="s">
        <v>170</v>
      </c>
    </row>
    <row r="3513" spans="1:6" ht="22.5" hidden="1" customHeight="1" x14ac:dyDescent="0.25">
      <c r="A3513" s="3">
        <v>44136</v>
      </c>
      <c r="B3513" s="2" t="s">
        <v>214</v>
      </c>
      <c r="C3513" s="2">
        <v>11.23</v>
      </c>
      <c r="D3513" s="2">
        <v>0.1026</v>
      </c>
      <c r="E3513" s="2">
        <v>1.1521979999999999E-2</v>
      </c>
      <c r="F3513" s="2" t="s">
        <v>170</v>
      </c>
    </row>
    <row r="3514" spans="1:6" ht="22.5" hidden="1" customHeight="1" x14ac:dyDescent="0.25">
      <c r="A3514" s="3">
        <v>44136</v>
      </c>
      <c r="B3514" s="2" t="s">
        <v>215</v>
      </c>
      <c r="C3514" s="2">
        <v>0</v>
      </c>
      <c r="D3514" s="2">
        <v>0.254</v>
      </c>
      <c r="E3514" s="2">
        <v>0</v>
      </c>
      <c r="F3514" s="2" t="s">
        <v>170</v>
      </c>
    </row>
    <row r="3515" spans="1:6" ht="22.5" hidden="1" customHeight="1" x14ac:dyDescent="0.25">
      <c r="A3515" s="3">
        <v>44136</v>
      </c>
      <c r="B3515" s="2" t="s">
        <v>216</v>
      </c>
      <c r="C3515" s="2">
        <v>-0.03</v>
      </c>
      <c r="D3515" s="2">
        <v>1.5299999999999999E-2</v>
      </c>
      <c r="E3515" s="2">
        <v>-4.5900000000000001E-6</v>
      </c>
      <c r="F3515" s="2" t="s">
        <v>170</v>
      </c>
    </row>
    <row r="3516" spans="1:6" ht="22.5" hidden="1" customHeight="1" x14ac:dyDescent="0.25">
      <c r="A3516" s="3">
        <v>44136</v>
      </c>
      <c r="B3516" s="2" t="s">
        <v>217</v>
      </c>
      <c r="C3516" s="2">
        <v>2.5499999999999998</v>
      </c>
      <c r="D3516" s="2">
        <v>0.17030000000000001</v>
      </c>
      <c r="E3516" s="2">
        <v>4.34265E-3</v>
      </c>
      <c r="F3516" s="2" t="s">
        <v>170</v>
      </c>
    </row>
    <row r="3517" spans="1:6" ht="22.5" hidden="1" customHeight="1" x14ac:dyDescent="0.25">
      <c r="A3517" s="3">
        <v>44136</v>
      </c>
      <c r="B3517" s="2" t="s">
        <v>218</v>
      </c>
      <c r="C3517" s="2">
        <v>2</v>
      </c>
      <c r="D3517" s="2">
        <v>7.1000000000000004E-3</v>
      </c>
      <c r="E3517" s="2">
        <v>1.4200000000000001E-4</v>
      </c>
      <c r="F3517" s="2" t="s">
        <v>170</v>
      </c>
    </row>
    <row r="3518" spans="1:6" ht="22.5" hidden="1" customHeight="1" x14ac:dyDescent="0.25">
      <c r="A3518" s="3">
        <v>44136</v>
      </c>
      <c r="B3518" s="2" t="s">
        <v>219</v>
      </c>
      <c r="C3518" s="2">
        <v>-0.2</v>
      </c>
      <c r="D3518" s="2">
        <v>0.49020000000000002</v>
      </c>
      <c r="E3518" s="2">
        <v>-9.8039999999999998E-4</v>
      </c>
      <c r="F3518" s="2" t="s">
        <v>170</v>
      </c>
    </row>
    <row r="3519" spans="1:6" ht="22.5" hidden="1" customHeight="1" x14ac:dyDescent="0.25">
      <c r="A3519" s="3">
        <v>44136</v>
      </c>
      <c r="B3519" s="2" t="s">
        <v>220</v>
      </c>
      <c r="C3519" s="2">
        <v>-1.23</v>
      </c>
      <c r="D3519" s="2">
        <v>1.15E-2</v>
      </c>
      <c r="E3519" s="2">
        <v>-1.4145E-4</v>
      </c>
      <c r="F3519" s="2" t="s">
        <v>170</v>
      </c>
    </row>
    <row r="3520" spans="1:6" ht="22.5" hidden="1" customHeight="1" x14ac:dyDescent="0.25">
      <c r="A3520" s="3">
        <v>44136</v>
      </c>
      <c r="B3520" s="2" t="s">
        <v>221</v>
      </c>
      <c r="C3520" s="2">
        <v>-2.04</v>
      </c>
      <c r="D3520" s="2">
        <v>3.5999999999999999E-3</v>
      </c>
      <c r="E3520" s="2">
        <v>-7.3440000000000002E-5</v>
      </c>
      <c r="F3520" s="2" t="s">
        <v>170</v>
      </c>
    </row>
    <row r="3521" spans="1:6" ht="22.5" hidden="1" customHeight="1" x14ac:dyDescent="0.25">
      <c r="A3521" s="3">
        <v>44136</v>
      </c>
      <c r="B3521" s="2" t="s">
        <v>222</v>
      </c>
      <c r="C3521" s="2">
        <v>0.57999999999999996</v>
      </c>
      <c r="D3521" s="2">
        <v>0.36109999999999998</v>
      </c>
      <c r="E3521" s="2">
        <v>2.0943799999999999E-3</v>
      </c>
      <c r="F3521" s="2" t="s">
        <v>170</v>
      </c>
    </row>
    <row r="3522" spans="1:6" ht="22.5" hidden="1" customHeight="1" x14ac:dyDescent="0.25">
      <c r="A3522" s="3">
        <v>44136</v>
      </c>
      <c r="B3522" s="2" t="s">
        <v>223</v>
      </c>
      <c r="C3522" s="2">
        <v>-0.19</v>
      </c>
      <c r="D3522" s="2">
        <v>1.6899999999999998E-2</v>
      </c>
      <c r="E3522" s="2">
        <v>-3.2110000000000003E-5</v>
      </c>
      <c r="F3522" s="2" t="s">
        <v>165</v>
      </c>
    </row>
    <row r="3523" spans="1:6" ht="22.5" hidden="1" customHeight="1" x14ac:dyDescent="0.25">
      <c r="A3523" s="3">
        <v>44136</v>
      </c>
      <c r="B3523" s="2" t="s">
        <v>224</v>
      </c>
      <c r="C3523" s="2">
        <v>0.25</v>
      </c>
      <c r="D3523" s="2">
        <v>2.3E-3</v>
      </c>
      <c r="E3523" s="2">
        <v>5.75E-6</v>
      </c>
      <c r="F3523" s="2" t="s">
        <v>165</v>
      </c>
    </row>
    <row r="3524" spans="1:6" ht="22.5" hidden="1" customHeight="1" x14ac:dyDescent="0.25">
      <c r="A3524" s="3">
        <v>44136</v>
      </c>
      <c r="B3524" s="2" t="s">
        <v>225</v>
      </c>
      <c r="C3524" s="2">
        <v>4.16</v>
      </c>
      <c r="D3524" s="2">
        <v>4.5999999999999999E-3</v>
      </c>
      <c r="E3524" s="2">
        <v>1.9136000000000001E-4</v>
      </c>
      <c r="F3524" s="2" t="s">
        <v>165</v>
      </c>
    </row>
    <row r="3525" spans="1:6" ht="22.5" hidden="1" customHeight="1" x14ac:dyDescent="0.25">
      <c r="A3525" s="3">
        <v>44136</v>
      </c>
      <c r="B3525" s="2" t="s">
        <v>226</v>
      </c>
      <c r="C3525" s="2">
        <v>-0.43</v>
      </c>
      <c r="D3525" s="2">
        <v>4.7100000000000003E-2</v>
      </c>
      <c r="E3525" s="2">
        <v>-2.0253E-4</v>
      </c>
      <c r="F3525" s="2" t="s">
        <v>165</v>
      </c>
    </row>
    <row r="3526" spans="1:6" ht="22.5" hidden="1" customHeight="1" x14ac:dyDescent="0.25">
      <c r="A3526" s="3">
        <v>44136</v>
      </c>
      <c r="B3526" s="2" t="s">
        <v>227</v>
      </c>
      <c r="C3526" s="2">
        <v>-1.02</v>
      </c>
      <c r="D3526" s="2">
        <v>6.7100000000000007E-2</v>
      </c>
      <c r="E3526" s="2">
        <v>-6.8442000000000004E-4</v>
      </c>
      <c r="F3526" s="2" t="s">
        <v>165</v>
      </c>
    </row>
    <row r="3527" spans="1:6" ht="22.5" hidden="1" customHeight="1" x14ac:dyDescent="0.25">
      <c r="A3527" s="3">
        <v>44136</v>
      </c>
      <c r="B3527" s="2" t="s">
        <v>228</v>
      </c>
      <c r="C3527" s="2">
        <v>2.08</v>
      </c>
      <c r="D3527" s="2">
        <v>0.1893</v>
      </c>
      <c r="E3527" s="2">
        <v>3.9374400000000004E-3</v>
      </c>
      <c r="F3527" s="2" t="s">
        <v>165</v>
      </c>
    </row>
    <row r="3528" spans="1:6" ht="22.5" hidden="1" customHeight="1" x14ac:dyDescent="0.25">
      <c r="A3528" s="3">
        <v>44136</v>
      </c>
      <c r="B3528" s="2" t="s">
        <v>229</v>
      </c>
      <c r="C3528" s="2">
        <v>1.04</v>
      </c>
      <c r="D3528" s="2">
        <v>0.28520000000000001</v>
      </c>
      <c r="E3528" s="2">
        <v>2.9660799999999998E-3</v>
      </c>
      <c r="F3528" s="2" t="s">
        <v>174</v>
      </c>
    </row>
    <row r="3529" spans="1:6" ht="22.5" hidden="1" customHeight="1" x14ac:dyDescent="0.25">
      <c r="A3529" s="3">
        <v>44136</v>
      </c>
      <c r="B3529" s="2" t="s">
        <v>230</v>
      </c>
      <c r="C3529" s="2">
        <v>-1.38</v>
      </c>
      <c r="D3529" s="2">
        <v>2.1499999999999998E-2</v>
      </c>
      <c r="E3529" s="2">
        <v>-2.967E-4</v>
      </c>
      <c r="F3529" s="2" t="s">
        <v>174</v>
      </c>
    </row>
    <row r="3530" spans="1:6" ht="22.5" hidden="1" customHeight="1" x14ac:dyDescent="0.25">
      <c r="A3530" s="3">
        <v>44136</v>
      </c>
      <c r="B3530" s="2" t="s">
        <v>231</v>
      </c>
      <c r="C3530" s="2">
        <v>2.5099999999999998</v>
      </c>
      <c r="D3530" s="2">
        <v>0.1681</v>
      </c>
      <c r="E3530" s="2">
        <v>4.2193100000000004E-3</v>
      </c>
      <c r="F3530" s="2" t="s">
        <v>174</v>
      </c>
    </row>
    <row r="3531" spans="1:6" ht="22.5" hidden="1" customHeight="1" x14ac:dyDescent="0.25">
      <c r="A3531" s="3">
        <v>44136</v>
      </c>
      <c r="B3531" s="2" t="s">
        <v>232</v>
      </c>
      <c r="C3531" s="2">
        <v>2.11</v>
      </c>
      <c r="D3531" s="2">
        <v>5.5999999999999999E-3</v>
      </c>
      <c r="E3531" s="2">
        <v>1.1815999999999999E-4</v>
      </c>
      <c r="F3531" s="2" t="s">
        <v>174</v>
      </c>
    </row>
    <row r="3532" spans="1:6" ht="22.5" hidden="1" customHeight="1" x14ac:dyDescent="0.25">
      <c r="A3532" s="3">
        <v>44136</v>
      </c>
      <c r="B3532" s="2" t="s">
        <v>233</v>
      </c>
      <c r="C3532" s="2">
        <v>1.52</v>
      </c>
      <c r="D3532" s="2">
        <v>0.56359999999999999</v>
      </c>
      <c r="E3532" s="2">
        <v>8.5667199999999999E-3</v>
      </c>
      <c r="F3532" s="2" t="s">
        <v>174</v>
      </c>
    </row>
    <row r="3533" spans="1:6" ht="22.5" hidden="1" customHeight="1" x14ac:dyDescent="0.25">
      <c r="A3533" s="3">
        <v>44136</v>
      </c>
      <c r="B3533" s="2" t="s">
        <v>234</v>
      </c>
      <c r="C3533" s="2">
        <v>0.86</v>
      </c>
      <c r="D3533" s="2">
        <v>0.31230000000000002</v>
      </c>
      <c r="E3533" s="2">
        <v>2.68578E-3</v>
      </c>
      <c r="F3533" s="2" t="s">
        <v>174</v>
      </c>
    </row>
    <row r="3534" spans="1:6" ht="22.5" hidden="1" customHeight="1" x14ac:dyDescent="0.25">
      <c r="A3534" s="3">
        <v>44136</v>
      </c>
      <c r="B3534" s="2" t="s">
        <v>235</v>
      </c>
      <c r="C3534" s="2">
        <v>-1.76</v>
      </c>
      <c r="D3534" s="2">
        <v>2.4500000000000001E-2</v>
      </c>
      <c r="E3534" s="2">
        <v>-4.3120000000000002E-4</v>
      </c>
      <c r="F3534" s="2" t="s">
        <v>174</v>
      </c>
    </row>
    <row r="3535" spans="1:6" ht="22.5" hidden="1" customHeight="1" x14ac:dyDescent="0.25">
      <c r="A3535" s="3">
        <v>44136</v>
      </c>
      <c r="B3535" s="2" t="s">
        <v>236</v>
      </c>
      <c r="C3535" s="2">
        <v>-1.95</v>
      </c>
      <c r="D3535" s="2">
        <v>7.7999999999999996E-3</v>
      </c>
      <c r="E3535" s="2">
        <v>-1.5210000000000001E-4</v>
      </c>
      <c r="F3535" s="2" t="s">
        <v>174</v>
      </c>
    </row>
    <row r="3536" spans="1:6" ht="22.5" hidden="1" customHeight="1" x14ac:dyDescent="0.25">
      <c r="A3536" s="3">
        <v>44136</v>
      </c>
      <c r="B3536" s="2" t="s">
        <v>237</v>
      </c>
      <c r="C3536" s="2">
        <v>0.86</v>
      </c>
      <c r="D3536" s="2">
        <v>0.28339999999999999</v>
      </c>
      <c r="E3536" s="2">
        <v>2.4372399999999998E-3</v>
      </c>
      <c r="F3536" s="2" t="s">
        <v>174</v>
      </c>
    </row>
    <row r="3537" spans="1:6" ht="22.5" hidden="1" customHeight="1" x14ac:dyDescent="0.25">
      <c r="A3537" s="3">
        <v>44136</v>
      </c>
      <c r="B3537" s="2" t="s">
        <v>238</v>
      </c>
      <c r="C3537" s="2">
        <v>1.1599999999999999</v>
      </c>
      <c r="D3537" s="2">
        <v>0.51139999999999997</v>
      </c>
      <c r="E3537" s="2">
        <v>5.9322400000000001E-3</v>
      </c>
      <c r="F3537" s="2" t="s">
        <v>174</v>
      </c>
    </row>
    <row r="3538" spans="1:6" ht="22.5" hidden="1" customHeight="1" x14ac:dyDescent="0.25">
      <c r="A3538" s="3">
        <v>44136</v>
      </c>
      <c r="B3538" s="2" t="s">
        <v>239</v>
      </c>
      <c r="C3538" s="2">
        <v>1.42</v>
      </c>
      <c r="D3538" s="2">
        <v>0.111</v>
      </c>
      <c r="E3538" s="2">
        <v>1.5762E-3</v>
      </c>
      <c r="F3538" s="2" t="s">
        <v>174</v>
      </c>
    </row>
    <row r="3539" spans="1:6" ht="22.5" hidden="1" customHeight="1" x14ac:dyDescent="0.25">
      <c r="A3539" s="3">
        <v>44136</v>
      </c>
      <c r="B3539" s="2" t="s">
        <v>240</v>
      </c>
      <c r="C3539" s="2">
        <v>1.0900000000000001</v>
      </c>
      <c r="D3539" s="2">
        <v>6.3799999999999996E-2</v>
      </c>
      <c r="E3539" s="2">
        <v>6.9541999999999998E-4</v>
      </c>
      <c r="F3539" s="2" t="s">
        <v>174</v>
      </c>
    </row>
    <row r="3540" spans="1:6" ht="22.5" hidden="1" customHeight="1" x14ac:dyDescent="0.25">
      <c r="A3540" s="3">
        <v>44136</v>
      </c>
      <c r="B3540" s="2" t="s">
        <v>241</v>
      </c>
      <c r="C3540" s="2">
        <v>0.21</v>
      </c>
      <c r="D3540" s="2">
        <v>8.5199999999999998E-2</v>
      </c>
      <c r="E3540" s="2">
        <v>1.7892E-4</v>
      </c>
      <c r="F3540" s="2" t="s">
        <v>174</v>
      </c>
    </row>
    <row r="3541" spans="1:6" ht="22.5" hidden="1" customHeight="1" x14ac:dyDescent="0.25">
      <c r="A3541" s="3">
        <v>44136</v>
      </c>
      <c r="B3541" s="2" t="s">
        <v>242</v>
      </c>
      <c r="C3541" s="2">
        <v>1.1200000000000001</v>
      </c>
      <c r="D3541" s="2">
        <v>7.3300000000000004E-2</v>
      </c>
      <c r="E3541" s="2">
        <v>8.2096000000000003E-4</v>
      </c>
      <c r="F3541" s="2" t="s">
        <v>174</v>
      </c>
    </row>
    <row r="3542" spans="1:6" ht="22.5" hidden="1" customHeight="1" x14ac:dyDescent="0.25">
      <c r="A3542" s="3">
        <v>44136</v>
      </c>
      <c r="B3542" s="2" t="s">
        <v>243</v>
      </c>
      <c r="C3542" s="2">
        <v>-3.63</v>
      </c>
      <c r="D3542" s="2">
        <v>7.9000000000000008E-3</v>
      </c>
      <c r="E3542" s="2">
        <v>-2.8676999999999999E-4</v>
      </c>
      <c r="F3542" s="2" t="s">
        <v>174</v>
      </c>
    </row>
    <row r="3543" spans="1:6" ht="22.5" hidden="1" customHeight="1" x14ac:dyDescent="0.25">
      <c r="A3543" s="3">
        <v>44136</v>
      </c>
      <c r="B3543" s="2" t="s">
        <v>244</v>
      </c>
      <c r="C3543" s="2">
        <v>0.71</v>
      </c>
      <c r="D3543" s="2">
        <v>5.2900000000000003E-2</v>
      </c>
      <c r="E3543" s="2">
        <v>3.7558999999999997E-4</v>
      </c>
      <c r="F3543" s="2" t="s">
        <v>174</v>
      </c>
    </row>
    <row r="3544" spans="1:6" ht="22.5" hidden="1" customHeight="1" x14ac:dyDescent="0.25">
      <c r="A3544" s="3">
        <v>44136</v>
      </c>
      <c r="B3544" s="2" t="s">
        <v>245</v>
      </c>
      <c r="C3544" s="2">
        <v>1.01</v>
      </c>
      <c r="D3544" s="2">
        <v>5.2600000000000001E-2</v>
      </c>
      <c r="E3544" s="2">
        <v>5.3125999999999998E-4</v>
      </c>
      <c r="F3544" s="2" t="s">
        <v>174</v>
      </c>
    </row>
    <row r="3545" spans="1:6" ht="22.5" hidden="1" customHeight="1" x14ac:dyDescent="0.25">
      <c r="A3545" s="3">
        <v>44136</v>
      </c>
      <c r="B3545" s="2" t="s">
        <v>246</v>
      </c>
      <c r="C3545" s="2">
        <v>1.55</v>
      </c>
      <c r="D3545" s="2">
        <v>0.1923</v>
      </c>
      <c r="E3545" s="2">
        <v>2.9806500000000001E-3</v>
      </c>
      <c r="F3545" s="2" t="s">
        <v>174</v>
      </c>
    </row>
    <row r="3546" spans="1:6" ht="22.5" hidden="1" customHeight="1" x14ac:dyDescent="0.25">
      <c r="A3546" s="3">
        <v>44136</v>
      </c>
      <c r="B3546" s="2" t="s">
        <v>247</v>
      </c>
      <c r="C3546" s="2">
        <v>-0.11</v>
      </c>
      <c r="D3546" s="2">
        <v>0.13730000000000001</v>
      </c>
      <c r="E3546" s="2">
        <v>-1.5103E-4</v>
      </c>
      <c r="F3546" s="2" t="s">
        <v>174</v>
      </c>
    </row>
    <row r="3547" spans="1:6" ht="22.5" hidden="1" customHeight="1" x14ac:dyDescent="0.25">
      <c r="A3547" s="3">
        <v>44136</v>
      </c>
      <c r="B3547" s="2" t="s">
        <v>248</v>
      </c>
      <c r="C3547" s="2">
        <v>0.4</v>
      </c>
      <c r="D3547" s="2">
        <v>0.14929999999999999</v>
      </c>
      <c r="E3547" s="2">
        <v>5.9719999999999999E-4</v>
      </c>
      <c r="F3547" s="2" t="s">
        <v>174</v>
      </c>
    </row>
    <row r="3548" spans="1:6" ht="22.5" hidden="1" customHeight="1" x14ac:dyDescent="0.25">
      <c r="A3548" s="3">
        <v>44136</v>
      </c>
      <c r="B3548" s="2" t="s">
        <v>249</v>
      </c>
      <c r="C3548" s="2">
        <v>-0.74</v>
      </c>
      <c r="D3548" s="2">
        <v>0.26910000000000001</v>
      </c>
      <c r="E3548" s="2">
        <v>-1.9913399999999999E-3</v>
      </c>
      <c r="F3548" s="2" t="s">
        <v>174</v>
      </c>
    </row>
    <row r="3549" spans="1:6" ht="22.5" hidden="1" customHeight="1" x14ac:dyDescent="0.25">
      <c r="A3549" s="3">
        <v>44136</v>
      </c>
      <c r="B3549" s="2" t="s">
        <v>250</v>
      </c>
      <c r="C3549" s="2">
        <v>0.32</v>
      </c>
      <c r="D3549" s="2">
        <v>2.63E-2</v>
      </c>
      <c r="E3549" s="2">
        <v>8.4159999999999994E-5</v>
      </c>
      <c r="F3549" s="2" t="s">
        <v>174</v>
      </c>
    </row>
    <row r="3550" spans="1:6" ht="22.5" hidden="1" customHeight="1" x14ac:dyDescent="0.25">
      <c r="A3550" s="3">
        <v>44136</v>
      </c>
      <c r="B3550" s="2" t="s">
        <v>251</v>
      </c>
      <c r="C3550" s="2">
        <v>0.75</v>
      </c>
      <c r="D3550" s="2">
        <v>6.1100000000000002E-2</v>
      </c>
      <c r="E3550" s="2">
        <v>4.5825E-4</v>
      </c>
      <c r="F3550" s="2" t="s">
        <v>174</v>
      </c>
    </row>
    <row r="3551" spans="1:6" ht="22.5" hidden="1" customHeight="1" x14ac:dyDescent="0.25">
      <c r="A3551" s="3">
        <v>44136</v>
      </c>
      <c r="B3551" s="2" t="s">
        <v>252</v>
      </c>
      <c r="C3551" s="2">
        <v>-1.1200000000000001</v>
      </c>
      <c r="D3551" s="2">
        <v>8.5000000000000006E-3</v>
      </c>
      <c r="E3551" s="2">
        <v>-9.5199999999999997E-5</v>
      </c>
      <c r="F3551" s="2" t="s">
        <v>174</v>
      </c>
    </row>
    <row r="3552" spans="1:6" ht="22.5" hidden="1" customHeight="1" x14ac:dyDescent="0.25">
      <c r="A3552" s="3">
        <v>44136</v>
      </c>
      <c r="B3552" s="2" t="s">
        <v>253</v>
      </c>
      <c r="C3552" s="2">
        <v>0.8</v>
      </c>
      <c r="D3552" s="2">
        <v>0.44080000000000003</v>
      </c>
      <c r="E3552" s="2">
        <v>3.5263999999999998E-3</v>
      </c>
      <c r="F3552" s="2" t="s">
        <v>174</v>
      </c>
    </row>
    <row r="3553" spans="1:6" ht="22.5" hidden="1" customHeight="1" x14ac:dyDescent="0.25">
      <c r="A3553" s="3">
        <v>44136</v>
      </c>
      <c r="B3553" s="2" t="s">
        <v>254</v>
      </c>
      <c r="C3553" s="2">
        <v>0.63</v>
      </c>
      <c r="D3553" s="2">
        <v>0.18690000000000001</v>
      </c>
      <c r="E3553" s="2">
        <v>1.1774699999999999E-3</v>
      </c>
      <c r="F3553" s="2" t="s">
        <v>174</v>
      </c>
    </row>
    <row r="3554" spans="1:6" ht="22.5" hidden="1" customHeight="1" x14ac:dyDescent="0.25">
      <c r="A3554" s="3">
        <v>44136</v>
      </c>
      <c r="B3554" s="2" t="s">
        <v>255</v>
      </c>
      <c r="C3554" s="2">
        <v>1.25</v>
      </c>
      <c r="D3554" s="2">
        <v>1.6500000000000001E-2</v>
      </c>
      <c r="E3554" s="2">
        <v>2.0625E-4</v>
      </c>
      <c r="F3554" s="2" t="s">
        <v>170</v>
      </c>
    </row>
    <row r="3555" spans="1:6" ht="22.5" hidden="1" customHeight="1" x14ac:dyDescent="0.25">
      <c r="A3555" s="3">
        <v>44136</v>
      </c>
      <c r="B3555" s="2" t="s">
        <v>256</v>
      </c>
      <c r="C3555" s="2">
        <v>2.23</v>
      </c>
      <c r="D3555" s="2">
        <v>0.1429</v>
      </c>
      <c r="E3555" s="2">
        <v>3.18667E-3</v>
      </c>
      <c r="F3555" s="2" t="s">
        <v>170</v>
      </c>
    </row>
    <row r="3556" spans="1:6" ht="22.5" hidden="1" customHeight="1" x14ac:dyDescent="0.25">
      <c r="A3556" s="3">
        <v>44136</v>
      </c>
      <c r="B3556" s="2" t="s">
        <v>257</v>
      </c>
      <c r="C3556" s="2">
        <v>2.71</v>
      </c>
      <c r="D3556" s="2">
        <v>5.0700000000000002E-2</v>
      </c>
      <c r="E3556" s="2">
        <v>1.37397E-3</v>
      </c>
      <c r="F3556" s="2" t="s">
        <v>170</v>
      </c>
    </row>
    <row r="3557" spans="1:6" ht="22.5" hidden="1" customHeight="1" x14ac:dyDescent="0.25">
      <c r="A3557" s="3">
        <v>44136</v>
      </c>
      <c r="B3557" s="2" t="s">
        <v>258</v>
      </c>
      <c r="C3557" s="2">
        <v>1.61</v>
      </c>
      <c r="D3557" s="2">
        <v>4.65E-2</v>
      </c>
      <c r="E3557" s="2">
        <v>7.4865000000000001E-4</v>
      </c>
      <c r="F3557" s="2" t="s">
        <v>174</v>
      </c>
    </row>
    <row r="3558" spans="1:6" ht="22.5" hidden="1" customHeight="1" x14ac:dyDescent="0.25">
      <c r="A3558" s="3">
        <v>44136</v>
      </c>
      <c r="B3558" s="2" t="s">
        <v>259</v>
      </c>
      <c r="C3558" s="2">
        <v>0.63</v>
      </c>
      <c r="D3558" s="2">
        <v>0.01</v>
      </c>
      <c r="E3558" s="2">
        <v>6.3E-5</v>
      </c>
      <c r="F3558" s="2" t="s">
        <v>174</v>
      </c>
    </row>
    <row r="3559" spans="1:6" ht="22.5" hidden="1" customHeight="1" x14ac:dyDescent="0.25">
      <c r="A3559" s="3">
        <v>44256</v>
      </c>
      <c r="B3559" s="2" t="s">
        <v>263</v>
      </c>
      <c r="C3559" s="2">
        <v>0.22</v>
      </c>
      <c r="D3559" s="2">
        <v>0.41389999999999999</v>
      </c>
      <c r="E3559" s="2">
        <v>9.1058000000000003E-4</v>
      </c>
      <c r="F3559" s="2" t="s">
        <v>168</v>
      </c>
    </row>
    <row r="3560" spans="1:6" ht="22.5" hidden="1" customHeight="1" x14ac:dyDescent="0.25">
      <c r="A3560" s="3">
        <v>44501</v>
      </c>
      <c r="B3560" s="2" t="s">
        <v>299</v>
      </c>
      <c r="C3560" s="2">
        <v>1.04</v>
      </c>
      <c r="D3560" s="2">
        <v>8.72E-2</v>
      </c>
      <c r="E3560" s="2">
        <v>9.0687999999999999E-4</v>
      </c>
      <c r="F3560" s="2" t="s">
        <v>168</v>
      </c>
    </row>
    <row r="3561" spans="1:6" ht="22.5" hidden="1" customHeight="1" x14ac:dyDescent="0.25">
      <c r="A3561" s="3">
        <v>44562</v>
      </c>
      <c r="B3561" s="2" t="s">
        <v>296</v>
      </c>
      <c r="C3561" s="2">
        <v>0.47</v>
      </c>
      <c r="D3561" s="2">
        <v>0.18529999999999999</v>
      </c>
      <c r="E3561" s="2">
        <v>8.7091000000000002E-4</v>
      </c>
      <c r="F3561" s="2" t="s">
        <v>168</v>
      </c>
    </row>
    <row r="3562" spans="1:6" ht="22.5" hidden="1" customHeight="1" x14ac:dyDescent="0.25">
      <c r="A3562" s="3">
        <v>44501</v>
      </c>
      <c r="B3562" s="2" t="s">
        <v>293</v>
      </c>
      <c r="C3562" s="2">
        <v>0.52</v>
      </c>
      <c r="D3562" s="2">
        <v>0.16520000000000001</v>
      </c>
      <c r="E3562" s="2">
        <v>8.5904000000000004E-4</v>
      </c>
      <c r="F3562" s="2" t="s">
        <v>168</v>
      </c>
    </row>
    <row r="3563" spans="1:6" ht="22.5" hidden="1" customHeight="1" x14ac:dyDescent="0.25">
      <c r="A3563" s="3">
        <v>44440</v>
      </c>
      <c r="B3563" s="2" t="s">
        <v>366</v>
      </c>
      <c r="C3563" s="2">
        <v>0.34</v>
      </c>
      <c r="D3563" s="2">
        <v>0.25209999999999999</v>
      </c>
      <c r="E3563" s="2">
        <v>8.5714000000000005E-4</v>
      </c>
      <c r="F3563" s="2" t="s">
        <v>168</v>
      </c>
    </row>
    <row r="3564" spans="1:6" ht="22.5" hidden="1" customHeight="1" x14ac:dyDescent="0.25">
      <c r="A3564" s="3">
        <v>44593</v>
      </c>
      <c r="B3564" s="2" t="s">
        <v>292</v>
      </c>
      <c r="C3564" s="2">
        <v>0.67</v>
      </c>
      <c r="D3564" s="2">
        <v>0.12559999999999999</v>
      </c>
      <c r="E3564" s="2">
        <v>8.4152000000000001E-4</v>
      </c>
      <c r="F3564" s="2" t="s">
        <v>168</v>
      </c>
    </row>
    <row r="3565" spans="1:6" ht="22.5" hidden="1" customHeight="1" x14ac:dyDescent="0.25">
      <c r="A3565" s="3">
        <v>44105</v>
      </c>
      <c r="B3565" s="2" t="s">
        <v>293</v>
      </c>
      <c r="C3565" s="2">
        <v>0.49</v>
      </c>
      <c r="D3565" s="2">
        <v>0.17169999999999999</v>
      </c>
      <c r="E3565" s="2">
        <v>8.4133000000000005E-4</v>
      </c>
      <c r="F3565" s="2" t="s">
        <v>168</v>
      </c>
    </row>
    <row r="3566" spans="1:6" ht="22.5" hidden="1" customHeight="1" x14ac:dyDescent="0.25">
      <c r="A3566" s="3">
        <v>44136</v>
      </c>
      <c r="B3566" s="2" t="s">
        <v>267</v>
      </c>
      <c r="C3566" s="2">
        <v>0.09</v>
      </c>
      <c r="D3566" s="2">
        <v>0.13469999999999999</v>
      </c>
      <c r="E3566" s="2">
        <v>1.2123E-4</v>
      </c>
      <c r="F3566" s="2" t="s">
        <v>165</v>
      </c>
    </row>
    <row r="3567" spans="1:6" ht="22.5" hidden="1" customHeight="1" x14ac:dyDescent="0.25">
      <c r="A3567" s="3">
        <v>44136</v>
      </c>
      <c r="B3567" s="2" t="s">
        <v>268</v>
      </c>
      <c r="C3567" s="2">
        <v>1.51</v>
      </c>
      <c r="D3567" s="2">
        <v>0.1729</v>
      </c>
      <c r="E3567" s="2">
        <v>2.61079E-3</v>
      </c>
      <c r="F3567" s="2" t="s">
        <v>165</v>
      </c>
    </row>
    <row r="3568" spans="1:6" ht="22.5" hidden="1" customHeight="1" x14ac:dyDescent="0.25">
      <c r="A3568" s="3">
        <v>44136</v>
      </c>
      <c r="B3568" s="2" t="s">
        <v>269</v>
      </c>
      <c r="C3568" s="2">
        <v>0</v>
      </c>
      <c r="D3568" s="2">
        <v>6.93E-2</v>
      </c>
      <c r="E3568" s="2">
        <v>0</v>
      </c>
      <c r="F3568" s="2" t="s">
        <v>165</v>
      </c>
    </row>
    <row r="3569" spans="1:6" ht="22.5" hidden="1" customHeight="1" x14ac:dyDescent="0.25">
      <c r="A3569" s="3">
        <v>44136</v>
      </c>
      <c r="B3569" s="2" t="s">
        <v>270</v>
      </c>
      <c r="C3569" s="2">
        <v>1.07</v>
      </c>
      <c r="D3569" s="2">
        <v>2.9620000000000002</v>
      </c>
      <c r="E3569" s="2">
        <v>3.1693399999999997E-2</v>
      </c>
      <c r="F3569" s="2" t="s">
        <v>170</v>
      </c>
    </row>
    <row r="3570" spans="1:6" ht="22.5" hidden="1" customHeight="1" x14ac:dyDescent="0.25">
      <c r="A3570" s="3">
        <v>43891</v>
      </c>
      <c r="B3570" s="2" t="s">
        <v>295</v>
      </c>
      <c r="C3570" s="2">
        <v>0.37</v>
      </c>
      <c r="D3570" s="2">
        <v>0.2261</v>
      </c>
      <c r="E3570" s="2">
        <v>8.3657000000000002E-4</v>
      </c>
      <c r="F3570" s="2" t="s">
        <v>168</v>
      </c>
    </row>
    <row r="3571" spans="1:6" ht="22.5" hidden="1" customHeight="1" x14ac:dyDescent="0.25">
      <c r="A3571" s="3">
        <v>44136</v>
      </c>
      <c r="B3571" s="2" t="s">
        <v>272</v>
      </c>
      <c r="C3571" s="2">
        <v>3.53</v>
      </c>
      <c r="D3571" s="2">
        <v>0.75070000000000003</v>
      </c>
      <c r="E3571" s="2">
        <v>2.6499709999999999E-2</v>
      </c>
      <c r="F3571" s="2" t="s">
        <v>165</v>
      </c>
    </row>
    <row r="3572" spans="1:6" ht="22.5" hidden="1" customHeight="1" x14ac:dyDescent="0.25">
      <c r="A3572" s="3">
        <v>44197</v>
      </c>
      <c r="B3572" s="2" t="s">
        <v>294</v>
      </c>
      <c r="C3572" s="2">
        <v>0.63</v>
      </c>
      <c r="D3572" s="2">
        <v>0.13189999999999999</v>
      </c>
      <c r="E3572" s="2">
        <v>8.3096999999999999E-4</v>
      </c>
      <c r="F3572" s="2" t="s">
        <v>168</v>
      </c>
    </row>
    <row r="3573" spans="1:6" ht="22.5" hidden="1" customHeight="1" x14ac:dyDescent="0.25">
      <c r="A3573" s="3">
        <v>44136</v>
      </c>
      <c r="B3573" s="2" t="s">
        <v>274</v>
      </c>
      <c r="C3573" s="2">
        <v>2.04</v>
      </c>
      <c r="D3573" s="2">
        <v>0.1273</v>
      </c>
      <c r="E3573" s="2">
        <v>2.59692E-3</v>
      </c>
      <c r="F3573" s="2" t="s">
        <v>170</v>
      </c>
    </row>
    <row r="3574" spans="1:6" ht="22.5" hidden="1" customHeight="1" x14ac:dyDescent="0.25">
      <c r="A3574" s="3">
        <v>44136</v>
      </c>
      <c r="B3574" s="2" t="s">
        <v>275</v>
      </c>
      <c r="C3574" s="2">
        <v>1.28</v>
      </c>
      <c r="D3574" s="2">
        <v>0.17449999999999999</v>
      </c>
      <c r="E3574" s="2">
        <v>2.2336000000000001E-3</v>
      </c>
      <c r="F3574" s="2" t="s">
        <v>170</v>
      </c>
    </row>
    <row r="3575" spans="1:6" ht="22.5" hidden="1" customHeight="1" x14ac:dyDescent="0.25">
      <c r="A3575" s="3">
        <v>44136</v>
      </c>
      <c r="B3575" s="2" t="s">
        <v>276</v>
      </c>
      <c r="C3575" s="2">
        <v>2.87</v>
      </c>
      <c r="D3575" s="2">
        <v>0.21129999999999999</v>
      </c>
      <c r="E3575" s="2">
        <v>6.0643099999999998E-3</v>
      </c>
      <c r="F3575" s="2" t="s">
        <v>170</v>
      </c>
    </row>
    <row r="3576" spans="1:6" ht="22.5" hidden="1" customHeight="1" x14ac:dyDescent="0.25">
      <c r="A3576" s="3">
        <v>44136</v>
      </c>
      <c r="B3576" s="2" t="s">
        <v>277</v>
      </c>
      <c r="C3576" s="2">
        <v>0.04</v>
      </c>
      <c r="D3576" s="2">
        <v>1.7014</v>
      </c>
      <c r="E3576" s="2">
        <v>6.8055999999999998E-4</v>
      </c>
      <c r="F3576" s="2" t="s">
        <v>165</v>
      </c>
    </row>
    <row r="3577" spans="1:6" ht="22.5" hidden="1" customHeight="1" x14ac:dyDescent="0.25">
      <c r="A3577" s="3">
        <v>44136</v>
      </c>
      <c r="B3577" s="2" t="s">
        <v>278</v>
      </c>
      <c r="C3577" s="2">
        <v>-0.19</v>
      </c>
      <c r="D3577" s="2">
        <v>7.1599999999999997E-2</v>
      </c>
      <c r="E3577" s="2">
        <v>-1.3604000000000001E-4</v>
      </c>
      <c r="F3577" s="2" t="s">
        <v>165</v>
      </c>
    </row>
    <row r="3578" spans="1:6" ht="22.5" hidden="1" customHeight="1" x14ac:dyDescent="0.25">
      <c r="A3578" s="3">
        <v>43891</v>
      </c>
      <c r="B3578" s="2" t="s">
        <v>260</v>
      </c>
      <c r="C3578" s="2">
        <v>0.06</v>
      </c>
      <c r="D3578" s="2">
        <v>1.3834</v>
      </c>
      <c r="E3578" s="2">
        <v>8.3003999999999999E-4</v>
      </c>
      <c r="F3578" s="2" t="s">
        <v>168</v>
      </c>
    </row>
    <row r="3579" spans="1:6" ht="22.5" hidden="1" customHeight="1" x14ac:dyDescent="0.25">
      <c r="A3579" s="3">
        <v>44136</v>
      </c>
      <c r="B3579" s="2" t="s">
        <v>280</v>
      </c>
      <c r="C3579" s="2">
        <v>1.1599999999999999</v>
      </c>
      <c r="D3579" s="2">
        <v>1.8781000000000001</v>
      </c>
      <c r="E3579" s="2">
        <v>2.178596E-2</v>
      </c>
      <c r="F3579" s="2" t="s">
        <v>170</v>
      </c>
    </row>
    <row r="3580" spans="1:6" ht="22.5" hidden="1" customHeight="1" x14ac:dyDescent="0.25">
      <c r="A3580" s="3">
        <v>44136</v>
      </c>
      <c r="B3580" s="2" t="s">
        <v>281</v>
      </c>
      <c r="C3580" s="2">
        <v>-0.03</v>
      </c>
      <c r="D3580" s="2">
        <v>1.6400000000000001E-2</v>
      </c>
      <c r="E3580" s="2">
        <v>-4.9200000000000003E-6</v>
      </c>
      <c r="F3580" s="2" t="s">
        <v>165</v>
      </c>
    </row>
    <row r="3581" spans="1:6" ht="22.5" hidden="1" customHeight="1" x14ac:dyDescent="0.25">
      <c r="A3581" s="3">
        <v>44136</v>
      </c>
      <c r="B3581" s="2" t="s">
        <v>282</v>
      </c>
      <c r="C3581" s="2">
        <v>1.1399999999999999</v>
      </c>
      <c r="D3581" s="2">
        <v>2.3E-2</v>
      </c>
      <c r="E3581" s="2">
        <v>2.6219999999999998E-4</v>
      </c>
      <c r="F3581" s="2" t="s">
        <v>165</v>
      </c>
    </row>
    <row r="3582" spans="1:6" ht="22.5" hidden="1" customHeight="1" x14ac:dyDescent="0.25">
      <c r="A3582" s="3">
        <v>44136</v>
      </c>
      <c r="B3582" s="2" t="s">
        <v>283</v>
      </c>
      <c r="C3582" s="2">
        <v>-0.05</v>
      </c>
      <c r="D3582" s="2">
        <v>0.57679999999999998</v>
      </c>
      <c r="E3582" s="2">
        <v>-2.8840000000000002E-4</v>
      </c>
      <c r="F3582" s="2" t="s">
        <v>170</v>
      </c>
    </row>
    <row r="3583" spans="1:6" ht="22.5" hidden="1" customHeight="1" x14ac:dyDescent="0.25">
      <c r="A3583" s="3">
        <v>44562</v>
      </c>
      <c r="B3583" s="2" t="s">
        <v>291</v>
      </c>
      <c r="C3583" s="2">
        <v>0.45</v>
      </c>
      <c r="D3583" s="2">
        <v>0.18129999999999999</v>
      </c>
      <c r="E3583" s="2">
        <v>8.1585000000000002E-4</v>
      </c>
      <c r="F3583" s="2" t="s">
        <v>168</v>
      </c>
    </row>
    <row r="3584" spans="1:6" ht="22.5" hidden="1" customHeight="1" x14ac:dyDescent="0.25">
      <c r="A3584" s="3">
        <v>44409</v>
      </c>
      <c r="B3584" s="2" t="s">
        <v>366</v>
      </c>
      <c r="C3584" s="2">
        <v>0.32</v>
      </c>
      <c r="D3584" s="2">
        <v>0.2535</v>
      </c>
      <c r="E3584" s="2">
        <v>8.1119999999999999E-4</v>
      </c>
      <c r="F3584" s="2" t="s">
        <v>168</v>
      </c>
    </row>
    <row r="3585" spans="1:6" ht="22.5" hidden="1" customHeight="1" x14ac:dyDescent="0.25">
      <c r="A3585" s="3">
        <v>44348</v>
      </c>
      <c r="B3585" s="2" t="s">
        <v>292</v>
      </c>
      <c r="C3585" s="2">
        <v>0.61</v>
      </c>
      <c r="D3585" s="2">
        <v>0.12939999999999999</v>
      </c>
      <c r="E3585" s="2">
        <v>7.8934000000000003E-4</v>
      </c>
      <c r="F3585" s="2" t="s">
        <v>168</v>
      </c>
    </row>
    <row r="3586" spans="1:6" ht="22.5" hidden="1" customHeight="1" x14ac:dyDescent="0.25">
      <c r="A3586" s="3">
        <v>44531</v>
      </c>
      <c r="B3586" s="2" t="s">
        <v>263</v>
      </c>
      <c r="C3586" s="2">
        <v>0.2</v>
      </c>
      <c r="D3586" s="2">
        <v>0.39100000000000001</v>
      </c>
      <c r="E3586" s="2">
        <v>7.8200000000000003E-4</v>
      </c>
      <c r="F3586" s="2" t="s">
        <v>168</v>
      </c>
    </row>
    <row r="3587" spans="1:6" ht="22.5" hidden="1" customHeight="1" x14ac:dyDescent="0.25">
      <c r="A3587" s="3">
        <v>44287</v>
      </c>
      <c r="B3587" s="2" t="s">
        <v>295</v>
      </c>
      <c r="C3587" s="2">
        <v>0.36</v>
      </c>
      <c r="D3587" s="2">
        <v>0.21590000000000001</v>
      </c>
      <c r="E3587" s="2">
        <v>7.7724000000000001E-4</v>
      </c>
      <c r="F3587" s="2" t="s">
        <v>168</v>
      </c>
    </row>
    <row r="3588" spans="1:6" ht="22.5" hidden="1" customHeight="1" x14ac:dyDescent="0.25">
      <c r="A3588" s="3">
        <v>44013</v>
      </c>
      <c r="B3588" s="2" t="s">
        <v>293</v>
      </c>
      <c r="C3588" s="2">
        <v>0.44</v>
      </c>
      <c r="D3588" s="2">
        <v>0.1759</v>
      </c>
      <c r="E3588" s="2">
        <v>7.7395999999999997E-4</v>
      </c>
      <c r="F3588" s="2" t="s">
        <v>168</v>
      </c>
    </row>
    <row r="3589" spans="1:6" ht="22.5" hidden="1" customHeight="1" x14ac:dyDescent="0.25">
      <c r="A3589" s="3">
        <v>44348</v>
      </c>
      <c r="B3589" s="2" t="s">
        <v>289</v>
      </c>
      <c r="C3589" s="2">
        <v>0.14000000000000001</v>
      </c>
      <c r="D3589" s="2">
        <v>0.54559999999999997</v>
      </c>
      <c r="E3589" s="2">
        <v>7.6384000000000001E-4</v>
      </c>
      <c r="F3589" s="2" t="s">
        <v>168</v>
      </c>
    </row>
    <row r="3590" spans="1:6" ht="22.5" hidden="1" customHeight="1" x14ac:dyDescent="0.25">
      <c r="A3590" s="3">
        <v>44105</v>
      </c>
      <c r="B3590" s="2" t="s">
        <v>299</v>
      </c>
      <c r="C3590" s="2">
        <v>0.81</v>
      </c>
      <c r="D3590" s="2">
        <v>9.4100000000000003E-2</v>
      </c>
      <c r="E3590" s="2">
        <v>7.6221000000000004E-4</v>
      </c>
      <c r="F3590" s="2" t="s">
        <v>168</v>
      </c>
    </row>
    <row r="3591" spans="1:6" ht="22.5" hidden="1" customHeight="1" x14ac:dyDescent="0.25">
      <c r="A3591" s="3">
        <v>44044</v>
      </c>
      <c r="B3591" s="2" t="s">
        <v>295</v>
      </c>
      <c r="C3591" s="2">
        <v>0.33</v>
      </c>
      <c r="D3591" s="2">
        <v>0.23</v>
      </c>
      <c r="E3591" s="2">
        <v>7.5900000000000002E-4</v>
      </c>
      <c r="F3591" s="2" t="s">
        <v>168</v>
      </c>
    </row>
    <row r="3592" spans="1:6" ht="22.5" hidden="1" customHeight="1" x14ac:dyDescent="0.25">
      <c r="A3592" s="3">
        <v>44166</v>
      </c>
      <c r="B3592" s="2" t="s">
        <v>264</v>
      </c>
      <c r="C3592" s="2">
        <v>0.72</v>
      </c>
      <c r="D3592" s="2">
        <v>0.10539999999999999</v>
      </c>
      <c r="E3592" s="2">
        <v>7.5887999999999997E-4</v>
      </c>
      <c r="F3592" s="2" t="s">
        <v>168</v>
      </c>
    </row>
    <row r="3593" spans="1:6" ht="22.5" hidden="1" customHeight="1" x14ac:dyDescent="0.25">
      <c r="A3593" s="3">
        <v>44228</v>
      </c>
      <c r="B3593" s="2" t="s">
        <v>300</v>
      </c>
      <c r="C3593" s="2">
        <v>0.43</v>
      </c>
      <c r="D3593" s="2">
        <v>0.17480000000000001</v>
      </c>
      <c r="E3593" s="2">
        <v>7.5164000000000003E-4</v>
      </c>
      <c r="F3593" s="2" t="s">
        <v>168</v>
      </c>
    </row>
    <row r="3594" spans="1:6" ht="22.5" hidden="1" customHeight="1" x14ac:dyDescent="0.25">
      <c r="A3594" s="3">
        <v>44348</v>
      </c>
      <c r="B3594" s="2" t="s">
        <v>366</v>
      </c>
      <c r="C3594" s="2">
        <v>0.28999999999999998</v>
      </c>
      <c r="D3594" s="2">
        <v>0.25650000000000001</v>
      </c>
      <c r="E3594" s="2">
        <v>7.4385E-4</v>
      </c>
      <c r="F3594" s="2" t="s">
        <v>168</v>
      </c>
    </row>
    <row r="3595" spans="1:6" ht="22.5" hidden="1" customHeight="1" x14ac:dyDescent="0.25">
      <c r="A3595" s="3">
        <v>44470</v>
      </c>
      <c r="B3595" s="2" t="s">
        <v>288</v>
      </c>
      <c r="C3595" s="2">
        <v>0.33</v>
      </c>
      <c r="D3595" s="2">
        <v>0.22289999999999999</v>
      </c>
      <c r="E3595" s="2">
        <v>7.3556999999999995E-4</v>
      </c>
      <c r="F3595" s="2" t="s">
        <v>168</v>
      </c>
    </row>
    <row r="3596" spans="1:6" ht="22.5" hidden="1" customHeight="1" x14ac:dyDescent="0.25">
      <c r="A3596" s="3">
        <v>43862</v>
      </c>
      <c r="B3596" s="2" t="s">
        <v>299</v>
      </c>
      <c r="C3596" s="2">
        <v>0.76</v>
      </c>
      <c r="D3596" s="2">
        <v>9.5799999999999996E-2</v>
      </c>
      <c r="E3596" s="2">
        <v>7.2807999999999998E-4</v>
      </c>
      <c r="F3596" s="2" t="s">
        <v>168</v>
      </c>
    </row>
    <row r="3597" spans="1:6" ht="22.5" hidden="1" customHeight="1" x14ac:dyDescent="0.25">
      <c r="A3597" s="3">
        <v>44166</v>
      </c>
      <c r="B3597" s="2" t="s">
        <v>298</v>
      </c>
      <c r="C3597" s="2">
        <v>0.12</v>
      </c>
      <c r="D3597" s="2">
        <v>0.60370000000000001</v>
      </c>
      <c r="E3597" s="2">
        <v>7.2444000000000002E-4</v>
      </c>
      <c r="F3597" s="2" t="s">
        <v>168</v>
      </c>
    </row>
    <row r="3598" spans="1:6" ht="22.5" hidden="1" customHeight="1" x14ac:dyDescent="0.25">
      <c r="A3598" s="3">
        <v>43952</v>
      </c>
      <c r="B3598" s="2" t="s">
        <v>167</v>
      </c>
      <c r="C3598" s="2">
        <v>0.04</v>
      </c>
      <c r="D3598" s="2">
        <v>1.8069</v>
      </c>
      <c r="E3598" s="2">
        <v>7.2276000000000003E-4</v>
      </c>
      <c r="F3598" s="2" t="s">
        <v>168</v>
      </c>
    </row>
    <row r="3599" spans="1:6" ht="22.5" hidden="1" customHeight="1" x14ac:dyDescent="0.25">
      <c r="A3599" s="3">
        <v>44378</v>
      </c>
      <c r="B3599" s="2" t="s">
        <v>287</v>
      </c>
      <c r="C3599" s="2">
        <v>0.91</v>
      </c>
      <c r="D3599" s="2">
        <v>7.85E-2</v>
      </c>
      <c r="E3599" s="2">
        <v>7.1434999999999999E-4</v>
      </c>
      <c r="F3599" s="2" t="s">
        <v>168</v>
      </c>
    </row>
    <row r="3600" spans="1:6" ht="22.5" hidden="1" customHeight="1" x14ac:dyDescent="0.25">
      <c r="A3600" s="3">
        <v>44197</v>
      </c>
      <c r="B3600" s="2" t="s">
        <v>299</v>
      </c>
      <c r="C3600" s="2">
        <v>0.76</v>
      </c>
      <c r="D3600" s="2">
        <v>9.2399999999999996E-2</v>
      </c>
      <c r="E3600" s="2">
        <v>7.0224000000000003E-4</v>
      </c>
      <c r="F3600" s="2" t="s">
        <v>168</v>
      </c>
    </row>
    <row r="3601" spans="1:6" ht="22.5" hidden="1" customHeight="1" x14ac:dyDescent="0.25">
      <c r="A3601" s="3">
        <v>44136</v>
      </c>
      <c r="B3601" s="2" t="s">
        <v>302</v>
      </c>
      <c r="C3601" s="2">
        <v>0.03</v>
      </c>
      <c r="D3601" s="2">
        <v>0.29499999999999998</v>
      </c>
      <c r="E3601" s="2">
        <v>8.8499999999999996E-5</v>
      </c>
      <c r="F3601" s="2" t="s">
        <v>170</v>
      </c>
    </row>
    <row r="3602" spans="1:6" ht="22.5" hidden="1" customHeight="1" x14ac:dyDescent="0.25">
      <c r="A3602" s="3">
        <v>44136</v>
      </c>
      <c r="B3602" s="2" t="s">
        <v>303</v>
      </c>
      <c r="C3602" s="2">
        <v>0.19</v>
      </c>
      <c r="D3602" s="2">
        <v>0.55059999999999998</v>
      </c>
      <c r="E3602" s="2">
        <v>1.0461400000000001E-3</v>
      </c>
      <c r="F3602" s="2" t="s">
        <v>165</v>
      </c>
    </row>
    <row r="3603" spans="1:6" ht="22.5" hidden="1" customHeight="1" x14ac:dyDescent="0.25">
      <c r="A3603" s="3">
        <v>44136</v>
      </c>
      <c r="B3603" s="2" t="s">
        <v>304</v>
      </c>
      <c r="C3603" s="2">
        <v>0.28000000000000003</v>
      </c>
      <c r="D3603" s="2">
        <v>0.52959999999999996</v>
      </c>
      <c r="E3603" s="2">
        <v>1.48288E-3</v>
      </c>
      <c r="F3603" s="2" t="s">
        <v>165</v>
      </c>
    </row>
    <row r="3604" spans="1:6" ht="22.5" hidden="1" customHeight="1" x14ac:dyDescent="0.25">
      <c r="A3604" s="3">
        <v>44136</v>
      </c>
      <c r="B3604" s="2" t="s">
        <v>305</v>
      </c>
      <c r="C3604" s="2">
        <v>0</v>
      </c>
      <c r="D3604" s="2">
        <v>1.89E-2</v>
      </c>
      <c r="E3604" s="2">
        <v>0</v>
      </c>
      <c r="F3604" s="2" t="s">
        <v>170</v>
      </c>
    </row>
    <row r="3605" spans="1:6" ht="22.5" hidden="1" customHeight="1" x14ac:dyDescent="0.25">
      <c r="A3605" s="3">
        <v>44136</v>
      </c>
      <c r="B3605" s="2" t="s">
        <v>306</v>
      </c>
      <c r="C3605" s="2">
        <v>0.11</v>
      </c>
      <c r="D3605" s="2">
        <v>4.8899999999999999E-2</v>
      </c>
      <c r="E3605" s="2">
        <v>5.3789999999999998E-5</v>
      </c>
      <c r="F3605" s="2" t="s">
        <v>165</v>
      </c>
    </row>
    <row r="3606" spans="1:6" ht="22.5" hidden="1" customHeight="1" x14ac:dyDescent="0.25">
      <c r="A3606" s="3">
        <v>44136</v>
      </c>
      <c r="B3606" s="2" t="s">
        <v>307</v>
      </c>
      <c r="C3606" s="2">
        <v>0.43</v>
      </c>
      <c r="D3606" s="2">
        <v>0.109</v>
      </c>
      <c r="E3606" s="2">
        <v>4.6870000000000001E-4</v>
      </c>
      <c r="F3606" s="2" t="s">
        <v>165</v>
      </c>
    </row>
    <row r="3607" spans="1:6" ht="22.5" hidden="1" customHeight="1" x14ac:dyDescent="0.25">
      <c r="A3607" s="3">
        <v>44136</v>
      </c>
      <c r="B3607" s="2" t="s">
        <v>308</v>
      </c>
      <c r="C3607" s="2">
        <v>0.11</v>
      </c>
      <c r="D3607" s="2">
        <v>0.38109999999999999</v>
      </c>
      <c r="E3607" s="2">
        <v>4.1920999999999999E-4</v>
      </c>
      <c r="F3607" s="2" t="s">
        <v>165</v>
      </c>
    </row>
    <row r="3608" spans="1:6" ht="22.5" hidden="1" customHeight="1" x14ac:dyDescent="0.25">
      <c r="A3608" s="3">
        <v>44136</v>
      </c>
      <c r="B3608" s="2" t="s">
        <v>309</v>
      </c>
      <c r="C3608" s="2">
        <v>-0.1</v>
      </c>
      <c r="D3608" s="2">
        <v>0.1333</v>
      </c>
      <c r="E3608" s="2">
        <v>-1.3329999999999999E-4</v>
      </c>
      <c r="F3608" s="2" t="s">
        <v>165</v>
      </c>
    </row>
    <row r="3609" spans="1:6" ht="22.5" hidden="1" customHeight="1" x14ac:dyDescent="0.25">
      <c r="A3609" s="3">
        <v>44531</v>
      </c>
      <c r="B3609" s="2" t="s">
        <v>301</v>
      </c>
      <c r="C3609" s="2">
        <v>0.5</v>
      </c>
      <c r="D3609" s="2">
        <v>0.1346</v>
      </c>
      <c r="E3609" s="2">
        <v>6.7299999999999999E-4</v>
      </c>
      <c r="F3609" s="2" t="s">
        <v>168</v>
      </c>
    </row>
    <row r="3610" spans="1:6" ht="22.5" hidden="1" customHeight="1" x14ac:dyDescent="0.25">
      <c r="A3610" s="3">
        <v>44136</v>
      </c>
      <c r="B3610" s="2" t="s">
        <v>311</v>
      </c>
      <c r="C3610" s="2">
        <v>-0.16</v>
      </c>
      <c r="D3610" s="2">
        <v>0.62660000000000005</v>
      </c>
      <c r="E3610" s="2">
        <v>-1.00256E-3</v>
      </c>
      <c r="F3610" s="2" t="s">
        <v>174</v>
      </c>
    </row>
    <row r="3611" spans="1:6" ht="22.5" hidden="1" customHeight="1" x14ac:dyDescent="0.25">
      <c r="A3611" s="3">
        <v>44136</v>
      </c>
      <c r="B3611" s="2" t="s">
        <v>312</v>
      </c>
      <c r="C3611" s="2">
        <v>0.79</v>
      </c>
      <c r="D3611" s="2">
        <v>0.21759999999999999</v>
      </c>
      <c r="E3611" s="2">
        <v>1.71904E-3</v>
      </c>
      <c r="F3611" s="2" t="s">
        <v>174</v>
      </c>
    </row>
    <row r="3612" spans="1:6" ht="22.5" hidden="1" customHeight="1" x14ac:dyDescent="0.25">
      <c r="A3612" s="3">
        <v>44136</v>
      </c>
      <c r="B3612" s="2" t="s">
        <v>313</v>
      </c>
      <c r="C3612" s="2">
        <v>-0.06</v>
      </c>
      <c r="D3612" s="2">
        <v>0.13489999999999999</v>
      </c>
      <c r="E3612" s="2">
        <v>-8.0939999999999994E-5</v>
      </c>
      <c r="F3612" s="2" t="s">
        <v>174</v>
      </c>
    </row>
    <row r="3613" spans="1:6" ht="22.5" hidden="1" customHeight="1" x14ac:dyDescent="0.25">
      <c r="A3613" s="3">
        <v>44136</v>
      </c>
      <c r="B3613" s="2" t="s">
        <v>314</v>
      </c>
      <c r="C3613" s="2">
        <v>4.3600000000000003</v>
      </c>
      <c r="D3613" s="2">
        <v>0.38090000000000002</v>
      </c>
      <c r="E3613" s="2">
        <v>1.6607239999999999E-2</v>
      </c>
      <c r="F3613" s="2" t="s">
        <v>174</v>
      </c>
    </row>
    <row r="3614" spans="1:6" ht="22.5" hidden="1" customHeight="1" x14ac:dyDescent="0.25">
      <c r="A3614" s="3">
        <v>44136</v>
      </c>
      <c r="B3614" s="2" t="s">
        <v>315</v>
      </c>
      <c r="C3614" s="2">
        <v>0.21</v>
      </c>
      <c r="D3614" s="2">
        <v>0.2656</v>
      </c>
      <c r="E3614" s="2">
        <v>5.5776000000000003E-4</v>
      </c>
      <c r="F3614" s="2" t="s">
        <v>174</v>
      </c>
    </row>
    <row r="3615" spans="1:6" ht="22.5" hidden="1" customHeight="1" x14ac:dyDescent="0.25">
      <c r="A3615" s="3">
        <v>44136</v>
      </c>
      <c r="B3615" s="2" t="s">
        <v>316</v>
      </c>
      <c r="C3615" s="2">
        <v>-1.37</v>
      </c>
      <c r="D3615" s="2">
        <v>4.0000000000000001E-3</v>
      </c>
      <c r="E3615" s="2">
        <v>-5.4799999999999997E-5</v>
      </c>
      <c r="F3615" s="2" t="s">
        <v>174</v>
      </c>
    </row>
    <row r="3616" spans="1:6" ht="22.5" hidden="1" customHeight="1" x14ac:dyDescent="0.25">
      <c r="A3616" s="3">
        <v>44136</v>
      </c>
      <c r="B3616" s="2" t="s">
        <v>317</v>
      </c>
      <c r="C3616" s="2">
        <v>-0.49</v>
      </c>
      <c r="D3616" s="2">
        <v>1.0427</v>
      </c>
      <c r="E3616" s="2">
        <v>-5.1092300000000002E-3</v>
      </c>
      <c r="F3616" s="2" t="s">
        <v>174</v>
      </c>
    </row>
    <row r="3617" spans="1:6" ht="22.5" hidden="1" customHeight="1" x14ac:dyDescent="0.25">
      <c r="A3617" s="3">
        <v>44136</v>
      </c>
      <c r="B3617" s="2" t="s">
        <v>318</v>
      </c>
      <c r="C3617" s="2">
        <v>1.1200000000000001</v>
      </c>
      <c r="D3617" s="2">
        <v>0.44769999999999999</v>
      </c>
      <c r="E3617" s="2">
        <v>5.0142399999999997E-3</v>
      </c>
      <c r="F3617" s="2" t="s">
        <v>174</v>
      </c>
    </row>
    <row r="3618" spans="1:6" ht="22.5" hidden="1" customHeight="1" x14ac:dyDescent="0.25">
      <c r="A3618" s="3">
        <v>44136</v>
      </c>
      <c r="B3618" s="2" t="s">
        <v>319</v>
      </c>
      <c r="C3618" s="2">
        <v>0.04</v>
      </c>
      <c r="D3618" s="2">
        <v>0.11169999999999999</v>
      </c>
      <c r="E3618" s="2">
        <v>4.4679999999999999E-5</v>
      </c>
      <c r="F3618" s="2" t="s">
        <v>174</v>
      </c>
    </row>
    <row r="3619" spans="1:6" ht="22.5" hidden="1" customHeight="1" x14ac:dyDescent="0.25">
      <c r="A3619" s="3">
        <v>44136</v>
      </c>
      <c r="B3619" s="2" t="s">
        <v>320</v>
      </c>
      <c r="C3619" s="2">
        <v>0.62</v>
      </c>
      <c r="D3619" s="2">
        <v>0.29870000000000002</v>
      </c>
      <c r="E3619" s="2">
        <v>1.8519400000000001E-3</v>
      </c>
      <c r="F3619" s="2" t="s">
        <v>174</v>
      </c>
    </row>
    <row r="3620" spans="1:6" ht="22.5" hidden="1" customHeight="1" x14ac:dyDescent="0.25">
      <c r="A3620" s="3">
        <v>44136</v>
      </c>
      <c r="B3620" s="2" t="s">
        <v>321</v>
      </c>
      <c r="C3620" s="2">
        <v>0.16</v>
      </c>
      <c r="D3620" s="2">
        <v>0.20799999999999999</v>
      </c>
      <c r="E3620" s="2">
        <v>3.3280000000000001E-4</v>
      </c>
      <c r="F3620" s="2" t="s">
        <v>174</v>
      </c>
    </row>
    <row r="3621" spans="1:6" ht="22.5" hidden="1" customHeight="1" x14ac:dyDescent="0.25">
      <c r="A3621" s="3">
        <v>44136</v>
      </c>
      <c r="B3621" s="2" t="s">
        <v>322</v>
      </c>
      <c r="C3621" s="2">
        <v>-6.98</v>
      </c>
      <c r="D3621" s="2">
        <v>0.1724</v>
      </c>
      <c r="E3621" s="2">
        <v>-1.2033520000000001E-2</v>
      </c>
      <c r="F3621" s="2" t="s">
        <v>174</v>
      </c>
    </row>
    <row r="3622" spans="1:6" ht="22.5" hidden="1" customHeight="1" x14ac:dyDescent="0.25">
      <c r="A3622" s="3">
        <v>44136</v>
      </c>
      <c r="B3622" s="2" t="s">
        <v>323</v>
      </c>
      <c r="C3622" s="2">
        <v>0.92</v>
      </c>
      <c r="D3622" s="2">
        <v>1.11E-2</v>
      </c>
      <c r="E3622" s="2">
        <v>1.0212E-4</v>
      </c>
      <c r="F3622" s="2" t="s">
        <v>165</v>
      </c>
    </row>
    <row r="3623" spans="1:6" ht="22.5" hidden="1" customHeight="1" x14ac:dyDescent="0.25">
      <c r="A3623" s="3">
        <v>44136</v>
      </c>
      <c r="B3623" s="2" t="s">
        <v>324</v>
      </c>
      <c r="C3623" s="2">
        <v>-0.54</v>
      </c>
      <c r="D3623" s="2">
        <v>0.39660000000000001</v>
      </c>
      <c r="E3623" s="2">
        <v>-2.1416400000000002E-3</v>
      </c>
      <c r="F3623" s="2" t="s">
        <v>165</v>
      </c>
    </row>
    <row r="3624" spans="1:6" ht="22.5" hidden="1" customHeight="1" x14ac:dyDescent="0.25">
      <c r="A3624" s="3">
        <v>44136</v>
      </c>
      <c r="B3624" s="2" t="s">
        <v>325</v>
      </c>
      <c r="C3624" s="2">
        <v>0.08</v>
      </c>
      <c r="D3624" s="2">
        <v>3.1594000000000002</v>
      </c>
      <c r="E3624" s="2">
        <v>2.5275200000000001E-3</v>
      </c>
      <c r="F3624" s="2" t="s">
        <v>165</v>
      </c>
    </row>
    <row r="3625" spans="1:6" ht="22.5" hidden="1" customHeight="1" x14ac:dyDescent="0.25">
      <c r="A3625" s="3">
        <v>44136</v>
      </c>
      <c r="B3625" s="2" t="s">
        <v>326</v>
      </c>
      <c r="C3625" s="2">
        <v>0.27</v>
      </c>
      <c r="D3625" s="2">
        <v>1.0588</v>
      </c>
      <c r="E3625" s="2">
        <v>2.8587600000000001E-3</v>
      </c>
      <c r="F3625" s="2" t="s">
        <v>165</v>
      </c>
    </row>
    <row r="3626" spans="1:6" ht="22.5" hidden="1" customHeight="1" x14ac:dyDescent="0.25">
      <c r="A3626" s="3">
        <v>44136</v>
      </c>
      <c r="B3626" s="2" t="s">
        <v>327</v>
      </c>
      <c r="C3626" s="2">
        <v>-0.81</v>
      </c>
      <c r="D3626" s="2">
        <v>6.2E-2</v>
      </c>
      <c r="E3626" s="2">
        <v>-5.0219999999999996E-4</v>
      </c>
      <c r="F3626" s="2" t="s">
        <v>165</v>
      </c>
    </row>
    <row r="3627" spans="1:6" ht="22.5" hidden="1" customHeight="1" x14ac:dyDescent="0.25">
      <c r="A3627" s="3">
        <v>44136</v>
      </c>
      <c r="B3627" s="2" t="s">
        <v>328</v>
      </c>
      <c r="C3627" s="2">
        <v>0</v>
      </c>
      <c r="D3627" s="2">
        <v>1.8499999999999999E-2</v>
      </c>
      <c r="E3627" s="2">
        <v>0</v>
      </c>
      <c r="F3627" s="2" t="s">
        <v>165</v>
      </c>
    </row>
    <row r="3628" spans="1:6" ht="22.5" hidden="1" customHeight="1" x14ac:dyDescent="0.25">
      <c r="A3628" s="3">
        <v>44136</v>
      </c>
      <c r="B3628" s="2" t="s">
        <v>329</v>
      </c>
      <c r="C3628" s="2">
        <v>1.32</v>
      </c>
      <c r="D3628" s="2">
        <v>9.6799999999999997E-2</v>
      </c>
      <c r="E3628" s="2">
        <v>1.27776E-3</v>
      </c>
      <c r="F3628" s="2" t="s">
        <v>165</v>
      </c>
    </row>
    <row r="3629" spans="1:6" ht="22.5" hidden="1" customHeight="1" x14ac:dyDescent="0.25">
      <c r="A3629" s="3">
        <v>44136</v>
      </c>
      <c r="B3629" s="2" t="s">
        <v>330</v>
      </c>
      <c r="C3629" s="2">
        <v>-0.03</v>
      </c>
      <c r="D3629" s="2">
        <v>1.7879</v>
      </c>
      <c r="E3629" s="2">
        <v>-5.3636999999999999E-4</v>
      </c>
      <c r="F3629" s="2" t="s">
        <v>165</v>
      </c>
    </row>
    <row r="3630" spans="1:6" ht="22.5" hidden="1" customHeight="1" x14ac:dyDescent="0.25">
      <c r="A3630" s="3">
        <v>44136</v>
      </c>
      <c r="B3630" s="2" t="s">
        <v>331</v>
      </c>
      <c r="C3630" s="2">
        <v>0.13</v>
      </c>
      <c r="D3630" s="2">
        <v>5.8599999999999999E-2</v>
      </c>
      <c r="E3630" s="2">
        <v>7.6180000000000006E-5</v>
      </c>
      <c r="F3630" s="2" t="s">
        <v>165</v>
      </c>
    </row>
    <row r="3631" spans="1:6" ht="22.5" hidden="1" customHeight="1" x14ac:dyDescent="0.25">
      <c r="A3631" s="3">
        <v>44136</v>
      </c>
      <c r="B3631" s="2" t="s">
        <v>332</v>
      </c>
      <c r="C3631" s="2">
        <v>1.21</v>
      </c>
      <c r="D3631" s="2">
        <v>0.1084</v>
      </c>
      <c r="E3631" s="2">
        <v>1.31164E-3</v>
      </c>
      <c r="F3631" s="2" t="s">
        <v>165</v>
      </c>
    </row>
    <row r="3632" spans="1:6" ht="22.5" hidden="1" customHeight="1" x14ac:dyDescent="0.25">
      <c r="A3632" s="3">
        <v>44136</v>
      </c>
      <c r="B3632" s="2" t="s">
        <v>333</v>
      </c>
      <c r="C3632" s="2">
        <v>1.98</v>
      </c>
      <c r="D3632" s="2">
        <v>8.4599999999999995E-2</v>
      </c>
      <c r="E3632" s="2">
        <v>1.67508E-3</v>
      </c>
      <c r="F3632" s="2" t="s">
        <v>165</v>
      </c>
    </row>
    <row r="3633" spans="1:6" ht="22.5" hidden="1" customHeight="1" x14ac:dyDescent="0.25">
      <c r="A3633" s="3">
        <v>44136</v>
      </c>
      <c r="B3633" s="2" t="s">
        <v>334</v>
      </c>
      <c r="C3633" s="2">
        <v>1.34</v>
      </c>
      <c r="D3633" s="2">
        <v>2.1000000000000001E-2</v>
      </c>
      <c r="E3633" s="2">
        <v>2.8140000000000001E-4</v>
      </c>
      <c r="F3633" s="2" t="s">
        <v>170</v>
      </c>
    </row>
    <row r="3634" spans="1:6" ht="22.5" hidden="1" customHeight="1" x14ac:dyDescent="0.25">
      <c r="A3634" s="3">
        <v>44136</v>
      </c>
      <c r="B3634" s="2" t="s">
        <v>335</v>
      </c>
      <c r="C3634" s="2">
        <v>0.85</v>
      </c>
      <c r="D3634" s="2">
        <v>0.29339999999999999</v>
      </c>
      <c r="E3634" s="2">
        <v>2.4938999999999998E-3</v>
      </c>
      <c r="F3634" s="2" t="s">
        <v>165</v>
      </c>
    </row>
    <row r="3635" spans="1:6" ht="22.5" hidden="1" customHeight="1" x14ac:dyDescent="0.25">
      <c r="A3635" s="3">
        <v>44136</v>
      </c>
      <c r="B3635" s="2" t="s">
        <v>336</v>
      </c>
      <c r="C3635" s="2">
        <v>3.86</v>
      </c>
      <c r="D3635" s="2">
        <v>9.8699999999999996E-2</v>
      </c>
      <c r="E3635" s="2">
        <v>3.8098199999999998E-3</v>
      </c>
      <c r="F3635" s="2" t="s">
        <v>170</v>
      </c>
    </row>
    <row r="3636" spans="1:6" ht="22.5" hidden="1" customHeight="1" x14ac:dyDescent="0.25">
      <c r="A3636" s="3">
        <v>44136</v>
      </c>
      <c r="B3636" s="2" t="s">
        <v>337</v>
      </c>
      <c r="C3636" s="2">
        <v>-1.18</v>
      </c>
      <c r="D3636" s="2">
        <v>0.34139999999999998</v>
      </c>
      <c r="E3636" s="2">
        <v>-4.0285199999999998E-3</v>
      </c>
      <c r="F3636" s="2" t="s">
        <v>174</v>
      </c>
    </row>
    <row r="3637" spans="1:6" ht="22.5" hidden="1" customHeight="1" x14ac:dyDescent="0.25">
      <c r="A3637" s="3">
        <v>44136</v>
      </c>
      <c r="B3637" s="2" t="s">
        <v>338</v>
      </c>
      <c r="C3637" s="2">
        <v>0.27</v>
      </c>
      <c r="D3637" s="2">
        <v>0.20610000000000001</v>
      </c>
      <c r="E3637" s="2">
        <v>5.5646999999999999E-4</v>
      </c>
      <c r="F3637" s="2" t="s">
        <v>174</v>
      </c>
    </row>
    <row r="3638" spans="1:6" ht="22.5" hidden="1" customHeight="1" x14ac:dyDescent="0.25">
      <c r="A3638" s="3">
        <v>44136</v>
      </c>
      <c r="B3638" s="2" t="s">
        <v>339</v>
      </c>
      <c r="C3638" s="2">
        <v>-0.89</v>
      </c>
      <c r="D3638" s="2">
        <v>4.4600000000000001E-2</v>
      </c>
      <c r="E3638" s="2">
        <v>-3.9693999999999998E-4</v>
      </c>
      <c r="F3638" s="2" t="s">
        <v>165</v>
      </c>
    </row>
    <row r="3639" spans="1:6" ht="22.5" hidden="1" customHeight="1" x14ac:dyDescent="0.25">
      <c r="A3639" s="3">
        <v>44378</v>
      </c>
      <c r="B3639" s="2" t="s">
        <v>365</v>
      </c>
      <c r="C3639" s="2">
        <v>1.01</v>
      </c>
      <c r="D3639" s="2">
        <v>6.6600000000000006E-2</v>
      </c>
      <c r="E3639" s="2">
        <v>6.7265999999999995E-4</v>
      </c>
      <c r="F3639" s="2" t="s">
        <v>168</v>
      </c>
    </row>
    <row r="3640" spans="1:6" ht="22.5" hidden="1" customHeight="1" x14ac:dyDescent="0.25">
      <c r="A3640" s="3">
        <v>44136</v>
      </c>
      <c r="B3640" s="2" t="s">
        <v>341</v>
      </c>
      <c r="C3640" s="2">
        <v>-1.1299999999999999</v>
      </c>
      <c r="D3640" s="2">
        <v>1.15E-2</v>
      </c>
      <c r="E3640" s="2">
        <v>-1.2994999999999999E-4</v>
      </c>
      <c r="F3640" s="2" t="s">
        <v>174</v>
      </c>
    </row>
    <row r="3641" spans="1:6" ht="22.5" hidden="1" customHeight="1" x14ac:dyDescent="0.25">
      <c r="A3641" s="3">
        <v>44136</v>
      </c>
      <c r="B3641" s="2" t="s">
        <v>342</v>
      </c>
      <c r="C3641" s="2">
        <v>0.16</v>
      </c>
      <c r="D3641" s="2">
        <v>0.53990000000000005</v>
      </c>
      <c r="E3641" s="2">
        <v>8.6384000000000005E-4</v>
      </c>
      <c r="F3641" s="2" t="s">
        <v>165</v>
      </c>
    </row>
    <row r="3642" spans="1:6" ht="22.5" hidden="1" customHeight="1" x14ac:dyDescent="0.25">
      <c r="A3642" s="3">
        <v>44136</v>
      </c>
      <c r="B3642" s="2" t="s">
        <v>343</v>
      </c>
      <c r="C3642" s="2">
        <v>2.37</v>
      </c>
      <c r="D3642" s="2">
        <v>0.47649999999999998</v>
      </c>
      <c r="E3642" s="2">
        <v>1.1293050000000001E-2</v>
      </c>
      <c r="F3642" s="2" t="s">
        <v>165</v>
      </c>
    </row>
    <row r="3643" spans="1:6" ht="22.5" hidden="1" customHeight="1" x14ac:dyDescent="0.25">
      <c r="A3643" s="3">
        <v>44136</v>
      </c>
      <c r="B3643" s="2" t="s">
        <v>344</v>
      </c>
      <c r="C3643" s="2">
        <v>0.03</v>
      </c>
      <c r="D3643" s="2">
        <v>0.14349999999999999</v>
      </c>
      <c r="E3643" s="2">
        <v>4.3050000000000003E-5</v>
      </c>
      <c r="F3643" s="2" t="s">
        <v>165</v>
      </c>
    </row>
    <row r="3644" spans="1:6" ht="22.5" hidden="1" customHeight="1" x14ac:dyDescent="0.25">
      <c r="A3644" s="3">
        <v>44136</v>
      </c>
      <c r="B3644" s="2" t="s">
        <v>345</v>
      </c>
      <c r="C3644" s="2">
        <v>-0.18</v>
      </c>
      <c r="D3644" s="2">
        <v>0.53759999999999997</v>
      </c>
      <c r="E3644" s="2">
        <v>-9.6767999999999995E-4</v>
      </c>
      <c r="F3644" s="2" t="s">
        <v>165</v>
      </c>
    </row>
    <row r="3645" spans="1:6" ht="22.5" hidden="1" customHeight="1" x14ac:dyDescent="0.25">
      <c r="A3645" s="3">
        <v>44136</v>
      </c>
      <c r="B3645" s="2" t="s">
        <v>346</v>
      </c>
      <c r="C3645" s="2">
        <v>-1</v>
      </c>
      <c r="D3645" s="2">
        <v>0.56020000000000003</v>
      </c>
      <c r="E3645" s="2">
        <v>-5.6020000000000002E-3</v>
      </c>
      <c r="F3645" s="2" t="s">
        <v>174</v>
      </c>
    </row>
    <row r="3646" spans="1:6" ht="22.5" hidden="1" customHeight="1" x14ac:dyDescent="0.25">
      <c r="A3646" s="3">
        <v>44136</v>
      </c>
      <c r="B3646" s="2" t="s">
        <v>347</v>
      </c>
      <c r="C3646" s="2">
        <v>0</v>
      </c>
      <c r="D3646" s="2">
        <v>0.1953</v>
      </c>
      <c r="E3646" s="2">
        <v>0</v>
      </c>
      <c r="F3646" s="2" t="s">
        <v>165</v>
      </c>
    </row>
    <row r="3647" spans="1:6" ht="22.5" hidden="1" customHeight="1" x14ac:dyDescent="0.25">
      <c r="A3647" s="3">
        <v>44136</v>
      </c>
      <c r="B3647" s="2" t="s">
        <v>348</v>
      </c>
      <c r="C3647" s="2">
        <v>0</v>
      </c>
      <c r="D3647" s="2">
        <v>0.31809999999999999</v>
      </c>
      <c r="E3647" s="2">
        <v>0</v>
      </c>
      <c r="F3647" s="2" t="s">
        <v>165</v>
      </c>
    </row>
    <row r="3648" spans="1:6" ht="22.5" hidden="1" customHeight="1" x14ac:dyDescent="0.25">
      <c r="A3648" s="3">
        <v>44136</v>
      </c>
      <c r="B3648" s="2" t="s">
        <v>349</v>
      </c>
      <c r="C3648" s="2">
        <v>0</v>
      </c>
      <c r="D3648" s="2">
        <v>1.5379</v>
      </c>
      <c r="E3648" s="2">
        <v>0</v>
      </c>
      <c r="F3648" s="2" t="s">
        <v>165</v>
      </c>
    </row>
    <row r="3649" spans="1:6" ht="22.5" hidden="1" customHeight="1" x14ac:dyDescent="0.25">
      <c r="A3649" s="3">
        <v>44136</v>
      </c>
      <c r="B3649" s="2" t="s">
        <v>350</v>
      </c>
      <c r="C3649" s="2">
        <v>0</v>
      </c>
      <c r="D3649" s="2">
        <v>0.38690000000000002</v>
      </c>
      <c r="E3649" s="2">
        <v>0</v>
      </c>
      <c r="F3649" s="2" t="s">
        <v>165</v>
      </c>
    </row>
    <row r="3650" spans="1:6" ht="22.5" hidden="1" customHeight="1" x14ac:dyDescent="0.25">
      <c r="A3650" s="3">
        <v>44136</v>
      </c>
      <c r="B3650" s="2" t="s">
        <v>351</v>
      </c>
      <c r="C3650" s="2">
        <v>0</v>
      </c>
      <c r="D3650" s="2">
        <v>1.8232999999999999</v>
      </c>
      <c r="E3650" s="2">
        <v>0</v>
      </c>
      <c r="F3650" s="2" t="s">
        <v>165</v>
      </c>
    </row>
    <row r="3651" spans="1:6" ht="22.5" hidden="1" customHeight="1" x14ac:dyDescent="0.25">
      <c r="A3651" s="3">
        <v>44136</v>
      </c>
      <c r="B3651" s="2" t="s">
        <v>352</v>
      </c>
      <c r="C3651" s="2">
        <v>0</v>
      </c>
      <c r="D3651" s="2">
        <v>0.28870000000000001</v>
      </c>
      <c r="E3651" s="2">
        <v>0</v>
      </c>
      <c r="F3651" s="2" t="s">
        <v>165</v>
      </c>
    </row>
    <row r="3652" spans="1:6" ht="22.5" hidden="1" customHeight="1" x14ac:dyDescent="0.25">
      <c r="A3652" s="3">
        <v>44136</v>
      </c>
      <c r="B3652" s="2" t="s">
        <v>353</v>
      </c>
      <c r="C3652" s="2">
        <v>0</v>
      </c>
      <c r="D3652" s="2">
        <v>4.19E-2</v>
      </c>
      <c r="E3652" s="2">
        <v>0</v>
      </c>
      <c r="F3652" s="2" t="s">
        <v>165</v>
      </c>
    </row>
    <row r="3653" spans="1:6" ht="22.5" hidden="1" customHeight="1" x14ac:dyDescent="0.25">
      <c r="A3653" s="3">
        <v>44136</v>
      </c>
      <c r="B3653" s="2" t="s">
        <v>354</v>
      </c>
      <c r="C3653" s="2">
        <v>0</v>
      </c>
      <c r="D3653" s="2">
        <v>3.2199999999999999E-2</v>
      </c>
      <c r="E3653" s="2">
        <v>0</v>
      </c>
      <c r="F3653" s="2" t="s">
        <v>165</v>
      </c>
    </row>
    <row r="3654" spans="1:6" ht="22.5" hidden="1" customHeight="1" x14ac:dyDescent="0.25">
      <c r="A3654" s="3">
        <v>44136</v>
      </c>
      <c r="B3654" s="2" t="s">
        <v>355</v>
      </c>
      <c r="C3654" s="2">
        <v>0</v>
      </c>
      <c r="D3654" s="2">
        <v>3.0300000000000001E-2</v>
      </c>
      <c r="E3654" s="2">
        <v>0</v>
      </c>
      <c r="F3654" s="2" t="s">
        <v>174</v>
      </c>
    </row>
    <row r="3655" spans="1:6" ht="22.5" hidden="1" customHeight="1" x14ac:dyDescent="0.25">
      <c r="A3655" s="3">
        <v>44136</v>
      </c>
      <c r="B3655" s="2" t="s">
        <v>356</v>
      </c>
      <c r="C3655" s="2">
        <v>0.65</v>
      </c>
      <c r="D3655" s="2">
        <v>0.03</v>
      </c>
      <c r="E3655" s="2">
        <v>1.95E-4</v>
      </c>
      <c r="F3655" s="2" t="s">
        <v>174</v>
      </c>
    </row>
    <row r="3656" spans="1:6" ht="22.5" hidden="1" customHeight="1" x14ac:dyDescent="0.25">
      <c r="A3656" s="3">
        <v>44136</v>
      </c>
      <c r="B3656" s="2" t="s">
        <v>357</v>
      </c>
      <c r="C3656" s="2">
        <v>0</v>
      </c>
      <c r="D3656" s="2">
        <v>0.38019999999999998</v>
      </c>
      <c r="E3656" s="2">
        <v>0</v>
      </c>
      <c r="F3656" s="2" t="s">
        <v>174</v>
      </c>
    </row>
    <row r="3657" spans="1:6" ht="22.5" hidden="1" customHeight="1" x14ac:dyDescent="0.25">
      <c r="A3657" s="3">
        <v>44136</v>
      </c>
      <c r="B3657" s="2" t="s">
        <v>358</v>
      </c>
      <c r="C3657" s="2">
        <v>-1.4</v>
      </c>
      <c r="D3657" s="2">
        <v>0.10150000000000001</v>
      </c>
      <c r="E3657" s="2">
        <v>-1.421E-3</v>
      </c>
      <c r="F3657" s="2" t="s">
        <v>174</v>
      </c>
    </row>
    <row r="3658" spans="1:6" ht="22.5" hidden="1" customHeight="1" x14ac:dyDescent="0.25">
      <c r="A3658" s="3">
        <v>44136</v>
      </c>
      <c r="B3658" s="2" t="s">
        <v>359</v>
      </c>
      <c r="C3658" s="2">
        <v>1.0900000000000001</v>
      </c>
      <c r="D3658" s="2">
        <v>4.82E-2</v>
      </c>
      <c r="E3658" s="2">
        <v>5.2537999999999999E-4</v>
      </c>
      <c r="F3658" s="2" t="s">
        <v>174</v>
      </c>
    </row>
    <row r="3659" spans="1:6" ht="22.5" hidden="1" customHeight="1" x14ac:dyDescent="0.25">
      <c r="A3659" s="3">
        <v>44136</v>
      </c>
      <c r="B3659" s="2" t="s">
        <v>360</v>
      </c>
      <c r="C3659" s="2">
        <v>0.37</v>
      </c>
      <c r="D3659" s="2">
        <v>8.9300000000000004E-2</v>
      </c>
      <c r="E3659" s="2">
        <v>3.3041E-4</v>
      </c>
      <c r="F3659" s="2" t="s">
        <v>174</v>
      </c>
    </row>
    <row r="3660" spans="1:6" ht="22.5" hidden="1" customHeight="1" x14ac:dyDescent="0.25">
      <c r="A3660" s="3">
        <v>44136</v>
      </c>
      <c r="B3660" s="2" t="s">
        <v>361</v>
      </c>
      <c r="C3660" s="2">
        <v>0</v>
      </c>
      <c r="D3660" s="2">
        <v>7.9399999999999998E-2</v>
      </c>
      <c r="E3660" s="2">
        <v>0</v>
      </c>
      <c r="F3660" s="2" t="s">
        <v>165</v>
      </c>
    </row>
    <row r="3661" spans="1:6" ht="22.5" hidden="1" customHeight="1" x14ac:dyDescent="0.25">
      <c r="A3661" s="3">
        <v>44136</v>
      </c>
      <c r="B3661" s="2" t="s">
        <v>362</v>
      </c>
      <c r="C3661" s="2">
        <v>0</v>
      </c>
      <c r="D3661" s="2">
        <v>0.31030000000000002</v>
      </c>
      <c r="E3661" s="2">
        <v>0</v>
      </c>
      <c r="F3661" s="2" t="s">
        <v>165</v>
      </c>
    </row>
    <row r="3662" spans="1:6" ht="22.5" hidden="1" customHeight="1" x14ac:dyDescent="0.25">
      <c r="A3662" s="3">
        <v>44136</v>
      </c>
      <c r="B3662" s="2" t="s">
        <v>363</v>
      </c>
      <c r="C3662" s="2">
        <v>1.46</v>
      </c>
      <c r="D3662" s="2">
        <v>4.9399999999999999E-2</v>
      </c>
      <c r="E3662" s="2">
        <v>7.2124000000000005E-4</v>
      </c>
      <c r="F3662" s="2" t="s">
        <v>165</v>
      </c>
    </row>
    <row r="3663" spans="1:6" ht="22.5" hidden="1" customHeight="1" x14ac:dyDescent="0.25">
      <c r="A3663" s="3">
        <v>44136</v>
      </c>
      <c r="B3663" s="2" t="s">
        <v>364</v>
      </c>
      <c r="C3663" s="2">
        <v>0.03</v>
      </c>
      <c r="D3663" s="2">
        <v>0.40629999999999999</v>
      </c>
      <c r="E3663" s="2">
        <v>1.2189E-4</v>
      </c>
      <c r="F3663" s="2" t="s">
        <v>165</v>
      </c>
    </row>
    <row r="3664" spans="1:6" ht="22.5" hidden="1" customHeight="1" x14ac:dyDescent="0.25">
      <c r="A3664" s="3">
        <v>44136</v>
      </c>
      <c r="B3664" s="2" t="s">
        <v>298</v>
      </c>
      <c r="C3664" s="2">
        <v>0.11</v>
      </c>
      <c r="D3664" s="2">
        <v>0.60780000000000001</v>
      </c>
      <c r="E3664" s="2">
        <v>6.6858E-4</v>
      </c>
      <c r="F3664" s="2" t="s">
        <v>168</v>
      </c>
    </row>
    <row r="3665" spans="1:6" ht="22.5" hidden="1" customHeight="1" x14ac:dyDescent="0.25">
      <c r="A3665" s="3">
        <v>44470</v>
      </c>
      <c r="B3665" s="2" t="s">
        <v>263</v>
      </c>
      <c r="C3665" s="2">
        <v>0.16</v>
      </c>
      <c r="D3665" s="2">
        <v>0.39929999999999999</v>
      </c>
      <c r="E3665" s="2">
        <v>6.3887999999999998E-4</v>
      </c>
      <c r="F3665" s="2" t="s">
        <v>168</v>
      </c>
    </row>
    <row r="3666" spans="1:6" ht="22.5" hidden="1" customHeight="1" x14ac:dyDescent="0.25">
      <c r="A3666" s="3">
        <v>43862</v>
      </c>
      <c r="B3666" s="2" t="s">
        <v>295</v>
      </c>
      <c r="C3666" s="2">
        <v>0.28000000000000003</v>
      </c>
      <c r="D3666" s="2">
        <v>0.22600000000000001</v>
      </c>
      <c r="E3666" s="2">
        <v>6.3279999999999999E-4</v>
      </c>
      <c r="F3666" s="2" t="s">
        <v>168</v>
      </c>
    </row>
    <row r="3667" spans="1:6" ht="22.5" hidden="1" customHeight="1" x14ac:dyDescent="0.25">
      <c r="A3667" s="3">
        <v>44136</v>
      </c>
      <c r="B3667" s="2" t="s">
        <v>368</v>
      </c>
      <c r="C3667" s="2">
        <v>0</v>
      </c>
      <c r="D3667" s="2">
        <v>0.40100000000000002</v>
      </c>
      <c r="E3667" s="2">
        <v>0</v>
      </c>
      <c r="F3667" s="2" t="s">
        <v>165</v>
      </c>
    </row>
    <row r="3668" spans="1:6" ht="22.5" hidden="1" customHeight="1" x14ac:dyDescent="0.25">
      <c r="A3668" s="3">
        <v>44136</v>
      </c>
      <c r="B3668" s="2" t="s">
        <v>369</v>
      </c>
      <c r="C3668" s="2">
        <v>0</v>
      </c>
      <c r="D3668" s="2">
        <v>0.58109999999999995</v>
      </c>
      <c r="E3668" s="2">
        <v>0</v>
      </c>
      <c r="F3668" s="2" t="s">
        <v>165</v>
      </c>
    </row>
    <row r="3669" spans="1:6" ht="22.5" hidden="1" customHeight="1" x14ac:dyDescent="0.25">
      <c r="A3669" s="3">
        <v>44136</v>
      </c>
      <c r="B3669" s="2" t="s">
        <v>370</v>
      </c>
      <c r="C3669" s="2">
        <v>0.37</v>
      </c>
      <c r="D3669" s="2">
        <v>1.0338000000000001</v>
      </c>
      <c r="E3669" s="2">
        <v>3.8250599999999999E-3</v>
      </c>
      <c r="F3669" s="2" t="s">
        <v>170</v>
      </c>
    </row>
    <row r="3670" spans="1:6" ht="22.5" hidden="1" customHeight="1" x14ac:dyDescent="0.25">
      <c r="A3670" s="3">
        <v>44136</v>
      </c>
      <c r="B3670" s="2" t="s">
        <v>371</v>
      </c>
      <c r="C3670" s="2">
        <v>0</v>
      </c>
      <c r="D3670" s="2">
        <v>6.8699999999999997E-2</v>
      </c>
      <c r="E3670" s="2">
        <v>0</v>
      </c>
      <c r="F3670" s="2" t="s">
        <v>165</v>
      </c>
    </row>
    <row r="3671" spans="1:6" ht="22.5" hidden="1" customHeight="1" x14ac:dyDescent="0.25">
      <c r="A3671" s="3">
        <v>44136</v>
      </c>
      <c r="B3671" s="2" t="s">
        <v>372</v>
      </c>
      <c r="C3671" s="2">
        <v>0</v>
      </c>
      <c r="D3671" s="2">
        <v>1.7394000000000001</v>
      </c>
      <c r="E3671" s="2">
        <v>0</v>
      </c>
      <c r="F3671" s="2" t="s">
        <v>165</v>
      </c>
    </row>
    <row r="3672" spans="1:6" ht="22.5" hidden="1" customHeight="1" x14ac:dyDescent="0.25">
      <c r="A3672" s="3">
        <v>44166</v>
      </c>
      <c r="B3672" s="2" t="s">
        <v>6</v>
      </c>
      <c r="C3672" s="2">
        <v>4.96</v>
      </c>
      <c r="D3672" s="2">
        <v>0.72089999999999999</v>
      </c>
      <c r="E3672" s="2">
        <v>3.5756639999999999E-2</v>
      </c>
      <c r="F3672" s="2" t="s">
        <v>7</v>
      </c>
    </row>
    <row r="3673" spans="1:6" ht="22.5" hidden="1" customHeight="1" x14ac:dyDescent="0.25">
      <c r="A3673" s="3">
        <v>44166</v>
      </c>
      <c r="B3673" s="2" t="s">
        <v>8</v>
      </c>
      <c r="C3673" s="2">
        <v>-2.39</v>
      </c>
      <c r="D3673" s="2">
        <v>1.52E-2</v>
      </c>
      <c r="E3673" s="2">
        <v>-3.6328E-4</v>
      </c>
      <c r="F3673" s="2" t="s">
        <v>7</v>
      </c>
    </row>
    <row r="3674" spans="1:6" ht="22.5" hidden="1" customHeight="1" x14ac:dyDescent="0.25">
      <c r="A3674" s="3">
        <v>44166</v>
      </c>
      <c r="B3674" s="2" t="s">
        <v>9</v>
      </c>
      <c r="C3674" s="2">
        <v>3.47</v>
      </c>
      <c r="D3674" s="2">
        <v>6.4299999999999996E-2</v>
      </c>
      <c r="E3674" s="2">
        <v>2.23121E-3</v>
      </c>
      <c r="F3674" s="2" t="s">
        <v>7</v>
      </c>
    </row>
    <row r="3675" spans="1:6" ht="22.5" hidden="1" customHeight="1" x14ac:dyDescent="0.25">
      <c r="A3675" s="3">
        <v>44166</v>
      </c>
      <c r="B3675" s="2" t="s">
        <v>10</v>
      </c>
      <c r="C3675" s="2">
        <v>3.78</v>
      </c>
      <c r="D3675" s="2">
        <v>2.06E-2</v>
      </c>
      <c r="E3675" s="2">
        <v>7.7868000000000002E-4</v>
      </c>
      <c r="F3675" s="2" t="s">
        <v>7</v>
      </c>
    </row>
    <row r="3676" spans="1:6" ht="22.5" hidden="1" customHeight="1" x14ac:dyDescent="0.25">
      <c r="A3676" s="3">
        <v>44166</v>
      </c>
      <c r="B3676" s="2" t="s">
        <v>11</v>
      </c>
      <c r="C3676" s="2">
        <v>0.54</v>
      </c>
      <c r="D3676" s="2">
        <v>0.1482</v>
      </c>
      <c r="E3676" s="2">
        <v>8.0028E-4</v>
      </c>
      <c r="F3676" s="2" t="s">
        <v>7</v>
      </c>
    </row>
    <row r="3677" spans="1:6" ht="22.5" hidden="1" customHeight="1" x14ac:dyDescent="0.25">
      <c r="A3677" s="3">
        <v>44166</v>
      </c>
      <c r="B3677" s="2" t="s">
        <v>12</v>
      </c>
      <c r="C3677" s="2">
        <v>1.66</v>
      </c>
      <c r="D3677" s="2">
        <v>1.0699999999999999E-2</v>
      </c>
      <c r="E3677" s="2">
        <v>1.7762E-4</v>
      </c>
      <c r="F3677" s="2" t="s">
        <v>7</v>
      </c>
    </row>
    <row r="3678" spans="1:6" ht="22.5" hidden="1" customHeight="1" x14ac:dyDescent="0.25">
      <c r="A3678" s="3">
        <v>44166</v>
      </c>
      <c r="B3678" s="2" t="s">
        <v>13</v>
      </c>
      <c r="C3678" s="2">
        <v>2.97</v>
      </c>
      <c r="D3678" s="2">
        <v>3.0000000000000001E-3</v>
      </c>
      <c r="E3678" s="2">
        <v>8.9099999999999997E-5</v>
      </c>
      <c r="F3678" s="2" t="s">
        <v>7</v>
      </c>
    </row>
    <row r="3679" spans="1:6" ht="22.5" hidden="1" customHeight="1" x14ac:dyDescent="0.25">
      <c r="A3679" s="3">
        <v>44166</v>
      </c>
      <c r="B3679" s="2" t="s">
        <v>14</v>
      </c>
      <c r="C3679" s="2">
        <v>1.39</v>
      </c>
      <c r="D3679" s="2">
        <v>0.14710000000000001</v>
      </c>
      <c r="E3679" s="2">
        <v>2.04469E-3</v>
      </c>
      <c r="F3679" s="2" t="s">
        <v>7</v>
      </c>
    </row>
    <row r="3680" spans="1:6" ht="22.5" hidden="1" customHeight="1" x14ac:dyDescent="0.25">
      <c r="A3680" s="3">
        <v>44166</v>
      </c>
      <c r="B3680" s="2" t="s">
        <v>15</v>
      </c>
      <c r="C3680" s="2">
        <v>0.16</v>
      </c>
      <c r="D3680" s="2">
        <v>7.4000000000000003E-3</v>
      </c>
      <c r="E3680" s="2">
        <v>1.184E-5</v>
      </c>
      <c r="F3680" s="2" t="s">
        <v>7</v>
      </c>
    </row>
    <row r="3681" spans="1:6" ht="22.5" hidden="1" customHeight="1" x14ac:dyDescent="0.25">
      <c r="A3681" s="3">
        <v>44166</v>
      </c>
      <c r="B3681" s="2" t="s">
        <v>16</v>
      </c>
      <c r="C3681" s="2">
        <v>2.63</v>
      </c>
      <c r="D3681" s="2">
        <v>9.1999999999999998E-3</v>
      </c>
      <c r="E3681" s="2">
        <v>2.4195999999999999E-4</v>
      </c>
      <c r="F3681" s="2" t="s">
        <v>7</v>
      </c>
    </row>
    <row r="3682" spans="1:6" ht="22.5" hidden="1" customHeight="1" x14ac:dyDescent="0.25">
      <c r="A3682" s="3">
        <v>44166</v>
      </c>
      <c r="B3682" s="2" t="s">
        <v>17</v>
      </c>
      <c r="C3682" s="2">
        <v>1.18</v>
      </c>
      <c r="D3682" s="2">
        <v>4.9500000000000002E-2</v>
      </c>
      <c r="E3682" s="2">
        <v>5.8410000000000005E-4</v>
      </c>
      <c r="F3682" s="2" t="s">
        <v>7</v>
      </c>
    </row>
    <row r="3683" spans="1:6" ht="22.5" hidden="1" customHeight="1" x14ac:dyDescent="0.25">
      <c r="A3683" s="3">
        <v>44166</v>
      </c>
      <c r="B3683" s="2" t="s">
        <v>18</v>
      </c>
      <c r="C3683" s="2">
        <v>-1.08</v>
      </c>
      <c r="D3683" s="2">
        <v>9.9900000000000003E-2</v>
      </c>
      <c r="E3683" s="2">
        <v>-1.0789199999999999E-3</v>
      </c>
      <c r="F3683" s="2" t="s">
        <v>7</v>
      </c>
    </row>
    <row r="3684" spans="1:6" ht="22.5" hidden="1" customHeight="1" x14ac:dyDescent="0.25">
      <c r="A3684" s="3">
        <v>44166</v>
      </c>
      <c r="B3684" s="2" t="s">
        <v>19</v>
      </c>
      <c r="C3684" s="2">
        <v>1.5</v>
      </c>
      <c r="D3684" s="2">
        <v>0.1187</v>
      </c>
      <c r="E3684" s="2">
        <v>1.7805E-3</v>
      </c>
      <c r="F3684" s="2" t="s">
        <v>7</v>
      </c>
    </row>
    <row r="3685" spans="1:6" ht="22.5" hidden="1" customHeight="1" x14ac:dyDescent="0.25">
      <c r="A3685" s="3">
        <v>44166</v>
      </c>
      <c r="B3685" s="2" t="s">
        <v>20</v>
      </c>
      <c r="C3685" s="2">
        <v>-0.09</v>
      </c>
      <c r="D3685" s="2">
        <v>2.6200000000000001E-2</v>
      </c>
      <c r="E3685" s="2">
        <v>-2.3580000000000001E-5</v>
      </c>
      <c r="F3685" s="2" t="s">
        <v>7</v>
      </c>
    </row>
    <row r="3686" spans="1:6" ht="22.5" hidden="1" customHeight="1" x14ac:dyDescent="0.25">
      <c r="A3686" s="3">
        <v>44166</v>
      </c>
      <c r="B3686" s="2" t="s">
        <v>21</v>
      </c>
      <c r="C3686" s="2">
        <v>6.41</v>
      </c>
      <c r="D3686" s="2">
        <v>2.8899999999999999E-2</v>
      </c>
      <c r="E3686" s="2">
        <v>1.85249E-3</v>
      </c>
      <c r="F3686" s="2" t="s">
        <v>7</v>
      </c>
    </row>
    <row r="3687" spans="1:6" ht="22.5" hidden="1" customHeight="1" x14ac:dyDescent="0.25">
      <c r="A3687" s="3">
        <v>44166</v>
      </c>
      <c r="B3687" s="2" t="s">
        <v>22</v>
      </c>
      <c r="C3687" s="2">
        <v>17.96</v>
      </c>
      <c r="D3687" s="2">
        <v>0.1885</v>
      </c>
      <c r="E3687" s="2">
        <v>3.3854599999999999E-2</v>
      </c>
      <c r="F3687" s="2" t="s">
        <v>7</v>
      </c>
    </row>
    <row r="3688" spans="1:6" ht="22.5" hidden="1" customHeight="1" x14ac:dyDescent="0.25">
      <c r="A3688" s="3">
        <v>44166</v>
      </c>
      <c r="B3688" s="2" t="s">
        <v>23</v>
      </c>
      <c r="C3688" s="2">
        <v>-5.74</v>
      </c>
      <c r="D3688" s="2">
        <v>1.6899999999999998E-2</v>
      </c>
      <c r="E3688" s="2">
        <v>-9.7006000000000002E-4</v>
      </c>
      <c r="F3688" s="2" t="s">
        <v>7</v>
      </c>
    </row>
    <row r="3689" spans="1:6" ht="22.5" hidden="1" customHeight="1" x14ac:dyDescent="0.25">
      <c r="A3689" s="3">
        <v>44166</v>
      </c>
      <c r="B3689" s="2" t="s">
        <v>24</v>
      </c>
      <c r="C3689" s="2">
        <v>-4.59</v>
      </c>
      <c r="D3689" s="2">
        <v>8.0999999999999996E-3</v>
      </c>
      <c r="E3689" s="2">
        <v>-3.7178999999999999E-4</v>
      </c>
      <c r="F3689" s="2" t="s">
        <v>7</v>
      </c>
    </row>
    <row r="3690" spans="1:6" ht="22.5" hidden="1" customHeight="1" x14ac:dyDescent="0.25">
      <c r="A3690" s="3">
        <v>44166</v>
      </c>
      <c r="B3690" s="2" t="s">
        <v>25</v>
      </c>
      <c r="C3690" s="2">
        <v>-18.059999999999999</v>
      </c>
      <c r="D3690" s="2">
        <v>3.5999999999999999E-3</v>
      </c>
      <c r="E3690" s="2">
        <v>-6.5016E-4</v>
      </c>
      <c r="F3690" s="2" t="s">
        <v>7</v>
      </c>
    </row>
    <row r="3691" spans="1:6" ht="22.5" hidden="1" customHeight="1" x14ac:dyDescent="0.25">
      <c r="A3691" s="3">
        <v>44166</v>
      </c>
      <c r="B3691" s="2" t="s">
        <v>26</v>
      </c>
      <c r="C3691" s="2">
        <v>-7.53</v>
      </c>
      <c r="D3691" s="2">
        <v>1.78E-2</v>
      </c>
      <c r="E3691" s="2">
        <v>-1.34034E-3</v>
      </c>
      <c r="F3691" s="2" t="s">
        <v>7</v>
      </c>
    </row>
    <row r="3692" spans="1:6" ht="22.5" hidden="1" customHeight="1" x14ac:dyDescent="0.25">
      <c r="A3692" s="3">
        <v>44166</v>
      </c>
      <c r="B3692" s="2" t="s">
        <v>27</v>
      </c>
      <c r="C3692" s="2">
        <v>-4.68</v>
      </c>
      <c r="D3692" s="2">
        <v>0.28179999999999999</v>
      </c>
      <c r="E3692" s="2">
        <v>-1.318824E-2</v>
      </c>
      <c r="F3692" s="2" t="s">
        <v>7</v>
      </c>
    </row>
    <row r="3693" spans="1:6" ht="22.5" hidden="1" customHeight="1" x14ac:dyDescent="0.25">
      <c r="A3693" s="3">
        <v>44166</v>
      </c>
      <c r="B3693" s="2" t="s">
        <v>28</v>
      </c>
      <c r="C3693" s="2">
        <v>-2.2400000000000002</v>
      </c>
      <c r="D3693" s="2">
        <v>0.1154</v>
      </c>
      <c r="E3693" s="2">
        <v>-2.5849599999999999E-3</v>
      </c>
      <c r="F3693" s="2" t="s">
        <v>7</v>
      </c>
    </row>
    <row r="3694" spans="1:6" ht="22.5" hidden="1" customHeight="1" x14ac:dyDescent="0.25">
      <c r="A3694" s="3">
        <v>44166</v>
      </c>
      <c r="B3694" s="2" t="s">
        <v>29</v>
      </c>
      <c r="C3694" s="2">
        <v>15.42</v>
      </c>
      <c r="D3694" s="2">
        <v>5.0200000000000002E-2</v>
      </c>
      <c r="E3694" s="2">
        <v>7.7408399999999997E-3</v>
      </c>
      <c r="F3694" s="2" t="s">
        <v>7</v>
      </c>
    </row>
    <row r="3695" spans="1:6" ht="22.5" hidden="1" customHeight="1" x14ac:dyDescent="0.25">
      <c r="A3695" s="3">
        <v>44166</v>
      </c>
      <c r="B3695" s="2" t="s">
        <v>30</v>
      </c>
      <c r="C3695" s="2">
        <v>2.0299999999999998</v>
      </c>
      <c r="D3695" s="2">
        <v>9.3600000000000003E-2</v>
      </c>
      <c r="E3695" s="2">
        <v>1.90008E-3</v>
      </c>
      <c r="F3695" s="2" t="s">
        <v>7</v>
      </c>
    </row>
    <row r="3696" spans="1:6" ht="22.5" hidden="1" customHeight="1" x14ac:dyDescent="0.25">
      <c r="A3696" s="3">
        <v>44166</v>
      </c>
      <c r="B3696" s="2" t="s">
        <v>31</v>
      </c>
      <c r="C3696" s="2">
        <v>5.75</v>
      </c>
      <c r="D3696" s="2">
        <v>0.1011</v>
      </c>
      <c r="E3696" s="2">
        <v>5.8132499999999998E-3</v>
      </c>
      <c r="F3696" s="2" t="s">
        <v>7</v>
      </c>
    </row>
    <row r="3697" spans="1:6" ht="22.5" hidden="1" customHeight="1" x14ac:dyDescent="0.25">
      <c r="A3697" s="3">
        <v>44166</v>
      </c>
      <c r="B3697" s="2" t="s">
        <v>32</v>
      </c>
      <c r="C3697" s="2">
        <v>0.49</v>
      </c>
      <c r="D3697" s="2">
        <v>1.5699999999999999E-2</v>
      </c>
      <c r="E3697" s="2">
        <v>7.6929999999999997E-5</v>
      </c>
      <c r="F3697" s="2" t="s">
        <v>7</v>
      </c>
    </row>
    <row r="3698" spans="1:6" ht="22.5" hidden="1" customHeight="1" x14ac:dyDescent="0.25">
      <c r="A3698" s="3">
        <v>44166</v>
      </c>
      <c r="B3698" s="2" t="s">
        <v>33</v>
      </c>
      <c r="C3698" s="2">
        <v>0.87</v>
      </c>
      <c r="D3698" s="2">
        <v>0.19159999999999999</v>
      </c>
      <c r="E3698" s="2">
        <v>1.6669199999999999E-3</v>
      </c>
      <c r="F3698" s="2" t="s">
        <v>7</v>
      </c>
    </row>
    <row r="3699" spans="1:6" ht="22.5" hidden="1" customHeight="1" x14ac:dyDescent="0.25">
      <c r="A3699" s="3">
        <v>44166</v>
      </c>
      <c r="B3699" s="2" t="s">
        <v>34</v>
      </c>
      <c r="C3699" s="2">
        <v>0.16</v>
      </c>
      <c r="D3699" s="2">
        <v>0.14660000000000001</v>
      </c>
      <c r="E3699" s="2">
        <v>2.3456E-4</v>
      </c>
      <c r="F3699" s="2" t="s">
        <v>7</v>
      </c>
    </row>
    <row r="3700" spans="1:6" ht="22.5" hidden="1" customHeight="1" x14ac:dyDescent="0.25">
      <c r="A3700" s="3">
        <v>44166</v>
      </c>
      <c r="B3700" s="2" t="s">
        <v>35</v>
      </c>
      <c r="C3700" s="2">
        <v>1.99</v>
      </c>
      <c r="D3700" s="2">
        <v>0.10829999999999999</v>
      </c>
      <c r="E3700" s="2">
        <v>2.1551700000000001E-3</v>
      </c>
      <c r="F3700" s="2" t="s">
        <v>7</v>
      </c>
    </row>
    <row r="3701" spans="1:6" ht="22.5" hidden="1" customHeight="1" x14ac:dyDescent="0.25">
      <c r="A3701" s="3">
        <v>44166</v>
      </c>
      <c r="B3701" s="2" t="s">
        <v>36</v>
      </c>
      <c r="C3701" s="2">
        <v>6.99</v>
      </c>
      <c r="D3701" s="2">
        <v>1.6000000000000001E-3</v>
      </c>
      <c r="E3701" s="2">
        <v>1.1184E-4</v>
      </c>
      <c r="F3701" s="2" t="s">
        <v>7</v>
      </c>
    </row>
    <row r="3702" spans="1:6" ht="22.5" hidden="1" customHeight="1" x14ac:dyDescent="0.25">
      <c r="A3702" s="3">
        <v>44166</v>
      </c>
      <c r="B3702" s="2" t="s">
        <v>37</v>
      </c>
      <c r="C3702" s="2">
        <v>1.99</v>
      </c>
      <c r="D3702" s="2">
        <v>8.4900000000000003E-2</v>
      </c>
      <c r="E3702" s="2">
        <v>1.68951E-3</v>
      </c>
      <c r="F3702" s="2" t="s">
        <v>7</v>
      </c>
    </row>
    <row r="3703" spans="1:6" ht="22.5" hidden="1" customHeight="1" x14ac:dyDescent="0.25">
      <c r="A3703" s="3">
        <v>44166</v>
      </c>
      <c r="B3703" s="2" t="s">
        <v>38</v>
      </c>
      <c r="C3703" s="2">
        <v>-6.57</v>
      </c>
      <c r="D3703" s="2">
        <v>1.0800000000000001E-2</v>
      </c>
      <c r="E3703" s="2">
        <v>-7.0956000000000003E-4</v>
      </c>
      <c r="F3703" s="2" t="s">
        <v>7</v>
      </c>
    </row>
    <row r="3704" spans="1:6" ht="22.5" hidden="1" customHeight="1" x14ac:dyDescent="0.25">
      <c r="A3704" s="3">
        <v>44166</v>
      </c>
      <c r="B3704" s="2" t="s">
        <v>39</v>
      </c>
      <c r="C3704" s="2">
        <v>-0.05</v>
      </c>
      <c r="D3704" s="2">
        <v>1.4500000000000001E-2</v>
      </c>
      <c r="E3704" s="2">
        <v>-7.25E-6</v>
      </c>
      <c r="F3704" s="2" t="s">
        <v>7</v>
      </c>
    </row>
    <row r="3705" spans="1:6" ht="22.5" hidden="1" customHeight="1" x14ac:dyDescent="0.25">
      <c r="A3705" s="3">
        <v>44166</v>
      </c>
      <c r="B3705" s="2" t="s">
        <v>40</v>
      </c>
      <c r="C3705" s="2">
        <v>15.56</v>
      </c>
      <c r="D3705" s="2">
        <v>2.8999999999999998E-3</v>
      </c>
      <c r="E3705" s="2">
        <v>4.5124E-4</v>
      </c>
      <c r="F3705" s="2" t="s">
        <v>7</v>
      </c>
    </row>
    <row r="3706" spans="1:6" ht="22.5" hidden="1" customHeight="1" x14ac:dyDescent="0.25">
      <c r="A3706" s="3">
        <v>44166</v>
      </c>
      <c r="B3706" s="2" t="s">
        <v>41</v>
      </c>
      <c r="C3706" s="2">
        <v>20.49</v>
      </c>
      <c r="D3706" s="2">
        <v>1.7000000000000001E-2</v>
      </c>
      <c r="E3706" s="2">
        <v>3.4832999999999999E-3</v>
      </c>
      <c r="F3706" s="2" t="s">
        <v>7</v>
      </c>
    </row>
    <row r="3707" spans="1:6" ht="22.5" hidden="1" customHeight="1" x14ac:dyDescent="0.25">
      <c r="A3707" s="3">
        <v>44166</v>
      </c>
      <c r="B3707" s="2" t="s">
        <v>42</v>
      </c>
      <c r="C3707" s="2">
        <v>-0.56000000000000005</v>
      </c>
      <c r="D3707" s="2">
        <v>4.1000000000000002E-2</v>
      </c>
      <c r="E3707" s="2">
        <v>-2.296E-4</v>
      </c>
      <c r="F3707" s="2" t="s">
        <v>7</v>
      </c>
    </row>
    <row r="3708" spans="1:6" ht="22.5" hidden="1" customHeight="1" x14ac:dyDescent="0.25">
      <c r="A3708" s="3">
        <v>44166</v>
      </c>
      <c r="B3708" s="2" t="s">
        <v>43</v>
      </c>
      <c r="C3708" s="2">
        <v>-2.2400000000000002</v>
      </c>
      <c r="D3708" s="2">
        <v>2.9399999999999999E-2</v>
      </c>
      <c r="E3708" s="2">
        <v>-6.5855999999999998E-4</v>
      </c>
      <c r="F3708" s="2" t="s">
        <v>7</v>
      </c>
    </row>
    <row r="3709" spans="1:6" ht="22.5" hidden="1" customHeight="1" x14ac:dyDescent="0.25">
      <c r="A3709" s="3">
        <v>44166</v>
      </c>
      <c r="B3709" s="2" t="s">
        <v>44</v>
      </c>
      <c r="C3709" s="2">
        <v>1.83</v>
      </c>
      <c r="D3709" s="2">
        <v>1.7999999999999999E-2</v>
      </c>
      <c r="E3709" s="2">
        <v>3.2939999999999998E-4</v>
      </c>
      <c r="F3709" s="2" t="s">
        <v>7</v>
      </c>
    </row>
    <row r="3710" spans="1:6" ht="22.5" hidden="1" customHeight="1" x14ac:dyDescent="0.25">
      <c r="A3710" s="3">
        <v>44166</v>
      </c>
      <c r="B3710" s="2" t="s">
        <v>45</v>
      </c>
      <c r="C3710" s="2">
        <v>-0.16</v>
      </c>
      <c r="D3710" s="2">
        <v>1.6299999999999999E-2</v>
      </c>
      <c r="E3710" s="2">
        <v>-2.6080000000000001E-5</v>
      </c>
      <c r="F3710" s="2" t="s">
        <v>7</v>
      </c>
    </row>
    <row r="3711" spans="1:6" ht="22.5" hidden="1" customHeight="1" x14ac:dyDescent="0.25">
      <c r="A3711" s="3">
        <v>44166</v>
      </c>
      <c r="B3711" s="2" t="s">
        <v>46</v>
      </c>
      <c r="C3711" s="2">
        <v>11.99</v>
      </c>
      <c r="D3711" s="2">
        <v>1.2999999999999999E-3</v>
      </c>
      <c r="E3711" s="2">
        <v>1.5587000000000001E-4</v>
      </c>
      <c r="F3711" s="2" t="s">
        <v>7</v>
      </c>
    </row>
    <row r="3712" spans="1:6" ht="22.5" hidden="1" customHeight="1" x14ac:dyDescent="0.25">
      <c r="A3712" s="3">
        <v>44166</v>
      </c>
      <c r="B3712" s="2" t="s">
        <v>47</v>
      </c>
      <c r="C3712" s="2">
        <v>11.77</v>
      </c>
      <c r="D3712" s="2">
        <v>0.109</v>
      </c>
      <c r="E3712" s="2">
        <v>1.28293E-2</v>
      </c>
      <c r="F3712" s="2" t="s">
        <v>7</v>
      </c>
    </row>
    <row r="3713" spans="1:6" ht="22.5" hidden="1" customHeight="1" x14ac:dyDescent="0.25">
      <c r="A3713" s="3">
        <v>44166</v>
      </c>
      <c r="B3713" s="2" t="s">
        <v>48</v>
      </c>
      <c r="C3713" s="2">
        <v>15.68</v>
      </c>
      <c r="D3713" s="2">
        <v>3.8E-3</v>
      </c>
      <c r="E3713" s="2">
        <v>5.9584000000000004E-4</v>
      </c>
      <c r="F3713" s="2" t="s">
        <v>7</v>
      </c>
    </row>
    <row r="3714" spans="1:6" ht="22.5" hidden="1" customHeight="1" x14ac:dyDescent="0.25">
      <c r="A3714" s="3">
        <v>44166</v>
      </c>
      <c r="B3714" s="2" t="s">
        <v>49</v>
      </c>
      <c r="C3714" s="2">
        <v>8.94</v>
      </c>
      <c r="D3714" s="2">
        <v>0.1434</v>
      </c>
      <c r="E3714" s="2">
        <v>1.281996E-2</v>
      </c>
      <c r="F3714" s="2" t="s">
        <v>7</v>
      </c>
    </row>
    <row r="3715" spans="1:6" ht="22.5" hidden="1" customHeight="1" x14ac:dyDescent="0.25">
      <c r="A3715" s="3">
        <v>44166</v>
      </c>
      <c r="B3715" s="2" t="s">
        <v>50</v>
      </c>
      <c r="C3715" s="2">
        <v>7.92</v>
      </c>
      <c r="D3715" s="2">
        <v>5.1000000000000004E-3</v>
      </c>
      <c r="E3715" s="2">
        <v>4.0392E-4</v>
      </c>
      <c r="F3715" s="2" t="s">
        <v>7</v>
      </c>
    </row>
    <row r="3716" spans="1:6" ht="22.5" hidden="1" customHeight="1" x14ac:dyDescent="0.25">
      <c r="A3716" s="3">
        <v>44166</v>
      </c>
      <c r="B3716" s="2" t="s">
        <v>51</v>
      </c>
      <c r="C3716" s="2">
        <v>9.31</v>
      </c>
      <c r="D3716" s="2">
        <v>6.6E-3</v>
      </c>
      <c r="E3716" s="2">
        <v>6.1446000000000005E-4</v>
      </c>
      <c r="F3716" s="2" t="s">
        <v>7</v>
      </c>
    </row>
    <row r="3717" spans="1:6" ht="22.5" hidden="1" customHeight="1" x14ac:dyDescent="0.25">
      <c r="A3717" s="3">
        <v>44166</v>
      </c>
      <c r="B3717" s="2" t="s">
        <v>52</v>
      </c>
      <c r="C3717" s="2">
        <v>-31.5</v>
      </c>
      <c r="D3717" s="2">
        <v>4.6699999999999998E-2</v>
      </c>
      <c r="E3717" s="2">
        <v>-1.47105E-2</v>
      </c>
      <c r="F3717" s="2" t="s">
        <v>7</v>
      </c>
    </row>
    <row r="3718" spans="1:6" ht="22.5" hidden="1" customHeight="1" x14ac:dyDescent="0.25">
      <c r="A3718" s="3">
        <v>44166</v>
      </c>
      <c r="B3718" s="2" t="s">
        <v>53</v>
      </c>
      <c r="C3718" s="2">
        <v>7.98</v>
      </c>
      <c r="D3718" s="2">
        <v>0.1678</v>
      </c>
      <c r="E3718" s="2">
        <v>1.339044E-2</v>
      </c>
      <c r="F3718" s="2" t="s">
        <v>7</v>
      </c>
    </row>
    <row r="3719" spans="1:6" ht="22.5" hidden="1" customHeight="1" x14ac:dyDescent="0.25">
      <c r="A3719" s="3">
        <v>44166</v>
      </c>
      <c r="B3719" s="2" t="s">
        <v>54</v>
      </c>
      <c r="C3719" s="2">
        <v>10.62</v>
      </c>
      <c r="D3719" s="2">
        <v>8.7900000000000006E-2</v>
      </c>
      <c r="E3719" s="2">
        <v>9.3349799999999997E-3</v>
      </c>
      <c r="F3719" s="2" t="s">
        <v>7</v>
      </c>
    </row>
    <row r="3720" spans="1:6" ht="22.5" hidden="1" customHeight="1" x14ac:dyDescent="0.25">
      <c r="A3720" s="3">
        <v>44166</v>
      </c>
      <c r="B3720" s="2" t="s">
        <v>55</v>
      </c>
      <c r="C3720" s="2">
        <v>-9.59</v>
      </c>
      <c r="D3720" s="2">
        <v>5.8400000000000001E-2</v>
      </c>
      <c r="E3720" s="2">
        <v>-5.6005600000000001E-3</v>
      </c>
      <c r="F3720" s="2" t="s">
        <v>7</v>
      </c>
    </row>
    <row r="3721" spans="1:6" ht="22.5" hidden="1" customHeight="1" x14ac:dyDescent="0.25">
      <c r="A3721" s="3">
        <v>44166</v>
      </c>
      <c r="B3721" s="2" t="s">
        <v>56</v>
      </c>
      <c r="C3721" s="2">
        <v>5.31</v>
      </c>
      <c r="D3721" s="2">
        <v>7.3000000000000001E-3</v>
      </c>
      <c r="E3721" s="2">
        <v>3.8762999999999997E-4</v>
      </c>
      <c r="F3721" s="2" t="s">
        <v>7</v>
      </c>
    </row>
    <row r="3722" spans="1:6" ht="22.5" hidden="1" customHeight="1" x14ac:dyDescent="0.25">
      <c r="A3722" s="3">
        <v>44166</v>
      </c>
      <c r="B3722" s="2" t="s">
        <v>57</v>
      </c>
      <c r="C3722" s="2">
        <v>-0.54</v>
      </c>
      <c r="D3722" s="2">
        <v>2.5700000000000001E-2</v>
      </c>
      <c r="E3722" s="2">
        <v>-1.3878E-4</v>
      </c>
      <c r="F3722" s="2" t="s">
        <v>7</v>
      </c>
    </row>
    <row r="3723" spans="1:6" ht="22.5" hidden="1" customHeight="1" x14ac:dyDescent="0.25">
      <c r="A3723" s="3">
        <v>44166</v>
      </c>
      <c r="B3723" s="2" t="s">
        <v>58</v>
      </c>
      <c r="C3723" s="2">
        <v>-7.22</v>
      </c>
      <c r="D3723" s="2">
        <v>1.61E-2</v>
      </c>
      <c r="E3723" s="2">
        <v>-1.1624199999999999E-3</v>
      </c>
      <c r="F3723" s="2" t="s">
        <v>7</v>
      </c>
    </row>
    <row r="3724" spans="1:6" ht="22.5" hidden="1" customHeight="1" x14ac:dyDescent="0.25">
      <c r="A3724" s="3">
        <v>44166</v>
      </c>
      <c r="B3724" s="2" t="s">
        <v>59</v>
      </c>
      <c r="C3724" s="2">
        <v>-0.56000000000000005</v>
      </c>
      <c r="D3724" s="2">
        <v>2.1899999999999999E-2</v>
      </c>
      <c r="E3724" s="2">
        <v>-1.2264E-4</v>
      </c>
      <c r="F3724" s="2" t="s">
        <v>7</v>
      </c>
    </row>
    <row r="3725" spans="1:6" ht="22.5" hidden="1" customHeight="1" x14ac:dyDescent="0.25">
      <c r="A3725" s="3">
        <v>44166</v>
      </c>
      <c r="B3725" s="2" t="s">
        <v>60</v>
      </c>
      <c r="C3725" s="2">
        <v>3.52</v>
      </c>
      <c r="D3725" s="2">
        <v>3.39E-2</v>
      </c>
      <c r="E3725" s="2">
        <v>1.1932799999999999E-3</v>
      </c>
      <c r="F3725" s="2" t="s">
        <v>7</v>
      </c>
    </row>
    <row r="3726" spans="1:6" ht="22.5" hidden="1" customHeight="1" x14ac:dyDescent="0.25">
      <c r="A3726" s="3">
        <v>44166</v>
      </c>
      <c r="B3726" s="2" t="s">
        <v>61</v>
      </c>
      <c r="C3726" s="2">
        <v>1.98</v>
      </c>
      <c r="D3726" s="2">
        <v>7.6300000000000007E-2</v>
      </c>
      <c r="E3726" s="2">
        <v>1.51074E-3</v>
      </c>
      <c r="F3726" s="2" t="s">
        <v>7</v>
      </c>
    </row>
    <row r="3727" spans="1:6" ht="22.5" hidden="1" customHeight="1" x14ac:dyDescent="0.25">
      <c r="A3727" s="3">
        <v>44166</v>
      </c>
      <c r="B3727" s="2" t="s">
        <v>62</v>
      </c>
      <c r="C3727" s="2">
        <v>3.16</v>
      </c>
      <c r="D3727" s="2">
        <v>9.5600000000000004E-2</v>
      </c>
      <c r="E3727" s="2">
        <v>3.0209600000000001E-3</v>
      </c>
      <c r="F3727" s="2" t="s">
        <v>7</v>
      </c>
    </row>
    <row r="3728" spans="1:6" ht="22.5" hidden="1" customHeight="1" x14ac:dyDescent="0.25">
      <c r="A3728" s="3">
        <v>44166</v>
      </c>
      <c r="B3728" s="2" t="s">
        <v>63</v>
      </c>
      <c r="C3728" s="2">
        <v>-5.05</v>
      </c>
      <c r="D3728" s="2">
        <v>1.06E-2</v>
      </c>
      <c r="E3728" s="2">
        <v>-5.3529999999999995E-4</v>
      </c>
      <c r="F3728" s="2" t="s">
        <v>7</v>
      </c>
    </row>
    <row r="3729" spans="1:6" ht="22.5" hidden="1" customHeight="1" x14ac:dyDescent="0.25">
      <c r="A3729" s="3">
        <v>44166</v>
      </c>
      <c r="B3729" s="2" t="s">
        <v>64</v>
      </c>
      <c r="C3729" s="2">
        <v>6.63</v>
      </c>
      <c r="D3729" s="2">
        <v>4.4999999999999997E-3</v>
      </c>
      <c r="E3729" s="2">
        <v>2.9835000000000001E-4</v>
      </c>
      <c r="F3729" s="2" t="s">
        <v>7</v>
      </c>
    </row>
    <row r="3730" spans="1:6" ht="22.5" hidden="1" customHeight="1" x14ac:dyDescent="0.25">
      <c r="A3730" s="3">
        <v>44166</v>
      </c>
      <c r="B3730" s="2" t="s">
        <v>65</v>
      </c>
      <c r="C3730" s="2">
        <v>-1.32</v>
      </c>
      <c r="D3730" s="2">
        <v>2.2700000000000001E-2</v>
      </c>
      <c r="E3730" s="2">
        <v>-2.9964E-4</v>
      </c>
      <c r="F3730" s="2" t="s">
        <v>7</v>
      </c>
    </row>
    <row r="3731" spans="1:6" ht="22.5" hidden="1" customHeight="1" x14ac:dyDescent="0.25">
      <c r="A3731" s="3">
        <v>44166</v>
      </c>
      <c r="B3731" s="2" t="s">
        <v>66</v>
      </c>
      <c r="C3731" s="2">
        <v>5.71</v>
      </c>
      <c r="D3731" s="2">
        <v>0.39439999999999997</v>
      </c>
      <c r="E3731" s="2">
        <v>2.252024E-2</v>
      </c>
      <c r="F3731" s="2" t="s">
        <v>7</v>
      </c>
    </row>
    <row r="3732" spans="1:6" ht="22.5" hidden="1" customHeight="1" x14ac:dyDescent="0.25">
      <c r="A3732" s="3">
        <v>44166</v>
      </c>
      <c r="B3732" s="2" t="s">
        <v>67</v>
      </c>
      <c r="C3732" s="2">
        <v>5.18</v>
      </c>
      <c r="D3732" s="2">
        <v>3.5000000000000001E-3</v>
      </c>
      <c r="E3732" s="2">
        <v>1.8129999999999999E-4</v>
      </c>
      <c r="F3732" s="2" t="s">
        <v>7</v>
      </c>
    </row>
    <row r="3733" spans="1:6" ht="22.5" hidden="1" customHeight="1" x14ac:dyDescent="0.25">
      <c r="A3733" s="3">
        <v>44166</v>
      </c>
      <c r="B3733" s="2" t="s">
        <v>68</v>
      </c>
      <c r="C3733" s="2">
        <v>6.86</v>
      </c>
      <c r="D3733" s="2">
        <v>1.0999999999999999E-2</v>
      </c>
      <c r="E3733" s="2">
        <v>7.5460000000000002E-4</v>
      </c>
      <c r="F3733" s="2" t="s">
        <v>7</v>
      </c>
    </row>
    <row r="3734" spans="1:6" ht="22.5" hidden="1" customHeight="1" x14ac:dyDescent="0.25">
      <c r="A3734" s="3">
        <v>44166</v>
      </c>
      <c r="B3734" s="2" t="s">
        <v>69</v>
      </c>
      <c r="C3734" s="2">
        <v>5.96</v>
      </c>
      <c r="D3734" s="2">
        <v>0.45950000000000002</v>
      </c>
      <c r="E3734" s="2">
        <v>2.7386199999999999E-2</v>
      </c>
      <c r="F3734" s="2" t="s">
        <v>7</v>
      </c>
    </row>
    <row r="3735" spans="1:6" ht="22.5" hidden="1" customHeight="1" x14ac:dyDescent="0.25">
      <c r="A3735" s="3">
        <v>44166</v>
      </c>
      <c r="B3735" s="2" t="s">
        <v>70</v>
      </c>
      <c r="C3735" s="2">
        <v>4.25</v>
      </c>
      <c r="D3735" s="2">
        <v>2.5700000000000001E-2</v>
      </c>
      <c r="E3735" s="2">
        <v>1.0922499999999999E-3</v>
      </c>
      <c r="F3735" s="2" t="s">
        <v>7</v>
      </c>
    </row>
    <row r="3736" spans="1:6" ht="22.5" hidden="1" customHeight="1" x14ac:dyDescent="0.25">
      <c r="A3736" s="3">
        <v>44166</v>
      </c>
      <c r="B3736" s="2" t="s">
        <v>71</v>
      </c>
      <c r="C3736" s="2">
        <v>5.23</v>
      </c>
      <c r="D3736" s="2">
        <v>0.32119999999999999</v>
      </c>
      <c r="E3736" s="2">
        <v>1.6798759999999999E-2</v>
      </c>
      <c r="F3736" s="2" t="s">
        <v>7</v>
      </c>
    </row>
    <row r="3737" spans="1:6" ht="22.5" hidden="1" customHeight="1" x14ac:dyDescent="0.25">
      <c r="A3737" s="3">
        <v>44166</v>
      </c>
      <c r="B3737" s="2" t="s">
        <v>72</v>
      </c>
      <c r="C3737" s="2">
        <v>6.1</v>
      </c>
      <c r="D3737" s="2">
        <v>0.3422</v>
      </c>
      <c r="E3737" s="2">
        <v>2.0874199999999999E-2</v>
      </c>
      <c r="F3737" s="2" t="s">
        <v>7</v>
      </c>
    </row>
    <row r="3738" spans="1:6" ht="22.5" hidden="1" customHeight="1" x14ac:dyDescent="0.25">
      <c r="A3738" s="3">
        <v>44166</v>
      </c>
      <c r="B3738" s="2" t="s">
        <v>73</v>
      </c>
      <c r="C3738" s="2">
        <v>5.17</v>
      </c>
      <c r="D3738" s="2">
        <v>0.16930000000000001</v>
      </c>
      <c r="E3738" s="2">
        <v>8.7528099999999998E-3</v>
      </c>
      <c r="F3738" s="2" t="s">
        <v>7</v>
      </c>
    </row>
    <row r="3739" spans="1:6" ht="22.5" hidden="1" customHeight="1" x14ac:dyDescent="0.25">
      <c r="A3739" s="3">
        <v>44166</v>
      </c>
      <c r="B3739" s="2" t="s">
        <v>74</v>
      </c>
      <c r="C3739" s="2">
        <v>5.22</v>
      </c>
      <c r="D3739" s="2">
        <v>9.1999999999999998E-3</v>
      </c>
      <c r="E3739" s="2">
        <v>4.8024E-4</v>
      </c>
      <c r="F3739" s="2" t="s">
        <v>7</v>
      </c>
    </row>
    <row r="3740" spans="1:6" ht="22.5" hidden="1" customHeight="1" x14ac:dyDescent="0.25">
      <c r="A3740" s="3">
        <v>44166</v>
      </c>
      <c r="B3740" s="2" t="s">
        <v>75</v>
      </c>
      <c r="C3740" s="2">
        <v>7.35</v>
      </c>
      <c r="D3740" s="2">
        <v>7.3999999999999996E-2</v>
      </c>
      <c r="E3740" s="2">
        <v>5.4390000000000003E-3</v>
      </c>
      <c r="F3740" s="2" t="s">
        <v>7</v>
      </c>
    </row>
    <row r="3741" spans="1:6" ht="22.5" hidden="1" customHeight="1" x14ac:dyDescent="0.25">
      <c r="A3741" s="3">
        <v>44166</v>
      </c>
      <c r="B3741" s="2" t="s">
        <v>76</v>
      </c>
      <c r="C3741" s="2">
        <v>6.96</v>
      </c>
      <c r="D3741" s="2">
        <v>0.15570000000000001</v>
      </c>
      <c r="E3741" s="2">
        <v>1.0836719999999999E-2</v>
      </c>
      <c r="F3741" s="2" t="s">
        <v>7</v>
      </c>
    </row>
    <row r="3742" spans="1:6" ht="22.5" hidden="1" customHeight="1" x14ac:dyDescent="0.25">
      <c r="A3742" s="3">
        <v>44166</v>
      </c>
      <c r="B3742" s="2" t="s">
        <v>77</v>
      </c>
      <c r="C3742" s="2">
        <v>5.82</v>
      </c>
      <c r="D3742" s="2">
        <v>0.1046</v>
      </c>
      <c r="E3742" s="2">
        <v>6.0877199999999996E-3</v>
      </c>
      <c r="F3742" s="2" t="s">
        <v>7</v>
      </c>
    </row>
    <row r="3743" spans="1:6" ht="22.5" hidden="1" customHeight="1" x14ac:dyDescent="0.25">
      <c r="A3743" s="3">
        <v>44166</v>
      </c>
      <c r="B3743" s="2" t="s">
        <v>78</v>
      </c>
      <c r="C3743" s="2">
        <v>5.19</v>
      </c>
      <c r="D3743" s="2">
        <v>0.28499999999999998</v>
      </c>
      <c r="E3743" s="2">
        <v>1.4791500000000001E-2</v>
      </c>
      <c r="F3743" s="2" t="s">
        <v>7</v>
      </c>
    </row>
    <row r="3744" spans="1:6" ht="22.5" hidden="1" customHeight="1" x14ac:dyDescent="0.25">
      <c r="A3744" s="3">
        <v>44166</v>
      </c>
      <c r="B3744" s="2" t="s">
        <v>79</v>
      </c>
      <c r="C3744" s="2">
        <v>5.22</v>
      </c>
      <c r="D3744" s="2">
        <v>1.0999999999999999E-2</v>
      </c>
      <c r="E3744" s="2">
        <v>5.7419999999999997E-4</v>
      </c>
      <c r="F3744" s="2" t="s">
        <v>7</v>
      </c>
    </row>
    <row r="3745" spans="1:6" ht="22.5" hidden="1" customHeight="1" x14ac:dyDescent="0.25">
      <c r="A3745" s="3">
        <v>44166</v>
      </c>
      <c r="B3745" s="2" t="s">
        <v>80</v>
      </c>
      <c r="C3745" s="2">
        <v>7.03</v>
      </c>
      <c r="D3745" s="2">
        <v>3.9300000000000002E-2</v>
      </c>
      <c r="E3745" s="2">
        <v>2.7627900000000002E-3</v>
      </c>
      <c r="F3745" s="2" t="s">
        <v>7</v>
      </c>
    </row>
    <row r="3746" spans="1:6" ht="22.5" hidden="1" customHeight="1" x14ac:dyDescent="0.25">
      <c r="A3746" s="3">
        <v>44166</v>
      </c>
      <c r="B3746" s="2" t="s">
        <v>81</v>
      </c>
      <c r="C3746" s="2">
        <v>4.2300000000000004</v>
      </c>
      <c r="D3746" s="2">
        <v>0.35899999999999999</v>
      </c>
      <c r="E3746" s="2">
        <v>1.51857E-2</v>
      </c>
      <c r="F3746" s="2" t="s">
        <v>7</v>
      </c>
    </row>
    <row r="3747" spans="1:6" ht="22.5" hidden="1" customHeight="1" x14ac:dyDescent="0.25">
      <c r="A3747" s="3">
        <v>44166</v>
      </c>
      <c r="B3747" s="2" t="s">
        <v>82</v>
      </c>
      <c r="C3747" s="2">
        <v>5.0599999999999996</v>
      </c>
      <c r="D3747" s="2">
        <v>4.3999999999999997E-2</v>
      </c>
      <c r="E3747" s="2">
        <v>2.2263999999999999E-3</v>
      </c>
      <c r="F3747" s="2" t="s">
        <v>7</v>
      </c>
    </row>
    <row r="3748" spans="1:6" ht="22.5" hidden="1" customHeight="1" x14ac:dyDescent="0.25">
      <c r="A3748" s="3">
        <v>44166</v>
      </c>
      <c r="B3748" s="2" t="s">
        <v>83</v>
      </c>
      <c r="C3748" s="2">
        <v>0.7</v>
      </c>
      <c r="D3748" s="2">
        <v>6.9999999999999999E-4</v>
      </c>
      <c r="E3748" s="2">
        <v>4.8999999999999997E-6</v>
      </c>
      <c r="F3748" s="2" t="s">
        <v>7</v>
      </c>
    </row>
    <row r="3749" spans="1:6" ht="22.5" hidden="1" customHeight="1" x14ac:dyDescent="0.25">
      <c r="A3749" s="3">
        <v>44166</v>
      </c>
      <c r="B3749" s="2" t="s">
        <v>84</v>
      </c>
      <c r="C3749" s="2">
        <v>2.58</v>
      </c>
      <c r="D3749" s="2">
        <v>2.2700000000000001E-2</v>
      </c>
      <c r="E3749" s="2">
        <v>5.8566E-4</v>
      </c>
      <c r="F3749" s="2" t="s">
        <v>7</v>
      </c>
    </row>
    <row r="3750" spans="1:6" ht="22.5" hidden="1" customHeight="1" x14ac:dyDescent="0.25">
      <c r="A3750" s="3">
        <v>44166</v>
      </c>
      <c r="B3750" s="2" t="s">
        <v>85</v>
      </c>
      <c r="C3750" s="2">
        <v>1.35</v>
      </c>
      <c r="D3750" s="2">
        <v>5.4999999999999997E-3</v>
      </c>
      <c r="E3750" s="2">
        <v>7.4250000000000002E-5</v>
      </c>
      <c r="F3750" s="2" t="s">
        <v>7</v>
      </c>
    </row>
    <row r="3751" spans="1:6" ht="22.5" hidden="1" customHeight="1" x14ac:dyDescent="0.25">
      <c r="A3751" s="3">
        <v>44166</v>
      </c>
      <c r="B3751" s="2" t="s">
        <v>86</v>
      </c>
      <c r="C3751" s="2">
        <v>-0.59</v>
      </c>
      <c r="D3751" s="2">
        <v>2.5100000000000001E-2</v>
      </c>
      <c r="E3751" s="2">
        <v>-1.4809E-4</v>
      </c>
      <c r="F3751" s="2" t="s">
        <v>7</v>
      </c>
    </row>
    <row r="3752" spans="1:6" ht="22.5" hidden="1" customHeight="1" x14ac:dyDescent="0.25">
      <c r="A3752" s="3">
        <v>44166</v>
      </c>
      <c r="B3752" s="2" t="s">
        <v>87</v>
      </c>
      <c r="C3752" s="2">
        <v>-2.57</v>
      </c>
      <c r="D3752" s="2">
        <v>1E-3</v>
      </c>
      <c r="E3752" s="2">
        <v>-2.5700000000000001E-5</v>
      </c>
      <c r="F3752" s="2" t="s">
        <v>7</v>
      </c>
    </row>
    <row r="3753" spans="1:6" ht="22.5" hidden="1" customHeight="1" x14ac:dyDescent="0.25">
      <c r="A3753" s="3">
        <v>44166</v>
      </c>
      <c r="B3753" s="2" t="s">
        <v>88</v>
      </c>
      <c r="C3753" s="2">
        <v>-3.95</v>
      </c>
      <c r="D3753" s="2">
        <v>7.1000000000000004E-3</v>
      </c>
      <c r="E3753" s="2">
        <v>-2.8045000000000001E-4</v>
      </c>
      <c r="F3753" s="2" t="s">
        <v>7</v>
      </c>
    </row>
    <row r="3754" spans="1:6" ht="22.5" hidden="1" customHeight="1" x14ac:dyDescent="0.25">
      <c r="A3754" s="3">
        <v>44166</v>
      </c>
      <c r="B3754" s="2" t="s">
        <v>89</v>
      </c>
      <c r="C3754" s="2">
        <v>0.91</v>
      </c>
      <c r="D3754" s="2">
        <v>1.7600000000000001E-2</v>
      </c>
      <c r="E3754" s="2">
        <v>1.6016000000000001E-4</v>
      </c>
      <c r="F3754" s="2" t="s">
        <v>7</v>
      </c>
    </row>
    <row r="3755" spans="1:6" ht="22.5" hidden="1" customHeight="1" x14ac:dyDescent="0.25">
      <c r="A3755" s="3">
        <v>44166</v>
      </c>
      <c r="B3755" s="2" t="s">
        <v>90</v>
      </c>
      <c r="C3755" s="2">
        <v>-3.72</v>
      </c>
      <c r="D3755" s="2">
        <v>1.6000000000000001E-3</v>
      </c>
      <c r="E3755" s="2">
        <v>-5.9519999999999999E-5</v>
      </c>
      <c r="F3755" s="2" t="s">
        <v>7</v>
      </c>
    </row>
    <row r="3756" spans="1:6" ht="22.5" hidden="1" customHeight="1" x14ac:dyDescent="0.25">
      <c r="A3756" s="3">
        <v>44166</v>
      </c>
      <c r="B3756" s="2" t="s">
        <v>91</v>
      </c>
      <c r="C3756" s="2">
        <v>1.26</v>
      </c>
      <c r="D3756" s="2">
        <v>2.4299999999999999E-2</v>
      </c>
      <c r="E3756" s="2">
        <v>3.0618000000000003E-4</v>
      </c>
      <c r="F3756" s="2" t="s">
        <v>7</v>
      </c>
    </row>
    <row r="3757" spans="1:6" ht="22.5" hidden="1" customHeight="1" x14ac:dyDescent="0.25">
      <c r="A3757" s="3">
        <v>44166</v>
      </c>
      <c r="B3757" s="2" t="s">
        <v>92</v>
      </c>
      <c r="C3757" s="2">
        <v>0</v>
      </c>
      <c r="D3757" s="2">
        <v>5.4000000000000003E-3</v>
      </c>
      <c r="E3757" s="2">
        <v>0</v>
      </c>
      <c r="F3757" s="2" t="s">
        <v>7</v>
      </c>
    </row>
    <row r="3758" spans="1:6" ht="22.5" hidden="1" customHeight="1" x14ac:dyDescent="0.25">
      <c r="A3758" s="3">
        <v>44166</v>
      </c>
      <c r="B3758" s="2" t="s">
        <v>93</v>
      </c>
      <c r="C3758" s="2">
        <v>2.6</v>
      </c>
      <c r="D3758" s="2">
        <v>1.1000000000000001E-3</v>
      </c>
      <c r="E3758" s="2">
        <v>2.8600000000000001E-5</v>
      </c>
      <c r="F3758" s="2" t="s">
        <v>7</v>
      </c>
    </row>
    <row r="3759" spans="1:6" ht="22.5" hidden="1" customHeight="1" x14ac:dyDescent="0.25">
      <c r="A3759" s="3">
        <v>44166</v>
      </c>
      <c r="B3759" s="2" t="s">
        <v>94</v>
      </c>
      <c r="C3759" s="2">
        <v>-1.36</v>
      </c>
      <c r="D3759" s="2">
        <v>1E-3</v>
      </c>
      <c r="E3759" s="2">
        <v>-1.36E-5</v>
      </c>
      <c r="F3759" s="2" t="s">
        <v>7</v>
      </c>
    </row>
    <row r="3760" spans="1:6" ht="22.5" hidden="1" customHeight="1" x14ac:dyDescent="0.25">
      <c r="A3760" s="3">
        <v>44166</v>
      </c>
      <c r="B3760" s="2" t="s">
        <v>95</v>
      </c>
      <c r="C3760" s="2">
        <v>0.34</v>
      </c>
      <c r="D3760" s="2">
        <v>1.6799999999999999E-2</v>
      </c>
      <c r="E3760" s="2">
        <v>5.7120000000000002E-5</v>
      </c>
      <c r="F3760" s="2" t="s">
        <v>7</v>
      </c>
    </row>
    <row r="3761" spans="1:6" ht="22.5" hidden="1" customHeight="1" x14ac:dyDescent="0.25">
      <c r="A3761" s="3">
        <v>44166</v>
      </c>
      <c r="B3761" s="2" t="s">
        <v>96</v>
      </c>
      <c r="C3761" s="2">
        <v>0.91</v>
      </c>
      <c r="D3761" s="2">
        <v>4.8099999999999997E-2</v>
      </c>
      <c r="E3761" s="2">
        <v>4.3771000000000001E-4</v>
      </c>
      <c r="F3761" s="2" t="s">
        <v>7</v>
      </c>
    </row>
    <row r="3762" spans="1:6" ht="22.5" hidden="1" customHeight="1" x14ac:dyDescent="0.25">
      <c r="A3762" s="3">
        <v>44166</v>
      </c>
      <c r="B3762" s="2" t="s">
        <v>97</v>
      </c>
      <c r="C3762" s="2">
        <v>0.17</v>
      </c>
      <c r="D3762" s="2">
        <v>1.0699999999999999E-2</v>
      </c>
      <c r="E3762" s="2">
        <v>1.819E-5</v>
      </c>
      <c r="F3762" s="2" t="s">
        <v>7</v>
      </c>
    </row>
    <row r="3763" spans="1:6" ht="22.5" hidden="1" customHeight="1" x14ac:dyDescent="0.25">
      <c r="A3763" s="3">
        <v>44166</v>
      </c>
      <c r="B3763" s="2" t="s">
        <v>98</v>
      </c>
      <c r="C3763" s="2">
        <v>-1.42</v>
      </c>
      <c r="D3763" s="2">
        <v>6.6E-3</v>
      </c>
      <c r="E3763" s="2">
        <v>-9.3720000000000004E-5</v>
      </c>
      <c r="F3763" s="2" t="s">
        <v>7</v>
      </c>
    </row>
    <row r="3764" spans="1:6" ht="22.5" hidden="1" customHeight="1" x14ac:dyDescent="0.25">
      <c r="A3764" s="3">
        <v>44166</v>
      </c>
      <c r="B3764" s="2" t="s">
        <v>99</v>
      </c>
      <c r="C3764" s="2">
        <v>0.23</v>
      </c>
      <c r="D3764" s="2">
        <v>3.5999999999999999E-3</v>
      </c>
      <c r="E3764" s="2">
        <v>8.2800000000000003E-6</v>
      </c>
      <c r="F3764" s="2" t="s">
        <v>7</v>
      </c>
    </row>
    <row r="3765" spans="1:6" ht="22.5" hidden="1" customHeight="1" x14ac:dyDescent="0.25">
      <c r="A3765" s="3">
        <v>44166</v>
      </c>
      <c r="B3765" s="2" t="s">
        <v>100</v>
      </c>
      <c r="C3765" s="2">
        <v>-1.74</v>
      </c>
      <c r="D3765" s="2">
        <v>6.9999999999999999E-4</v>
      </c>
      <c r="E3765" s="2">
        <v>-1.218E-5</v>
      </c>
      <c r="F3765" s="2" t="s">
        <v>7</v>
      </c>
    </row>
    <row r="3766" spans="1:6" ht="22.5" hidden="1" customHeight="1" x14ac:dyDescent="0.25">
      <c r="A3766" s="3">
        <v>44166</v>
      </c>
      <c r="B3766" s="2" t="s">
        <v>101</v>
      </c>
      <c r="C3766" s="2">
        <v>2.4500000000000002</v>
      </c>
      <c r="D3766" s="2">
        <v>9.6299999999999997E-2</v>
      </c>
      <c r="E3766" s="2">
        <v>2.3593500000000001E-3</v>
      </c>
      <c r="F3766" s="2" t="s">
        <v>7</v>
      </c>
    </row>
    <row r="3767" spans="1:6" ht="22.5" hidden="1" customHeight="1" x14ac:dyDescent="0.25">
      <c r="A3767" s="3">
        <v>44166</v>
      </c>
      <c r="B3767" s="2" t="s">
        <v>102</v>
      </c>
      <c r="C3767" s="2">
        <v>-1.1399999999999999</v>
      </c>
      <c r="D3767" s="2">
        <v>4.6899999999999997E-2</v>
      </c>
      <c r="E3767" s="2">
        <v>-5.3465999999999995E-4</v>
      </c>
      <c r="F3767" s="2" t="s">
        <v>7</v>
      </c>
    </row>
    <row r="3768" spans="1:6" ht="22.5" hidden="1" customHeight="1" x14ac:dyDescent="0.25">
      <c r="A3768" s="3">
        <v>44166</v>
      </c>
      <c r="B3768" s="2" t="s">
        <v>103</v>
      </c>
      <c r="C3768" s="2">
        <v>2.69</v>
      </c>
      <c r="D3768" s="2">
        <v>0.33989999999999998</v>
      </c>
      <c r="E3768" s="2">
        <v>9.14331E-3</v>
      </c>
      <c r="F3768" s="2" t="s">
        <v>7</v>
      </c>
    </row>
    <row r="3769" spans="1:6" ht="22.5" hidden="1" customHeight="1" x14ac:dyDescent="0.25">
      <c r="A3769" s="3">
        <v>44166</v>
      </c>
      <c r="B3769" s="2" t="s">
        <v>104</v>
      </c>
      <c r="C3769" s="2">
        <v>4.79</v>
      </c>
      <c r="D3769" s="2">
        <v>5.1700000000000003E-2</v>
      </c>
      <c r="E3769" s="2">
        <v>2.47643E-3</v>
      </c>
      <c r="F3769" s="2" t="s">
        <v>7</v>
      </c>
    </row>
    <row r="3770" spans="1:6" ht="22.5" hidden="1" customHeight="1" x14ac:dyDescent="0.25">
      <c r="A3770" s="3">
        <v>44166</v>
      </c>
      <c r="B3770" s="2" t="s">
        <v>105</v>
      </c>
      <c r="C3770" s="2">
        <v>5.9</v>
      </c>
      <c r="D3770" s="2">
        <v>9.4999999999999998E-3</v>
      </c>
      <c r="E3770" s="2">
        <v>5.6050000000000002E-4</v>
      </c>
      <c r="F3770" s="2" t="s">
        <v>7</v>
      </c>
    </row>
    <row r="3771" spans="1:6" ht="22.5" hidden="1" customHeight="1" x14ac:dyDescent="0.25">
      <c r="A3771" s="3">
        <v>44166</v>
      </c>
      <c r="B3771" s="2" t="s">
        <v>106</v>
      </c>
      <c r="C3771" s="2">
        <v>0.46</v>
      </c>
      <c r="D3771" s="2">
        <v>9.1000000000000004E-3</v>
      </c>
      <c r="E3771" s="2">
        <v>4.1860000000000002E-5</v>
      </c>
      <c r="F3771" s="2" t="s">
        <v>7</v>
      </c>
    </row>
    <row r="3772" spans="1:6" ht="22.5" hidden="1" customHeight="1" x14ac:dyDescent="0.25">
      <c r="A3772" s="3">
        <v>44166</v>
      </c>
      <c r="B3772" s="2" t="s">
        <v>107</v>
      </c>
      <c r="C3772" s="2">
        <v>0.37</v>
      </c>
      <c r="D3772" s="2">
        <v>0.1177</v>
      </c>
      <c r="E3772" s="2">
        <v>4.3549000000000002E-4</v>
      </c>
      <c r="F3772" s="2" t="s">
        <v>7</v>
      </c>
    </row>
    <row r="3773" spans="1:6" ht="22.5" hidden="1" customHeight="1" x14ac:dyDescent="0.25">
      <c r="A3773" s="3">
        <v>44166</v>
      </c>
      <c r="B3773" s="2" t="s">
        <v>108</v>
      </c>
      <c r="C3773" s="2">
        <v>3.18</v>
      </c>
      <c r="D3773" s="2">
        <v>7.7000000000000002E-3</v>
      </c>
      <c r="E3773" s="2">
        <v>2.4486000000000001E-4</v>
      </c>
      <c r="F3773" s="2" t="s">
        <v>7</v>
      </c>
    </row>
    <row r="3774" spans="1:6" ht="22.5" hidden="1" customHeight="1" x14ac:dyDescent="0.25">
      <c r="A3774" s="3">
        <v>44166</v>
      </c>
      <c r="B3774" s="2" t="s">
        <v>109</v>
      </c>
      <c r="C3774" s="2">
        <v>5.39</v>
      </c>
      <c r="D3774" s="2">
        <v>0.33950000000000002</v>
      </c>
      <c r="E3774" s="2">
        <v>1.8299050000000001E-2</v>
      </c>
      <c r="F3774" s="2" t="s">
        <v>7</v>
      </c>
    </row>
    <row r="3775" spans="1:6" ht="22.5" hidden="1" customHeight="1" x14ac:dyDescent="0.25">
      <c r="A3775" s="3">
        <v>44166</v>
      </c>
      <c r="B3775" s="2" t="s">
        <v>110</v>
      </c>
      <c r="C3775" s="2">
        <v>2.2400000000000002</v>
      </c>
      <c r="D3775" s="2">
        <v>0.59340000000000004</v>
      </c>
      <c r="E3775" s="2">
        <v>1.3292160000000001E-2</v>
      </c>
      <c r="F3775" s="2" t="s">
        <v>7</v>
      </c>
    </row>
    <row r="3776" spans="1:6" ht="22.5" hidden="1" customHeight="1" x14ac:dyDescent="0.25">
      <c r="A3776" s="3">
        <v>44166</v>
      </c>
      <c r="B3776" s="2" t="s">
        <v>111</v>
      </c>
      <c r="C3776" s="2">
        <v>2.59</v>
      </c>
      <c r="D3776" s="2">
        <v>0.23230000000000001</v>
      </c>
      <c r="E3776" s="2">
        <v>6.0165699999999997E-3</v>
      </c>
      <c r="F3776" s="2" t="s">
        <v>7</v>
      </c>
    </row>
    <row r="3777" spans="1:6" ht="22.5" hidden="1" customHeight="1" x14ac:dyDescent="0.25">
      <c r="A3777" s="3">
        <v>44166</v>
      </c>
      <c r="B3777" s="2" t="s">
        <v>112</v>
      </c>
      <c r="C3777" s="2">
        <v>-0.74</v>
      </c>
      <c r="D3777" s="2">
        <v>0.76100000000000001</v>
      </c>
      <c r="E3777" s="2">
        <v>-5.6313999999999999E-3</v>
      </c>
      <c r="F3777" s="2" t="s">
        <v>7</v>
      </c>
    </row>
    <row r="3778" spans="1:6" ht="22.5" hidden="1" customHeight="1" x14ac:dyDescent="0.25">
      <c r="A3778" s="3">
        <v>44166</v>
      </c>
      <c r="B3778" s="2" t="s">
        <v>113</v>
      </c>
      <c r="C3778" s="2">
        <v>-0.35</v>
      </c>
      <c r="D3778" s="2">
        <v>2.1100000000000001E-2</v>
      </c>
      <c r="E3778" s="2">
        <v>-7.3850000000000006E-5</v>
      </c>
      <c r="F3778" s="2" t="s">
        <v>7</v>
      </c>
    </row>
    <row r="3779" spans="1:6" ht="22.5" hidden="1" customHeight="1" x14ac:dyDescent="0.25">
      <c r="A3779" s="3">
        <v>44166</v>
      </c>
      <c r="B3779" s="2" t="s">
        <v>114</v>
      </c>
      <c r="C3779" s="2">
        <v>2.17</v>
      </c>
      <c r="D3779" s="2">
        <v>0.19789999999999999</v>
      </c>
      <c r="E3779" s="2">
        <v>4.2944300000000001E-3</v>
      </c>
      <c r="F3779" s="2" t="s">
        <v>7</v>
      </c>
    </row>
    <row r="3780" spans="1:6" ht="22.5" hidden="1" customHeight="1" x14ac:dyDescent="0.25">
      <c r="A3780" s="3">
        <v>44166</v>
      </c>
      <c r="B3780" s="2" t="s">
        <v>115</v>
      </c>
      <c r="C3780" s="2">
        <v>-0.63</v>
      </c>
      <c r="D3780" s="2">
        <v>0.53469999999999995</v>
      </c>
      <c r="E3780" s="2">
        <v>-3.3686100000000002E-3</v>
      </c>
      <c r="F3780" s="2" t="s">
        <v>7</v>
      </c>
    </row>
    <row r="3781" spans="1:6" ht="22.5" hidden="1" customHeight="1" x14ac:dyDescent="0.25">
      <c r="A3781" s="3">
        <v>44166</v>
      </c>
      <c r="B3781" s="2" t="s">
        <v>116</v>
      </c>
      <c r="C3781" s="2">
        <v>-0.62</v>
      </c>
      <c r="D3781" s="2">
        <v>0.14949999999999999</v>
      </c>
      <c r="E3781" s="2">
        <v>-9.2690000000000003E-4</v>
      </c>
      <c r="F3781" s="2" t="s">
        <v>7</v>
      </c>
    </row>
    <row r="3782" spans="1:6" ht="22.5" hidden="1" customHeight="1" x14ac:dyDescent="0.25">
      <c r="A3782" s="3">
        <v>44166</v>
      </c>
      <c r="B3782" s="2" t="s">
        <v>117</v>
      </c>
      <c r="C3782" s="2">
        <v>1.84</v>
      </c>
      <c r="D3782" s="2">
        <v>5.3999999999999999E-2</v>
      </c>
      <c r="E3782" s="2">
        <v>9.9360000000000008E-4</v>
      </c>
      <c r="F3782" s="2" t="s">
        <v>7</v>
      </c>
    </row>
    <row r="3783" spans="1:6" ht="22.5" hidden="1" customHeight="1" x14ac:dyDescent="0.25">
      <c r="A3783" s="3">
        <v>44166</v>
      </c>
      <c r="B3783" s="2" t="s">
        <v>118</v>
      </c>
      <c r="C3783" s="2">
        <v>0.79</v>
      </c>
      <c r="D3783" s="2">
        <v>6.1699999999999998E-2</v>
      </c>
      <c r="E3783" s="2">
        <v>4.8743000000000001E-4</v>
      </c>
      <c r="F3783" s="2" t="s">
        <v>7</v>
      </c>
    </row>
    <row r="3784" spans="1:6" ht="22.5" hidden="1" customHeight="1" x14ac:dyDescent="0.25">
      <c r="A3784" s="3">
        <v>44166</v>
      </c>
      <c r="B3784" s="2" t="s">
        <v>119</v>
      </c>
      <c r="C3784" s="2">
        <v>1.19</v>
      </c>
      <c r="D3784" s="2">
        <v>1.0800000000000001E-2</v>
      </c>
      <c r="E3784" s="2">
        <v>1.2852E-4</v>
      </c>
      <c r="F3784" s="2" t="s">
        <v>7</v>
      </c>
    </row>
    <row r="3785" spans="1:6" ht="22.5" hidden="1" customHeight="1" x14ac:dyDescent="0.25">
      <c r="A3785" s="3">
        <v>44166</v>
      </c>
      <c r="B3785" s="2" t="s">
        <v>120</v>
      </c>
      <c r="C3785" s="2">
        <v>0.84</v>
      </c>
      <c r="D3785" s="2">
        <v>0.45</v>
      </c>
      <c r="E3785" s="2">
        <v>3.7799999999999999E-3</v>
      </c>
      <c r="F3785" s="2" t="s">
        <v>7</v>
      </c>
    </row>
    <row r="3786" spans="1:6" ht="22.5" hidden="1" customHeight="1" x14ac:dyDescent="0.25">
      <c r="A3786" s="3">
        <v>44166</v>
      </c>
      <c r="B3786" s="2" t="s">
        <v>121</v>
      </c>
      <c r="C3786" s="2">
        <v>1.52</v>
      </c>
      <c r="D3786" s="2">
        <v>0.7843</v>
      </c>
      <c r="E3786" s="2">
        <v>1.1921360000000001E-2</v>
      </c>
      <c r="F3786" s="2" t="s">
        <v>7</v>
      </c>
    </row>
    <row r="3787" spans="1:6" ht="22.5" hidden="1" customHeight="1" x14ac:dyDescent="0.25">
      <c r="A3787" s="3">
        <v>44166</v>
      </c>
      <c r="B3787" s="2" t="s">
        <v>122</v>
      </c>
      <c r="C3787" s="2">
        <v>1.37</v>
      </c>
      <c r="D3787" s="2">
        <v>8.2100000000000006E-2</v>
      </c>
      <c r="E3787" s="2">
        <v>1.12477E-3</v>
      </c>
      <c r="F3787" s="2" t="s">
        <v>7</v>
      </c>
    </row>
    <row r="3788" spans="1:6" ht="22.5" hidden="1" customHeight="1" x14ac:dyDescent="0.25">
      <c r="A3788" s="3">
        <v>44166</v>
      </c>
      <c r="B3788" s="2" t="s">
        <v>123</v>
      </c>
      <c r="C3788" s="2">
        <v>1.69</v>
      </c>
      <c r="D3788" s="2">
        <v>9.3299999999999994E-2</v>
      </c>
      <c r="E3788" s="2">
        <v>1.5767699999999999E-3</v>
      </c>
      <c r="F3788" s="2" t="s">
        <v>7</v>
      </c>
    </row>
    <row r="3789" spans="1:6" ht="22.5" hidden="1" customHeight="1" x14ac:dyDescent="0.25">
      <c r="A3789" s="3">
        <v>44166</v>
      </c>
      <c r="B3789" s="2" t="s">
        <v>124</v>
      </c>
      <c r="C3789" s="2">
        <v>-2.08</v>
      </c>
      <c r="D3789" s="2">
        <v>0.13739999999999999</v>
      </c>
      <c r="E3789" s="2">
        <v>-2.8579199999999999E-3</v>
      </c>
      <c r="F3789" s="2" t="s">
        <v>7</v>
      </c>
    </row>
    <row r="3790" spans="1:6" ht="22.5" hidden="1" customHeight="1" x14ac:dyDescent="0.25">
      <c r="A3790" s="3">
        <v>44166</v>
      </c>
      <c r="B3790" s="2" t="s">
        <v>125</v>
      </c>
      <c r="C3790" s="2">
        <v>3.08</v>
      </c>
      <c r="D3790" s="2">
        <v>3.1600000000000003E-2</v>
      </c>
      <c r="E3790" s="2">
        <v>9.7327999999999998E-4</v>
      </c>
      <c r="F3790" s="2" t="s">
        <v>7</v>
      </c>
    </row>
    <row r="3791" spans="1:6" ht="22.5" hidden="1" customHeight="1" x14ac:dyDescent="0.25">
      <c r="A3791" s="3">
        <v>44166</v>
      </c>
      <c r="B3791" s="2" t="s">
        <v>126</v>
      </c>
      <c r="C3791" s="2">
        <v>7</v>
      </c>
      <c r="D3791" s="2">
        <v>0.31359999999999999</v>
      </c>
      <c r="E3791" s="2">
        <v>2.1951999999999999E-2</v>
      </c>
      <c r="F3791" s="2" t="s">
        <v>7</v>
      </c>
    </row>
    <row r="3792" spans="1:6" ht="22.5" hidden="1" customHeight="1" x14ac:dyDescent="0.25">
      <c r="A3792" s="3">
        <v>44166</v>
      </c>
      <c r="B3792" s="2" t="s">
        <v>127</v>
      </c>
      <c r="C3792" s="2">
        <v>1.26</v>
      </c>
      <c r="D3792" s="2">
        <v>6.6100000000000006E-2</v>
      </c>
      <c r="E3792" s="2">
        <v>8.3286000000000005E-4</v>
      </c>
      <c r="F3792" s="2" t="s">
        <v>7</v>
      </c>
    </row>
    <row r="3793" spans="1:6" ht="22.5" hidden="1" customHeight="1" x14ac:dyDescent="0.25">
      <c r="A3793" s="3">
        <v>44166</v>
      </c>
      <c r="B3793" s="2" t="s">
        <v>128</v>
      </c>
      <c r="C3793" s="2">
        <v>1.98</v>
      </c>
      <c r="D3793" s="2">
        <v>9.4100000000000003E-2</v>
      </c>
      <c r="E3793" s="2">
        <v>1.8631800000000001E-3</v>
      </c>
      <c r="F3793" s="2" t="s">
        <v>7</v>
      </c>
    </row>
    <row r="3794" spans="1:6" ht="22.5" hidden="1" customHeight="1" x14ac:dyDescent="0.25">
      <c r="A3794" s="3">
        <v>44166</v>
      </c>
      <c r="B3794" s="2" t="s">
        <v>129</v>
      </c>
      <c r="C3794" s="2">
        <v>-0.7</v>
      </c>
      <c r="D3794" s="2">
        <v>0.13339999999999999</v>
      </c>
      <c r="E3794" s="2">
        <v>-9.3380000000000004E-4</v>
      </c>
      <c r="F3794" s="2" t="s">
        <v>7</v>
      </c>
    </row>
    <row r="3795" spans="1:6" ht="22.5" hidden="1" customHeight="1" x14ac:dyDescent="0.25">
      <c r="A3795" s="3">
        <v>44166</v>
      </c>
      <c r="B3795" s="2" t="s">
        <v>130</v>
      </c>
      <c r="C3795" s="2">
        <v>-0.28000000000000003</v>
      </c>
      <c r="D3795" s="2">
        <v>1.32E-2</v>
      </c>
      <c r="E3795" s="2">
        <v>-3.6959999999999998E-5</v>
      </c>
      <c r="F3795" s="2" t="s">
        <v>7</v>
      </c>
    </row>
    <row r="3796" spans="1:6" ht="22.5" hidden="1" customHeight="1" x14ac:dyDescent="0.25">
      <c r="A3796" s="3">
        <v>44166</v>
      </c>
      <c r="B3796" s="2" t="s">
        <v>131</v>
      </c>
      <c r="C3796" s="2">
        <v>1.26</v>
      </c>
      <c r="D3796" s="2">
        <v>6.25E-2</v>
      </c>
      <c r="E3796" s="2">
        <v>7.8750000000000001E-4</v>
      </c>
      <c r="F3796" s="2" t="s">
        <v>7</v>
      </c>
    </row>
    <row r="3797" spans="1:6" ht="22.5" hidden="1" customHeight="1" x14ac:dyDescent="0.25">
      <c r="A3797" s="3">
        <v>44166</v>
      </c>
      <c r="B3797" s="2" t="s">
        <v>132</v>
      </c>
      <c r="C3797" s="2">
        <v>2.88</v>
      </c>
      <c r="D3797" s="2">
        <v>0.28689999999999999</v>
      </c>
      <c r="E3797" s="2">
        <v>8.2627199999999994E-3</v>
      </c>
      <c r="F3797" s="2" t="s">
        <v>7</v>
      </c>
    </row>
    <row r="3798" spans="1:6" ht="22.5" hidden="1" customHeight="1" x14ac:dyDescent="0.25">
      <c r="A3798" s="3">
        <v>44166</v>
      </c>
      <c r="B3798" s="2" t="s">
        <v>133</v>
      </c>
      <c r="C3798" s="2">
        <v>1.19</v>
      </c>
      <c r="D3798" s="2">
        <v>8.9999999999999993E-3</v>
      </c>
      <c r="E3798" s="2">
        <v>1.071E-4</v>
      </c>
      <c r="F3798" s="2" t="s">
        <v>7</v>
      </c>
    </row>
    <row r="3799" spans="1:6" ht="22.5" hidden="1" customHeight="1" x14ac:dyDescent="0.25">
      <c r="A3799" s="3">
        <v>44166</v>
      </c>
      <c r="B3799" s="2" t="s">
        <v>134</v>
      </c>
      <c r="C3799" s="2">
        <v>-0.03</v>
      </c>
      <c r="D3799" s="2">
        <v>0.51259999999999994</v>
      </c>
      <c r="E3799" s="2">
        <v>-1.5378000000000001E-4</v>
      </c>
      <c r="F3799" s="2" t="s">
        <v>7</v>
      </c>
    </row>
    <row r="3800" spans="1:6" ht="22.5" hidden="1" customHeight="1" x14ac:dyDescent="0.25">
      <c r="A3800" s="3">
        <v>44166</v>
      </c>
      <c r="B3800" s="2" t="s">
        <v>135</v>
      </c>
      <c r="C3800" s="2">
        <v>1.41</v>
      </c>
      <c r="D3800" s="2">
        <v>0.40239999999999998</v>
      </c>
      <c r="E3800" s="2">
        <v>5.6738400000000003E-3</v>
      </c>
      <c r="F3800" s="2" t="s">
        <v>7</v>
      </c>
    </row>
    <row r="3801" spans="1:6" ht="22.5" hidden="1" customHeight="1" x14ac:dyDescent="0.25">
      <c r="A3801" s="3">
        <v>44166</v>
      </c>
      <c r="B3801" s="2" t="s">
        <v>136</v>
      </c>
      <c r="C3801" s="2">
        <v>0.33</v>
      </c>
      <c r="D3801" s="2">
        <v>3.73E-2</v>
      </c>
      <c r="E3801" s="2">
        <v>1.2308999999999999E-4</v>
      </c>
      <c r="F3801" s="2" t="s">
        <v>7</v>
      </c>
    </row>
    <row r="3802" spans="1:6" ht="22.5" hidden="1" customHeight="1" x14ac:dyDescent="0.25">
      <c r="A3802" s="3">
        <v>44166</v>
      </c>
      <c r="B3802" s="2" t="s">
        <v>137</v>
      </c>
      <c r="C3802" s="2">
        <v>-0.37</v>
      </c>
      <c r="D3802" s="2">
        <v>7.0199999999999999E-2</v>
      </c>
      <c r="E3802" s="2">
        <v>-2.5974E-4</v>
      </c>
      <c r="F3802" s="2" t="s">
        <v>7</v>
      </c>
    </row>
    <row r="3803" spans="1:6" ht="22.5" hidden="1" customHeight="1" x14ac:dyDescent="0.25">
      <c r="A3803" s="3">
        <v>44166</v>
      </c>
      <c r="B3803" s="2" t="s">
        <v>138</v>
      </c>
      <c r="C3803" s="2">
        <v>-1.74</v>
      </c>
      <c r="D3803" s="2">
        <v>4.9200000000000001E-2</v>
      </c>
      <c r="E3803" s="2">
        <v>-8.5607999999999995E-4</v>
      </c>
      <c r="F3803" s="2" t="s">
        <v>7</v>
      </c>
    </row>
    <row r="3804" spans="1:6" ht="22.5" hidden="1" customHeight="1" x14ac:dyDescent="0.25">
      <c r="A3804" s="3">
        <v>44166</v>
      </c>
      <c r="B3804" s="2" t="s">
        <v>139</v>
      </c>
      <c r="C3804" s="2">
        <v>0.52</v>
      </c>
      <c r="D3804" s="2">
        <v>2.7199999999999998E-2</v>
      </c>
      <c r="E3804" s="2">
        <v>1.4144E-4</v>
      </c>
      <c r="F3804" s="2" t="s">
        <v>7</v>
      </c>
    </row>
    <row r="3805" spans="1:6" ht="22.5" hidden="1" customHeight="1" x14ac:dyDescent="0.25">
      <c r="A3805" s="3">
        <v>44166</v>
      </c>
      <c r="B3805" s="2" t="s">
        <v>140</v>
      </c>
      <c r="C3805" s="2">
        <v>-0.9</v>
      </c>
      <c r="D3805" s="2">
        <v>2.3E-3</v>
      </c>
      <c r="E3805" s="2">
        <v>-2.0699999999999998E-5</v>
      </c>
      <c r="F3805" s="2" t="s">
        <v>7</v>
      </c>
    </row>
    <row r="3806" spans="1:6" ht="22.5" hidden="1" customHeight="1" x14ac:dyDescent="0.25">
      <c r="A3806" s="3">
        <v>44166</v>
      </c>
      <c r="B3806" s="2" t="s">
        <v>141</v>
      </c>
      <c r="C3806" s="2">
        <v>4.2300000000000004</v>
      </c>
      <c r="D3806" s="2">
        <v>1.9199999999999998E-2</v>
      </c>
      <c r="E3806" s="2">
        <v>8.1216000000000003E-4</v>
      </c>
      <c r="F3806" s="2" t="s">
        <v>7</v>
      </c>
    </row>
    <row r="3807" spans="1:6" ht="22.5" hidden="1" customHeight="1" x14ac:dyDescent="0.25">
      <c r="A3807" s="3">
        <v>44166</v>
      </c>
      <c r="B3807" s="2" t="s">
        <v>142</v>
      </c>
      <c r="C3807" s="2">
        <v>-0.17</v>
      </c>
      <c r="D3807" s="2">
        <v>4.4999999999999997E-3</v>
      </c>
      <c r="E3807" s="2">
        <v>-7.6499999999999996E-6</v>
      </c>
      <c r="F3807" s="2" t="s">
        <v>7</v>
      </c>
    </row>
    <row r="3808" spans="1:6" ht="22.5" hidden="1" customHeight="1" x14ac:dyDescent="0.25">
      <c r="A3808" s="3">
        <v>44166</v>
      </c>
      <c r="B3808" s="2" t="s">
        <v>143</v>
      </c>
      <c r="C3808" s="2">
        <v>3.1</v>
      </c>
      <c r="D3808" s="2">
        <v>4.0399999999999998E-2</v>
      </c>
      <c r="E3808" s="2">
        <v>1.2524000000000001E-3</v>
      </c>
      <c r="F3808" s="2" t="s">
        <v>7</v>
      </c>
    </row>
    <row r="3809" spans="1:6" ht="22.5" hidden="1" customHeight="1" x14ac:dyDescent="0.25">
      <c r="A3809" s="3">
        <v>44166</v>
      </c>
      <c r="B3809" s="2" t="s">
        <v>144</v>
      </c>
      <c r="C3809" s="2">
        <v>1.39</v>
      </c>
      <c r="D3809" s="2">
        <v>1.6000000000000001E-3</v>
      </c>
      <c r="E3809" s="2">
        <v>2.2240000000000001E-5</v>
      </c>
      <c r="F3809" s="2" t="s">
        <v>7</v>
      </c>
    </row>
    <row r="3810" spans="1:6" ht="22.5" hidden="1" customHeight="1" x14ac:dyDescent="0.25">
      <c r="A3810" s="3">
        <v>44166</v>
      </c>
      <c r="B3810" s="2" t="s">
        <v>145</v>
      </c>
      <c r="C3810" s="2">
        <v>-0.23</v>
      </c>
      <c r="D3810" s="2">
        <v>1.6000000000000001E-3</v>
      </c>
      <c r="E3810" s="2">
        <v>-3.6799999999999999E-6</v>
      </c>
      <c r="F3810" s="2" t="s">
        <v>7</v>
      </c>
    </row>
    <row r="3811" spans="1:6" ht="22.5" hidden="1" customHeight="1" x14ac:dyDescent="0.25">
      <c r="A3811" s="3">
        <v>44166</v>
      </c>
      <c r="B3811" s="2" t="s">
        <v>146</v>
      </c>
      <c r="C3811" s="2">
        <v>1.58</v>
      </c>
      <c r="D3811" s="2">
        <v>3.2800000000000003E-2</v>
      </c>
      <c r="E3811" s="2">
        <v>5.1824E-4</v>
      </c>
      <c r="F3811" s="2" t="s">
        <v>7</v>
      </c>
    </row>
    <row r="3812" spans="1:6" ht="22.5" hidden="1" customHeight="1" x14ac:dyDescent="0.25">
      <c r="A3812" s="3">
        <v>44166</v>
      </c>
      <c r="B3812" s="2" t="s">
        <v>147</v>
      </c>
      <c r="C3812" s="2">
        <v>2.71</v>
      </c>
      <c r="D3812" s="2">
        <v>2.6700000000000002E-2</v>
      </c>
      <c r="E3812" s="2">
        <v>7.2356999999999999E-4</v>
      </c>
      <c r="F3812" s="2" t="s">
        <v>7</v>
      </c>
    </row>
    <row r="3813" spans="1:6" ht="22.5" hidden="1" customHeight="1" x14ac:dyDescent="0.25">
      <c r="A3813" s="3">
        <v>44166</v>
      </c>
      <c r="B3813" s="2" t="s">
        <v>148</v>
      </c>
      <c r="C3813" s="2">
        <v>4.22</v>
      </c>
      <c r="D3813" s="2">
        <v>2.3099999999999999E-2</v>
      </c>
      <c r="E3813" s="2">
        <v>9.7482000000000005E-4</v>
      </c>
      <c r="F3813" s="2" t="s">
        <v>7</v>
      </c>
    </row>
    <row r="3814" spans="1:6" ht="22.5" hidden="1" customHeight="1" x14ac:dyDescent="0.25">
      <c r="A3814" s="3">
        <v>44166</v>
      </c>
      <c r="B3814" s="2" t="s">
        <v>149</v>
      </c>
      <c r="C3814" s="2">
        <v>-3.49</v>
      </c>
      <c r="D3814" s="2">
        <v>2.5000000000000001E-3</v>
      </c>
      <c r="E3814" s="2">
        <v>-8.7250000000000007E-5</v>
      </c>
      <c r="F3814" s="2" t="s">
        <v>7</v>
      </c>
    </row>
    <row r="3815" spans="1:6" ht="22.5" hidden="1" customHeight="1" x14ac:dyDescent="0.25">
      <c r="A3815" s="3">
        <v>44166</v>
      </c>
      <c r="B3815" s="2" t="s">
        <v>150</v>
      </c>
      <c r="C3815" s="2">
        <v>0.65</v>
      </c>
      <c r="D3815" s="2">
        <v>0.11509999999999999</v>
      </c>
      <c r="E3815" s="2">
        <v>7.4815000000000005E-4</v>
      </c>
      <c r="F3815" s="2" t="s">
        <v>7</v>
      </c>
    </row>
    <row r="3816" spans="1:6" ht="22.5" hidden="1" customHeight="1" x14ac:dyDescent="0.25">
      <c r="A3816" s="3">
        <v>44166</v>
      </c>
      <c r="B3816" s="2" t="s">
        <v>151</v>
      </c>
      <c r="C3816" s="2">
        <v>-2.4900000000000002</v>
      </c>
      <c r="D3816" s="2">
        <v>0.11310000000000001</v>
      </c>
      <c r="E3816" s="2">
        <v>-2.8161900000000001E-3</v>
      </c>
      <c r="F3816" s="2" t="s">
        <v>7</v>
      </c>
    </row>
    <row r="3817" spans="1:6" ht="22.5" hidden="1" customHeight="1" x14ac:dyDescent="0.25">
      <c r="A3817" s="3">
        <v>44166</v>
      </c>
      <c r="B3817" s="2" t="s">
        <v>152</v>
      </c>
      <c r="C3817" s="2">
        <v>1.5</v>
      </c>
      <c r="D3817" s="2">
        <v>3.0999999999999999E-3</v>
      </c>
      <c r="E3817" s="2">
        <v>4.6499999999999999E-5</v>
      </c>
      <c r="F3817" s="2" t="s">
        <v>7</v>
      </c>
    </row>
    <row r="3818" spans="1:6" ht="22.5" hidden="1" customHeight="1" x14ac:dyDescent="0.25">
      <c r="A3818" s="3">
        <v>44166</v>
      </c>
      <c r="B3818" s="2" t="s">
        <v>153</v>
      </c>
      <c r="C3818" s="2">
        <v>1.67</v>
      </c>
      <c r="D3818" s="2">
        <v>8.9999999999999998E-4</v>
      </c>
      <c r="E3818" s="2">
        <v>1.503E-5</v>
      </c>
      <c r="F3818" s="2" t="s">
        <v>7</v>
      </c>
    </row>
    <row r="3819" spans="1:6" ht="22.5" hidden="1" customHeight="1" x14ac:dyDescent="0.25">
      <c r="A3819" s="3">
        <v>44166</v>
      </c>
      <c r="B3819" s="2" t="s">
        <v>154</v>
      </c>
      <c r="C3819" s="2">
        <v>-1.1000000000000001</v>
      </c>
      <c r="D3819" s="2">
        <v>1E-3</v>
      </c>
      <c r="E3819" s="2">
        <v>-1.1E-5</v>
      </c>
      <c r="F3819" s="2" t="s">
        <v>7</v>
      </c>
    </row>
    <row r="3820" spans="1:6" ht="22.5" hidden="1" customHeight="1" x14ac:dyDescent="0.25">
      <c r="A3820" s="3">
        <v>44166</v>
      </c>
      <c r="B3820" s="2" t="s">
        <v>155</v>
      </c>
      <c r="C3820" s="2">
        <v>-1.19</v>
      </c>
      <c r="D3820" s="2">
        <v>6.0000000000000001E-3</v>
      </c>
      <c r="E3820" s="2">
        <v>-7.1400000000000001E-5</v>
      </c>
      <c r="F3820" s="2" t="s">
        <v>7</v>
      </c>
    </row>
    <row r="3821" spans="1:6" ht="22.5" hidden="1" customHeight="1" x14ac:dyDescent="0.25">
      <c r="A3821" s="3">
        <v>44166</v>
      </c>
      <c r="B3821" s="2" t="s">
        <v>156</v>
      </c>
      <c r="C3821" s="2">
        <v>0.52</v>
      </c>
      <c r="D3821" s="2">
        <v>4.6100000000000002E-2</v>
      </c>
      <c r="E3821" s="2">
        <v>2.3971999999999999E-4</v>
      </c>
      <c r="F3821" s="2" t="s">
        <v>7</v>
      </c>
    </row>
    <row r="3822" spans="1:6" ht="22.5" hidden="1" customHeight="1" x14ac:dyDescent="0.25">
      <c r="A3822" s="3">
        <v>44166</v>
      </c>
      <c r="B3822" s="2" t="s">
        <v>157</v>
      </c>
      <c r="C3822" s="2">
        <v>1.42</v>
      </c>
      <c r="D3822" s="2">
        <v>1.7299999999999999E-2</v>
      </c>
      <c r="E3822" s="2">
        <v>2.4565999999999998E-4</v>
      </c>
      <c r="F3822" s="2" t="s">
        <v>7</v>
      </c>
    </row>
    <row r="3823" spans="1:6" ht="22.5" hidden="1" customHeight="1" x14ac:dyDescent="0.25">
      <c r="A3823" s="3">
        <v>44166</v>
      </c>
      <c r="B3823" s="2" t="s">
        <v>158</v>
      </c>
      <c r="C3823" s="2">
        <v>1.3</v>
      </c>
      <c r="D3823" s="2">
        <v>9.9000000000000008E-3</v>
      </c>
      <c r="E3823" s="2">
        <v>1.2870000000000001E-4</v>
      </c>
      <c r="F3823" s="2" t="s">
        <v>7</v>
      </c>
    </row>
    <row r="3824" spans="1:6" ht="22.5" hidden="1" customHeight="1" x14ac:dyDescent="0.25">
      <c r="A3824" s="3">
        <v>44166</v>
      </c>
      <c r="B3824" s="2" t="s">
        <v>159</v>
      </c>
      <c r="C3824" s="2">
        <v>1.26</v>
      </c>
      <c r="D3824" s="2">
        <v>5.3600000000000002E-2</v>
      </c>
      <c r="E3824" s="2">
        <v>6.7535999999999996E-4</v>
      </c>
      <c r="F3824" s="2" t="s">
        <v>7</v>
      </c>
    </row>
    <row r="3825" spans="1:6" ht="22.5" hidden="1" customHeight="1" x14ac:dyDescent="0.25">
      <c r="A3825" s="3">
        <v>44166</v>
      </c>
      <c r="B3825" s="2" t="s">
        <v>160</v>
      </c>
      <c r="C3825" s="2">
        <v>0.86</v>
      </c>
      <c r="D3825" s="2">
        <v>3.7481</v>
      </c>
      <c r="E3825" s="2">
        <v>3.2233659999999997E-2</v>
      </c>
      <c r="F3825" s="2" t="s">
        <v>7</v>
      </c>
    </row>
    <row r="3826" spans="1:6" ht="22.5" hidden="1" customHeight="1" x14ac:dyDescent="0.25">
      <c r="A3826" s="3">
        <v>44166</v>
      </c>
      <c r="B3826" s="2" t="s">
        <v>161</v>
      </c>
      <c r="C3826" s="2">
        <v>-0.11</v>
      </c>
      <c r="D3826" s="2">
        <v>1.7255</v>
      </c>
      <c r="E3826" s="2">
        <v>-1.8980500000000001E-3</v>
      </c>
      <c r="F3826" s="2" t="s">
        <v>7</v>
      </c>
    </row>
    <row r="3827" spans="1:6" ht="22.5" hidden="1" customHeight="1" x14ac:dyDescent="0.25">
      <c r="A3827" s="3">
        <v>44166</v>
      </c>
      <c r="B3827" s="2" t="s">
        <v>134</v>
      </c>
      <c r="C3827" s="2">
        <v>7.0000000000000007E-2</v>
      </c>
      <c r="D3827" s="2">
        <v>0.12479999999999999</v>
      </c>
      <c r="E3827" s="2">
        <v>8.7360000000000004E-5</v>
      </c>
      <c r="F3827" s="2" t="s">
        <v>7</v>
      </c>
    </row>
    <row r="3828" spans="1:6" ht="22.5" hidden="1" customHeight="1" x14ac:dyDescent="0.25">
      <c r="A3828" s="3">
        <v>44166</v>
      </c>
      <c r="B3828" s="2" t="s">
        <v>162</v>
      </c>
      <c r="C3828" s="2">
        <v>1.94</v>
      </c>
      <c r="D3828" s="2">
        <v>4.3799999999999999E-2</v>
      </c>
      <c r="E3828" s="2">
        <v>8.4971999999999999E-4</v>
      </c>
      <c r="F3828" s="2" t="s">
        <v>7</v>
      </c>
    </row>
    <row r="3829" spans="1:6" ht="22.5" hidden="1" customHeight="1" x14ac:dyDescent="0.25">
      <c r="A3829" s="3">
        <v>44166</v>
      </c>
      <c r="B3829" s="2" t="s">
        <v>135</v>
      </c>
      <c r="C3829" s="2">
        <v>1.28</v>
      </c>
      <c r="D3829" s="2">
        <v>0.28689999999999999</v>
      </c>
      <c r="E3829" s="2">
        <v>3.6723200000000002E-3</v>
      </c>
      <c r="F3829" s="2" t="s">
        <v>7</v>
      </c>
    </row>
    <row r="3830" spans="1:6" ht="22.5" hidden="1" customHeight="1" x14ac:dyDescent="0.25">
      <c r="A3830" s="3">
        <v>44166</v>
      </c>
      <c r="B3830" s="2" t="s">
        <v>136</v>
      </c>
      <c r="C3830" s="2">
        <v>2.2000000000000002</v>
      </c>
      <c r="D3830" s="2">
        <v>4.1000000000000003E-3</v>
      </c>
      <c r="E3830" s="2">
        <v>9.0199999999999997E-5</v>
      </c>
      <c r="F3830" s="2" t="s">
        <v>7</v>
      </c>
    </row>
    <row r="3831" spans="1:6" ht="22.5" hidden="1" customHeight="1" x14ac:dyDescent="0.25">
      <c r="A3831" s="3">
        <v>44166</v>
      </c>
      <c r="B3831" s="2" t="s">
        <v>137</v>
      </c>
      <c r="C3831" s="2">
        <v>2.2400000000000002</v>
      </c>
      <c r="D3831" s="2">
        <v>9.7999999999999997E-3</v>
      </c>
      <c r="E3831" s="2">
        <v>2.1952000000000001E-4</v>
      </c>
      <c r="F3831" s="2" t="s">
        <v>7</v>
      </c>
    </row>
    <row r="3832" spans="1:6" ht="22.5" hidden="1" customHeight="1" x14ac:dyDescent="0.25">
      <c r="A3832" s="3">
        <v>44166</v>
      </c>
      <c r="B3832" s="2" t="s">
        <v>163</v>
      </c>
      <c r="C3832" s="2">
        <v>0.1</v>
      </c>
      <c r="D3832" s="2">
        <v>4.3E-3</v>
      </c>
      <c r="E3832" s="2">
        <v>4.3000000000000003E-6</v>
      </c>
      <c r="F3832" s="2" t="s">
        <v>7</v>
      </c>
    </row>
    <row r="3833" spans="1:6" ht="22.5" hidden="1" customHeight="1" x14ac:dyDescent="0.25">
      <c r="A3833" s="3">
        <v>44166</v>
      </c>
      <c r="B3833" s="2" t="s">
        <v>34</v>
      </c>
      <c r="C3833" s="2">
        <v>-0.73</v>
      </c>
      <c r="D3833" s="2">
        <v>5.3800000000000001E-2</v>
      </c>
      <c r="E3833" s="2">
        <v>-3.9273999999999998E-4</v>
      </c>
      <c r="F3833" s="2" t="s">
        <v>7</v>
      </c>
    </row>
    <row r="3834" spans="1:6" ht="22.5" hidden="1" customHeight="1" x14ac:dyDescent="0.25">
      <c r="A3834" s="3">
        <v>44166</v>
      </c>
      <c r="B3834" s="2" t="s">
        <v>164</v>
      </c>
      <c r="C3834" s="2">
        <v>0.27</v>
      </c>
      <c r="D3834" s="2">
        <v>3.8149999999999999</v>
      </c>
      <c r="E3834" s="2">
        <v>1.0300500000000001E-2</v>
      </c>
      <c r="F3834" s="2" t="s">
        <v>165</v>
      </c>
    </row>
    <row r="3835" spans="1:6" ht="22.5" hidden="1" customHeight="1" x14ac:dyDescent="0.25">
      <c r="A3835" s="3">
        <v>44166</v>
      </c>
      <c r="B3835" s="2" t="s">
        <v>166</v>
      </c>
      <c r="C3835" s="2">
        <v>-0.1</v>
      </c>
      <c r="D3835" s="2">
        <v>2.3647999999999998</v>
      </c>
      <c r="E3835" s="2">
        <v>-2.3647999999999998E-3</v>
      </c>
      <c r="F3835" s="2" t="s">
        <v>165</v>
      </c>
    </row>
    <row r="3836" spans="1:6" ht="22.5" hidden="1" customHeight="1" x14ac:dyDescent="0.25">
      <c r="A3836" s="3">
        <v>44228</v>
      </c>
      <c r="B3836" s="2" t="s">
        <v>290</v>
      </c>
      <c r="C3836" s="2">
        <v>0.43</v>
      </c>
      <c r="D3836" s="2">
        <v>0.14680000000000001</v>
      </c>
      <c r="E3836" s="2">
        <v>6.3124000000000003E-4</v>
      </c>
      <c r="F3836" s="2" t="s">
        <v>168</v>
      </c>
    </row>
    <row r="3837" spans="1:6" ht="22.5" hidden="1" customHeight="1" x14ac:dyDescent="0.25">
      <c r="A3837" s="3">
        <v>44166</v>
      </c>
      <c r="B3837" s="2" t="s">
        <v>169</v>
      </c>
      <c r="C3837" s="2">
        <v>5.07</v>
      </c>
      <c r="D3837" s="2">
        <v>1.01E-2</v>
      </c>
      <c r="E3837" s="2">
        <v>5.1206999999999999E-4</v>
      </c>
      <c r="F3837" s="2" t="s">
        <v>170</v>
      </c>
    </row>
    <row r="3838" spans="1:6" ht="22.5" hidden="1" customHeight="1" x14ac:dyDescent="0.25">
      <c r="A3838" s="3">
        <v>44166</v>
      </c>
      <c r="B3838" s="2" t="s">
        <v>171</v>
      </c>
      <c r="C3838" s="2">
        <v>0.7</v>
      </c>
      <c r="D3838" s="2">
        <v>1.49E-2</v>
      </c>
      <c r="E3838" s="2">
        <v>1.043E-4</v>
      </c>
      <c r="F3838" s="2" t="s">
        <v>170</v>
      </c>
    </row>
    <row r="3839" spans="1:6" ht="22.5" hidden="1" customHeight="1" x14ac:dyDescent="0.25">
      <c r="A3839" s="3">
        <v>44166</v>
      </c>
      <c r="B3839" s="2" t="s">
        <v>172</v>
      </c>
      <c r="C3839" s="2">
        <v>1.9</v>
      </c>
      <c r="D3839" s="2">
        <v>3.3999999999999998E-3</v>
      </c>
      <c r="E3839" s="2">
        <v>6.4599999999999998E-5</v>
      </c>
      <c r="F3839" s="2" t="s">
        <v>170</v>
      </c>
    </row>
    <row r="3840" spans="1:6" ht="22.5" hidden="1" customHeight="1" x14ac:dyDescent="0.25">
      <c r="A3840" s="3">
        <v>44166</v>
      </c>
      <c r="B3840" s="2" t="s">
        <v>173</v>
      </c>
      <c r="C3840" s="2">
        <v>-0.06</v>
      </c>
      <c r="D3840" s="2">
        <v>0.26100000000000001</v>
      </c>
      <c r="E3840" s="2">
        <v>-1.5660000000000001E-4</v>
      </c>
      <c r="F3840" s="2" t="s">
        <v>174</v>
      </c>
    </row>
    <row r="3841" spans="1:6" ht="22.5" hidden="1" customHeight="1" x14ac:dyDescent="0.25">
      <c r="A3841" s="3">
        <v>44166</v>
      </c>
      <c r="B3841" s="2" t="s">
        <v>175</v>
      </c>
      <c r="C3841" s="2">
        <v>4.01</v>
      </c>
      <c r="D3841" s="2">
        <v>0.23580000000000001</v>
      </c>
      <c r="E3841" s="2">
        <v>9.4555799999999999E-3</v>
      </c>
      <c r="F3841" s="2" t="s">
        <v>174</v>
      </c>
    </row>
    <row r="3842" spans="1:6" ht="22.5" hidden="1" customHeight="1" x14ac:dyDescent="0.25">
      <c r="A3842" s="3">
        <v>44166</v>
      </c>
      <c r="B3842" s="2" t="s">
        <v>176</v>
      </c>
      <c r="C3842" s="2">
        <v>3.34</v>
      </c>
      <c r="D3842" s="2">
        <v>1.34E-2</v>
      </c>
      <c r="E3842" s="2">
        <v>4.4756E-4</v>
      </c>
      <c r="F3842" s="2" t="s">
        <v>170</v>
      </c>
    </row>
    <row r="3843" spans="1:6" ht="22.5" hidden="1" customHeight="1" x14ac:dyDescent="0.25">
      <c r="A3843" s="3">
        <v>44166</v>
      </c>
      <c r="B3843" s="2" t="s">
        <v>177</v>
      </c>
      <c r="C3843" s="2">
        <v>1.17</v>
      </c>
      <c r="D3843" s="2">
        <v>2.4E-2</v>
      </c>
      <c r="E3843" s="2">
        <v>2.8079999999999999E-4</v>
      </c>
      <c r="F3843" s="2" t="s">
        <v>170</v>
      </c>
    </row>
    <row r="3844" spans="1:6" ht="22.5" hidden="1" customHeight="1" x14ac:dyDescent="0.25">
      <c r="A3844" s="3">
        <v>44166</v>
      </c>
      <c r="B3844" s="2" t="s">
        <v>178</v>
      </c>
      <c r="C3844" s="2">
        <v>1.86</v>
      </c>
      <c r="D3844" s="2">
        <v>2.1700000000000001E-2</v>
      </c>
      <c r="E3844" s="2">
        <v>4.0361999999999999E-4</v>
      </c>
      <c r="F3844" s="2" t="s">
        <v>170</v>
      </c>
    </row>
    <row r="3845" spans="1:6" ht="22.5" hidden="1" customHeight="1" x14ac:dyDescent="0.25">
      <c r="A3845" s="3">
        <v>44166</v>
      </c>
      <c r="B3845" s="2" t="s">
        <v>179</v>
      </c>
      <c r="C3845" s="2">
        <v>4.0999999999999996</v>
      </c>
      <c r="D3845" s="2">
        <v>3.9399999999999998E-2</v>
      </c>
      <c r="E3845" s="2">
        <v>1.6153999999999999E-3</v>
      </c>
      <c r="F3845" s="2" t="s">
        <v>170</v>
      </c>
    </row>
    <row r="3846" spans="1:6" ht="22.5" hidden="1" customHeight="1" x14ac:dyDescent="0.25">
      <c r="A3846" s="3">
        <v>44166</v>
      </c>
      <c r="B3846" s="2" t="s">
        <v>180</v>
      </c>
      <c r="C3846" s="2">
        <v>-0.09</v>
      </c>
      <c r="D3846" s="2">
        <v>0.65239999999999998</v>
      </c>
      <c r="E3846" s="2">
        <v>-5.8715999999999998E-4</v>
      </c>
      <c r="F3846" s="2" t="s">
        <v>165</v>
      </c>
    </row>
    <row r="3847" spans="1:6" ht="22.5" hidden="1" customHeight="1" x14ac:dyDescent="0.25">
      <c r="A3847" s="3">
        <v>44166</v>
      </c>
      <c r="B3847" s="2" t="s">
        <v>181</v>
      </c>
      <c r="C3847" s="2">
        <v>0.91</v>
      </c>
      <c r="D3847" s="2">
        <v>1.29E-2</v>
      </c>
      <c r="E3847" s="2">
        <v>1.1739E-4</v>
      </c>
      <c r="F3847" s="2" t="s">
        <v>174</v>
      </c>
    </row>
    <row r="3848" spans="1:6" ht="22.5" hidden="1" customHeight="1" x14ac:dyDescent="0.25">
      <c r="A3848" s="3">
        <v>44166</v>
      </c>
      <c r="B3848" s="2" t="s">
        <v>182</v>
      </c>
      <c r="C3848" s="2">
        <v>4.82</v>
      </c>
      <c r="D3848" s="2">
        <v>3.9800000000000002E-2</v>
      </c>
      <c r="E3848" s="2">
        <v>1.91836E-3</v>
      </c>
      <c r="F3848" s="2" t="s">
        <v>170</v>
      </c>
    </row>
    <row r="3849" spans="1:6" ht="22.5" hidden="1" customHeight="1" x14ac:dyDescent="0.25">
      <c r="A3849" s="3">
        <v>44166</v>
      </c>
      <c r="B3849" s="2" t="s">
        <v>183</v>
      </c>
      <c r="C3849" s="2">
        <v>1.96</v>
      </c>
      <c r="D3849" s="2">
        <v>4.1000000000000003E-3</v>
      </c>
      <c r="E3849" s="2">
        <v>8.0359999999999996E-5</v>
      </c>
      <c r="F3849" s="2" t="s">
        <v>174</v>
      </c>
    </row>
    <row r="3850" spans="1:6" ht="22.5" hidden="1" customHeight="1" x14ac:dyDescent="0.25">
      <c r="A3850" s="3">
        <v>44166</v>
      </c>
      <c r="B3850" s="2" t="s">
        <v>184</v>
      </c>
      <c r="C3850" s="2">
        <v>0.32</v>
      </c>
      <c r="D3850" s="2">
        <v>6.4000000000000001E-2</v>
      </c>
      <c r="E3850" s="2">
        <v>2.0479999999999999E-4</v>
      </c>
      <c r="F3850" s="2" t="s">
        <v>174</v>
      </c>
    </row>
    <row r="3851" spans="1:6" ht="22.5" hidden="1" customHeight="1" x14ac:dyDescent="0.25">
      <c r="A3851" s="3">
        <v>44166</v>
      </c>
      <c r="B3851" s="2" t="s">
        <v>185</v>
      </c>
      <c r="C3851" s="2">
        <v>1.51</v>
      </c>
      <c r="D3851" s="2">
        <v>0.15390000000000001</v>
      </c>
      <c r="E3851" s="2">
        <v>2.3238899999999999E-3</v>
      </c>
      <c r="F3851" s="2" t="s">
        <v>174</v>
      </c>
    </row>
    <row r="3852" spans="1:6" ht="22.5" hidden="1" customHeight="1" x14ac:dyDescent="0.25">
      <c r="A3852" s="3">
        <v>44166</v>
      </c>
      <c r="B3852" s="2" t="s">
        <v>186</v>
      </c>
      <c r="C3852" s="2">
        <v>0.26</v>
      </c>
      <c r="D3852" s="2">
        <v>0.22090000000000001</v>
      </c>
      <c r="E3852" s="2">
        <v>5.7434000000000001E-4</v>
      </c>
      <c r="F3852" s="2" t="s">
        <v>174</v>
      </c>
    </row>
    <row r="3853" spans="1:6" ht="22.5" hidden="1" customHeight="1" x14ac:dyDescent="0.25">
      <c r="A3853" s="3">
        <v>44166</v>
      </c>
      <c r="B3853" s="2" t="s">
        <v>187</v>
      </c>
      <c r="C3853" s="2">
        <v>0.63</v>
      </c>
      <c r="D3853" s="2">
        <v>5.9700000000000003E-2</v>
      </c>
      <c r="E3853" s="2">
        <v>3.7610999999999998E-4</v>
      </c>
      <c r="F3853" s="2" t="s">
        <v>174</v>
      </c>
    </row>
    <row r="3854" spans="1:6" ht="22.5" hidden="1" customHeight="1" x14ac:dyDescent="0.25">
      <c r="A3854" s="3">
        <v>44166</v>
      </c>
      <c r="B3854" s="2" t="s">
        <v>188</v>
      </c>
      <c r="C3854" s="2">
        <v>3.74</v>
      </c>
      <c r="D3854" s="2">
        <v>2.7400000000000001E-2</v>
      </c>
      <c r="E3854" s="2">
        <v>1.02476E-3</v>
      </c>
      <c r="F3854" s="2" t="s">
        <v>174</v>
      </c>
    </row>
    <row r="3855" spans="1:6" ht="22.5" hidden="1" customHeight="1" x14ac:dyDescent="0.25">
      <c r="A3855" s="3">
        <v>44166</v>
      </c>
      <c r="B3855" s="2" t="s">
        <v>189</v>
      </c>
      <c r="C3855" s="2">
        <v>-0.39</v>
      </c>
      <c r="D3855" s="2">
        <v>3.8E-3</v>
      </c>
      <c r="E3855" s="2">
        <v>-1.482E-5</v>
      </c>
      <c r="F3855" s="2" t="s">
        <v>174</v>
      </c>
    </row>
    <row r="3856" spans="1:6" ht="22.5" hidden="1" customHeight="1" x14ac:dyDescent="0.25">
      <c r="A3856" s="3">
        <v>44166</v>
      </c>
      <c r="B3856" s="2" t="s">
        <v>190</v>
      </c>
      <c r="C3856" s="2">
        <v>-0.04</v>
      </c>
      <c r="D3856" s="2">
        <v>4.8999999999999998E-3</v>
      </c>
      <c r="E3856" s="2">
        <v>-1.9599999999999999E-6</v>
      </c>
      <c r="F3856" s="2" t="s">
        <v>174</v>
      </c>
    </row>
    <row r="3857" spans="1:6" ht="22.5" hidden="1" customHeight="1" x14ac:dyDescent="0.25">
      <c r="A3857" s="3">
        <v>44166</v>
      </c>
      <c r="B3857" s="2" t="s">
        <v>191</v>
      </c>
      <c r="C3857" s="2">
        <v>1.21</v>
      </c>
      <c r="D3857" s="2">
        <v>2.7799999999999998E-2</v>
      </c>
      <c r="E3857" s="2">
        <v>3.3638E-4</v>
      </c>
      <c r="F3857" s="2" t="s">
        <v>174</v>
      </c>
    </row>
    <row r="3858" spans="1:6" ht="22.5" hidden="1" customHeight="1" x14ac:dyDescent="0.25">
      <c r="A3858" s="3">
        <v>44166</v>
      </c>
      <c r="B3858" s="2" t="s">
        <v>192</v>
      </c>
      <c r="C3858" s="2">
        <v>2.19</v>
      </c>
      <c r="D3858" s="2">
        <v>5.1999999999999998E-3</v>
      </c>
      <c r="E3858" s="2">
        <v>1.1388E-4</v>
      </c>
      <c r="F3858" s="2" t="s">
        <v>174</v>
      </c>
    </row>
    <row r="3859" spans="1:6" ht="22.5" hidden="1" customHeight="1" x14ac:dyDescent="0.25">
      <c r="A3859" s="3">
        <v>44166</v>
      </c>
      <c r="B3859" s="2" t="s">
        <v>193</v>
      </c>
      <c r="C3859" s="2">
        <v>-0.32</v>
      </c>
      <c r="D3859" s="2">
        <v>0.17100000000000001</v>
      </c>
      <c r="E3859" s="2">
        <v>-5.4719999999999997E-4</v>
      </c>
      <c r="F3859" s="2" t="s">
        <v>174</v>
      </c>
    </row>
    <row r="3860" spans="1:6" ht="22.5" hidden="1" customHeight="1" x14ac:dyDescent="0.25">
      <c r="A3860" s="3">
        <v>44166</v>
      </c>
      <c r="B3860" s="2" t="s">
        <v>194</v>
      </c>
      <c r="C3860" s="2">
        <v>1.33</v>
      </c>
      <c r="D3860" s="2">
        <v>3.3999999999999998E-3</v>
      </c>
      <c r="E3860" s="2">
        <v>4.5219999999999997E-5</v>
      </c>
      <c r="F3860" s="2" t="s">
        <v>174</v>
      </c>
    </row>
    <row r="3861" spans="1:6" ht="22.5" hidden="1" customHeight="1" x14ac:dyDescent="0.25">
      <c r="A3861" s="3">
        <v>43952</v>
      </c>
      <c r="B3861" s="2" t="s">
        <v>292</v>
      </c>
      <c r="C3861" s="2">
        <v>0.5</v>
      </c>
      <c r="D3861" s="2">
        <v>0.12520000000000001</v>
      </c>
      <c r="E3861" s="2">
        <v>6.2600000000000004E-4</v>
      </c>
      <c r="F3861" s="2" t="s">
        <v>168</v>
      </c>
    </row>
    <row r="3862" spans="1:6" ht="22.5" hidden="1" customHeight="1" x14ac:dyDescent="0.25">
      <c r="A3862" s="3">
        <v>44256</v>
      </c>
      <c r="B3862" s="2" t="s">
        <v>262</v>
      </c>
      <c r="C3862" s="2">
        <v>1.61</v>
      </c>
      <c r="D3862" s="2">
        <v>3.8199999999999998E-2</v>
      </c>
      <c r="E3862" s="2">
        <v>6.1501999999999998E-4</v>
      </c>
      <c r="F3862" s="2" t="s">
        <v>168</v>
      </c>
    </row>
    <row r="3863" spans="1:6" ht="22.5" hidden="1" customHeight="1" x14ac:dyDescent="0.25">
      <c r="A3863" s="3">
        <v>44378</v>
      </c>
      <c r="B3863" s="2" t="s">
        <v>263</v>
      </c>
      <c r="C3863" s="2">
        <v>0.15</v>
      </c>
      <c r="D3863" s="2">
        <v>0.40570000000000001</v>
      </c>
      <c r="E3863" s="2">
        <v>6.0855000000000002E-4</v>
      </c>
      <c r="F3863" s="2" t="s">
        <v>168</v>
      </c>
    </row>
    <row r="3864" spans="1:6" ht="22.5" hidden="1" customHeight="1" x14ac:dyDescent="0.25">
      <c r="A3864" s="3">
        <v>44166</v>
      </c>
      <c r="B3864" s="2" t="s">
        <v>198</v>
      </c>
      <c r="C3864" s="2">
        <v>4.49</v>
      </c>
      <c r="D3864" s="2">
        <v>0.33689999999999998</v>
      </c>
      <c r="E3864" s="2">
        <v>1.5126809999999999E-2</v>
      </c>
      <c r="F3864" s="2" t="s">
        <v>170</v>
      </c>
    </row>
    <row r="3865" spans="1:6" ht="22.5" hidden="1" customHeight="1" x14ac:dyDescent="0.25">
      <c r="A3865" s="3">
        <v>44166</v>
      </c>
      <c r="B3865" s="2" t="s">
        <v>199</v>
      </c>
      <c r="C3865" s="2">
        <v>2.8</v>
      </c>
      <c r="D3865" s="2">
        <v>0.45989999999999998</v>
      </c>
      <c r="E3865" s="2">
        <v>1.28772E-2</v>
      </c>
      <c r="F3865" s="2" t="s">
        <v>170</v>
      </c>
    </row>
    <row r="3866" spans="1:6" ht="22.5" hidden="1" customHeight="1" x14ac:dyDescent="0.25">
      <c r="A3866" s="3">
        <v>44166</v>
      </c>
      <c r="B3866" s="2" t="s">
        <v>200</v>
      </c>
      <c r="C3866" s="2">
        <v>1.61</v>
      </c>
      <c r="D3866" s="2">
        <v>0.184</v>
      </c>
      <c r="E3866" s="2">
        <v>2.9624E-3</v>
      </c>
      <c r="F3866" s="2" t="s">
        <v>170</v>
      </c>
    </row>
    <row r="3867" spans="1:6" ht="22.5" hidden="1" customHeight="1" x14ac:dyDescent="0.25">
      <c r="A3867" s="3">
        <v>44166</v>
      </c>
      <c r="B3867" s="2" t="s">
        <v>201</v>
      </c>
      <c r="C3867" s="2">
        <v>2.19</v>
      </c>
      <c r="D3867" s="2">
        <v>2.5600000000000001E-2</v>
      </c>
      <c r="E3867" s="2">
        <v>5.6064000000000005E-4</v>
      </c>
      <c r="F3867" s="2" t="s">
        <v>170</v>
      </c>
    </row>
    <row r="3868" spans="1:6" ht="22.5" hidden="1" customHeight="1" x14ac:dyDescent="0.25">
      <c r="A3868" s="3">
        <v>44166</v>
      </c>
      <c r="B3868" s="2" t="s">
        <v>202</v>
      </c>
      <c r="C3868" s="2">
        <v>3.23</v>
      </c>
      <c r="D3868" s="2">
        <v>1.7899999999999999E-2</v>
      </c>
      <c r="E3868" s="2">
        <v>5.7817000000000003E-4</v>
      </c>
      <c r="F3868" s="2" t="s">
        <v>170</v>
      </c>
    </row>
    <row r="3869" spans="1:6" ht="22.5" hidden="1" customHeight="1" x14ac:dyDescent="0.25">
      <c r="A3869" s="3">
        <v>44166</v>
      </c>
      <c r="B3869" s="2" t="s">
        <v>203</v>
      </c>
      <c r="C3869" s="2">
        <v>1.01</v>
      </c>
      <c r="D3869" s="2">
        <v>8.3099999999999993E-2</v>
      </c>
      <c r="E3869" s="2">
        <v>8.3931000000000001E-4</v>
      </c>
      <c r="F3869" s="2" t="s">
        <v>170</v>
      </c>
    </row>
    <row r="3870" spans="1:6" ht="22.5" hidden="1" customHeight="1" x14ac:dyDescent="0.25">
      <c r="A3870" s="3">
        <v>44166</v>
      </c>
      <c r="B3870" s="2" t="s">
        <v>204</v>
      </c>
      <c r="C3870" s="2">
        <v>-0.79</v>
      </c>
      <c r="D3870" s="2">
        <v>6.1400000000000003E-2</v>
      </c>
      <c r="E3870" s="2">
        <v>-4.8505999999999999E-4</v>
      </c>
      <c r="F3870" s="2" t="s">
        <v>174</v>
      </c>
    </row>
    <row r="3871" spans="1:6" ht="22.5" hidden="1" customHeight="1" x14ac:dyDescent="0.25">
      <c r="A3871" s="3">
        <v>44166</v>
      </c>
      <c r="B3871" s="2" t="s">
        <v>205</v>
      </c>
      <c r="C3871" s="2">
        <v>1.49</v>
      </c>
      <c r="D3871" s="2">
        <v>9.5699999999999993E-2</v>
      </c>
      <c r="E3871" s="2">
        <v>1.4259299999999999E-3</v>
      </c>
      <c r="F3871" s="2" t="s">
        <v>174</v>
      </c>
    </row>
    <row r="3872" spans="1:6" ht="22.5" hidden="1" customHeight="1" x14ac:dyDescent="0.25">
      <c r="A3872" s="3">
        <v>44166</v>
      </c>
      <c r="B3872" s="2" t="s">
        <v>206</v>
      </c>
      <c r="C3872" s="2">
        <v>1.94</v>
      </c>
      <c r="D3872" s="2">
        <v>0.15790000000000001</v>
      </c>
      <c r="E3872" s="2">
        <v>3.0632599999999999E-3</v>
      </c>
      <c r="F3872" s="2" t="s">
        <v>174</v>
      </c>
    </row>
    <row r="3873" spans="1:6" ht="22.5" hidden="1" customHeight="1" x14ac:dyDescent="0.25">
      <c r="A3873" s="3">
        <v>44166</v>
      </c>
      <c r="B3873" s="2" t="s">
        <v>207</v>
      </c>
      <c r="C3873" s="2">
        <v>0.68</v>
      </c>
      <c r="D3873" s="2">
        <v>4.87E-2</v>
      </c>
      <c r="E3873" s="2">
        <v>3.3115999999999999E-4</v>
      </c>
      <c r="F3873" s="2" t="s">
        <v>174</v>
      </c>
    </row>
    <row r="3874" spans="1:6" ht="22.5" hidden="1" customHeight="1" x14ac:dyDescent="0.25">
      <c r="A3874" s="3">
        <v>44166</v>
      </c>
      <c r="B3874" s="2" t="s">
        <v>208</v>
      </c>
      <c r="C3874" s="2">
        <v>1.74</v>
      </c>
      <c r="D3874" s="2">
        <v>8.8000000000000005E-3</v>
      </c>
      <c r="E3874" s="2">
        <v>1.5312E-4</v>
      </c>
      <c r="F3874" s="2" t="s">
        <v>174</v>
      </c>
    </row>
    <row r="3875" spans="1:6" ht="22.5" hidden="1" customHeight="1" x14ac:dyDescent="0.25">
      <c r="A3875" s="3">
        <v>44166</v>
      </c>
      <c r="B3875" s="2" t="s">
        <v>209</v>
      </c>
      <c r="C3875" s="2">
        <v>2.54</v>
      </c>
      <c r="D3875" s="2">
        <v>6.4000000000000003E-3</v>
      </c>
      <c r="E3875" s="2">
        <v>1.6255999999999999E-4</v>
      </c>
      <c r="F3875" s="2" t="s">
        <v>174</v>
      </c>
    </row>
    <row r="3876" spans="1:6" ht="22.5" hidden="1" customHeight="1" x14ac:dyDescent="0.25">
      <c r="A3876" s="3">
        <v>44166</v>
      </c>
      <c r="B3876" s="2" t="s">
        <v>210</v>
      </c>
      <c r="C3876" s="2">
        <v>-0.01</v>
      </c>
      <c r="D3876" s="2">
        <v>1.4500000000000001E-2</v>
      </c>
      <c r="E3876" s="2">
        <v>-1.4500000000000001E-6</v>
      </c>
      <c r="F3876" s="2" t="s">
        <v>170</v>
      </c>
    </row>
    <row r="3877" spans="1:6" ht="22.5" hidden="1" customHeight="1" x14ac:dyDescent="0.25">
      <c r="A3877" s="3">
        <v>44166</v>
      </c>
      <c r="B3877" s="2" t="s">
        <v>211</v>
      </c>
      <c r="C3877" s="2">
        <v>0.98</v>
      </c>
      <c r="D3877" s="2">
        <v>0.1933</v>
      </c>
      <c r="E3877" s="2">
        <v>1.89434E-3</v>
      </c>
      <c r="F3877" s="2" t="s">
        <v>174</v>
      </c>
    </row>
    <row r="3878" spans="1:6" ht="22.5" hidden="1" customHeight="1" x14ac:dyDescent="0.25">
      <c r="A3878" s="3">
        <v>44166</v>
      </c>
      <c r="B3878" s="2" t="s">
        <v>212</v>
      </c>
      <c r="C3878" s="2">
        <v>2.39</v>
      </c>
      <c r="D3878" s="2">
        <v>4.4999999999999997E-3</v>
      </c>
      <c r="E3878" s="2">
        <v>1.0755E-4</v>
      </c>
      <c r="F3878" s="2" t="s">
        <v>174</v>
      </c>
    </row>
    <row r="3879" spans="1:6" ht="22.5" hidden="1" customHeight="1" x14ac:dyDescent="0.25">
      <c r="A3879" s="3">
        <v>44166</v>
      </c>
      <c r="B3879" s="2" t="s">
        <v>213</v>
      </c>
      <c r="C3879" s="2">
        <v>0.61</v>
      </c>
      <c r="D3879" s="2">
        <v>0.33479999999999999</v>
      </c>
      <c r="E3879" s="2">
        <v>2.0422800000000001E-3</v>
      </c>
      <c r="F3879" s="2" t="s">
        <v>170</v>
      </c>
    </row>
    <row r="3880" spans="1:6" ht="22.5" hidden="1" customHeight="1" x14ac:dyDescent="0.25">
      <c r="A3880" s="3">
        <v>44166</v>
      </c>
      <c r="B3880" s="2" t="s">
        <v>214</v>
      </c>
      <c r="C3880" s="2">
        <v>-0.56999999999999995</v>
      </c>
      <c r="D3880" s="2">
        <v>0.1132</v>
      </c>
      <c r="E3880" s="2">
        <v>-6.4524000000000005E-4</v>
      </c>
      <c r="F3880" s="2" t="s">
        <v>170</v>
      </c>
    </row>
    <row r="3881" spans="1:6" ht="22.5" hidden="1" customHeight="1" x14ac:dyDescent="0.25">
      <c r="A3881" s="3">
        <v>44166</v>
      </c>
      <c r="B3881" s="2" t="s">
        <v>215</v>
      </c>
      <c r="C3881" s="2">
        <v>-0.71</v>
      </c>
      <c r="D3881" s="2">
        <v>0.25190000000000001</v>
      </c>
      <c r="E3881" s="2">
        <v>-1.78849E-3</v>
      </c>
      <c r="F3881" s="2" t="s">
        <v>170</v>
      </c>
    </row>
    <row r="3882" spans="1:6" ht="22.5" hidden="1" customHeight="1" x14ac:dyDescent="0.25">
      <c r="A3882" s="3">
        <v>44166</v>
      </c>
      <c r="B3882" s="2" t="s">
        <v>216</v>
      </c>
      <c r="C3882" s="2">
        <v>-0.05</v>
      </c>
      <c r="D3882" s="2">
        <v>1.52E-2</v>
      </c>
      <c r="E3882" s="2">
        <v>-7.6000000000000001E-6</v>
      </c>
      <c r="F3882" s="2" t="s">
        <v>170</v>
      </c>
    </row>
    <row r="3883" spans="1:6" ht="22.5" hidden="1" customHeight="1" x14ac:dyDescent="0.25">
      <c r="A3883" s="3">
        <v>44166</v>
      </c>
      <c r="B3883" s="2" t="s">
        <v>217</v>
      </c>
      <c r="C3883" s="2">
        <v>0.03</v>
      </c>
      <c r="D3883" s="2">
        <v>0.17319999999999999</v>
      </c>
      <c r="E3883" s="2">
        <v>5.1959999999999997E-5</v>
      </c>
      <c r="F3883" s="2" t="s">
        <v>170</v>
      </c>
    </row>
    <row r="3884" spans="1:6" ht="22.5" hidden="1" customHeight="1" x14ac:dyDescent="0.25">
      <c r="A3884" s="3">
        <v>44166</v>
      </c>
      <c r="B3884" s="2" t="s">
        <v>218</v>
      </c>
      <c r="C3884" s="2">
        <v>3.23</v>
      </c>
      <c r="D3884" s="2">
        <v>7.1999999999999998E-3</v>
      </c>
      <c r="E3884" s="2">
        <v>2.3256000000000001E-4</v>
      </c>
      <c r="F3884" s="2" t="s">
        <v>170</v>
      </c>
    </row>
    <row r="3885" spans="1:6" ht="22.5" hidden="1" customHeight="1" x14ac:dyDescent="0.25">
      <c r="A3885" s="3">
        <v>44166</v>
      </c>
      <c r="B3885" s="2" t="s">
        <v>219</v>
      </c>
      <c r="C3885" s="2">
        <v>1.07</v>
      </c>
      <c r="D3885" s="2">
        <v>0.48530000000000001</v>
      </c>
      <c r="E3885" s="2">
        <v>5.1927099999999997E-3</v>
      </c>
      <c r="F3885" s="2" t="s">
        <v>170</v>
      </c>
    </row>
    <row r="3886" spans="1:6" ht="22.5" hidden="1" customHeight="1" x14ac:dyDescent="0.25">
      <c r="A3886" s="3">
        <v>44166</v>
      </c>
      <c r="B3886" s="2" t="s">
        <v>220</v>
      </c>
      <c r="C3886" s="2">
        <v>2.69</v>
      </c>
      <c r="D3886" s="2">
        <v>1.1299999999999999E-2</v>
      </c>
      <c r="E3886" s="2">
        <v>3.0396999999999998E-4</v>
      </c>
      <c r="F3886" s="2" t="s">
        <v>170</v>
      </c>
    </row>
    <row r="3887" spans="1:6" ht="22.5" hidden="1" customHeight="1" x14ac:dyDescent="0.25">
      <c r="A3887" s="3">
        <v>44166</v>
      </c>
      <c r="B3887" s="2" t="s">
        <v>221</v>
      </c>
      <c r="C3887" s="2">
        <v>1.3</v>
      </c>
      <c r="D3887" s="2">
        <v>3.5999999999999999E-3</v>
      </c>
      <c r="E3887" s="2">
        <v>4.6799999999999999E-5</v>
      </c>
      <c r="F3887" s="2" t="s">
        <v>170</v>
      </c>
    </row>
    <row r="3888" spans="1:6" ht="22.5" hidden="1" customHeight="1" x14ac:dyDescent="0.25">
      <c r="A3888" s="3">
        <v>44166</v>
      </c>
      <c r="B3888" s="2" t="s">
        <v>222</v>
      </c>
      <c r="C3888" s="2">
        <v>0.44</v>
      </c>
      <c r="D3888" s="2">
        <v>0.36020000000000002</v>
      </c>
      <c r="E3888" s="2">
        <v>1.5848800000000001E-3</v>
      </c>
      <c r="F3888" s="2" t="s">
        <v>170</v>
      </c>
    </row>
    <row r="3889" spans="1:6" ht="22.5" hidden="1" customHeight="1" x14ac:dyDescent="0.25">
      <c r="A3889" s="3">
        <v>44166</v>
      </c>
      <c r="B3889" s="2" t="s">
        <v>223</v>
      </c>
      <c r="C3889" s="2">
        <v>0.19</v>
      </c>
      <c r="D3889" s="2">
        <v>1.67E-2</v>
      </c>
      <c r="E3889" s="2">
        <v>3.1730000000000003E-5</v>
      </c>
      <c r="F3889" s="2" t="s">
        <v>165</v>
      </c>
    </row>
    <row r="3890" spans="1:6" ht="22.5" hidden="1" customHeight="1" x14ac:dyDescent="0.25">
      <c r="A3890" s="3">
        <v>44166</v>
      </c>
      <c r="B3890" s="2" t="s">
        <v>224</v>
      </c>
      <c r="C3890" s="2">
        <v>-0.62</v>
      </c>
      <c r="D3890" s="2">
        <v>2.3E-3</v>
      </c>
      <c r="E3890" s="2">
        <v>-1.4260000000000001E-5</v>
      </c>
      <c r="F3890" s="2" t="s">
        <v>165</v>
      </c>
    </row>
    <row r="3891" spans="1:6" ht="22.5" hidden="1" customHeight="1" x14ac:dyDescent="0.25">
      <c r="A3891" s="3">
        <v>44166</v>
      </c>
      <c r="B3891" s="2" t="s">
        <v>225</v>
      </c>
      <c r="C3891" s="2">
        <v>-0.12</v>
      </c>
      <c r="D3891" s="2">
        <v>4.7999999999999996E-3</v>
      </c>
      <c r="E3891" s="2">
        <v>-5.7599999999999999E-6</v>
      </c>
      <c r="F3891" s="2" t="s">
        <v>165</v>
      </c>
    </row>
    <row r="3892" spans="1:6" ht="22.5" hidden="1" customHeight="1" x14ac:dyDescent="0.25">
      <c r="A3892" s="3">
        <v>44166</v>
      </c>
      <c r="B3892" s="2" t="s">
        <v>226</v>
      </c>
      <c r="C3892" s="2">
        <v>0.57999999999999996</v>
      </c>
      <c r="D3892" s="2">
        <v>4.65E-2</v>
      </c>
      <c r="E3892" s="2">
        <v>2.697E-4</v>
      </c>
      <c r="F3892" s="2" t="s">
        <v>165</v>
      </c>
    </row>
    <row r="3893" spans="1:6" ht="22.5" hidden="1" customHeight="1" x14ac:dyDescent="0.25">
      <c r="A3893" s="3">
        <v>44166</v>
      </c>
      <c r="B3893" s="2" t="s">
        <v>227</v>
      </c>
      <c r="C3893" s="2">
        <v>1.73</v>
      </c>
      <c r="D3893" s="2">
        <v>6.59E-2</v>
      </c>
      <c r="E3893" s="2">
        <v>1.14007E-3</v>
      </c>
      <c r="F3893" s="2" t="s">
        <v>165</v>
      </c>
    </row>
    <row r="3894" spans="1:6" ht="22.5" hidden="1" customHeight="1" x14ac:dyDescent="0.25">
      <c r="A3894" s="3">
        <v>44166</v>
      </c>
      <c r="B3894" s="2" t="s">
        <v>228</v>
      </c>
      <c r="C3894" s="2">
        <v>1.62</v>
      </c>
      <c r="D3894" s="2">
        <v>0.19159999999999999</v>
      </c>
      <c r="E3894" s="2">
        <v>3.10392E-3</v>
      </c>
      <c r="F3894" s="2" t="s">
        <v>165</v>
      </c>
    </row>
    <row r="3895" spans="1:6" ht="22.5" hidden="1" customHeight="1" x14ac:dyDescent="0.25">
      <c r="A3895" s="3">
        <v>44166</v>
      </c>
      <c r="B3895" s="2" t="s">
        <v>229</v>
      </c>
      <c r="C3895" s="2">
        <v>-1.05</v>
      </c>
      <c r="D3895" s="2">
        <v>0.28570000000000001</v>
      </c>
      <c r="E3895" s="2">
        <v>-2.9998500000000001E-3</v>
      </c>
      <c r="F3895" s="2" t="s">
        <v>174</v>
      </c>
    </row>
    <row r="3896" spans="1:6" ht="22.5" hidden="1" customHeight="1" x14ac:dyDescent="0.25">
      <c r="A3896" s="3">
        <v>44166</v>
      </c>
      <c r="B3896" s="2" t="s">
        <v>230</v>
      </c>
      <c r="C3896" s="2">
        <v>0.64</v>
      </c>
      <c r="D3896" s="2">
        <v>2.1100000000000001E-2</v>
      </c>
      <c r="E3896" s="2">
        <v>1.3504000000000001E-4</v>
      </c>
      <c r="F3896" s="2" t="s">
        <v>174</v>
      </c>
    </row>
    <row r="3897" spans="1:6" ht="22.5" hidden="1" customHeight="1" x14ac:dyDescent="0.25">
      <c r="A3897" s="3">
        <v>44166</v>
      </c>
      <c r="B3897" s="2" t="s">
        <v>231</v>
      </c>
      <c r="C3897" s="2">
        <v>-0.86</v>
      </c>
      <c r="D3897" s="2">
        <v>0.17100000000000001</v>
      </c>
      <c r="E3897" s="2">
        <v>-1.4706000000000001E-3</v>
      </c>
      <c r="F3897" s="2" t="s">
        <v>174</v>
      </c>
    </row>
    <row r="3898" spans="1:6" ht="22.5" hidden="1" customHeight="1" x14ac:dyDescent="0.25">
      <c r="A3898" s="3">
        <v>44166</v>
      </c>
      <c r="B3898" s="2" t="s">
        <v>232</v>
      </c>
      <c r="C3898" s="2">
        <v>-3.07</v>
      </c>
      <c r="D3898" s="2">
        <v>5.7000000000000002E-3</v>
      </c>
      <c r="E3898" s="2">
        <v>-1.7499E-4</v>
      </c>
      <c r="F3898" s="2" t="s">
        <v>174</v>
      </c>
    </row>
    <row r="3899" spans="1:6" ht="22.5" hidden="1" customHeight="1" x14ac:dyDescent="0.25">
      <c r="A3899" s="3">
        <v>44166</v>
      </c>
      <c r="B3899" s="2" t="s">
        <v>233</v>
      </c>
      <c r="C3899" s="2">
        <v>-1.03</v>
      </c>
      <c r="D3899" s="2">
        <v>0.56759999999999999</v>
      </c>
      <c r="E3899" s="2">
        <v>-5.8462799999999997E-3</v>
      </c>
      <c r="F3899" s="2" t="s">
        <v>174</v>
      </c>
    </row>
    <row r="3900" spans="1:6" ht="22.5" hidden="1" customHeight="1" x14ac:dyDescent="0.25">
      <c r="A3900" s="3">
        <v>44166</v>
      </c>
      <c r="B3900" s="2" t="s">
        <v>234</v>
      </c>
      <c r="C3900" s="2">
        <v>-1.77</v>
      </c>
      <c r="D3900" s="2">
        <v>0.31240000000000001</v>
      </c>
      <c r="E3900" s="2">
        <v>-5.5294799999999998E-3</v>
      </c>
      <c r="F3900" s="2" t="s">
        <v>174</v>
      </c>
    </row>
    <row r="3901" spans="1:6" ht="22.5" hidden="1" customHeight="1" x14ac:dyDescent="0.25">
      <c r="A3901" s="3">
        <v>44166</v>
      </c>
      <c r="B3901" s="2" t="s">
        <v>235</v>
      </c>
      <c r="C3901" s="2">
        <v>-0.28000000000000003</v>
      </c>
      <c r="D3901" s="2">
        <v>2.3900000000000001E-2</v>
      </c>
      <c r="E3901" s="2">
        <v>-6.6920000000000003E-5</v>
      </c>
      <c r="F3901" s="2" t="s">
        <v>174</v>
      </c>
    </row>
    <row r="3902" spans="1:6" ht="22.5" hidden="1" customHeight="1" x14ac:dyDescent="0.25">
      <c r="A3902" s="3">
        <v>44166</v>
      </c>
      <c r="B3902" s="2" t="s">
        <v>236</v>
      </c>
      <c r="C3902" s="2">
        <v>-0.83</v>
      </c>
      <c r="D3902" s="2">
        <v>7.6E-3</v>
      </c>
      <c r="E3902" s="2">
        <v>-6.3079999999999999E-5</v>
      </c>
      <c r="F3902" s="2" t="s">
        <v>174</v>
      </c>
    </row>
    <row r="3903" spans="1:6" ht="22.5" hidden="1" customHeight="1" x14ac:dyDescent="0.25">
      <c r="A3903" s="3">
        <v>44166</v>
      </c>
      <c r="B3903" s="2" t="s">
        <v>237</v>
      </c>
      <c r="C3903" s="2">
        <v>0.56000000000000005</v>
      </c>
      <c r="D3903" s="2">
        <v>0.28360000000000002</v>
      </c>
      <c r="E3903" s="2">
        <v>1.5881599999999999E-3</v>
      </c>
      <c r="F3903" s="2" t="s">
        <v>174</v>
      </c>
    </row>
    <row r="3904" spans="1:6" ht="22.5" hidden="1" customHeight="1" x14ac:dyDescent="0.25">
      <c r="A3904" s="3">
        <v>44166</v>
      </c>
      <c r="B3904" s="2" t="s">
        <v>238</v>
      </c>
      <c r="C3904" s="2">
        <v>-0.73</v>
      </c>
      <c r="D3904" s="2">
        <v>0.5131</v>
      </c>
      <c r="E3904" s="2">
        <v>-3.7456299999999998E-3</v>
      </c>
      <c r="F3904" s="2" t="s">
        <v>174</v>
      </c>
    </row>
    <row r="3905" spans="1:6" ht="22.5" hidden="1" customHeight="1" x14ac:dyDescent="0.25">
      <c r="A3905" s="3">
        <v>44166</v>
      </c>
      <c r="B3905" s="2" t="s">
        <v>239</v>
      </c>
      <c r="C3905" s="2">
        <v>-0.04</v>
      </c>
      <c r="D3905" s="2">
        <v>0.11169999999999999</v>
      </c>
      <c r="E3905" s="2">
        <v>-4.4679999999999999E-5</v>
      </c>
      <c r="F3905" s="2" t="s">
        <v>174</v>
      </c>
    </row>
    <row r="3906" spans="1:6" ht="22.5" hidden="1" customHeight="1" x14ac:dyDescent="0.25">
      <c r="A3906" s="3">
        <v>44166</v>
      </c>
      <c r="B3906" s="2" t="s">
        <v>240</v>
      </c>
      <c r="C3906" s="2">
        <v>-0.17</v>
      </c>
      <c r="D3906" s="2">
        <v>6.4000000000000001E-2</v>
      </c>
      <c r="E3906" s="2">
        <v>-1.088E-4</v>
      </c>
      <c r="F3906" s="2" t="s">
        <v>174</v>
      </c>
    </row>
    <row r="3907" spans="1:6" ht="22.5" hidden="1" customHeight="1" x14ac:dyDescent="0.25">
      <c r="A3907" s="3">
        <v>44166</v>
      </c>
      <c r="B3907" s="2" t="s">
        <v>241</v>
      </c>
      <c r="C3907" s="2">
        <v>0.64</v>
      </c>
      <c r="D3907" s="2">
        <v>8.4599999999999995E-2</v>
      </c>
      <c r="E3907" s="2">
        <v>5.4144000000000002E-4</v>
      </c>
      <c r="F3907" s="2" t="s">
        <v>174</v>
      </c>
    </row>
    <row r="3908" spans="1:6" ht="22.5" hidden="1" customHeight="1" x14ac:dyDescent="0.25">
      <c r="A3908" s="3">
        <v>44166</v>
      </c>
      <c r="B3908" s="2" t="s">
        <v>242</v>
      </c>
      <c r="C3908" s="2">
        <v>1.46</v>
      </c>
      <c r="D3908" s="2">
        <v>7.3499999999999996E-2</v>
      </c>
      <c r="E3908" s="2">
        <v>1.0731E-3</v>
      </c>
      <c r="F3908" s="2" t="s">
        <v>174</v>
      </c>
    </row>
    <row r="3909" spans="1:6" ht="22.5" hidden="1" customHeight="1" x14ac:dyDescent="0.25">
      <c r="A3909" s="3">
        <v>44166</v>
      </c>
      <c r="B3909" s="2" t="s">
        <v>243</v>
      </c>
      <c r="C3909" s="2">
        <v>0.78</v>
      </c>
      <c r="D3909" s="2">
        <v>7.6E-3</v>
      </c>
      <c r="E3909" s="2">
        <v>5.9280000000000002E-5</v>
      </c>
      <c r="F3909" s="2" t="s">
        <v>174</v>
      </c>
    </row>
    <row r="3910" spans="1:6" ht="22.5" hidden="1" customHeight="1" x14ac:dyDescent="0.25">
      <c r="A3910" s="3">
        <v>44166</v>
      </c>
      <c r="B3910" s="2" t="s">
        <v>244</v>
      </c>
      <c r="C3910" s="2">
        <v>-0.12</v>
      </c>
      <c r="D3910" s="2">
        <v>5.2900000000000003E-2</v>
      </c>
      <c r="E3910" s="2">
        <v>-6.3479999999999995E-5</v>
      </c>
      <c r="F3910" s="2" t="s">
        <v>174</v>
      </c>
    </row>
    <row r="3911" spans="1:6" ht="22.5" hidden="1" customHeight="1" x14ac:dyDescent="0.25">
      <c r="A3911" s="3">
        <v>44166</v>
      </c>
      <c r="B3911" s="2" t="s">
        <v>245</v>
      </c>
      <c r="C3911" s="2">
        <v>-0.65</v>
      </c>
      <c r="D3911" s="2">
        <v>5.2699999999999997E-2</v>
      </c>
      <c r="E3911" s="2">
        <v>-3.4255000000000001E-4</v>
      </c>
      <c r="F3911" s="2" t="s">
        <v>174</v>
      </c>
    </row>
    <row r="3912" spans="1:6" ht="22.5" hidden="1" customHeight="1" x14ac:dyDescent="0.25">
      <c r="A3912" s="3">
        <v>44166</v>
      </c>
      <c r="B3912" s="2" t="s">
        <v>246</v>
      </c>
      <c r="C3912" s="2">
        <v>-0.92</v>
      </c>
      <c r="D3912" s="2">
        <v>0.19370000000000001</v>
      </c>
      <c r="E3912" s="2">
        <v>-1.7820399999999999E-3</v>
      </c>
      <c r="F3912" s="2" t="s">
        <v>174</v>
      </c>
    </row>
    <row r="3913" spans="1:6" ht="22.5" hidden="1" customHeight="1" x14ac:dyDescent="0.25">
      <c r="A3913" s="3">
        <v>44166</v>
      </c>
      <c r="B3913" s="2" t="s">
        <v>247</v>
      </c>
      <c r="C3913" s="2">
        <v>0.23</v>
      </c>
      <c r="D3913" s="2">
        <v>0.13600000000000001</v>
      </c>
      <c r="E3913" s="2">
        <v>3.1280000000000001E-4</v>
      </c>
      <c r="F3913" s="2" t="s">
        <v>174</v>
      </c>
    </row>
    <row r="3914" spans="1:6" ht="22.5" hidden="1" customHeight="1" x14ac:dyDescent="0.25">
      <c r="A3914" s="3">
        <v>44166</v>
      </c>
      <c r="B3914" s="2" t="s">
        <v>248</v>
      </c>
      <c r="C3914" s="2">
        <v>-0.28999999999999998</v>
      </c>
      <c r="D3914" s="2">
        <v>0.14879999999999999</v>
      </c>
      <c r="E3914" s="2">
        <v>-4.3152000000000002E-4</v>
      </c>
      <c r="F3914" s="2" t="s">
        <v>174</v>
      </c>
    </row>
    <row r="3915" spans="1:6" ht="22.5" hidden="1" customHeight="1" x14ac:dyDescent="0.25">
      <c r="A3915" s="3">
        <v>44166</v>
      </c>
      <c r="B3915" s="2" t="s">
        <v>249</v>
      </c>
      <c r="C3915" s="2">
        <v>-0.16</v>
      </c>
      <c r="D3915" s="2">
        <v>0.26490000000000002</v>
      </c>
      <c r="E3915" s="2">
        <v>-4.2383999999999998E-4</v>
      </c>
      <c r="F3915" s="2" t="s">
        <v>174</v>
      </c>
    </row>
    <row r="3916" spans="1:6" ht="22.5" hidden="1" customHeight="1" x14ac:dyDescent="0.25">
      <c r="A3916" s="3">
        <v>44166</v>
      </c>
      <c r="B3916" s="2" t="s">
        <v>250</v>
      </c>
      <c r="C3916" s="2">
        <v>-0.23</v>
      </c>
      <c r="D3916" s="2">
        <v>2.6100000000000002E-2</v>
      </c>
      <c r="E3916" s="2">
        <v>-6.003E-5</v>
      </c>
      <c r="F3916" s="2" t="s">
        <v>174</v>
      </c>
    </row>
    <row r="3917" spans="1:6" ht="22.5" hidden="1" customHeight="1" x14ac:dyDescent="0.25">
      <c r="A3917" s="3">
        <v>44166</v>
      </c>
      <c r="B3917" s="2" t="s">
        <v>251</v>
      </c>
      <c r="C3917" s="2">
        <v>0.88</v>
      </c>
      <c r="D3917" s="2">
        <v>6.1100000000000002E-2</v>
      </c>
      <c r="E3917" s="2">
        <v>5.3768000000000002E-4</v>
      </c>
      <c r="F3917" s="2" t="s">
        <v>174</v>
      </c>
    </row>
    <row r="3918" spans="1:6" ht="22.5" hidden="1" customHeight="1" x14ac:dyDescent="0.25">
      <c r="A3918" s="3">
        <v>44166</v>
      </c>
      <c r="B3918" s="2" t="s">
        <v>252</v>
      </c>
      <c r="C3918" s="2">
        <v>-0.61</v>
      </c>
      <c r="D3918" s="2">
        <v>8.3999999999999995E-3</v>
      </c>
      <c r="E3918" s="2">
        <v>-5.1239999999999997E-5</v>
      </c>
      <c r="F3918" s="2" t="s">
        <v>174</v>
      </c>
    </row>
    <row r="3919" spans="1:6" ht="22.5" hidden="1" customHeight="1" x14ac:dyDescent="0.25">
      <c r="A3919" s="3">
        <v>44166</v>
      </c>
      <c r="B3919" s="2" t="s">
        <v>253</v>
      </c>
      <c r="C3919" s="2">
        <v>-0.08</v>
      </c>
      <c r="D3919" s="2">
        <v>0.44059999999999999</v>
      </c>
      <c r="E3919" s="2">
        <v>-3.5248000000000001E-4</v>
      </c>
      <c r="F3919" s="2" t="s">
        <v>174</v>
      </c>
    </row>
    <row r="3920" spans="1:6" ht="22.5" hidden="1" customHeight="1" x14ac:dyDescent="0.25">
      <c r="A3920" s="3">
        <v>44166</v>
      </c>
      <c r="B3920" s="2" t="s">
        <v>254</v>
      </c>
      <c r="C3920" s="2">
        <v>-0.28999999999999998</v>
      </c>
      <c r="D3920" s="2">
        <v>0.18659999999999999</v>
      </c>
      <c r="E3920" s="2">
        <v>-5.4113999999999996E-4</v>
      </c>
      <c r="F3920" s="2" t="s">
        <v>174</v>
      </c>
    </row>
    <row r="3921" spans="1:6" ht="22.5" hidden="1" customHeight="1" x14ac:dyDescent="0.25">
      <c r="A3921" s="3">
        <v>44166</v>
      </c>
      <c r="B3921" s="2" t="s">
        <v>255</v>
      </c>
      <c r="C3921" s="2">
        <v>0.88</v>
      </c>
      <c r="D3921" s="2">
        <v>1.66E-2</v>
      </c>
      <c r="E3921" s="2">
        <v>1.4608000000000001E-4</v>
      </c>
      <c r="F3921" s="2" t="s">
        <v>170</v>
      </c>
    </row>
    <row r="3922" spans="1:6" ht="22.5" hidden="1" customHeight="1" x14ac:dyDescent="0.25">
      <c r="A3922" s="3">
        <v>44166</v>
      </c>
      <c r="B3922" s="2" t="s">
        <v>256</v>
      </c>
      <c r="C3922" s="2">
        <v>-0.13</v>
      </c>
      <c r="D3922" s="2">
        <v>0.1449</v>
      </c>
      <c r="E3922" s="2">
        <v>-1.8836999999999999E-4</v>
      </c>
      <c r="F3922" s="2" t="s">
        <v>170</v>
      </c>
    </row>
    <row r="3923" spans="1:6" ht="22.5" hidden="1" customHeight="1" x14ac:dyDescent="0.25">
      <c r="A3923" s="3">
        <v>44166</v>
      </c>
      <c r="B3923" s="2" t="s">
        <v>257</v>
      </c>
      <c r="C3923" s="2">
        <v>-0.51</v>
      </c>
      <c r="D3923" s="2">
        <v>5.1700000000000003E-2</v>
      </c>
      <c r="E3923" s="2">
        <v>-2.6366999999999997E-4</v>
      </c>
      <c r="F3923" s="2" t="s">
        <v>170</v>
      </c>
    </row>
    <row r="3924" spans="1:6" ht="22.5" hidden="1" customHeight="1" x14ac:dyDescent="0.25">
      <c r="A3924" s="3">
        <v>44166</v>
      </c>
      <c r="B3924" s="2" t="s">
        <v>258</v>
      </c>
      <c r="C3924" s="2">
        <v>1.32</v>
      </c>
      <c r="D3924" s="2">
        <v>4.6800000000000001E-2</v>
      </c>
      <c r="E3924" s="2">
        <v>6.1775999999999997E-4</v>
      </c>
      <c r="F3924" s="2" t="s">
        <v>174</v>
      </c>
    </row>
    <row r="3925" spans="1:6" ht="22.5" hidden="1" customHeight="1" x14ac:dyDescent="0.25">
      <c r="A3925" s="3">
        <v>44166</v>
      </c>
      <c r="B3925" s="2" t="s">
        <v>259</v>
      </c>
      <c r="C3925" s="2">
        <v>0.5</v>
      </c>
      <c r="D3925" s="2">
        <v>0.01</v>
      </c>
      <c r="E3925" s="2">
        <v>5.0000000000000002E-5</v>
      </c>
      <c r="F3925" s="2" t="s">
        <v>174</v>
      </c>
    </row>
    <row r="3926" spans="1:6" ht="22.5" hidden="1" customHeight="1" x14ac:dyDescent="0.25">
      <c r="A3926" s="3">
        <v>44470</v>
      </c>
      <c r="B3926" s="2" t="s">
        <v>264</v>
      </c>
      <c r="C3926" s="2">
        <v>0.62</v>
      </c>
      <c r="D3926" s="2">
        <v>9.74E-2</v>
      </c>
      <c r="E3926" s="2">
        <v>6.0388E-4</v>
      </c>
      <c r="F3926" s="2" t="s">
        <v>168</v>
      </c>
    </row>
    <row r="3927" spans="1:6" ht="22.5" hidden="1" customHeight="1" x14ac:dyDescent="0.25">
      <c r="A3927" s="3">
        <v>43862</v>
      </c>
      <c r="B3927" s="2" t="s">
        <v>261</v>
      </c>
      <c r="C3927" s="2">
        <v>0.3</v>
      </c>
      <c r="D3927" s="2">
        <v>0.20119999999999999</v>
      </c>
      <c r="E3927" s="2">
        <v>6.0360000000000003E-4</v>
      </c>
      <c r="F3927" s="2" t="s">
        <v>168</v>
      </c>
    </row>
    <row r="3928" spans="1:6" ht="22.5" hidden="1" customHeight="1" x14ac:dyDescent="0.25">
      <c r="A3928" s="3">
        <v>44013</v>
      </c>
      <c r="B3928" s="2" t="s">
        <v>291</v>
      </c>
      <c r="C3928" s="2">
        <v>0.3</v>
      </c>
      <c r="D3928" s="2">
        <v>0.19839999999999999</v>
      </c>
      <c r="E3928" s="2">
        <v>5.9520000000000005E-4</v>
      </c>
      <c r="F3928" s="2" t="s">
        <v>168</v>
      </c>
    </row>
    <row r="3929" spans="1:6" ht="22.5" hidden="1" customHeight="1" x14ac:dyDescent="0.25">
      <c r="A3929" s="3">
        <v>44440</v>
      </c>
      <c r="B3929" s="2" t="s">
        <v>367</v>
      </c>
      <c r="C3929" s="2">
        <v>0.04</v>
      </c>
      <c r="D3929" s="2">
        <v>1.476</v>
      </c>
      <c r="E3929" s="2">
        <v>5.9040000000000004E-4</v>
      </c>
      <c r="F3929" s="2" t="s">
        <v>168</v>
      </c>
    </row>
    <row r="3930" spans="1:6" ht="22.5" hidden="1" customHeight="1" x14ac:dyDescent="0.25">
      <c r="A3930" s="3">
        <v>43891</v>
      </c>
      <c r="B3930" s="2" t="s">
        <v>290</v>
      </c>
      <c r="C3930" s="2">
        <v>0.35</v>
      </c>
      <c r="D3930" s="2">
        <v>0.15970000000000001</v>
      </c>
      <c r="E3930" s="2">
        <v>5.5895000000000001E-4</v>
      </c>
      <c r="F3930" s="2" t="s">
        <v>168</v>
      </c>
    </row>
    <row r="3931" spans="1:6" ht="22.5" hidden="1" customHeight="1" x14ac:dyDescent="0.25">
      <c r="A3931" s="3">
        <v>43862</v>
      </c>
      <c r="B3931" s="2" t="s">
        <v>366</v>
      </c>
      <c r="C3931" s="2">
        <v>0.21</v>
      </c>
      <c r="D3931" s="2">
        <v>0.2636</v>
      </c>
      <c r="E3931" s="2">
        <v>5.5356000000000003E-4</v>
      </c>
      <c r="F3931" s="2" t="s">
        <v>168</v>
      </c>
    </row>
    <row r="3932" spans="1:6" ht="22.5" hidden="1" customHeight="1" x14ac:dyDescent="0.25">
      <c r="A3932" s="3">
        <v>44075</v>
      </c>
      <c r="B3932" s="2" t="s">
        <v>288</v>
      </c>
      <c r="C3932" s="2">
        <v>0.23</v>
      </c>
      <c r="D3932" s="2">
        <v>0.23830000000000001</v>
      </c>
      <c r="E3932" s="2">
        <v>5.4808999999999999E-4</v>
      </c>
      <c r="F3932" s="2" t="s">
        <v>168</v>
      </c>
    </row>
    <row r="3933" spans="1:6" ht="22.5" hidden="1" customHeight="1" x14ac:dyDescent="0.25">
      <c r="A3933" s="3">
        <v>44166</v>
      </c>
      <c r="B3933" s="2" t="s">
        <v>267</v>
      </c>
      <c r="C3933" s="2">
        <v>0</v>
      </c>
      <c r="D3933" s="2">
        <v>0.13370000000000001</v>
      </c>
      <c r="E3933" s="2">
        <v>0</v>
      </c>
      <c r="F3933" s="2" t="s">
        <v>165</v>
      </c>
    </row>
    <row r="3934" spans="1:6" ht="22.5" hidden="1" customHeight="1" x14ac:dyDescent="0.25">
      <c r="A3934" s="3">
        <v>44166</v>
      </c>
      <c r="B3934" s="2" t="s">
        <v>268</v>
      </c>
      <c r="C3934" s="2">
        <v>8.3800000000000008</v>
      </c>
      <c r="D3934" s="2">
        <v>0.17419999999999999</v>
      </c>
      <c r="E3934" s="2">
        <v>1.459796E-2</v>
      </c>
      <c r="F3934" s="2" t="s">
        <v>165</v>
      </c>
    </row>
    <row r="3935" spans="1:6" ht="22.5" hidden="1" customHeight="1" x14ac:dyDescent="0.25">
      <c r="A3935" s="3">
        <v>44166</v>
      </c>
      <c r="B3935" s="2" t="s">
        <v>269</v>
      </c>
      <c r="C3935" s="2">
        <v>0</v>
      </c>
      <c r="D3935" s="2">
        <v>6.8599999999999994E-2</v>
      </c>
      <c r="E3935" s="2">
        <v>0</v>
      </c>
      <c r="F3935" s="2" t="s">
        <v>165</v>
      </c>
    </row>
    <row r="3936" spans="1:6" ht="22.5" hidden="1" customHeight="1" x14ac:dyDescent="0.25">
      <c r="A3936" s="3">
        <v>44166</v>
      </c>
      <c r="B3936" s="2" t="s">
        <v>270</v>
      </c>
      <c r="C3936" s="2">
        <v>-0.12</v>
      </c>
      <c r="D3936" s="2">
        <v>2.9693000000000001</v>
      </c>
      <c r="E3936" s="2">
        <v>-3.5631600000000001E-3</v>
      </c>
      <c r="F3936" s="2" t="s">
        <v>170</v>
      </c>
    </row>
    <row r="3937" spans="1:6" ht="22.5" hidden="1" customHeight="1" x14ac:dyDescent="0.25">
      <c r="A3937" s="3">
        <v>44166</v>
      </c>
      <c r="B3937" s="2" t="s">
        <v>279</v>
      </c>
      <c r="C3937" s="2">
        <v>0.56000000000000005</v>
      </c>
      <c r="D3937" s="2">
        <v>9.5799999999999996E-2</v>
      </c>
      <c r="E3937" s="2">
        <v>5.3647999999999999E-4</v>
      </c>
      <c r="F3937" s="2" t="s">
        <v>168</v>
      </c>
    </row>
    <row r="3938" spans="1:6" ht="22.5" hidden="1" customHeight="1" x14ac:dyDescent="0.25">
      <c r="A3938" s="3">
        <v>44166</v>
      </c>
      <c r="B3938" s="2" t="s">
        <v>272</v>
      </c>
      <c r="C3938" s="2">
        <v>-1.1399999999999999</v>
      </c>
      <c r="D3938" s="2">
        <v>0.77080000000000004</v>
      </c>
      <c r="E3938" s="2">
        <v>-8.7871200000000007E-3</v>
      </c>
      <c r="F3938" s="2" t="s">
        <v>165</v>
      </c>
    </row>
    <row r="3939" spans="1:6" ht="22.5" hidden="1" customHeight="1" x14ac:dyDescent="0.25">
      <c r="A3939" s="3">
        <v>44197</v>
      </c>
      <c r="B3939" s="2" t="s">
        <v>167</v>
      </c>
      <c r="C3939" s="2">
        <v>0.03</v>
      </c>
      <c r="D3939" s="2">
        <v>1.7846</v>
      </c>
      <c r="E3939" s="2">
        <v>5.3538000000000001E-4</v>
      </c>
      <c r="F3939" s="2" t="s">
        <v>168</v>
      </c>
    </row>
    <row r="3940" spans="1:6" ht="22.5" hidden="1" customHeight="1" x14ac:dyDescent="0.25">
      <c r="A3940" s="3">
        <v>44166</v>
      </c>
      <c r="B3940" s="2" t="s">
        <v>274</v>
      </c>
      <c r="C3940" s="2">
        <v>0.96</v>
      </c>
      <c r="D3940" s="2">
        <v>0.1288</v>
      </c>
      <c r="E3940" s="2">
        <v>1.2364800000000001E-3</v>
      </c>
      <c r="F3940" s="2" t="s">
        <v>170</v>
      </c>
    </row>
    <row r="3941" spans="1:6" ht="22.5" hidden="1" customHeight="1" x14ac:dyDescent="0.25">
      <c r="A3941" s="3">
        <v>44166</v>
      </c>
      <c r="B3941" s="2" t="s">
        <v>275</v>
      </c>
      <c r="C3941" s="2">
        <v>-0.5</v>
      </c>
      <c r="D3941" s="2">
        <v>0.17530000000000001</v>
      </c>
      <c r="E3941" s="2">
        <v>-8.765E-4</v>
      </c>
      <c r="F3941" s="2" t="s">
        <v>170</v>
      </c>
    </row>
    <row r="3942" spans="1:6" ht="22.5" hidden="1" customHeight="1" x14ac:dyDescent="0.25">
      <c r="A3942" s="3">
        <v>44166</v>
      </c>
      <c r="B3942" s="2" t="s">
        <v>276</v>
      </c>
      <c r="C3942" s="2">
        <v>2.98</v>
      </c>
      <c r="D3942" s="2">
        <v>0.2155</v>
      </c>
      <c r="E3942" s="2">
        <v>6.4219000000000004E-3</v>
      </c>
      <c r="F3942" s="2" t="s">
        <v>170</v>
      </c>
    </row>
    <row r="3943" spans="1:6" ht="22.5" hidden="1" customHeight="1" x14ac:dyDescent="0.25">
      <c r="A3943" s="3">
        <v>44166</v>
      </c>
      <c r="B3943" s="2" t="s">
        <v>277</v>
      </c>
      <c r="C3943" s="2">
        <v>-0.56000000000000005</v>
      </c>
      <c r="D3943" s="2">
        <v>1.6879</v>
      </c>
      <c r="E3943" s="2">
        <v>-9.4522400000000006E-3</v>
      </c>
      <c r="F3943" s="2" t="s">
        <v>165</v>
      </c>
    </row>
    <row r="3944" spans="1:6" ht="22.5" hidden="1" customHeight="1" x14ac:dyDescent="0.25">
      <c r="A3944" s="3">
        <v>44166</v>
      </c>
      <c r="B3944" s="2" t="s">
        <v>278</v>
      </c>
      <c r="C3944" s="2">
        <v>-0.12</v>
      </c>
      <c r="D3944" s="2">
        <v>7.0800000000000002E-2</v>
      </c>
      <c r="E3944" s="2">
        <v>-8.496E-5</v>
      </c>
      <c r="F3944" s="2" t="s">
        <v>165</v>
      </c>
    </row>
    <row r="3945" spans="1:6" ht="22.5" hidden="1" customHeight="1" x14ac:dyDescent="0.25">
      <c r="A3945" s="3">
        <v>43983</v>
      </c>
      <c r="B3945" s="2" t="s">
        <v>287</v>
      </c>
      <c r="C3945" s="2">
        <v>0.84</v>
      </c>
      <c r="D3945" s="2">
        <v>6.3700000000000007E-2</v>
      </c>
      <c r="E3945" s="2">
        <v>5.3507999999999995E-4</v>
      </c>
      <c r="F3945" s="2" t="s">
        <v>168</v>
      </c>
    </row>
    <row r="3946" spans="1:6" ht="22.5" hidden="1" customHeight="1" x14ac:dyDescent="0.25">
      <c r="A3946" s="3">
        <v>44166</v>
      </c>
      <c r="B3946" s="2" t="s">
        <v>280</v>
      </c>
      <c r="C3946" s="2">
        <v>0.36</v>
      </c>
      <c r="D3946" s="2">
        <v>1.8834</v>
      </c>
      <c r="E3946" s="2">
        <v>6.7802399999999999E-3</v>
      </c>
      <c r="F3946" s="2" t="s">
        <v>170</v>
      </c>
    </row>
    <row r="3947" spans="1:6" ht="22.5" hidden="1" customHeight="1" x14ac:dyDescent="0.25">
      <c r="A3947" s="3">
        <v>44166</v>
      </c>
      <c r="B3947" s="2" t="s">
        <v>281</v>
      </c>
      <c r="C3947" s="2">
        <v>-0.71</v>
      </c>
      <c r="D3947" s="2">
        <v>1.6199999999999999E-2</v>
      </c>
      <c r="E3947" s="2">
        <v>-1.1502000000000001E-4</v>
      </c>
      <c r="F3947" s="2" t="s">
        <v>165</v>
      </c>
    </row>
    <row r="3948" spans="1:6" ht="22.5" hidden="1" customHeight="1" x14ac:dyDescent="0.25">
      <c r="A3948" s="3">
        <v>44166</v>
      </c>
      <c r="B3948" s="2" t="s">
        <v>282</v>
      </c>
      <c r="C3948" s="2">
        <v>7.39</v>
      </c>
      <c r="D3948" s="2">
        <v>2.3199999999999998E-2</v>
      </c>
      <c r="E3948" s="2">
        <v>1.71448E-3</v>
      </c>
      <c r="F3948" s="2" t="s">
        <v>165</v>
      </c>
    </row>
    <row r="3949" spans="1:6" ht="22.5" hidden="1" customHeight="1" x14ac:dyDescent="0.25">
      <c r="A3949" s="3">
        <v>44166</v>
      </c>
      <c r="B3949" s="2" t="s">
        <v>283</v>
      </c>
      <c r="C3949" s="2">
        <v>0.41</v>
      </c>
      <c r="D3949" s="2">
        <v>0.57179999999999997</v>
      </c>
      <c r="E3949" s="2">
        <v>2.3443800000000001E-3</v>
      </c>
      <c r="F3949" s="2" t="s">
        <v>170</v>
      </c>
    </row>
    <row r="3950" spans="1:6" ht="22.5" hidden="1" customHeight="1" x14ac:dyDescent="0.25">
      <c r="A3950" s="3">
        <v>44348</v>
      </c>
      <c r="B3950" s="2" t="s">
        <v>365</v>
      </c>
      <c r="C3950" s="2">
        <v>0.8</v>
      </c>
      <c r="D3950" s="2">
        <v>6.6600000000000006E-2</v>
      </c>
      <c r="E3950" s="2">
        <v>5.3280000000000005E-4</v>
      </c>
      <c r="F3950" s="2" t="s">
        <v>168</v>
      </c>
    </row>
    <row r="3951" spans="1:6" ht="22.5" hidden="1" customHeight="1" x14ac:dyDescent="0.25">
      <c r="A3951" s="3">
        <v>44501</v>
      </c>
      <c r="B3951" s="2" t="s">
        <v>264</v>
      </c>
      <c r="C3951" s="2">
        <v>0.54</v>
      </c>
      <c r="D3951" s="2">
        <v>9.69E-2</v>
      </c>
      <c r="E3951" s="2">
        <v>5.2326E-4</v>
      </c>
      <c r="F3951" s="2" t="s">
        <v>168</v>
      </c>
    </row>
    <row r="3952" spans="1:6" ht="22.5" hidden="1" customHeight="1" x14ac:dyDescent="0.25">
      <c r="A3952" s="3">
        <v>44470</v>
      </c>
      <c r="B3952" s="2" t="s">
        <v>299</v>
      </c>
      <c r="C3952" s="2">
        <v>0.59</v>
      </c>
      <c r="D3952" s="2">
        <v>8.7599999999999997E-2</v>
      </c>
      <c r="E3952" s="2">
        <v>5.1683999999999996E-4</v>
      </c>
      <c r="F3952" s="2" t="s">
        <v>168</v>
      </c>
    </row>
    <row r="3953" spans="1:6" ht="22.5" hidden="1" customHeight="1" x14ac:dyDescent="0.25">
      <c r="A3953" s="3">
        <v>44501</v>
      </c>
      <c r="B3953" s="2" t="s">
        <v>301</v>
      </c>
      <c r="C3953" s="2">
        <v>0.38</v>
      </c>
      <c r="D3953" s="2">
        <v>0.13569999999999999</v>
      </c>
      <c r="E3953" s="2">
        <v>5.1566000000000003E-4</v>
      </c>
      <c r="F3953" s="2" t="s">
        <v>168</v>
      </c>
    </row>
    <row r="3954" spans="1:6" ht="22.5" hidden="1" customHeight="1" x14ac:dyDescent="0.25">
      <c r="A3954" s="3">
        <v>44105</v>
      </c>
      <c r="B3954" s="2" t="s">
        <v>292</v>
      </c>
      <c r="C3954" s="2">
        <v>0.37</v>
      </c>
      <c r="D3954" s="2">
        <v>0.1318</v>
      </c>
      <c r="E3954" s="2">
        <v>4.8766E-4</v>
      </c>
      <c r="F3954" s="2" t="s">
        <v>168</v>
      </c>
    </row>
    <row r="3955" spans="1:6" ht="22.5" hidden="1" customHeight="1" x14ac:dyDescent="0.25">
      <c r="A3955" s="3">
        <v>44562</v>
      </c>
      <c r="B3955" s="2" t="s">
        <v>286</v>
      </c>
      <c r="C3955" s="2">
        <v>0.2</v>
      </c>
      <c r="D3955" s="2">
        <v>0.2419</v>
      </c>
      <c r="E3955" s="2">
        <v>4.838E-4</v>
      </c>
      <c r="F3955" s="2" t="s">
        <v>168</v>
      </c>
    </row>
    <row r="3956" spans="1:6" ht="22.5" hidden="1" customHeight="1" x14ac:dyDescent="0.25">
      <c r="A3956" s="3">
        <v>43862</v>
      </c>
      <c r="B3956" s="2" t="s">
        <v>262</v>
      </c>
      <c r="C3956" s="2">
        <v>1.19</v>
      </c>
      <c r="D3956" s="2">
        <v>3.9300000000000002E-2</v>
      </c>
      <c r="E3956" s="2">
        <v>4.6767E-4</v>
      </c>
      <c r="F3956" s="2" t="s">
        <v>168</v>
      </c>
    </row>
    <row r="3957" spans="1:6" ht="22.5" hidden="1" customHeight="1" x14ac:dyDescent="0.25">
      <c r="A3957" s="3">
        <v>44593</v>
      </c>
      <c r="B3957" s="2" t="s">
        <v>288</v>
      </c>
      <c r="C3957" s="2">
        <v>0.21</v>
      </c>
      <c r="D3957" s="2">
        <v>0.2195</v>
      </c>
      <c r="E3957" s="2">
        <v>4.6095000000000001E-4</v>
      </c>
      <c r="F3957" s="2" t="s">
        <v>168</v>
      </c>
    </row>
    <row r="3958" spans="1:6" ht="22.5" hidden="1" customHeight="1" x14ac:dyDescent="0.25">
      <c r="A3958" s="3">
        <v>44562</v>
      </c>
      <c r="B3958" s="2" t="s">
        <v>295</v>
      </c>
      <c r="C3958" s="2">
        <v>0.22</v>
      </c>
      <c r="D3958" s="2">
        <v>0.2064</v>
      </c>
      <c r="E3958" s="2">
        <v>4.5407999999999999E-4</v>
      </c>
      <c r="F3958" s="2" t="s">
        <v>168</v>
      </c>
    </row>
    <row r="3959" spans="1:6" ht="22.5" hidden="1" customHeight="1" x14ac:dyDescent="0.25">
      <c r="A3959" s="3">
        <v>44562</v>
      </c>
      <c r="B3959" s="2" t="s">
        <v>288</v>
      </c>
      <c r="C3959" s="2">
        <v>0.2</v>
      </c>
      <c r="D3959" s="2">
        <v>0.22040000000000001</v>
      </c>
      <c r="E3959" s="2">
        <v>4.4079999999999998E-4</v>
      </c>
      <c r="F3959" s="2" t="s">
        <v>168</v>
      </c>
    </row>
    <row r="3960" spans="1:6" ht="22.5" hidden="1" customHeight="1" x14ac:dyDescent="0.25">
      <c r="A3960" s="3">
        <v>44105</v>
      </c>
      <c r="B3960" s="2" t="s">
        <v>279</v>
      </c>
      <c r="C3960" s="2">
        <v>0.46</v>
      </c>
      <c r="D3960" s="2">
        <v>9.5799999999999996E-2</v>
      </c>
      <c r="E3960" s="2">
        <v>4.4067999999999999E-4</v>
      </c>
      <c r="F3960" s="2" t="s">
        <v>168</v>
      </c>
    </row>
    <row r="3961" spans="1:6" ht="22.5" hidden="1" customHeight="1" x14ac:dyDescent="0.25">
      <c r="A3961" s="3">
        <v>44228</v>
      </c>
      <c r="B3961" s="2" t="s">
        <v>295</v>
      </c>
      <c r="C3961" s="2">
        <v>0.2</v>
      </c>
      <c r="D3961" s="2">
        <v>0.21959999999999999</v>
      </c>
      <c r="E3961" s="2">
        <v>4.392E-4</v>
      </c>
      <c r="F3961" s="2" t="s">
        <v>168</v>
      </c>
    </row>
    <row r="3962" spans="1:6" ht="22.5" hidden="1" customHeight="1" x14ac:dyDescent="0.25">
      <c r="A3962" s="3">
        <v>44378</v>
      </c>
      <c r="B3962" s="2" t="s">
        <v>289</v>
      </c>
      <c r="C3962" s="2">
        <v>0.08</v>
      </c>
      <c r="D3962" s="2">
        <v>0.54190000000000005</v>
      </c>
      <c r="E3962" s="2">
        <v>4.3352000000000001E-4</v>
      </c>
      <c r="F3962" s="2" t="s">
        <v>168</v>
      </c>
    </row>
    <row r="3963" spans="1:6" ht="22.5" hidden="1" customHeight="1" x14ac:dyDescent="0.25">
      <c r="A3963" s="3">
        <v>44256</v>
      </c>
      <c r="B3963" s="2" t="s">
        <v>291</v>
      </c>
      <c r="C3963" s="2">
        <v>0.23</v>
      </c>
      <c r="D3963" s="2">
        <v>0.18540000000000001</v>
      </c>
      <c r="E3963" s="2">
        <v>4.2642E-4</v>
      </c>
      <c r="F3963" s="2" t="s">
        <v>168</v>
      </c>
    </row>
    <row r="3964" spans="1:6" ht="22.5" hidden="1" customHeight="1" x14ac:dyDescent="0.25">
      <c r="A3964" s="3">
        <v>44105</v>
      </c>
      <c r="B3964" s="2" t="s">
        <v>291</v>
      </c>
      <c r="C3964" s="2">
        <v>0.22</v>
      </c>
      <c r="D3964" s="2">
        <v>0.1933</v>
      </c>
      <c r="E3964" s="2">
        <v>4.2526E-4</v>
      </c>
      <c r="F3964" s="2" t="s">
        <v>168</v>
      </c>
    </row>
    <row r="3965" spans="1:6" ht="22.5" hidden="1" customHeight="1" x14ac:dyDescent="0.25">
      <c r="A3965" s="3">
        <v>44044</v>
      </c>
      <c r="B3965" s="2" t="s">
        <v>366</v>
      </c>
      <c r="C3965" s="2">
        <v>0.15</v>
      </c>
      <c r="D3965" s="2">
        <v>0.2651</v>
      </c>
      <c r="E3965" s="2">
        <v>3.9764999999999999E-4</v>
      </c>
      <c r="F3965" s="2" t="s">
        <v>168</v>
      </c>
    </row>
    <row r="3966" spans="1:6" ht="22.5" hidden="1" customHeight="1" x14ac:dyDescent="0.25">
      <c r="A3966" s="3">
        <v>44531</v>
      </c>
      <c r="B3966" s="2" t="s">
        <v>292</v>
      </c>
      <c r="C3966" s="2">
        <v>0.31</v>
      </c>
      <c r="D3966" s="2">
        <v>0.1258</v>
      </c>
      <c r="E3966" s="2">
        <v>3.8998E-4</v>
      </c>
      <c r="F3966" s="2" t="s">
        <v>168</v>
      </c>
    </row>
    <row r="3967" spans="1:6" ht="22.5" hidden="1" customHeight="1" x14ac:dyDescent="0.25">
      <c r="A3967" s="3">
        <v>44228</v>
      </c>
      <c r="B3967" s="2" t="s">
        <v>287</v>
      </c>
      <c r="C3967" s="2">
        <v>0.61</v>
      </c>
      <c r="D3967" s="2">
        <v>6.3700000000000007E-2</v>
      </c>
      <c r="E3967" s="2">
        <v>3.8856999999999997E-4</v>
      </c>
      <c r="F3967" s="2" t="s">
        <v>168</v>
      </c>
    </row>
    <row r="3968" spans="1:6" ht="22.5" hidden="1" customHeight="1" x14ac:dyDescent="0.25">
      <c r="A3968" s="3">
        <v>44166</v>
      </c>
      <c r="B3968" s="2" t="s">
        <v>302</v>
      </c>
      <c r="C3968" s="2">
        <v>-0.49</v>
      </c>
      <c r="D3968" s="2">
        <v>0.29270000000000002</v>
      </c>
      <c r="E3968" s="2">
        <v>-1.4342300000000001E-3</v>
      </c>
      <c r="F3968" s="2" t="s">
        <v>170</v>
      </c>
    </row>
    <row r="3969" spans="1:6" ht="22.5" hidden="1" customHeight="1" x14ac:dyDescent="0.25">
      <c r="A3969" s="3">
        <v>44166</v>
      </c>
      <c r="B3969" s="2" t="s">
        <v>303</v>
      </c>
      <c r="C3969" s="2">
        <v>0.56000000000000005</v>
      </c>
      <c r="D3969" s="2">
        <v>0.54720000000000002</v>
      </c>
      <c r="E3969" s="2">
        <v>3.0643200000000002E-3</v>
      </c>
      <c r="F3969" s="2" t="s">
        <v>165</v>
      </c>
    </row>
    <row r="3970" spans="1:6" ht="22.5" hidden="1" customHeight="1" x14ac:dyDescent="0.25">
      <c r="A3970" s="3">
        <v>44166</v>
      </c>
      <c r="B3970" s="2" t="s">
        <v>304</v>
      </c>
      <c r="C3970" s="2">
        <v>0.65</v>
      </c>
      <c r="D3970" s="2">
        <v>0.52669999999999995</v>
      </c>
      <c r="E3970" s="2">
        <v>3.42355E-3</v>
      </c>
      <c r="F3970" s="2" t="s">
        <v>165</v>
      </c>
    </row>
    <row r="3971" spans="1:6" ht="22.5" hidden="1" customHeight="1" x14ac:dyDescent="0.25">
      <c r="A3971" s="3">
        <v>44166</v>
      </c>
      <c r="B3971" s="2" t="s">
        <v>305</v>
      </c>
      <c r="C3971" s="2">
        <v>-0.19</v>
      </c>
      <c r="D3971" s="2">
        <v>1.8700000000000001E-2</v>
      </c>
      <c r="E3971" s="2">
        <v>-3.553E-5</v>
      </c>
      <c r="F3971" s="2" t="s">
        <v>170</v>
      </c>
    </row>
    <row r="3972" spans="1:6" ht="22.5" hidden="1" customHeight="1" x14ac:dyDescent="0.25">
      <c r="A3972" s="3">
        <v>44166</v>
      </c>
      <c r="B3972" s="2" t="s">
        <v>306</v>
      </c>
      <c r="C3972" s="2">
        <v>0.28000000000000003</v>
      </c>
      <c r="D3972" s="2">
        <v>4.8599999999999997E-2</v>
      </c>
      <c r="E3972" s="2">
        <v>1.3608000000000001E-4</v>
      </c>
      <c r="F3972" s="2" t="s">
        <v>165</v>
      </c>
    </row>
    <row r="3973" spans="1:6" ht="22.5" hidden="1" customHeight="1" x14ac:dyDescent="0.25">
      <c r="A3973" s="3">
        <v>44166</v>
      </c>
      <c r="B3973" s="2" t="s">
        <v>307</v>
      </c>
      <c r="C3973" s="2">
        <v>0.14000000000000001</v>
      </c>
      <c r="D3973" s="2">
        <v>0.1086</v>
      </c>
      <c r="E3973" s="2">
        <v>1.5203999999999999E-4</v>
      </c>
      <c r="F3973" s="2" t="s">
        <v>165</v>
      </c>
    </row>
    <row r="3974" spans="1:6" ht="22.5" hidden="1" customHeight="1" x14ac:dyDescent="0.25">
      <c r="A3974" s="3">
        <v>44166</v>
      </c>
      <c r="B3974" s="2" t="s">
        <v>308</v>
      </c>
      <c r="C3974" s="2">
        <v>0.28000000000000003</v>
      </c>
      <c r="D3974" s="2">
        <v>0.37840000000000001</v>
      </c>
      <c r="E3974" s="2">
        <v>1.05952E-3</v>
      </c>
      <c r="F3974" s="2" t="s">
        <v>165</v>
      </c>
    </row>
    <row r="3975" spans="1:6" ht="22.5" hidden="1" customHeight="1" x14ac:dyDescent="0.25">
      <c r="A3975" s="3">
        <v>44166</v>
      </c>
      <c r="B3975" s="2" t="s">
        <v>309</v>
      </c>
      <c r="C3975" s="2">
        <v>0.49</v>
      </c>
      <c r="D3975" s="2">
        <v>0.1321</v>
      </c>
      <c r="E3975" s="2">
        <v>6.4729000000000002E-4</v>
      </c>
      <c r="F3975" s="2" t="s">
        <v>165</v>
      </c>
    </row>
    <row r="3976" spans="1:6" ht="22.5" hidden="1" customHeight="1" x14ac:dyDescent="0.25">
      <c r="A3976" s="3">
        <v>43862</v>
      </c>
      <c r="B3976" s="2" t="s">
        <v>196</v>
      </c>
      <c r="C3976" s="2">
        <v>0.28000000000000003</v>
      </c>
      <c r="D3976" s="2">
        <v>0.1386</v>
      </c>
      <c r="E3976" s="2">
        <v>3.8808000000000001E-4</v>
      </c>
      <c r="F3976" s="2" t="s">
        <v>168</v>
      </c>
    </row>
    <row r="3977" spans="1:6" ht="22.5" hidden="1" customHeight="1" x14ac:dyDescent="0.25">
      <c r="A3977" s="3">
        <v>44166</v>
      </c>
      <c r="B3977" s="2" t="s">
        <v>311</v>
      </c>
      <c r="C3977" s="2">
        <v>1.06</v>
      </c>
      <c r="D3977" s="2">
        <v>0.62060000000000004</v>
      </c>
      <c r="E3977" s="2">
        <v>6.5783600000000001E-3</v>
      </c>
      <c r="F3977" s="2" t="s">
        <v>174</v>
      </c>
    </row>
    <row r="3978" spans="1:6" ht="22.5" hidden="1" customHeight="1" x14ac:dyDescent="0.25">
      <c r="A3978" s="3">
        <v>44166</v>
      </c>
      <c r="B3978" s="2" t="s">
        <v>312</v>
      </c>
      <c r="C3978" s="2">
        <v>1.06</v>
      </c>
      <c r="D3978" s="2">
        <v>0.2175</v>
      </c>
      <c r="E3978" s="2">
        <v>2.3054999999999998E-3</v>
      </c>
      <c r="F3978" s="2" t="s">
        <v>174</v>
      </c>
    </row>
    <row r="3979" spans="1:6" ht="22.5" hidden="1" customHeight="1" x14ac:dyDescent="0.25">
      <c r="A3979" s="3">
        <v>44166</v>
      </c>
      <c r="B3979" s="2" t="s">
        <v>313</v>
      </c>
      <c r="C3979" s="2">
        <v>-0.78</v>
      </c>
      <c r="D3979" s="2">
        <v>0.1338</v>
      </c>
      <c r="E3979" s="2">
        <v>-1.04364E-3</v>
      </c>
      <c r="F3979" s="2" t="s">
        <v>174</v>
      </c>
    </row>
    <row r="3980" spans="1:6" ht="22.5" hidden="1" customHeight="1" x14ac:dyDescent="0.25">
      <c r="A3980" s="3">
        <v>44166</v>
      </c>
      <c r="B3980" s="2" t="s">
        <v>314</v>
      </c>
      <c r="C3980" s="2">
        <v>-0.08</v>
      </c>
      <c r="D3980" s="2">
        <v>0.39419999999999999</v>
      </c>
      <c r="E3980" s="2">
        <v>-3.1535999999999999E-4</v>
      </c>
      <c r="F3980" s="2" t="s">
        <v>174</v>
      </c>
    </row>
    <row r="3981" spans="1:6" ht="22.5" hidden="1" customHeight="1" x14ac:dyDescent="0.25">
      <c r="A3981" s="3">
        <v>44166</v>
      </c>
      <c r="B3981" s="2" t="s">
        <v>315</v>
      </c>
      <c r="C3981" s="2">
        <v>0.64</v>
      </c>
      <c r="D3981" s="2">
        <v>0.26400000000000001</v>
      </c>
      <c r="E3981" s="2">
        <v>1.6896000000000001E-3</v>
      </c>
      <c r="F3981" s="2" t="s">
        <v>174</v>
      </c>
    </row>
    <row r="3982" spans="1:6" ht="22.5" hidden="1" customHeight="1" x14ac:dyDescent="0.25">
      <c r="A3982" s="3">
        <v>44166</v>
      </c>
      <c r="B3982" s="2" t="s">
        <v>316</v>
      </c>
      <c r="C3982" s="2">
        <v>-0.93</v>
      </c>
      <c r="D3982" s="2">
        <v>4.0000000000000001E-3</v>
      </c>
      <c r="E3982" s="2">
        <v>-3.7200000000000003E-5</v>
      </c>
      <c r="F3982" s="2" t="s">
        <v>174</v>
      </c>
    </row>
    <row r="3983" spans="1:6" ht="22.5" hidden="1" customHeight="1" x14ac:dyDescent="0.25">
      <c r="A3983" s="3">
        <v>44166</v>
      </c>
      <c r="B3983" s="2" t="s">
        <v>317</v>
      </c>
      <c r="C3983" s="2">
        <v>-1.83</v>
      </c>
      <c r="D3983" s="2">
        <v>1.0295000000000001</v>
      </c>
      <c r="E3983" s="2">
        <v>-1.8839849999999998E-2</v>
      </c>
      <c r="F3983" s="2" t="s">
        <v>174</v>
      </c>
    </row>
    <row r="3984" spans="1:6" ht="22.5" hidden="1" customHeight="1" x14ac:dyDescent="0.25">
      <c r="A3984" s="3">
        <v>44166</v>
      </c>
      <c r="B3984" s="2" t="s">
        <v>318</v>
      </c>
      <c r="C3984" s="2">
        <v>1.29</v>
      </c>
      <c r="D3984" s="2">
        <v>0.4491</v>
      </c>
      <c r="E3984" s="2">
        <v>5.7933899999999998E-3</v>
      </c>
      <c r="F3984" s="2" t="s">
        <v>174</v>
      </c>
    </row>
    <row r="3985" spans="1:6" ht="22.5" hidden="1" customHeight="1" x14ac:dyDescent="0.25">
      <c r="A3985" s="3">
        <v>44166</v>
      </c>
      <c r="B3985" s="2" t="s">
        <v>319</v>
      </c>
      <c r="C3985" s="2">
        <v>0.39</v>
      </c>
      <c r="D3985" s="2">
        <v>0.1109</v>
      </c>
      <c r="E3985" s="2">
        <v>4.3250999999999999E-4</v>
      </c>
      <c r="F3985" s="2" t="s">
        <v>174</v>
      </c>
    </row>
    <row r="3986" spans="1:6" ht="22.5" hidden="1" customHeight="1" x14ac:dyDescent="0.25">
      <c r="A3986" s="3">
        <v>44166</v>
      </c>
      <c r="B3986" s="2" t="s">
        <v>320</v>
      </c>
      <c r="C3986" s="2">
        <v>1.57</v>
      </c>
      <c r="D3986" s="2">
        <v>0.29809999999999998</v>
      </c>
      <c r="E3986" s="2">
        <v>4.68017E-3</v>
      </c>
      <c r="F3986" s="2" t="s">
        <v>174</v>
      </c>
    </row>
    <row r="3987" spans="1:6" ht="22.5" hidden="1" customHeight="1" x14ac:dyDescent="0.25">
      <c r="A3987" s="3">
        <v>44166</v>
      </c>
      <c r="B3987" s="2" t="s">
        <v>321</v>
      </c>
      <c r="C3987" s="2">
        <v>2.2200000000000002</v>
      </c>
      <c r="D3987" s="2">
        <v>0.20660000000000001</v>
      </c>
      <c r="E3987" s="2">
        <v>4.5865200000000002E-3</v>
      </c>
      <c r="F3987" s="2" t="s">
        <v>174</v>
      </c>
    </row>
    <row r="3988" spans="1:6" ht="22.5" hidden="1" customHeight="1" x14ac:dyDescent="0.25">
      <c r="A3988" s="3">
        <v>44166</v>
      </c>
      <c r="B3988" s="2" t="s">
        <v>322</v>
      </c>
      <c r="C3988" s="2">
        <v>-3.79</v>
      </c>
      <c r="D3988" s="2">
        <v>0.15909999999999999</v>
      </c>
      <c r="E3988" s="2">
        <v>-6.0298900000000004E-3</v>
      </c>
      <c r="F3988" s="2" t="s">
        <v>174</v>
      </c>
    </row>
    <row r="3989" spans="1:6" ht="22.5" hidden="1" customHeight="1" x14ac:dyDescent="0.25">
      <c r="A3989" s="3">
        <v>44166</v>
      </c>
      <c r="B3989" s="2" t="s">
        <v>323</v>
      </c>
      <c r="C3989" s="2">
        <v>0.89</v>
      </c>
      <c r="D3989" s="2">
        <v>1.11E-2</v>
      </c>
      <c r="E3989" s="2">
        <v>9.8789999999999994E-5</v>
      </c>
      <c r="F3989" s="2" t="s">
        <v>165</v>
      </c>
    </row>
    <row r="3990" spans="1:6" ht="22.5" hidden="1" customHeight="1" x14ac:dyDescent="0.25">
      <c r="A3990" s="3">
        <v>44166</v>
      </c>
      <c r="B3990" s="2" t="s">
        <v>324</v>
      </c>
      <c r="C3990" s="2">
        <v>0.83</v>
      </c>
      <c r="D3990" s="2">
        <v>0.39119999999999999</v>
      </c>
      <c r="E3990" s="2">
        <v>3.2469600000000001E-3</v>
      </c>
      <c r="F3990" s="2" t="s">
        <v>165</v>
      </c>
    </row>
    <row r="3991" spans="1:6" ht="22.5" hidden="1" customHeight="1" x14ac:dyDescent="0.25">
      <c r="A3991" s="3">
        <v>44166</v>
      </c>
      <c r="B3991" s="2" t="s">
        <v>325</v>
      </c>
      <c r="C3991" s="2">
        <v>0.03</v>
      </c>
      <c r="D3991" s="2">
        <v>3.1364999999999998</v>
      </c>
      <c r="E3991" s="2">
        <v>9.4094999999999997E-4</v>
      </c>
      <c r="F3991" s="2" t="s">
        <v>165</v>
      </c>
    </row>
    <row r="3992" spans="1:6" ht="22.5" hidden="1" customHeight="1" x14ac:dyDescent="0.25">
      <c r="A3992" s="3">
        <v>44166</v>
      </c>
      <c r="B3992" s="2" t="s">
        <v>326</v>
      </c>
      <c r="C3992" s="2">
        <v>-0.75</v>
      </c>
      <c r="D3992" s="2">
        <v>1.0530999999999999</v>
      </c>
      <c r="E3992" s="2">
        <v>-7.8982500000000008E-3</v>
      </c>
      <c r="F3992" s="2" t="s">
        <v>165</v>
      </c>
    </row>
    <row r="3993" spans="1:6" ht="22.5" hidden="1" customHeight="1" x14ac:dyDescent="0.25">
      <c r="A3993" s="3">
        <v>44166</v>
      </c>
      <c r="B3993" s="2" t="s">
        <v>327</v>
      </c>
      <c r="C3993" s="2">
        <v>1.31</v>
      </c>
      <c r="D3993" s="2">
        <v>6.0900000000000003E-2</v>
      </c>
      <c r="E3993" s="2">
        <v>7.9779000000000004E-4</v>
      </c>
      <c r="F3993" s="2" t="s">
        <v>165</v>
      </c>
    </row>
    <row r="3994" spans="1:6" ht="22.5" hidden="1" customHeight="1" x14ac:dyDescent="0.25">
      <c r="A3994" s="3">
        <v>44166</v>
      </c>
      <c r="B3994" s="2" t="s">
        <v>328</v>
      </c>
      <c r="C3994" s="2">
        <v>0</v>
      </c>
      <c r="D3994" s="2">
        <v>1.83E-2</v>
      </c>
      <c r="E3994" s="2">
        <v>0</v>
      </c>
      <c r="F3994" s="2" t="s">
        <v>165</v>
      </c>
    </row>
    <row r="3995" spans="1:6" ht="22.5" hidden="1" customHeight="1" x14ac:dyDescent="0.25">
      <c r="A3995" s="3">
        <v>44166</v>
      </c>
      <c r="B3995" s="2" t="s">
        <v>329</v>
      </c>
      <c r="C3995" s="2">
        <v>1.33</v>
      </c>
      <c r="D3995" s="2">
        <v>9.7199999999999995E-2</v>
      </c>
      <c r="E3995" s="2">
        <v>1.29276E-3</v>
      </c>
      <c r="F3995" s="2" t="s">
        <v>165</v>
      </c>
    </row>
    <row r="3996" spans="1:6" ht="22.5" hidden="1" customHeight="1" x14ac:dyDescent="0.25">
      <c r="A3996" s="3">
        <v>44166</v>
      </c>
      <c r="B3996" s="2" t="s">
        <v>330</v>
      </c>
      <c r="C3996" s="2">
        <v>0.39</v>
      </c>
      <c r="D3996" s="2">
        <v>1.7726999999999999</v>
      </c>
      <c r="E3996" s="2">
        <v>6.9135300000000002E-3</v>
      </c>
      <c r="F3996" s="2" t="s">
        <v>165</v>
      </c>
    </row>
    <row r="3997" spans="1:6" ht="22.5" hidden="1" customHeight="1" x14ac:dyDescent="0.25">
      <c r="A3997" s="3">
        <v>44166</v>
      </c>
      <c r="B3997" s="2" t="s">
        <v>331</v>
      </c>
      <c r="C3997" s="2">
        <v>0.14000000000000001</v>
      </c>
      <c r="D3997" s="2">
        <v>5.8200000000000002E-2</v>
      </c>
      <c r="E3997" s="2">
        <v>8.1479999999999999E-5</v>
      </c>
      <c r="F3997" s="2" t="s">
        <v>165</v>
      </c>
    </row>
    <row r="3998" spans="1:6" ht="22.5" hidden="1" customHeight="1" x14ac:dyDescent="0.25">
      <c r="A3998" s="3">
        <v>44166</v>
      </c>
      <c r="B3998" s="2" t="s">
        <v>332</v>
      </c>
      <c r="C3998" s="2">
        <v>0.81</v>
      </c>
      <c r="D3998" s="2">
        <v>0.10879999999999999</v>
      </c>
      <c r="E3998" s="2">
        <v>8.8128000000000002E-4</v>
      </c>
      <c r="F3998" s="2" t="s">
        <v>165</v>
      </c>
    </row>
    <row r="3999" spans="1:6" ht="22.5" hidden="1" customHeight="1" x14ac:dyDescent="0.25">
      <c r="A3999" s="3">
        <v>44166</v>
      </c>
      <c r="B3999" s="2" t="s">
        <v>333</v>
      </c>
      <c r="C3999" s="2">
        <v>0.13</v>
      </c>
      <c r="D3999" s="2">
        <v>8.5500000000000007E-2</v>
      </c>
      <c r="E3999" s="2">
        <v>1.1115E-4</v>
      </c>
      <c r="F3999" s="2" t="s">
        <v>165</v>
      </c>
    </row>
    <row r="4000" spans="1:6" ht="22.5" hidden="1" customHeight="1" x14ac:dyDescent="0.25">
      <c r="A4000" s="3">
        <v>44166</v>
      </c>
      <c r="B4000" s="2" t="s">
        <v>334</v>
      </c>
      <c r="C4000" s="2">
        <v>0.84</v>
      </c>
      <c r="D4000" s="2">
        <v>2.1100000000000001E-2</v>
      </c>
      <c r="E4000" s="2">
        <v>1.7724E-4</v>
      </c>
      <c r="F4000" s="2" t="s">
        <v>170</v>
      </c>
    </row>
    <row r="4001" spans="1:6" ht="22.5" hidden="1" customHeight="1" x14ac:dyDescent="0.25">
      <c r="A4001" s="3">
        <v>44166</v>
      </c>
      <c r="B4001" s="2" t="s">
        <v>335</v>
      </c>
      <c r="C4001" s="2">
        <v>-0.14000000000000001</v>
      </c>
      <c r="D4001" s="2">
        <v>0.29349999999999998</v>
      </c>
      <c r="E4001" s="2">
        <v>-4.1090000000000001E-4</v>
      </c>
      <c r="F4001" s="2" t="s">
        <v>165</v>
      </c>
    </row>
    <row r="4002" spans="1:6" ht="22.5" hidden="1" customHeight="1" x14ac:dyDescent="0.25">
      <c r="A4002" s="3">
        <v>44166</v>
      </c>
      <c r="B4002" s="2" t="s">
        <v>336</v>
      </c>
      <c r="C4002" s="2">
        <v>1.42</v>
      </c>
      <c r="D4002" s="2">
        <v>0.1016</v>
      </c>
      <c r="E4002" s="2">
        <v>1.44272E-3</v>
      </c>
      <c r="F4002" s="2" t="s">
        <v>170</v>
      </c>
    </row>
    <row r="4003" spans="1:6" ht="22.5" hidden="1" customHeight="1" x14ac:dyDescent="0.25">
      <c r="A4003" s="3">
        <v>44166</v>
      </c>
      <c r="B4003" s="2" t="s">
        <v>337</v>
      </c>
      <c r="C4003" s="2">
        <v>2.61</v>
      </c>
      <c r="D4003" s="2">
        <v>0.3347</v>
      </c>
      <c r="E4003" s="2">
        <v>8.7356699999999992E-3</v>
      </c>
      <c r="F4003" s="2" t="s">
        <v>174</v>
      </c>
    </row>
    <row r="4004" spans="1:6" ht="22.5" hidden="1" customHeight="1" x14ac:dyDescent="0.25">
      <c r="A4004" s="3">
        <v>44166</v>
      </c>
      <c r="B4004" s="2" t="s">
        <v>338</v>
      </c>
      <c r="C4004" s="2">
        <v>-0.36</v>
      </c>
      <c r="D4004" s="2">
        <v>0.20499999999999999</v>
      </c>
      <c r="E4004" s="2">
        <v>-7.3800000000000005E-4</v>
      </c>
      <c r="F4004" s="2" t="s">
        <v>174</v>
      </c>
    </row>
    <row r="4005" spans="1:6" ht="22.5" hidden="1" customHeight="1" x14ac:dyDescent="0.25">
      <c r="A4005" s="3">
        <v>44166</v>
      </c>
      <c r="B4005" s="2" t="s">
        <v>339</v>
      </c>
      <c r="C4005" s="2">
        <v>-0.01</v>
      </c>
      <c r="D4005" s="2">
        <v>4.3799999999999999E-2</v>
      </c>
      <c r="E4005" s="2">
        <v>-4.3800000000000004E-6</v>
      </c>
      <c r="F4005" s="2" t="s">
        <v>165</v>
      </c>
    </row>
    <row r="4006" spans="1:6" ht="22.5" hidden="1" customHeight="1" x14ac:dyDescent="0.25">
      <c r="A4006" s="3">
        <v>44348</v>
      </c>
      <c r="B4006" s="2" t="s">
        <v>299</v>
      </c>
      <c r="C4006" s="2">
        <v>0.42</v>
      </c>
      <c r="D4006" s="2">
        <v>9.2200000000000004E-2</v>
      </c>
      <c r="E4006" s="2">
        <v>3.8724000000000001E-4</v>
      </c>
      <c r="F4006" s="2" t="s">
        <v>168</v>
      </c>
    </row>
    <row r="4007" spans="1:6" ht="22.5" hidden="1" customHeight="1" x14ac:dyDescent="0.25">
      <c r="A4007" s="3">
        <v>44166</v>
      </c>
      <c r="B4007" s="2" t="s">
        <v>341</v>
      </c>
      <c r="C4007" s="2">
        <v>3.12</v>
      </c>
      <c r="D4007" s="2">
        <v>1.12E-2</v>
      </c>
      <c r="E4007" s="2">
        <v>3.4944000000000002E-4</v>
      </c>
      <c r="F4007" s="2" t="s">
        <v>174</v>
      </c>
    </row>
    <row r="4008" spans="1:6" ht="22.5" hidden="1" customHeight="1" x14ac:dyDescent="0.25">
      <c r="A4008" s="3">
        <v>44166</v>
      </c>
      <c r="B4008" s="2" t="s">
        <v>342</v>
      </c>
      <c r="C4008" s="2">
        <v>-0.1</v>
      </c>
      <c r="D4008" s="2">
        <v>0.5363</v>
      </c>
      <c r="E4008" s="2">
        <v>-5.3629999999999997E-4</v>
      </c>
      <c r="F4008" s="2" t="s">
        <v>165</v>
      </c>
    </row>
    <row r="4009" spans="1:6" ht="22.5" hidden="1" customHeight="1" x14ac:dyDescent="0.25">
      <c r="A4009" s="3">
        <v>44166</v>
      </c>
      <c r="B4009" s="2" t="s">
        <v>343</v>
      </c>
      <c r="C4009" s="2">
        <v>5.93</v>
      </c>
      <c r="D4009" s="2">
        <v>0.48349999999999999</v>
      </c>
      <c r="E4009" s="2">
        <v>2.8671550000000001E-2</v>
      </c>
      <c r="F4009" s="2" t="s">
        <v>165</v>
      </c>
    </row>
    <row r="4010" spans="1:6" ht="22.5" hidden="1" customHeight="1" x14ac:dyDescent="0.25">
      <c r="A4010" s="3">
        <v>44166</v>
      </c>
      <c r="B4010" s="2" t="s">
        <v>344</v>
      </c>
      <c r="C4010" s="2">
        <v>1.3</v>
      </c>
      <c r="D4010" s="2">
        <v>0.14230000000000001</v>
      </c>
      <c r="E4010" s="2">
        <v>1.8499E-3</v>
      </c>
      <c r="F4010" s="2" t="s">
        <v>165</v>
      </c>
    </row>
    <row r="4011" spans="1:6" ht="22.5" hidden="1" customHeight="1" x14ac:dyDescent="0.25">
      <c r="A4011" s="3">
        <v>44166</v>
      </c>
      <c r="B4011" s="2" t="s">
        <v>345</v>
      </c>
      <c r="C4011" s="2">
        <v>-0.81</v>
      </c>
      <c r="D4011" s="2">
        <v>0.5323</v>
      </c>
      <c r="E4011" s="2">
        <v>-4.3116300000000003E-3</v>
      </c>
      <c r="F4011" s="2" t="s">
        <v>165</v>
      </c>
    </row>
    <row r="4012" spans="1:6" ht="22.5" hidden="1" customHeight="1" x14ac:dyDescent="0.25">
      <c r="A4012" s="3">
        <v>44166</v>
      </c>
      <c r="B4012" s="2" t="s">
        <v>346</v>
      </c>
      <c r="C4012" s="2">
        <v>0</v>
      </c>
      <c r="D4012" s="2">
        <v>0.55000000000000004</v>
      </c>
      <c r="E4012" s="2">
        <v>0</v>
      </c>
      <c r="F4012" s="2" t="s">
        <v>174</v>
      </c>
    </row>
    <row r="4013" spans="1:6" ht="22.5" hidden="1" customHeight="1" x14ac:dyDescent="0.25">
      <c r="A4013" s="3">
        <v>44166</v>
      </c>
      <c r="B4013" s="2" t="s">
        <v>347</v>
      </c>
      <c r="C4013" s="2">
        <v>1.48</v>
      </c>
      <c r="D4013" s="2">
        <v>0.19370000000000001</v>
      </c>
      <c r="E4013" s="2">
        <v>2.8667599999999999E-3</v>
      </c>
      <c r="F4013" s="2" t="s">
        <v>165</v>
      </c>
    </row>
    <row r="4014" spans="1:6" ht="22.5" hidden="1" customHeight="1" x14ac:dyDescent="0.25">
      <c r="A4014" s="3">
        <v>44166</v>
      </c>
      <c r="B4014" s="2" t="s">
        <v>348</v>
      </c>
      <c r="C4014" s="2">
        <v>0.76</v>
      </c>
      <c r="D4014" s="2">
        <v>0.31569999999999998</v>
      </c>
      <c r="E4014" s="2">
        <v>2.3993199999999999E-3</v>
      </c>
      <c r="F4014" s="2" t="s">
        <v>165</v>
      </c>
    </row>
    <row r="4015" spans="1:6" ht="22.5" hidden="1" customHeight="1" x14ac:dyDescent="0.25">
      <c r="A4015" s="3">
        <v>44166</v>
      </c>
      <c r="B4015" s="2" t="s">
        <v>349</v>
      </c>
      <c r="C4015" s="2">
        <v>0.69</v>
      </c>
      <c r="D4015" s="2">
        <v>1.5255000000000001</v>
      </c>
      <c r="E4015" s="2">
        <v>1.0525949999999999E-2</v>
      </c>
      <c r="F4015" s="2" t="s">
        <v>165</v>
      </c>
    </row>
    <row r="4016" spans="1:6" ht="22.5" hidden="1" customHeight="1" x14ac:dyDescent="0.25">
      <c r="A4016" s="3">
        <v>44166</v>
      </c>
      <c r="B4016" s="2" t="s">
        <v>350</v>
      </c>
      <c r="C4016" s="2">
        <v>1.1000000000000001</v>
      </c>
      <c r="D4016" s="2">
        <v>0.38369999999999999</v>
      </c>
      <c r="E4016" s="2">
        <v>4.2207E-3</v>
      </c>
      <c r="F4016" s="2" t="s">
        <v>165</v>
      </c>
    </row>
    <row r="4017" spans="1:6" ht="22.5" hidden="1" customHeight="1" x14ac:dyDescent="0.25">
      <c r="A4017" s="3">
        <v>44166</v>
      </c>
      <c r="B4017" s="2" t="s">
        <v>351</v>
      </c>
      <c r="C4017" s="2">
        <v>0.04</v>
      </c>
      <c r="D4017" s="2">
        <v>1.8080000000000001</v>
      </c>
      <c r="E4017" s="2">
        <v>7.2320000000000001E-4</v>
      </c>
      <c r="F4017" s="2" t="s">
        <v>165</v>
      </c>
    </row>
    <row r="4018" spans="1:6" ht="22.5" hidden="1" customHeight="1" x14ac:dyDescent="0.25">
      <c r="A4018" s="3">
        <v>44166</v>
      </c>
      <c r="B4018" s="2" t="s">
        <v>352</v>
      </c>
      <c r="C4018" s="2">
        <v>-0.72</v>
      </c>
      <c r="D4018" s="2">
        <v>0.28639999999999999</v>
      </c>
      <c r="E4018" s="2">
        <v>-2.06208E-3</v>
      </c>
      <c r="F4018" s="2" t="s">
        <v>165</v>
      </c>
    </row>
    <row r="4019" spans="1:6" ht="22.5" hidden="1" customHeight="1" x14ac:dyDescent="0.25">
      <c r="A4019" s="3">
        <v>44166</v>
      </c>
      <c r="B4019" s="2" t="s">
        <v>353</v>
      </c>
      <c r="C4019" s="2">
        <v>3.91</v>
      </c>
      <c r="D4019" s="2">
        <v>4.1599999999999998E-2</v>
      </c>
      <c r="E4019" s="2">
        <v>1.62656E-3</v>
      </c>
      <c r="F4019" s="2" t="s">
        <v>165</v>
      </c>
    </row>
    <row r="4020" spans="1:6" ht="22.5" hidden="1" customHeight="1" x14ac:dyDescent="0.25">
      <c r="A4020" s="3">
        <v>44166</v>
      </c>
      <c r="B4020" s="2" t="s">
        <v>354</v>
      </c>
      <c r="C4020" s="2">
        <v>-0.81</v>
      </c>
      <c r="D4020" s="2">
        <v>3.2000000000000001E-2</v>
      </c>
      <c r="E4020" s="2">
        <v>-2.5920000000000001E-4</v>
      </c>
      <c r="F4020" s="2" t="s">
        <v>165</v>
      </c>
    </row>
    <row r="4021" spans="1:6" ht="22.5" hidden="1" customHeight="1" x14ac:dyDescent="0.25">
      <c r="A4021" s="3">
        <v>44166</v>
      </c>
      <c r="B4021" s="2" t="s">
        <v>355</v>
      </c>
      <c r="C4021" s="2">
        <v>0</v>
      </c>
      <c r="D4021" s="2">
        <v>3.0099999999999998E-2</v>
      </c>
      <c r="E4021" s="2">
        <v>0</v>
      </c>
      <c r="F4021" s="2" t="s">
        <v>174</v>
      </c>
    </row>
    <row r="4022" spans="1:6" ht="22.5" hidden="1" customHeight="1" x14ac:dyDescent="0.25">
      <c r="A4022" s="3">
        <v>44166</v>
      </c>
      <c r="B4022" s="2" t="s">
        <v>356</v>
      </c>
      <c r="C4022" s="2">
        <v>-9.6999999999999993</v>
      </c>
      <c r="D4022" s="2">
        <v>2.9899999999999999E-2</v>
      </c>
      <c r="E4022" s="2">
        <v>-2.9003000000000002E-3</v>
      </c>
      <c r="F4022" s="2" t="s">
        <v>174</v>
      </c>
    </row>
    <row r="4023" spans="1:6" ht="22.5" hidden="1" customHeight="1" x14ac:dyDescent="0.25">
      <c r="A4023" s="3">
        <v>44166</v>
      </c>
      <c r="B4023" s="2" t="s">
        <v>357</v>
      </c>
      <c r="C4023" s="2">
        <v>0</v>
      </c>
      <c r="D4023" s="2">
        <v>0.37709999999999999</v>
      </c>
      <c r="E4023" s="2">
        <v>0</v>
      </c>
      <c r="F4023" s="2" t="s">
        <v>174</v>
      </c>
    </row>
    <row r="4024" spans="1:6" ht="22.5" hidden="1" customHeight="1" x14ac:dyDescent="0.25">
      <c r="A4024" s="3">
        <v>44166</v>
      </c>
      <c r="B4024" s="2" t="s">
        <v>358</v>
      </c>
      <c r="C4024" s="2">
        <v>-2.39</v>
      </c>
      <c r="D4024" s="2">
        <v>9.9199999999999997E-2</v>
      </c>
      <c r="E4024" s="2">
        <v>-2.3708800000000001E-3</v>
      </c>
      <c r="F4024" s="2" t="s">
        <v>174</v>
      </c>
    </row>
    <row r="4025" spans="1:6" ht="22.5" hidden="1" customHeight="1" x14ac:dyDescent="0.25">
      <c r="A4025" s="3">
        <v>44166</v>
      </c>
      <c r="B4025" s="2" t="s">
        <v>359</v>
      </c>
      <c r="C4025" s="2">
        <v>-0.81</v>
      </c>
      <c r="D4025" s="2">
        <v>4.8300000000000003E-2</v>
      </c>
      <c r="E4025" s="2">
        <v>-3.9123000000000001E-4</v>
      </c>
      <c r="F4025" s="2" t="s">
        <v>174</v>
      </c>
    </row>
    <row r="4026" spans="1:6" ht="22.5" hidden="1" customHeight="1" x14ac:dyDescent="0.25">
      <c r="A4026" s="3">
        <v>44166</v>
      </c>
      <c r="B4026" s="2" t="s">
        <v>360</v>
      </c>
      <c r="C4026" s="2">
        <v>0.38</v>
      </c>
      <c r="D4026" s="2">
        <v>8.8900000000000007E-2</v>
      </c>
      <c r="E4026" s="2">
        <v>3.3782000000000001E-4</v>
      </c>
      <c r="F4026" s="2" t="s">
        <v>174</v>
      </c>
    </row>
    <row r="4027" spans="1:6" ht="22.5" hidden="1" customHeight="1" x14ac:dyDescent="0.25">
      <c r="A4027" s="3">
        <v>44166</v>
      </c>
      <c r="B4027" s="2" t="s">
        <v>361</v>
      </c>
      <c r="C4027" s="2">
        <v>0.33</v>
      </c>
      <c r="D4027" s="2">
        <v>7.8700000000000006E-2</v>
      </c>
      <c r="E4027" s="2">
        <v>2.5971000000000002E-4</v>
      </c>
      <c r="F4027" s="2" t="s">
        <v>165</v>
      </c>
    </row>
    <row r="4028" spans="1:6" ht="22.5" hidden="1" customHeight="1" x14ac:dyDescent="0.25">
      <c r="A4028" s="3">
        <v>44166</v>
      </c>
      <c r="B4028" s="2" t="s">
        <v>362</v>
      </c>
      <c r="C4028" s="2">
        <v>0</v>
      </c>
      <c r="D4028" s="2">
        <v>0.30769999999999997</v>
      </c>
      <c r="E4028" s="2">
        <v>0</v>
      </c>
      <c r="F4028" s="2" t="s">
        <v>165</v>
      </c>
    </row>
    <row r="4029" spans="1:6" ht="22.5" hidden="1" customHeight="1" x14ac:dyDescent="0.25">
      <c r="A4029" s="3">
        <v>44166</v>
      </c>
      <c r="B4029" s="2" t="s">
        <v>363</v>
      </c>
      <c r="C4029" s="2">
        <v>0.11</v>
      </c>
      <c r="D4029" s="2">
        <v>4.9700000000000001E-2</v>
      </c>
      <c r="E4029" s="2">
        <v>5.4669999999999997E-5</v>
      </c>
      <c r="F4029" s="2" t="s">
        <v>165</v>
      </c>
    </row>
    <row r="4030" spans="1:6" ht="22.5" hidden="1" customHeight="1" x14ac:dyDescent="0.25">
      <c r="A4030" s="3">
        <v>44166</v>
      </c>
      <c r="B4030" s="2" t="s">
        <v>364</v>
      </c>
      <c r="C4030" s="2">
        <v>1.44</v>
      </c>
      <c r="D4030" s="2">
        <v>0.40310000000000001</v>
      </c>
      <c r="E4030" s="2">
        <v>5.8046399999999998E-3</v>
      </c>
      <c r="F4030" s="2" t="s">
        <v>165</v>
      </c>
    </row>
    <row r="4031" spans="1:6" ht="22.5" hidden="1" customHeight="1" x14ac:dyDescent="0.25">
      <c r="A4031" s="3">
        <v>44136</v>
      </c>
      <c r="B4031" s="2" t="s">
        <v>299</v>
      </c>
      <c r="C4031" s="2">
        <v>0.41</v>
      </c>
      <c r="D4031" s="2">
        <v>9.4E-2</v>
      </c>
      <c r="E4031" s="2">
        <v>3.8539999999999999E-4</v>
      </c>
      <c r="F4031" s="2" t="s">
        <v>168</v>
      </c>
    </row>
    <row r="4032" spans="1:6" ht="22.5" hidden="1" customHeight="1" x14ac:dyDescent="0.25">
      <c r="A4032" s="3">
        <v>44593</v>
      </c>
      <c r="B4032" s="2" t="s">
        <v>299</v>
      </c>
      <c r="C4032" s="2">
        <v>0.44</v>
      </c>
      <c r="D4032" s="2">
        <v>8.5900000000000004E-2</v>
      </c>
      <c r="E4032" s="2">
        <v>3.7795999999999999E-4</v>
      </c>
      <c r="F4032" s="2" t="s">
        <v>168</v>
      </c>
    </row>
    <row r="4033" spans="1:6" ht="22.5" hidden="1" customHeight="1" x14ac:dyDescent="0.25">
      <c r="A4033" s="3">
        <v>44044</v>
      </c>
      <c r="B4033" s="2" t="s">
        <v>301</v>
      </c>
      <c r="C4033" s="2">
        <v>0.24</v>
      </c>
      <c r="D4033" s="2">
        <v>0.15509999999999999</v>
      </c>
      <c r="E4033" s="2">
        <v>3.7223999999999997E-4</v>
      </c>
      <c r="F4033" s="2" t="s">
        <v>168</v>
      </c>
    </row>
    <row r="4034" spans="1:6" ht="22.5" hidden="1" customHeight="1" x14ac:dyDescent="0.25">
      <c r="A4034" s="3">
        <v>44166</v>
      </c>
      <c r="B4034" s="2" t="s">
        <v>368</v>
      </c>
      <c r="C4034" s="2">
        <v>0</v>
      </c>
      <c r="D4034" s="2">
        <v>0.39779999999999999</v>
      </c>
      <c r="E4034" s="2">
        <v>0</v>
      </c>
      <c r="F4034" s="2" t="s">
        <v>165</v>
      </c>
    </row>
    <row r="4035" spans="1:6" ht="22.5" hidden="1" customHeight="1" x14ac:dyDescent="0.25">
      <c r="A4035" s="3">
        <v>44166</v>
      </c>
      <c r="B4035" s="2" t="s">
        <v>369</v>
      </c>
      <c r="C4035" s="2">
        <v>0</v>
      </c>
      <c r="D4035" s="2">
        <v>0.57650000000000001</v>
      </c>
      <c r="E4035" s="2">
        <v>0</v>
      </c>
      <c r="F4035" s="2" t="s">
        <v>165</v>
      </c>
    </row>
    <row r="4036" spans="1:6" ht="22.5" hidden="1" customHeight="1" x14ac:dyDescent="0.25">
      <c r="A4036" s="3">
        <v>44166</v>
      </c>
      <c r="B4036" s="2" t="s">
        <v>370</v>
      </c>
      <c r="C4036" s="2">
        <v>0.71</v>
      </c>
      <c r="D4036" s="2">
        <v>1.0296000000000001</v>
      </c>
      <c r="E4036" s="2">
        <v>7.3101599999999996E-3</v>
      </c>
      <c r="F4036" s="2" t="s">
        <v>170</v>
      </c>
    </row>
    <row r="4037" spans="1:6" ht="22.5" hidden="1" customHeight="1" x14ac:dyDescent="0.25">
      <c r="A4037" s="3">
        <v>44166</v>
      </c>
      <c r="B4037" s="2" t="s">
        <v>371</v>
      </c>
      <c r="C4037" s="2">
        <v>0</v>
      </c>
      <c r="D4037" s="2">
        <v>6.8199999999999997E-2</v>
      </c>
      <c r="E4037" s="2">
        <v>0</v>
      </c>
      <c r="F4037" s="2" t="s">
        <v>165</v>
      </c>
    </row>
    <row r="4038" spans="1:6" ht="22.5" hidden="1" customHeight="1" x14ac:dyDescent="0.25">
      <c r="A4038" s="3">
        <v>44166</v>
      </c>
      <c r="B4038" s="2" t="s">
        <v>372</v>
      </c>
      <c r="C4038" s="2">
        <v>0.84</v>
      </c>
      <c r="D4038" s="2">
        <v>1.7254</v>
      </c>
      <c r="E4038" s="2">
        <v>1.449336E-2</v>
      </c>
      <c r="F4038" s="2" t="s">
        <v>165</v>
      </c>
    </row>
    <row r="4039" spans="1:6" ht="22.5" hidden="1" customHeight="1" x14ac:dyDescent="0.25">
      <c r="A4039" s="3">
        <v>44197</v>
      </c>
      <c r="B4039" s="2" t="s">
        <v>6</v>
      </c>
      <c r="C4039" s="2">
        <v>2</v>
      </c>
      <c r="D4039" s="2">
        <v>0.74870000000000003</v>
      </c>
      <c r="E4039" s="2">
        <v>1.4973999999999999E-2</v>
      </c>
      <c r="F4039" s="2" t="s">
        <v>7</v>
      </c>
    </row>
    <row r="4040" spans="1:6" ht="22.5" hidden="1" customHeight="1" x14ac:dyDescent="0.25">
      <c r="A4040" s="3">
        <v>44197</v>
      </c>
      <c r="B4040" s="2" t="s">
        <v>8</v>
      </c>
      <c r="C4040" s="2">
        <v>-0.93</v>
      </c>
      <c r="D4040" s="2">
        <v>1.46E-2</v>
      </c>
      <c r="E4040" s="2">
        <v>-1.3578E-4</v>
      </c>
      <c r="F4040" s="2" t="s">
        <v>7</v>
      </c>
    </row>
    <row r="4041" spans="1:6" ht="22.5" hidden="1" customHeight="1" x14ac:dyDescent="0.25">
      <c r="A4041" s="3">
        <v>44197</v>
      </c>
      <c r="B4041" s="2" t="s">
        <v>9</v>
      </c>
      <c r="C4041" s="2">
        <v>4.3600000000000003</v>
      </c>
      <c r="D4041" s="2">
        <v>6.5699999999999995E-2</v>
      </c>
      <c r="E4041" s="2">
        <v>2.8645200000000002E-3</v>
      </c>
      <c r="F4041" s="2" t="s">
        <v>7</v>
      </c>
    </row>
    <row r="4042" spans="1:6" ht="22.5" hidden="1" customHeight="1" x14ac:dyDescent="0.25">
      <c r="A4042" s="3">
        <v>44197</v>
      </c>
      <c r="B4042" s="2" t="s">
        <v>10</v>
      </c>
      <c r="C4042" s="2">
        <v>5.12</v>
      </c>
      <c r="D4042" s="2">
        <v>2.1100000000000001E-2</v>
      </c>
      <c r="E4042" s="2">
        <v>1.0803200000000001E-3</v>
      </c>
      <c r="F4042" s="2" t="s">
        <v>7</v>
      </c>
    </row>
    <row r="4043" spans="1:6" ht="22.5" hidden="1" customHeight="1" x14ac:dyDescent="0.25">
      <c r="A4043" s="3">
        <v>44197</v>
      </c>
      <c r="B4043" s="2" t="s">
        <v>11</v>
      </c>
      <c r="C4043" s="2">
        <v>4.3600000000000003</v>
      </c>
      <c r="D4043" s="2">
        <v>0.14760000000000001</v>
      </c>
      <c r="E4043" s="2">
        <v>6.4353600000000002E-3</v>
      </c>
      <c r="F4043" s="2" t="s">
        <v>7</v>
      </c>
    </row>
    <row r="4044" spans="1:6" ht="22.5" hidden="1" customHeight="1" x14ac:dyDescent="0.25">
      <c r="A4044" s="3">
        <v>44197</v>
      </c>
      <c r="B4044" s="2" t="s">
        <v>12</v>
      </c>
      <c r="C4044" s="2">
        <v>2.0499999999999998</v>
      </c>
      <c r="D4044" s="2">
        <v>1.0800000000000001E-2</v>
      </c>
      <c r="E4044" s="2">
        <v>2.2139999999999999E-4</v>
      </c>
      <c r="F4044" s="2" t="s">
        <v>7</v>
      </c>
    </row>
    <row r="4045" spans="1:6" ht="22.5" hidden="1" customHeight="1" x14ac:dyDescent="0.25">
      <c r="A4045" s="3">
        <v>44197</v>
      </c>
      <c r="B4045" s="2" t="s">
        <v>13</v>
      </c>
      <c r="C4045" s="2">
        <v>-0.9</v>
      </c>
      <c r="D4045" s="2">
        <v>3.0999999999999999E-3</v>
      </c>
      <c r="E4045" s="2">
        <v>-2.7900000000000001E-5</v>
      </c>
      <c r="F4045" s="2" t="s">
        <v>7</v>
      </c>
    </row>
    <row r="4046" spans="1:6" ht="22.5" hidden="1" customHeight="1" x14ac:dyDescent="0.25">
      <c r="A4046" s="3">
        <v>44197</v>
      </c>
      <c r="B4046" s="2" t="s">
        <v>14</v>
      </c>
      <c r="C4046" s="2">
        <v>0.23</v>
      </c>
      <c r="D4046" s="2">
        <v>0.14749999999999999</v>
      </c>
      <c r="E4046" s="2">
        <v>3.3924999999999998E-4</v>
      </c>
      <c r="F4046" s="2" t="s">
        <v>7</v>
      </c>
    </row>
    <row r="4047" spans="1:6" ht="22.5" hidden="1" customHeight="1" x14ac:dyDescent="0.25">
      <c r="A4047" s="3">
        <v>44197</v>
      </c>
      <c r="B4047" s="2" t="s">
        <v>15</v>
      </c>
      <c r="C4047" s="2">
        <v>0.04</v>
      </c>
      <c r="D4047" s="2">
        <v>7.4000000000000003E-3</v>
      </c>
      <c r="E4047" s="2">
        <v>2.96E-6</v>
      </c>
      <c r="F4047" s="2" t="s">
        <v>7</v>
      </c>
    </row>
    <row r="4048" spans="1:6" ht="22.5" hidden="1" customHeight="1" x14ac:dyDescent="0.25">
      <c r="A4048" s="3">
        <v>44197</v>
      </c>
      <c r="B4048" s="2" t="s">
        <v>16</v>
      </c>
      <c r="C4048" s="2">
        <v>2.27</v>
      </c>
      <c r="D4048" s="2">
        <v>9.4000000000000004E-3</v>
      </c>
      <c r="E4048" s="2">
        <v>2.1337999999999999E-4</v>
      </c>
      <c r="F4048" s="2" t="s">
        <v>7</v>
      </c>
    </row>
    <row r="4049" spans="1:6" ht="22.5" hidden="1" customHeight="1" x14ac:dyDescent="0.25">
      <c r="A4049" s="3">
        <v>44197</v>
      </c>
      <c r="B4049" s="2" t="s">
        <v>17</v>
      </c>
      <c r="C4049" s="2">
        <v>0.95</v>
      </c>
      <c r="D4049" s="2">
        <v>4.9500000000000002E-2</v>
      </c>
      <c r="E4049" s="2">
        <v>4.7025000000000002E-4</v>
      </c>
      <c r="F4049" s="2" t="s">
        <v>7</v>
      </c>
    </row>
    <row r="4050" spans="1:6" ht="22.5" hidden="1" customHeight="1" x14ac:dyDescent="0.25">
      <c r="A4050" s="3">
        <v>44197</v>
      </c>
      <c r="B4050" s="2" t="s">
        <v>18</v>
      </c>
      <c r="C4050" s="2">
        <v>1.92</v>
      </c>
      <c r="D4050" s="2">
        <v>9.7799999999999998E-2</v>
      </c>
      <c r="E4050" s="2">
        <v>1.87776E-3</v>
      </c>
      <c r="F4050" s="2" t="s">
        <v>7</v>
      </c>
    </row>
    <row r="4051" spans="1:6" ht="22.5" hidden="1" customHeight="1" x14ac:dyDescent="0.25">
      <c r="A4051" s="3">
        <v>44197</v>
      </c>
      <c r="B4051" s="2" t="s">
        <v>19</v>
      </c>
      <c r="C4051" s="2">
        <v>3.46</v>
      </c>
      <c r="D4051" s="2">
        <v>0.1191</v>
      </c>
      <c r="E4051" s="2">
        <v>4.1208599999999996E-3</v>
      </c>
      <c r="F4051" s="2" t="s">
        <v>7</v>
      </c>
    </row>
    <row r="4052" spans="1:6" ht="22.5" hidden="1" customHeight="1" x14ac:dyDescent="0.25">
      <c r="A4052" s="3">
        <v>44197</v>
      </c>
      <c r="B4052" s="2" t="s">
        <v>20</v>
      </c>
      <c r="C4052" s="2">
        <v>0.6</v>
      </c>
      <c r="D4052" s="2">
        <v>2.5899999999999999E-2</v>
      </c>
      <c r="E4052" s="2">
        <v>1.5540000000000001E-4</v>
      </c>
      <c r="F4052" s="2" t="s">
        <v>7</v>
      </c>
    </row>
    <row r="4053" spans="1:6" ht="22.5" hidden="1" customHeight="1" x14ac:dyDescent="0.25">
      <c r="A4053" s="3">
        <v>44197</v>
      </c>
      <c r="B4053" s="2" t="s">
        <v>21</v>
      </c>
      <c r="C4053" s="2">
        <v>6.66</v>
      </c>
      <c r="D4053" s="2">
        <v>3.0499999999999999E-2</v>
      </c>
      <c r="E4053" s="2">
        <v>2.0313000000000002E-3</v>
      </c>
      <c r="F4053" s="2" t="s">
        <v>7</v>
      </c>
    </row>
    <row r="4054" spans="1:6" ht="22.5" hidden="1" customHeight="1" x14ac:dyDescent="0.25">
      <c r="A4054" s="3">
        <v>44197</v>
      </c>
      <c r="B4054" s="2" t="s">
        <v>22</v>
      </c>
      <c r="C4054" s="2">
        <v>12.34</v>
      </c>
      <c r="D4054" s="2">
        <v>0.21990000000000001</v>
      </c>
      <c r="E4054" s="2">
        <v>2.7135659999999999E-2</v>
      </c>
      <c r="F4054" s="2" t="s">
        <v>7</v>
      </c>
    </row>
    <row r="4055" spans="1:6" ht="22.5" hidden="1" customHeight="1" x14ac:dyDescent="0.25">
      <c r="A4055" s="3">
        <v>44197</v>
      </c>
      <c r="B4055" s="2" t="s">
        <v>23</v>
      </c>
      <c r="C4055" s="2">
        <v>4.82</v>
      </c>
      <c r="D4055" s="2">
        <v>1.5800000000000002E-2</v>
      </c>
      <c r="E4055" s="2">
        <v>7.6155999999999999E-4</v>
      </c>
      <c r="F4055" s="2" t="s">
        <v>7</v>
      </c>
    </row>
    <row r="4056" spans="1:6" ht="22.5" hidden="1" customHeight="1" x14ac:dyDescent="0.25">
      <c r="A4056" s="3">
        <v>44197</v>
      </c>
      <c r="B4056" s="2" t="s">
        <v>24</v>
      </c>
      <c r="C4056" s="2">
        <v>13.13</v>
      </c>
      <c r="D4056" s="2">
        <v>7.7000000000000002E-3</v>
      </c>
      <c r="E4056" s="2">
        <v>1.0110099999999999E-3</v>
      </c>
      <c r="F4056" s="2" t="s">
        <v>7</v>
      </c>
    </row>
    <row r="4057" spans="1:6" ht="22.5" hidden="1" customHeight="1" x14ac:dyDescent="0.25">
      <c r="A4057" s="3">
        <v>44197</v>
      </c>
      <c r="B4057" s="2" t="s">
        <v>25</v>
      </c>
      <c r="C4057" s="2">
        <v>1.05</v>
      </c>
      <c r="D4057" s="2">
        <v>2.8999999999999998E-3</v>
      </c>
      <c r="E4057" s="2">
        <v>3.0450000000000002E-5</v>
      </c>
      <c r="F4057" s="2" t="s">
        <v>7</v>
      </c>
    </row>
    <row r="4058" spans="1:6" ht="22.5" hidden="1" customHeight="1" x14ac:dyDescent="0.25">
      <c r="A4058" s="3">
        <v>44197</v>
      </c>
      <c r="B4058" s="2" t="s">
        <v>26</v>
      </c>
      <c r="C4058" s="2">
        <v>0.79</v>
      </c>
      <c r="D4058" s="2">
        <v>1.6299999999999999E-2</v>
      </c>
      <c r="E4058" s="2">
        <v>1.2877E-4</v>
      </c>
      <c r="F4058" s="2" t="s">
        <v>7</v>
      </c>
    </row>
    <row r="4059" spans="1:6" ht="22.5" hidden="1" customHeight="1" x14ac:dyDescent="0.25">
      <c r="A4059" s="3">
        <v>44197</v>
      </c>
      <c r="B4059" s="2" t="s">
        <v>27</v>
      </c>
      <c r="C4059" s="2">
        <v>-4.1399999999999997</v>
      </c>
      <c r="D4059" s="2">
        <v>0.26590000000000003</v>
      </c>
      <c r="E4059" s="2">
        <v>-1.1008260000000001E-2</v>
      </c>
      <c r="F4059" s="2" t="s">
        <v>7</v>
      </c>
    </row>
    <row r="4060" spans="1:6" ht="22.5" hidden="1" customHeight="1" x14ac:dyDescent="0.25">
      <c r="A4060" s="3">
        <v>44197</v>
      </c>
      <c r="B4060" s="2" t="s">
        <v>28</v>
      </c>
      <c r="C4060" s="2">
        <v>9.39</v>
      </c>
      <c r="D4060" s="2">
        <v>0.1116</v>
      </c>
      <c r="E4060" s="2">
        <v>1.0479240000000001E-2</v>
      </c>
      <c r="F4060" s="2" t="s">
        <v>7</v>
      </c>
    </row>
    <row r="4061" spans="1:6" ht="22.5" hidden="1" customHeight="1" x14ac:dyDescent="0.25">
      <c r="A4061" s="3">
        <v>44197</v>
      </c>
      <c r="B4061" s="2" t="s">
        <v>29</v>
      </c>
      <c r="C4061" s="2">
        <v>3.35</v>
      </c>
      <c r="D4061" s="2">
        <v>5.74E-2</v>
      </c>
      <c r="E4061" s="2">
        <v>1.9229E-3</v>
      </c>
      <c r="F4061" s="2" t="s">
        <v>7</v>
      </c>
    </row>
    <row r="4062" spans="1:6" ht="22.5" hidden="1" customHeight="1" x14ac:dyDescent="0.25">
      <c r="A4062" s="3">
        <v>44197</v>
      </c>
      <c r="B4062" s="2" t="s">
        <v>30</v>
      </c>
      <c r="C4062" s="2">
        <v>3.93</v>
      </c>
      <c r="D4062" s="2">
        <v>9.4500000000000001E-2</v>
      </c>
      <c r="E4062" s="2">
        <v>3.7138499999999999E-3</v>
      </c>
      <c r="F4062" s="2" t="s">
        <v>7</v>
      </c>
    </row>
    <row r="4063" spans="1:6" ht="22.5" hidden="1" customHeight="1" x14ac:dyDescent="0.25">
      <c r="A4063" s="3">
        <v>44197</v>
      </c>
      <c r="B4063" s="2" t="s">
        <v>31</v>
      </c>
      <c r="C4063" s="2">
        <v>2.89</v>
      </c>
      <c r="D4063" s="2">
        <v>0.1057</v>
      </c>
      <c r="E4063" s="2">
        <v>3.0547299999999999E-3</v>
      </c>
      <c r="F4063" s="2" t="s">
        <v>7</v>
      </c>
    </row>
    <row r="4064" spans="1:6" ht="22.5" hidden="1" customHeight="1" x14ac:dyDescent="0.25">
      <c r="A4064" s="3">
        <v>44197</v>
      </c>
      <c r="B4064" s="2" t="s">
        <v>32</v>
      </c>
      <c r="C4064" s="2">
        <v>0.34</v>
      </c>
      <c r="D4064" s="2">
        <v>1.5599999999999999E-2</v>
      </c>
      <c r="E4064" s="2">
        <v>5.304E-5</v>
      </c>
      <c r="F4064" s="2" t="s">
        <v>7</v>
      </c>
    </row>
    <row r="4065" spans="1:6" ht="22.5" hidden="1" customHeight="1" x14ac:dyDescent="0.25">
      <c r="A4065" s="3">
        <v>44197</v>
      </c>
      <c r="B4065" s="2" t="s">
        <v>33</v>
      </c>
      <c r="C4065" s="2">
        <v>0.44</v>
      </c>
      <c r="D4065" s="2">
        <v>0.1913</v>
      </c>
      <c r="E4065" s="2">
        <v>8.4172000000000001E-4</v>
      </c>
      <c r="F4065" s="2" t="s">
        <v>7</v>
      </c>
    </row>
    <row r="4066" spans="1:6" ht="22.5" hidden="1" customHeight="1" x14ac:dyDescent="0.25">
      <c r="A4066" s="3">
        <v>44197</v>
      </c>
      <c r="B4066" s="2" t="s">
        <v>34</v>
      </c>
      <c r="C4066" s="2">
        <v>0.75</v>
      </c>
      <c r="D4066" s="2">
        <v>0.14530000000000001</v>
      </c>
      <c r="E4066" s="2">
        <v>1.08975E-3</v>
      </c>
      <c r="F4066" s="2" t="s">
        <v>7</v>
      </c>
    </row>
    <row r="4067" spans="1:6" ht="22.5" hidden="1" customHeight="1" x14ac:dyDescent="0.25">
      <c r="A4067" s="3">
        <v>44197</v>
      </c>
      <c r="B4067" s="2" t="s">
        <v>35</v>
      </c>
      <c r="C4067" s="2">
        <v>0.98</v>
      </c>
      <c r="D4067" s="2">
        <v>0.10920000000000001</v>
      </c>
      <c r="E4067" s="2">
        <v>1.0701599999999999E-3</v>
      </c>
      <c r="F4067" s="2" t="s">
        <v>7</v>
      </c>
    </row>
    <row r="4068" spans="1:6" ht="22.5" hidden="1" customHeight="1" x14ac:dyDescent="0.25">
      <c r="A4068" s="3">
        <v>44197</v>
      </c>
      <c r="B4068" s="2" t="s">
        <v>36</v>
      </c>
      <c r="C4068" s="2">
        <v>3.39</v>
      </c>
      <c r="D4068" s="2">
        <v>1.6999999999999999E-3</v>
      </c>
      <c r="E4068" s="2">
        <v>5.7630000000000002E-5</v>
      </c>
      <c r="F4068" s="2" t="s">
        <v>7</v>
      </c>
    </row>
    <row r="4069" spans="1:6" ht="22.5" hidden="1" customHeight="1" x14ac:dyDescent="0.25">
      <c r="A4069" s="3">
        <v>44197</v>
      </c>
      <c r="B4069" s="2" t="s">
        <v>37</v>
      </c>
      <c r="C4069" s="2">
        <v>1.65</v>
      </c>
      <c r="D4069" s="2">
        <v>8.5699999999999998E-2</v>
      </c>
      <c r="E4069" s="2">
        <v>1.41405E-3</v>
      </c>
      <c r="F4069" s="2" t="s">
        <v>7</v>
      </c>
    </row>
    <row r="4070" spans="1:6" ht="22.5" hidden="1" customHeight="1" x14ac:dyDescent="0.25">
      <c r="A4070" s="3">
        <v>44197</v>
      </c>
      <c r="B4070" s="2" t="s">
        <v>38</v>
      </c>
      <c r="C4070" s="2">
        <v>8.61</v>
      </c>
      <c r="D4070" s="2">
        <v>0.01</v>
      </c>
      <c r="E4070" s="2">
        <v>8.61E-4</v>
      </c>
      <c r="F4070" s="2" t="s">
        <v>7</v>
      </c>
    </row>
    <row r="4071" spans="1:6" ht="22.5" hidden="1" customHeight="1" x14ac:dyDescent="0.25">
      <c r="A4071" s="3">
        <v>44197</v>
      </c>
      <c r="B4071" s="2" t="s">
        <v>39</v>
      </c>
      <c r="C4071" s="2">
        <v>2.98</v>
      </c>
      <c r="D4071" s="2">
        <v>1.43E-2</v>
      </c>
      <c r="E4071" s="2">
        <v>4.2613999999999998E-4</v>
      </c>
      <c r="F4071" s="2" t="s">
        <v>7</v>
      </c>
    </row>
    <row r="4072" spans="1:6" ht="22.5" hidden="1" customHeight="1" x14ac:dyDescent="0.25">
      <c r="A4072" s="3">
        <v>44197</v>
      </c>
      <c r="B4072" s="2" t="s">
        <v>40</v>
      </c>
      <c r="C4072" s="2">
        <v>-2.5499999999999998</v>
      </c>
      <c r="D4072" s="2">
        <v>3.3E-3</v>
      </c>
      <c r="E4072" s="2">
        <v>-8.4149999999999999E-5</v>
      </c>
      <c r="F4072" s="2" t="s">
        <v>7</v>
      </c>
    </row>
    <row r="4073" spans="1:6" ht="22.5" hidden="1" customHeight="1" x14ac:dyDescent="0.25">
      <c r="A4073" s="3">
        <v>44197</v>
      </c>
      <c r="B4073" s="2" t="s">
        <v>41</v>
      </c>
      <c r="C4073" s="2">
        <v>-0.87</v>
      </c>
      <c r="D4073" s="2">
        <v>2.0299999999999999E-2</v>
      </c>
      <c r="E4073" s="2">
        <v>-1.7661E-4</v>
      </c>
      <c r="F4073" s="2" t="s">
        <v>7</v>
      </c>
    </row>
    <row r="4074" spans="1:6" ht="22.5" hidden="1" customHeight="1" x14ac:dyDescent="0.25">
      <c r="A4074" s="3">
        <v>44197</v>
      </c>
      <c r="B4074" s="2" t="s">
        <v>42</v>
      </c>
      <c r="C4074" s="2">
        <v>6.58</v>
      </c>
      <c r="D4074" s="2">
        <v>4.0300000000000002E-2</v>
      </c>
      <c r="E4074" s="2">
        <v>2.6517400000000001E-3</v>
      </c>
      <c r="F4074" s="2" t="s">
        <v>7</v>
      </c>
    </row>
    <row r="4075" spans="1:6" ht="22.5" hidden="1" customHeight="1" x14ac:dyDescent="0.25">
      <c r="A4075" s="3">
        <v>44197</v>
      </c>
      <c r="B4075" s="2" t="s">
        <v>43</v>
      </c>
      <c r="C4075" s="2">
        <v>2.62</v>
      </c>
      <c r="D4075" s="2">
        <v>2.8500000000000001E-2</v>
      </c>
      <c r="E4075" s="2">
        <v>7.4669999999999999E-4</v>
      </c>
      <c r="F4075" s="2" t="s">
        <v>7</v>
      </c>
    </row>
    <row r="4076" spans="1:6" ht="22.5" hidden="1" customHeight="1" x14ac:dyDescent="0.25">
      <c r="A4076" s="3">
        <v>44197</v>
      </c>
      <c r="B4076" s="2" t="s">
        <v>44</v>
      </c>
      <c r="C4076" s="2">
        <v>-3.99</v>
      </c>
      <c r="D4076" s="2">
        <v>1.8100000000000002E-2</v>
      </c>
      <c r="E4076" s="2">
        <v>-7.2219000000000005E-4</v>
      </c>
      <c r="F4076" s="2" t="s">
        <v>7</v>
      </c>
    </row>
    <row r="4077" spans="1:6" ht="22.5" hidden="1" customHeight="1" x14ac:dyDescent="0.25">
      <c r="A4077" s="3">
        <v>44197</v>
      </c>
      <c r="B4077" s="2" t="s">
        <v>45</v>
      </c>
      <c r="C4077" s="2">
        <v>14.42</v>
      </c>
      <c r="D4077" s="2">
        <v>1.61E-2</v>
      </c>
      <c r="E4077" s="2">
        <v>2.3216199999999999E-3</v>
      </c>
      <c r="F4077" s="2" t="s">
        <v>7</v>
      </c>
    </row>
    <row r="4078" spans="1:6" ht="22.5" hidden="1" customHeight="1" x14ac:dyDescent="0.25">
      <c r="A4078" s="3">
        <v>44197</v>
      </c>
      <c r="B4078" s="2" t="s">
        <v>46</v>
      </c>
      <c r="C4078" s="2">
        <v>7.96</v>
      </c>
      <c r="D4078" s="2">
        <v>1.5E-3</v>
      </c>
      <c r="E4078" s="2">
        <v>1.194E-4</v>
      </c>
      <c r="F4078" s="2" t="s">
        <v>7</v>
      </c>
    </row>
    <row r="4079" spans="1:6" ht="22.5" hidden="1" customHeight="1" x14ac:dyDescent="0.25">
      <c r="A4079" s="3">
        <v>44197</v>
      </c>
      <c r="B4079" s="2" t="s">
        <v>47</v>
      </c>
      <c r="C4079" s="2">
        <v>7.01</v>
      </c>
      <c r="D4079" s="2">
        <v>0.1205</v>
      </c>
      <c r="E4079" s="2">
        <v>8.4470499999999994E-3</v>
      </c>
      <c r="F4079" s="2" t="s">
        <v>7</v>
      </c>
    </row>
    <row r="4080" spans="1:6" ht="22.5" hidden="1" customHeight="1" x14ac:dyDescent="0.25">
      <c r="A4080" s="3">
        <v>44197</v>
      </c>
      <c r="B4080" s="2" t="s">
        <v>48</v>
      </c>
      <c r="C4080" s="2">
        <v>1.4</v>
      </c>
      <c r="D4080" s="2">
        <v>4.3E-3</v>
      </c>
      <c r="E4080" s="2">
        <v>6.02E-5</v>
      </c>
      <c r="F4080" s="2" t="s">
        <v>7</v>
      </c>
    </row>
    <row r="4081" spans="1:6" ht="22.5" hidden="1" customHeight="1" x14ac:dyDescent="0.25">
      <c r="A4081" s="3">
        <v>44197</v>
      </c>
      <c r="B4081" s="2" t="s">
        <v>49</v>
      </c>
      <c r="C4081" s="2">
        <v>12.9</v>
      </c>
      <c r="D4081" s="2">
        <v>0.1545</v>
      </c>
      <c r="E4081" s="2">
        <v>1.99305E-2</v>
      </c>
      <c r="F4081" s="2" t="s">
        <v>7</v>
      </c>
    </row>
    <row r="4082" spans="1:6" ht="22.5" hidden="1" customHeight="1" x14ac:dyDescent="0.25">
      <c r="A4082" s="3">
        <v>44197</v>
      </c>
      <c r="B4082" s="2" t="s">
        <v>50</v>
      </c>
      <c r="C4082" s="2">
        <v>13.28</v>
      </c>
      <c r="D4082" s="2">
        <v>5.4000000000000003E-3</v>
      </c>
      <c r="E4082" s="2">
        <v>7.1712000000000002E-4</v>
      </c>
      <c r="F4082" s="2" t="s">
        <v>7</v>
      </c>
    </row>
    <row r="4083" spans="1:6" ht="22.5" hidden="1" customHeight="1" x14ac:dyDescent="0.25">
      <c r="A4083" s="3">
        <v>44197</v>
      </c>
      <c r="B4083" s="2" t="s">
        <v>51</v>
      </c>
      <c r="C4083" s="2">
        <v>-5.0599999999999996</v>
      </c>
      <c r="D4083" s="2">
        <v>7.1000000000000004E-3</v>
      </c>
      <c r="E4083" s="2">
        <v>-3.5926000000000003E-4</v>
      </c>
      <c r="F4083" s="2" t="s">
        <v>7</v>
      </c>
    </row>
    <row r="4084" spans="1:6" ht="22.5" hidden="1" customHeight="1" x14ac:dyDescent="0.25">
      <c r="A4084" s="3">
        <v>44197</v>
      </c>
      <c r="B4084" s="2" t="s">
        <v>52</v>
      </c>
      <c r="C4084" s="2">
        <v>-4.6100000000000003</v>
      </c>
      <c r="D4084" s="2">
        <v>3.1699999999999999E-2</v>
      </c>
      <c r="E4084" s="2">
        <v>-1.46137E-3</v>
      </c>
      <c r="F4084" s="2" t="s">
        <v>7</v>
      </c>
    </row>
    <row r="4085" spans="1:6" ht="22.5" hidden="1" customHeight="1" x14ac:dyDescent="0.25">
      <c r="A4085" s="3">
        <v>44197</v>
      </c>
      <c r="B4085" s="2" t="s">
        <v>53</v>
      </c>
      <c r="C4085" s="2">
        <v>5.9</v>
      </c>
      <c r="D4085" s="2">
        <v>0.1792</v>
      </c>
      <c r="E4085" s="2">
        <v>1.05728E-2</v>
      </c>
      <c r="F4085" s="2" t="s">
        <v>7</v>
      </c>
    </row>
    <row r="4086" spans="1:6" ht="22.5" hidden="1" customHeight="1" x14ac:dyDescent="0.25">
      <c r="A4086" s="3">
        <v>44197</v>
      </c>
      <c r="B4086" s="2" t="s">
        <v>54</v>
      </c>
      <c r="C4086" s="2">
        <v>6.46</v>
      </c>
      <c r="D4086" s="2">
        <v>9.6199999999999994E-2</v>
      </c>
      <c r="E4086" s="2">
        <v>6.2145200000000003E-3</v>
      </c>
      <c r="F4086" s="2" t="s">
        <v>7</v>
      </c>
    </row>
    <row r="4087" spans="1:6" ht="22.5" hidden="1" customHeight="1" x14ac:dyDescent="0.25">
      <c r="A4087" s="3">
        <v>44197</v>
      </c>
      <c r="B4087" s="2" t="s">
        <v>55</v>
      </c>
      <c r="C4087" s="2">
        <v>1.47</v>
      </c>
      <c r="D4087" s="2">
        <v>5.2200000000000003E-2</v>
      </c>
      <c r="E4087" s="2">
        <v>7.6734000000000004E-4</v>
      </c>
      <c r="F4087" s="2" t="s">
        <v>7</v>
      </c>
    </row>
    <row r="4088" spans="1:6" ht="22.5" hidden="1" customHeight="1" x14ac:dyDescent="0.25">
      <c r="A4088" s="3">
        <v>44197</v>
      </c>
      <c r="B4088" s="2" t="s">
        <v>56</v>
      </c>
      <c r="C4088" s="2">
        <v>5.03</v>
      </c>
      <c r="D4088" s="2">
        <v>7.6E-3</v>
      </c>
      <c r="E4088" s="2">
        <v>3.8227999999999998E-4</v>
      </c>
      <c r="F4088" s="2" t="s">
        <v>7</v>
      </c>
    </row>
    <row r="4089" spans="1:6" ht="22.5" hidden="1" customHeight="1" x14ac:dyDescent="0.25">
      <c r="A4089" s="3">
        <v>44197</v>
      </c>
      <c r="B4089" s="2" t="s">
        <v>57</v>
      </c>
      <c r="C4089" s="2">
        <v>11.27</v>
      </c>
      <c r="D4089" s="2">
        <v>2.53E-2</v>
      </c>
      <c r="E4089" s="2">
        <v>2.8513100000000001E-3</v>
      </c>
      <c r="F4089" s="2" t="s">
        <v>7</v>
      </c>
    </row>
    <row r="4090" spans="1:6" ht="22.5" hidden="1" customHeight="1" x14ac:dyDescent="0.25">
      <c r="A4090" s="3">
        <v>44197</v>
      </c>
      <c r="B4090" s="2" t="s">
        <v>58</v>
      </c>
      <c r="C4090" s="2">
        <v>6.1</v>
      </c>
      <c r="D4090" s="2">
        <v>1.4800000000000001E-2</v>
      </c>
      <c r="E4090" s="2">
        <v>9.0280000000000004E-4</v>
      </c>
      <c r="F4090" s="2" t="s">
        <v>7</v>
      </c>
    </row>
    <row r="4091" spans="1:6" ht="22.5" hidden="1" customHeight="1" x14ac:dyDescent="0.25">
      <c r="A4091" s="3">
        <v>44197</v>
      </c>
      <c r="B4091" s="2" t="s">
        <v>59</v>
      </c>
      <c r="C4091" s="2">
        <v>6.07</v>
      </c>
      <c r="D4091" s="2">
        <v>2.1600000000000001E-2</v>
      </c>
      <c r="E4091" s="2">
        <v>1.31112E-3</v>
      </c>
      <c r="F4091" s="2" t="s">
        <v>7</v>
      </c>
    </row>
    <row r="4092" spans="1:6" ht="22.5" hidden="1" customHeight="1" x14ac:dyDescent="0.25">
      <c r="A4092" s="3">
        <v>44197</v>
      </c>
      <c r="B4092" s="2" t="s">
        <v>60</v>
      </c>
      <c r="C4092" s="2">
        <v>4.74</v>
      </c>
      <c r="D4092" s="2">
        <v>3.4799999999999998E-2</v>
      </c>
      <c r="E4092" s="2">
        <v>1.64952E-3</v>
      </c>
      <c r="F4092" s="2" t="s">
        <v>7</v>
      </c>
    </row>
    <row r="4093" spans="1:6" ht="22.5" hidden="1" customHeight="1" x14ac:dyDescent="0.25">
      <c r="A4093" s="3">
        <v>44197</v>
      </c>
      <c r="B4093" s="2" t="s">
        <v>61</v>
      </c>
      <c r="C4093" s="2">
        <v>-1.48</v>
      </c>
      <c r="D4093" s="2">
        <v>7.6899999999999996E-2</v>
      </c>
      <c r="E4093" s="2">
        <v>-1.1381200000000001E-3</v>
      </c>
      <c r="F4093" s="2" t="s">
        <v>7</v>
      </c>
    </row>
    <row r="4094" spans="1:6" ht="22.5" hidden="1" customHeight="1" x14ac:dyDescent="0.25">
      <c r="A4094" s="3">
        <v>44197</v>
      </c>
      <c r="B4094" s="2" t="s">
        <v>62</v>
      </c>
      <c r="C4094" s="2">
        <v>3.58</v>
      </c>
      <c r="D4094" s="2">
        <v>9.7600000000000006E-2</v>
      </c>
      <c r="E4094" s="2">
        <v>3.4940800000000001E-3</v>
      </c>
      <c r="F4094" s="2" t="s">
        <v>7</v>
      </c>
    </row>
    <row r="4095" spans="1:6" ht="22.5" hidden="1" customHeight="1" x14ac:dyDescent="0.25">
      <c r="A4095" s="3">
        <v>44197</v>
      </c>
      <c r="B4095" s="2" t="s">
        <v>63</v>
      </c>
      <c r="C4095" s="2">
        <v>-2.06</v>
      </c>
      <c r="D4095" s="2">
        <v>9.9000000000000008E-3</v>
      </c>
      <c r="E4095" s="2">
        <v>-2.0394E-4</v>
      </c>
      <c r="F4095" s="2" t="s">
        <v>7</v>
      </c>
    </row>
    <row r="4096" spans="1:6" ht="22.5" hidden="1" customHeight="1" x14ac:dyDescent="0.25">
      <c r="A4096" s="3">
        <v>44197</v>
      </c>
      <c r="B4096" s="2" t="s">
        <v>64</v>
      </c>
      <c r="C4096" s="2">
        <v>-2.88</v>
      </c>
      <c r="D4096" s="2">
        <v>4.7999999999999996E-3</v>
      </c>
      <c r="E4096" s="2">
        <v>-1.3824E-4</v>
      </c>
      <c r="F4096" s="2" t="s">
        <v>7</v>
      </c>
    </row>
    <row r="4097" spans="1:6" ht="22.5" hidden="1" customHeight="1" x14ac:dyDescent="0.25">
      <c r="A4097" s="3">
        <v>44197</v>
      </c>
      <c r="B4097" s="2" t="s">
        <v>65</v>
      </c>
      <c r="C4097" s="2">
        <v>-2.27</v>
      </c>
      <c r="D4097" s="2">
        <v>2.2200000000000001E-2</v>
      </c>
      <c r="E4097" s="2">
        <v>-5.0394000000000003E-4</v>
      </c>
      <c r="F4097" s="2" t="s">
        <v>7</v>
      </c>
    </row>
    <row r="4098" spans="1:6" ht="22.5" hidden="1" customHeight="1" x14ac:dyDescent="0.25">
      <c r="A4098" s="3">
        <v>44197</v>
      </c>
      <c r="B4098" s="2" t="s">
        <v>66</v>
      </c>
      <c r="C4098" s="2">
        <v>-1.49</v>
      </c>
      <c r="D4098" s="2">
        <v>0.41249999999999998</v>
      </c>
      <c r="E4098" s="2">
        <v>-6.1462499999999998E-3</v>
      </c>
      <c r="F4098" s="2" t="s">
        <v>7</v>
      </c>
    </row>
    <row r="4099" spans="1:6" ht="22.5" hidden="1" customHeight="1" x14ac:dyDescent="0.25">
      <c r="A4099" s="3">
        <v>44197</v>
      </c>
      <c r="B4099" s="2" t="s">
        <v>67</v>
      </c>
      <c r="C4099" s="2">
        <v>2.0299999999999998</v>
      </c>
      <c r="D4099" s="2">
        <v>3.5999999999999999E-3</v>
      </c>
      <c r="E4099" s="2">
        <v>7.3079999999999998E-5</v>
      </c>
      <c r="F4099" s="2" t="s">
        <v>7</v>
      </c>
    </row>
    <row r="4100" spans="1:6" ht="22.5" hidden="1" customHeight="1" x14ac:dyDescent="0.25">
      <c r="A4100" s="3">
        <v>44197</v>
      </c>
      <c r="B4100" s="2" t="s">
        <v>68</v>
      </c>
      <c r="C4100" s="2">
        <v>7.56</v>
      </c>
      <c r="D4100" s="2">
        <v>1.1599999999999999E-2</v>
      </c>
      <c r="E4100" s="2">
        <v>8.7695999999999998E-4</v>
      </c>
      <c r="F4100" s="2" t="s">
        <v>7</v>
      </c>
    </row>
    <row r="4101" spans="1:6" ht="22.5" hidden="1" customHeight="1" x14ac:dyDescent="0.25">
      <c r="A4101" s="3">
        <v>44197</v>
      </c>
      <c r="B4101" s="2" t="s">
        <v>69</v>
      </c>
      <c r="C4101" s="2">
        <v>2.2799999999999998</v>
      </c>
      <c r="D4101" s="2">
        <v>0.4819</v>
      </c>
      <c r="E4101" s="2">
        <v>1.098732E-2</v>
      </c>
      <c r="F4101" s="2" t="s">
        <v>7</v>
      </c>
    </row>
    <row r="4102" spans="1:6" ht="22.5" hidden="1" customHeight="1" x14ac:dyDescent="0.25">
      <c r="A4102" s="3">
        <v>44197</v>
      </c>
      <c r="B4102" s="2" t="s">
        <v>70</v>
      </c>
      <c r="C4102" s="2">
        <v>1.1299999999999999</v>
      </c>
      <c r="D4102" s="2">
        <v>2.6499999999999999E-2</v>
      </c>
      <c r="E4102" s="2">
        <v>2.9944999999999999E-4</v>
      </c>
      <c r="F4102" s="2" t="s">
        <v>7</v>
      </c>
    </row>
    <row r="4103" spans="1:6" ht="22.5" hidden="1" customHeight="1" x14ac:dyDescent="0.25">
      <c r="A4103" s="3">
        <v>44197</v>
      </c>
      <c r="B4103" s="2" t="s">
        <v>71</v>
      </c>
      <c r="C4103" s="2">
        <v>1.26</v>
      </c>
      <c r="D4103" s="2">
        <v>0.33450000000000002</v>
      </c>
      <c r="E4103" s="2">
        <v>4.2147E-3</v>
      </c>
      <c r="F4103" s="2" t="s">
        <v>7</v>
      </c>
    </row>
    <row r="4104" spans="1:6" ht="22.5" hidden="1" customHeight="1" x14ac:dyDescent="0.25">
      <c r="A4104" s="3">
        <v>44197</v>
      </c>
      <c r="B4104" s="2" t="s">
        <v>72</v>
      </c>
      <c r="C4104" s="2">
        <v>2.2200000000000002</v>
      </c>
      <c r="D4104" s="2">
        <v>0.35920000000000002</v>
      </c>
      <c r="E4104" s="2">
        <v>7.9742400000000005E-3</v>
      </c>
      <c r="F4104" s="2" t="s">
        <v>7</v>
      </c>
    </row>
    <row r="4105" spans="1:6" ht="22.5" hidden="1" customHeight="1" x14ac:dyDescent="0.25">
      <c r="A4105" s="3">
        <v>44197</v>
      </c>
      <c r="B4105" s="2" t="s">
        <v>73</v>
      </c>
      <c r="C4105" s="2">
        <v>2.08</v>
      </c>
      <c r="D4105" s="2">
        <v>0.17630000000000001</v>
      </c>
      <c r="E4105" s="2">
        <v>3.6670399999999999E-3</v>
      </c>
      <c r="F4105" s="2" t="s">
        <v>7</v>
      </c>
    </row>
    <row r="4106" spans="1:6" ht="22.5" hidden="1" customHeight="1" x14ac:dyDescent="0.25">
      <c r="A4106" s="3">
        <v>44197</v>
      </c>
      <c r="B4106" s="2" t="s">
        <v>74</v>
      </c>
      <c r="C4106" s="2">
        <v>1.25</v>
      </c>
      <c r="D4106" s="2">
        <v>9.5999999999999992E-3</v>
      </c>
      <c r="E4106" s="2">
        <v>1.2E-4</v>
      </c>
      <c r="F4106" s="2" t="s">
        <v>7</v>
      </c>
    </row>
    <row r="4107" spans="1:6" ht="22.5" hidden="1" customHeight="1" x14ac:dyDescent="0.25">
      <c r="A4107" s="3">
        <v>44197</v>
      </c>
      <c r="B4107" s="2" t="s">
        <v>75</v>
      </c>
      <c r="C4107" s="2">
        <v>0.73</v>
      </c>
      <c r="D4107" s="2">
        <v>7.8600000000000003E-2</v>
      </c>
      <c r="E4107" s="2">
        <v>5.7377999999999997E-4</v>
      </c>
      <c r="F4107" s="2" t="s">
        <v>7</v>
      </c>
    </row>
    <row r="4108" spans="1:6" ht="22.5" hidden="1" customHeight="1" x14ac:dyDescent="0.25">
      <c r="A4108" s="3">
        <v>44197</v>
      </c>
      <c r="B4108" s="2" t="s">
        <v>76</v>
      </c>
      <c r="C4108" s="2">
        <v>0.54</v>
      </c>
      <c r="D4108" s="2">
        <v>0.16470000000000001</v>
      </c>
      <c r="E4108" s="2">
        <v>8.8938000000000005E-4</v>
      </c>
      <c r="F4108" s="2" t="s">
        <v>7</v>
      </c>
    </row>
    <row r="4109" spans="1:6" ht="22.5" hidden="1" customHeight="1" x14ac:dyDescent="0.25">
      <c r="A4109" s="3">
        <v>44197</v>
      </c>
      <c r="B4109" s="2" t="s">
        <v>77</v>
      </c>
      <c r="C4109" s="2">
        <v>2.0299999999999998</v>
      </c>
      <c r="D4109" s="2">
        <v>0.1095</v>
      </c>
      <c r="E4109" s="2">
        <v>2.2228500000000002E-3</v>
      </c>
      <c r="F4109" s="2" t="s">
        <v>7</v>
      </c>
    </row>
    <row r="4110" spans="1:6" ht="22.5" hidden="1" customHeight="1" x14ac:dyDescent="0.25">
      <c r="A4110" s="3">
        <v>44197</v>
      </c>
      <c r="B4110" s="2" t="s">
        <v>78</v>
      </c>
      <c r="C4110" s="2">
        <v>1.68</v>
      </c>
      <c r="D4110" s="2">
        <v>0.29670000000000002</v>
      </c>
      <c r="E4110" s="2">
        <v>4.9845599999999999E-3</v>
      </c>
      <c r="F4110" s="2" t="s">
        <v>7</v>
      </c>
    </row>
    <row r="4111" spans="1:6" ht="22.5" hidden="1" customHeight="1" x14ac:dyDescent="0.25">
      <c r="A4111" s="3">
        <v>44197</v>
      </c>
      <c r="B4111" s="2" t="s">
        <v>79</v>
      </c>
      <c r="C4111" s="2">
        <v>1.25</v>
      </c>
      <c r="D4111" s="2">
        <v>1.15E-2</v>
      </c>
      <c r="E4111" s="2">
        <v>1.4375E-4</v>
      </c>
      <c r="F4111" s="2" t="s">
        <v>7</v>
      </c>
    </row>
    <row r="4112" spans="1:6" ht="22.5" hidden="1" customHeight="1" x14ac:dyDescent="0.25">
      <c r="A4112" s="3">
        <v>44197</v>
      </c>
      <c r="B4112" s="2" t="s">
        <v>80</v>
      </c>
      <c r="C4112" s="2">
        <v>-0.41</v>
      </c>
      <c r="D4112" s="2">
        <v>4.1599999999999998E-2</v>
      </c>
      <c r="E4112" s="2">
        <v>-1.7055999999999999E-4</v>
      </c>
      <c r="F4112" s="2" t="s">
        <v>7</v>
      </c>
    </row>
    <row r="4113" spans="1:6" ht="22.5" hidden="1" customHeight="1" x14ac:dyDescent="0.25">
      <c r="A4113" s="3">
        <v>44197</v>
      </c>
      <c r="B4113" s="2" t="s">
        <v>81</v>
      </c>
      <c r="C4113" s="2">
        <v>0.94</v>
      </c>
      <c r="D4113" s="2">
        <v>0.37</v>
      </c>
      <c r="E4113" s="2">
        <v>3.4780000000000002E-3</v>
      </c>
      <c r="F4113" s="2" t="s">
        <v>7</v>
      </c>
    </row>
    <row r="4114" spans="1:6" ht="22.5" hidden="1" customHeight="1" x14ac:dyDescent="0.25">
      <c r="A4114" s="3">
        <v>44197</v>
      </c>
      <c r="B4114" s="2" t="s">
        <v>82</v>
      </c>
      <c r="C4114" s="2">
        <v>2.68</v>
      </c>
      <c r="D4114" s="2">
        <v>4.5699999999999998E-2</v>
      </c>
      <c r="E4114" s="2">
        <v>1.2247600000000001E-3</v>
      </c>
      <c r="F4114" s="2" t="s">
        <v>7</v>
      </c>
    </row>
    <row r="4115" spans="1:6" ht="22.5" hidden="1" customHeight="1" x14ac:dyDescent="0.25">
      <c r="A4115" s="3">
        <v>44197</v>
      </c>
      <c r="B4115" s="2" t="s">
        <v>83</v>
      </c>
      <c r="C4115" s="2">
        <v>1.81</v>
      </c>
      <c r="D4115" s="2">
        <v>6.9999999999999999E-4</v>
      </c>
      <c r="E4115" s="2">
        <v>1.2670000000000001E-5</v>
      </c>
      <c r="F4115" s="2" t="s">
        <v>7</v>
      </c>
    </row>
    <row r="4116" spans="1:6" ht="22.5" hidden="1" customHeight="1" x14ac:dyDescent="0.25">
      <c r="A4116" s="3">
        <v>44197</v>
      </c>
      <c r="B4116" s="2" t="s">
        <v>84</v>
      </c>
      <c r="C4116" s="2">
        <v>0.37</v>
      </c>
      <c r="D4116" s="2">
        <v>2.3E-2</v>
      </c>
      <c r="E4116" s="2">
        <v>8.5099999999999995E-5</v>
      </c>
      <c r="F4116" s="2" t="s">
        <v>7</v>
      </c>
    </row>
    <row r="4117" spans="1:6" ht="22.5" hidden="1" customHeight="1" x14ac:dyDescent="0.25">
      <c r="A4117" s="3">
        <v>44197</v>
      </c>
      <c r="B4117" s="2" t="s">
        <v>85</v>
      </c>
      <c r="C4117" s="2">
        <v>0.15</v>
      </c>
      <c r="D4117" s="2">
        <v>5.4999999999999997E-3</v>
      </c>
      <c r="E4117" s="2">
        <v>8.2500000000000006E-6</v>
      </c>
      <c r="F4117" s="2" t="s">
        <v>7</v>
      </c>
    </row>
    <row r="4118" spans="1:6" ht="22.5" hidden="1" customHeight="1" x14ac:dyDescent="0.25">
      <c r="A4118" s="3">
        <v>44197</v>
      </c>
      <c r="B4118" s="2" t="s">
        <v>86</v>
      </c>
      <c r="C4118" s="2">
        <v>2.98</v>
      </c>
      <c r="D4118" s="2">
        <v>2.47E-2</v>
      </c>
      <c r="E4118" s="2">
        <v>7.3605999999999997E-4</v>
      </c>
      <c r="F4118" s="2" t="s">
        <v>7</v>
      </c>
    </row>
    <row r="4119" spans="1:6" ht="22.5" hidden="1" customHeight="1" x14ac:dyDescent="0.25">
      <c r="A4119" s="3">
        <v>44197</v>
      </c>
      <c r="B4119" s="2" t="s">
        <v>87</v>
      </c>
      <c r="C4119" s="2">
        <v>3.09</v>
      </c>
      <c r="D4119" s="2">
        <v>1E-3</v>
      </c>
      <c r="E4119" s="2">
        <v>3.0899999999999999E-5</v>
      </c>
      <c r="F4119" s="2" t="s">
        <v>7</v>
      </c>
    </row>
    <row r="4120" spans="1:6" ht="22.5" hidden="1" customHeight="1" x14ac:dyDescent="0.25">
      <c r="A4120" s="3">
        <v>44197</v>
      </c>
      <c r="B4120" s="2" t="s">
        <v>88</v>
      </c>
      <c r="C4120" s="2">
        <v>0.95</v>
      </c>
      <c r="D4120" s="2">
        <v>6.7000000000000002E-3</v>
      </c>
      <c r="E4120" s="2">
        <v>6.3650000000000002E-5</v>
      </c>
      <c r="F4120" s="2" t="s">
        <v>7</v>
      </c>
    </row>
    <row r="4121" spans="1:6" ht="22.5" hidden="1" customHeight="1" x14ac:dyDescent="0.25">
      <c r="A4121" s="3">
        <v>44197</v>
      </c>
      <c r="B4121" s="2" t="s">
        <v>89</v>
      </c>
      <c r="C4121" s="2">
        <v>1.52</v>
      </c>
      <c r="D4121" s="2">
        <v>1.7600000000000001E-2</v>
      </c>
      <c r="E4121" s="2">
        <v>2.6751999999999999E-4</v>
      </c>
      <c r="F4121" s="2" t="s">
        <v>7</v>
      </c>
    </row>
    <row r="4122" spans="1:6" ht="22.5" hidden="1" customHeight="1" x14ac:dyDescent="0.25">
      <c r="A4122" s="3">
        <v>44197</v>
      </c>
      <c r="B4122" s="2" t="s">
        <v>90</v>
      </c>
      <c r="C4122" s="2">
        <v>5.37</v>
      </c>
      <c r="D4122" s="2">
        <v>1.5E-3</v>
      </c>
      <c r="E4122" s="2">
        <v>8.0550000000000006E-5</v>
      </c>
      <c r="F4122" s="2" t="s">
        <v>7</v>
      </c>
    </row>
    <row r="4123" spans="1:6" ht="22.5" hidden="1" customHeight="1" x14ac:dyDescent="0.25">
      <c r="A4123" s="3">
        <v>44197</v>
      </c>
      <c r="B4123" s="2" t="s">
        <v>91</v>
      </c>
      <c r="C4123" s="2">
        <v>1.42</v>
      </c>
      <c r="D4123" s="2">
        <v>2.4400000000000002E-2</v>
      </c>
      <c r="E4123" s="2">
        <v>3.4647999999999998E-4</v>
      </c>
      <c r="F4123" s="2" t="s">
        <v>7</v>
      </c>
    </row>
    <row r="4124" spans="1:6" ht="22.5" hidden="1" customHeight="1" x14ac:dyDescent="0.25">
      <c r="A4124" s="3">
        <v>44197</v>
      </c>
      <c r="B4124" s="2" t="s">
        <v>92</v>
      </c>
      <c r="C4124" s="2">
        <v>0</v>
      </c>
      <c r="D4124" s="2">
        <v>5.4000000000000003E-3</v>
      </c>
      <c r="E4124" s="2">
        <v>0</v>
      </c>
      <c r="F4124" s="2" t="s">
        <v>7</v>
      </c>
    </row>
    <row r="4125" spans="1:6" ht="22.5" hidden="1" customHeight="1" x14ac:dyDescent="0.25">
      <c r="A4125" s="3">
        <v>44197</v>
      </c>
      <c r="B4125" s="2" t="s">
        <v>93</v>
      </c>
      <c r="C4125" s="2">
        <v>1.81</v>
      </c>
      <c r="D4125" s="2">
        <v>1.1000000000000001E-3</v>
      </c>
      <c r="E4125" s="2">
        <v>1.9910000000000001E-5</v>
      </c>
      <c r="F4125" s="2" t="s">
        <v>7</v>
      </c>
    </row>
    <row r="4126" spans="1:6" ht="22.5" hidden="1" customHeight="1" x14ac:dyDescent="0.25">
      <c r="A4126" s="3">
        <v>44197</v>
      </c>
      <c r="B4126" s="2" t="s">
        <v>94</v>
      </c>
      <c r="C4126" s="2">
        <v>-0.42</v>
      </c>
      <c r="D4126" s="2">
        <v>8.9999999999999998E-4</v>
      </c>
      <c r="E4126" s="2">
        <v>-3.7799999999999998E-6</v>
      </c>
      <c r="F4126" s="2" t="s">
        <v>7</v>
      </c>
    </row>
    <row r="4127" spans="1:6" ht="22.5" hidden="1" customHeight="1" x14ac:dyDescent="0.25">
      <c r="A4127" s="3">
        <v>44197</v>
      </c>
      <c r="B4127" s="2" t="s">
        <v>95</v>
      </c>
      <c r="C4127" s="2">
        <v>7.0000000000000007E-2</v>
      </c>
      <c r="D4127" s="2">
        <v>1.67E-2</v>
      </c>
      <c r="E4127" s="2">
        <v>1.169E-5</v>
      </c>
      <c r="F4127" s="2" t="s">
        <v>7</v>
      </c>
    </row>
    <row r="4128" spans="1:6" ht="22.5" hidden="1" customHeight="1" x14ac:dyDescent="0.25">
      <c r="A4128" s="3">
        <v>44197</v>
      </c>
      <c r="B4128" s="2" t="s">
        <v>96</v>
      </c>
      <c r="C4128" s="2">
        <v>1.48</v>
      </c>
      <c r="D4128" s="2">
        <v>4.8000000000000001E-2</v>
      </c>
      <c r="E4128" s="2">
        <v>7.1040000000000003E-4</v>
      </c>
      <c r="F4128" s="2" t="s">
        <v>7</v>
      </c>
    </row>
    <row r="4129" spans="1:6" ht="22.5" hidden="1" customHeight="1" x14ac:dyDescent="0.25">
      <c r="A4129" s="3">
        <v>44197</v>
      </c>
      <c r="B4129" s="2" t="s">
        <v>97</v>
      </c>
      <c r="C4129" s="2">
        <v>1.4</v>
      </c>
      <c r="D4129" s="2">
        <v>1.06E-2</v>
      </c>
      <c r="E4129" s="2">
        <v>1.484E-4</v>
      </c>
      <c r="F4129" s="2" t="s">
        <v>7</v>
      </c>
    </row>
    <row r="4130" spans="1:6" ht="22.5" hidden="1" customHeight="1" x14ac:dyDescent="0.25">
      <c r="A4130" s="3">
        <v>44197</v>
      </c>
      <c r="B4130" s="2" t="s">
        <v>98</v>
      </c>
      <c r="C4130" s="2">
        <v>0.25</v>
      </c>
      <c r="D4130" s="2">
        <v>6.4000000000000003E-3</v>
      </c>
      <c r="E4130" s="2">
        <v>1.5999999999999999E-5</v>
      </c>
      <c r="F4130" s="2" t="s">
        <v>7</v>
      </c>
    </row>
    <row r="4131" spans="1:6" ht="22.5" hidden="1" customHeight="1" x14ac:dyDescent="0.25">
      <c r="A4131" s="3">
        <v>44197</v>
      </c>
      <c r="B4131" s="2" t="s">
        <v>99</v>
      </c>
      <c r="C4131" s="2">
        <v>1.41</v>
      </c>
      <c r="D4131" s="2">
        <v>3.5000000000000001E-3</v>
      </c>
      <c r="E4131" s="2">
        <v>4.935E-5</v>
      </c>
      <c r="F4131" s="2" t="s">
        <v>7</v>
      </c>
    </row>
    <row r="4132" spans="1:6" ht="22.5" hidden="1" customHeight="1" x14ac:dyDescent="0.25">
      <c r="A4132" s="3">
        <v>44197</v>
      </c>
      <c r="B4132" s="2" t="s">
        <v>100</v>
      </c>
      <c r="C4132" s="2">
        <v>1.26</v>
      </c>
      <c r="D4132" s="2">
        <v>6.9999999999999999E-4</v>
      </c>
      <c r="E4132" s="2">
        <v>8.8200000000000003E-6</v>
      </c>
      <c r="F4132" s="2" t="s">
        <v>7</v>
      </c>
    </row>
    <row r="4133" spans="1:6" ht="22.5" hidden="1" customHeight="1" x14ac:dyDescent="0.25">
      <c r="A4133" s="3">
        <v>44197</v>
      </c>
      <c r="B4133" s="2" t="s">
        <v>101</v>
      </c>
      <c r="C4133" s="2">
        <v>2.5099999999999998</v>
      </c>
      <c r="D4133" s="2">
        <v>9.7600000000000006E-2</v>
      </c>
      <c r="E4133" s="2">
        <v>2.44976E-3</v>
      </c>
      <c r="F4133" s="2" t="s">
        <v>7</v>
      </c>
    </row>
    <row r="4134" spans="1:6" ht="22.5" hidden="1" customHeight="1" x14ac:dyDescent="0.25">
      <c r="A4134" s="3">
        <v>44197</v>
      </c>
      <c r="B4134" s="2" t="s">
        <v>102</v>
      </c>
      <c r="C4134" s="2">
        <v>1.78</v>
      </c>
      <c r="D4134" s="2">
        <v>4.5900000000000003E-2</v>
      </c>
      <c r="E4134" s="2">
        <v>8.1702000000000001E-4</v>
      </c>
      <c r="F4134" s="2" t="s">
        <v>7</v>
      </c>
    </row>
    <row r="4135" spans="1:6" ht="22.5" hidden="1" customHeight="1" x14ac:dyDescent="0.25">
      <c r="A4135" s="3">
        <v>44197</v>
      </c>
      <c r="B4135" s="2" t="s">
        <v>103</v>
      </c>
      <c r="C4135" s="2">
        <v>2.78</v>
      </c>
      <c r="D4135" s="2">
        <v>0.34539999999999998</v>
      </c>
      <c r="E4135" s="2">
        <v>9.6021200000000004E-3</v>
      </c>
      <c r="F4135" s="2" t="s">
        <v>7</v>
      </c>
    </row>
    <row r="4136" spans="1:6" ht="22.5" hidden="1" customHeight="1" x14ac:dyDescent="0.25">
      <c r="A4136" s="3">
        <v>44197</v>
      </c>
      <c r="B4136" s="2" t="s">
        <v>104</v>
      </c>
      <c r="C4136" s="2">
        <v>1.45</v>
      </c>
      <c r="D4136" s="2">
        <v>5.3600000000000002E-2</v>
      </c>
      <c r="E4136" s="2">
        <v>7.7720000000000003E-4</v>
      </c>
      <c r="F4136" s="2" t="s">
        <v>7</v>
      </c>
    </row>
    <row r="4137" spans="1:6" ht="22.5" hidden="1" customHeight="1" x14ac:dyDescent="0.25">
      <c r="A4137" s="3">
        <v>44197</v>
      </c>
      <c r="B4137" s="2" t="s">
        <v>105</v>
      </c>
      <c r="C4137" s="2">
        <v>-3.7</v>
      </c>
      <c r="D4137" s="2">
        <v>9.9000000000000008E-3</v>
      </c>
      <c r="E4137" s="2">
        <v>-3.6630000000000001E-4</v>
      </c>
      <c r="F4137" s="2" t="s">
        <v>7</v>
      </c>
    </row>
    <row r="4138" spans="1:6" ht="22.5" hidden="1" customHeight="1" x14ac:dyDescent="0.25">
      <c r="A4138" s="3">
        <v>44197</v>
      </c>
      <c r="B4138" s="2" t="s">
        <v>106</v>
      </c>
      <c r="C4138" s="2">
        <v>1.68</v>
      </c>
      <c r="D4138" s="2">
        <v>8.9999999999999993E-3</v>
      </c>
      <c r="E4138" s="2">
        <v>1.5119999999999999E-4</v>
      </c>
      <c r="F4138" s="2" t="s">
        <v>7</v>
      </c>
    </row>
    <row r="4139" spans="1:6" ht="22.5" hidden="1" customHeight="1" x14ac:dyDescent="0.25">
      <c r="A4139" s="3">
        <v>44197</v>
      </c>
      <c r="B4139" s="2" t="s">
        <v>107</v>
      </c>
      <c r="C4139" s="2">
        <v>2.2400000000000002</v>
      </c>
      <c r="D4139" s="2">
        <v>0.1169</v>
      </c>
      <c r="E4139" s="2">
        <v>2.6185599999999998E-3</v>
      </c>
      <c r="F4139" s="2" t="s">
        <v>7</v>
      </c>
    </row>
    <row r="4140" spans="1:6" ht="22.5" hidden="1" customHeight="1" x14ac:dyDescent="0.25">
      <c r="A4140" s="3">
        <v>44197</v>
      </c>
      <c r="B4140" s="2" t="s">
        <v>108</v>
      </c>
      <c r="C4140" s="2">
        <v>0.36</v>
      </c>
      <c r="D4140" s="2">
        <v>7.7999999999999996E-3</v>
      </c>
      <c r="E4140" s="2">
        <v>2.8079999999999999E-5</v>
      </c>
      <c r="F4140" s="2" t="s">
        <v>7</v>
      </c>
    </row>
    <row r="4141" spans="1:6" ht="22.5" hidden="1" customHeight="1" x14ac:dyDescent="0.25">
      <c r="A4141" s="3">
        <v>44197</v>
      </c>
      <c r="B4141" s="2" t="s">
        <v>109</v>
      </c>
      <c r="C4141" s="2">
        <v>1.87</v>
      </c>
      <c r="D4141" s="2">
        <v>0.35399999999999998</v>
      </c>
      <c r="E4141" s="2">
        <v>6.6198000000000003E-3</v>
      </c>
      <c r="F4141" s="2" t="s">
        <v>7</v>
      </c>
    </row>
    <row r="4142" spans="1:6" ht="22.5" hidden="1" customHeight="1" x14ac:dyDescent="0.25">
      <c r="A4142" s="3">
        <v>44197</v>
      </c>
      <c r="B4142" s="2" t="s">
        <v>110</v>
      </c>
      <c r="C4142" s="2">
        <v>2.38</v>
      </c>
      <c r="D4142" s="2">
        <v>0.60009999999999997</v>
      </c>
      <c r="E4142" s="2">
        <v>1.4282380000000001E-2</v>
      </c>
      <c r="F4142" s="2" t="s">
        <v>7</v>
      </c>
    </row>
    <row r="4143" spans="1:6" ht="22.5" hidden="1" customHeight="1" x14ac:dyDescent="0.25">
      <c r="A4143" s="3">
        <v>44197</v>
      </c>
      <c r="B4143" s="2" t="s">
        <v>111</v>
      </c>
      <c r="C4143" s="2">
        <v>0.86</v>
      </c>
      <c r="D4143" s="2">
        <v>0.23569999999999999</v>
      </c>
      <c r="E4143" s="2">
        <v>2.02702E-3</v>
      </c>
      <c r="F4143" s="2" t="s">
        <v>7</v>
      </c>
    </row>
    <row r="4144" spans="1:6" ht="22.5" hidden="1" customHeight="1" x14ac:dyDescent="0.25">
      <c r="A4144" s="3">
        <v>44197</v>
      </c>
      <c r="B4144" s="2" t="s">
        <v>112</v>
      </c>
      <c r="C4144" s="2">
        <v>0.19</v>
      </c>
      <c r="D4144" s="2">
        <v>0.74739999999999995</v>
      </c>
      <c r="E4144" s="2">
        <v>1.4200599999999999E-3</v>
      </c>
      <c r="F4144" s="2" t="s">
        <v>7</v>
      </c>
    </row>
    <row r="4145" spans="1:6" ht="22.5" hidden="1" customHeight="1" x14ac:dyDescent="0.25">
      <c r="A4145" s="3">
        <v>44197</v>
      </c>
      <c r="B4145" s="2" t="s">
        <v>113</v>
      </c>
      <c r="C4145" s="2">
        <v>3.33</v>
      </c>
      <c r="D4145" s="2">
        <v>2.0799999999999999E-2</v>
      </c>
      <c r="E4145" s="2">
        <v>6.9264000000000001E-4</v>
      </c>
      <c r="F4145" s="2" t="s">
        <v>7</v>
      </c>
    </row>
    <row r="4146" spans="1:6" ht="22.5" hidden="1" customHeight="1" x14ac:dyDescent="0.25">
      <c r="A4146" s="3">
        <v>44197</v>
      </c>
      <c r="B4146" s="2" t="s">
        <v>114</v>
      </c>
      <c r="C4146" s="2">
        <v>1.37</v>
      </c>
      <c r="D4146" s="2">
        <v>0.2001</v>
      </c>
      <c r="E4146" s="2">
        <v>2.7413699999999999E-3</v>
      </c>
      <c r="F4146" s="2" t="s">
        <v>7</v>
      </c>
    </row>
    <row r="4147" spans="1:6" ht="22.5" hidden="1" customHeight="1" x14ac:dyDescent="0.25">
      <c r="A4147" s="3">
        <v>44197</v>
      </c>
      <c r="B4147" s="2" t="s">
        <v>115</v>
      </c>
      <c r="C4147" s="2">
        <v>0.63</v>
      </c>
      <c r="D4147" s="2">
        <v>0.52580000000000005</v>
      </c>
      <c r="E4147" s="2">
        <v>3.3125400000000001E-3</v>
      </c>
      <c r="F4147" s="2" t="s">
        <v>7</v>
      </c>
    </row>
    <row r="4148" spans="1:6" ht="22.5" hidden="1" customHeight="1" x14ac:dyDescent="0.25">
      <c r="A4148" s="3">
        <v>44197</v>
      </c>
      <c r="B4148" s="2" t="s">
        <v>116</v>
      </c>
      <c r="C4148" s="2">
        <v>0.81</v>
      </c>
      <c r="D4148" s="2">
        <v>0.14699999999999999</v>
      </c>
      <c r="E4148" s="2">
        <v>1.1907E-3</v>
      </c>
      <c r="F4148" s="2" t="s">
        <v>7</v>
      </c>
    </row>
    <row r="4149" spans="1:6" ht="22.5" hidden="1" customHeight="1" x14ac:dyDescent="0.25">
      <c r="A4149" s="3">
        <v>44197</v>
      </c>
      <c r="B4149" s="2" t="s">
        <v>117</v>
      </c>
      <c r="C4149" s="2">
        <v>0.63</v>
      </c>
      <c r="D4149" s="2">
        <v>5.4399999999999997E-2</v>
      </c>
      <c r="E4149" s="2">
        <v>3.4272000000000003E-4</v>
      </c>
      <c r="F4149" s="2" t="s">
        <v>7</v>
      </c>
    </row>
    <row r="4150" spans="1:6" ht="22.5" hidden="1" customHeight="1" x14ac:dyDescent="0.25">
      <c r="A4150" s="3">
        <v>44197</v>
      </c>
      <c r="B4150" s="2" t="s">
        <v>118</v>
      </c>
      <c r="C4150" s="2">
        <v>1.77</v>
      </c>
      <c r="D4150" s="2">
        <v>6.1600000000000002E-2</v>
      </c>
      <c r="E4150" s="2">
        <v>1.0903200000000001E-3</v>
      </c>
      <c r="F4150" s="2" t="s">
        <v>7</v>
      </c>
    </row>
    <row r="4151" spans="1:6" ht="22.5" hidden="1" customHeight="1" x14ac:dyDescent="0.25">
      <c r="A4151" s="3">
        <v>44197</v>
      </c>
      <c r="B4151" s="2" t="s">
        <v>119</v>
      </c>
      <c r="C4151" s="2">
        <v>-2.85</v>
      </c>
      <c r="D4151" s="2">
        <v>1.0800000000000001E-2</v>
      </c>
      <c r="E4151" s="2">
        <v>-3.078E-4</v>
      </c>
      <c r="F4151" s="2" t="s">
        <v>7</v>
      </c>
    </row>
    <row r="4152" spans="1:6" ht="22.5" hidden="1" customHeight="1" x14ac:dyDescent="0.25">
      <c r="A4152" s="3">
        <v>44197</v>
      </c>
      <c r="B4152" s="2" t="s">
        <v>120</v>
      </c>
      <c r="C4152" s="2">
        <v>0.77</v>
      </c>
      <c r="D4152" s="2">
        <v>0.44900000000000001</v>
      </c>
      <c r="E4152" s="2">
        <v>3.4573E-3</v>
      </c>
      <c r="F4152" s="2" t="s">
        <v>7</v>
      </c>
    </row>
    <row r="4153" spans="1:6" ht="22.5" hidden="1" customHeight="1" x14ac:dyDescent="0.25">
      <c r="A4153" s="3">
        <v>44197</v>
      </c>
      <c r="B4153" s="2" t="s">
        <v>121</v>
      </c>
      <c r="C4153" s="2">
        <v>0.61</v>
      </c>
      <c r="D4153" s="2">
        <v>0.78779999999999994</v>
      </c>
      <c r="E4153" s="2">
        <v>4.8055800000000003E-3</v>
      </c>
      <c r="F4153" s="2" t="s">
        <v>7</v>
      </c>
    </row>
    <row r="4154" spans="1:6" ht="22.5" hidden="1" customHeight="1" x14ac:dyDescent="0.25">
      <c r="A4154" s="3">
        <v>44197</v>
      </c>
      <c r="B4154" s="2" t="s">
        <v>122</v>
      </c>
      <c r="C4154" s="2">
        <v>-0.09</v>
      </c>
      <c r="D4154" s="2">
        <v>8.2299999999999998E-2</v>
      </c>
      <c r="E4154" s="2">
        <v>-7.4070000000000001E-5</v>
      </c>
      <c r="F4154" s="2" t="s">
        <v>7</v>
      </c>
    </row>
    <row r="4155" spans="1:6" ht="22.5" hidden="1" customHeight="1" x14ac:dyDescent="0.25">
      <c r="A4155" s="3">
        <v>44197</v>
      </c>
      <c r="B4155" s="2" t="s">
        <v>123</v>
      </c>
      <c r="C4155" s="2">
        <v>2.2799999999999998</v>
      </c>
      <c r="D4155" s="2">
        <v>9.3799999999999994E-2</v>
      </c>
      <c r="E4155" s="2">
        <v>2.1386399999999998E-3</v>
      </c>
      <c r="F4155" s="2" t="s">
        <v>7</v>
      </c>
    </row>
    <row r="4156" spans="1:6" ht="22.5" hidden="1" customHeight="1" x14ac:dyDescent="0.25">
      <c r="A4156" s="3">
        <v>44197</v>
      </c>
      <c r="B4156" s="2" t="s">
        <v>124</v>
      </c>
      <c r="C4156" s="2">
        <v>1.1499999999999999</v>
      </c>
      <c r="D4156" s="2">
        <v>0.1331</v>
      </c>
      <c r="E4156" s="2">
        <v>1.5306499999999999E-3</v>
      </c>
      <c r="F4156" s="2" t="s">
        <v>7</v>
      </c>
    </row>
    <row r="4157" spans="1:6" ht="22.5" hidden="1" customHeight="1" x14ac:dyDescent="0.25">
      <c r="A4157" s="3">
        <v>44197</v>
      </c>
      <c r="B4157" s="2" t="s">
        <v>125</v>
      </c>
      <c r="C4157" s="2">
        <v>1.1499999999999999</v>
      </c>
      <c r="D4157" s="2">
        <v>3.2199999999999999E-2</v>
      </c>
      <c r="E4157" s="2">
        <v>3.703E-4</v>
      </c>
      <c r="F4157" s="2" t="s">
        <v>7</v>
      </c>
    </row>
    <row r="4158" spans="1:6" ht="22.5" hidden="1" customHeight="1" x14ac:dyDescent="0.25">
      <c r="A4158" s="3">
        <v>44197</v>
      </c>
      <c r="B4158" s="2" t="s">
        <v>126</v>
      </c>
      <c r="C4158" s="2">
        <v>0.99</v>
      </c>
      <c r="D4158" s="2">
        <v>0.33200000000000002</v>
      </c>
      <c r="E4158" s="2">
        <v>3.2867999999999999E-3</v>
      </c>
      <c r="F4158" s="2" t="s">
        <v>7</v>
      </c>
    </row>
    <row r="4159" spans="1:6" ht="22.5" hidden="1" customHeight="1" x14ac:dyDescent="0.25">
      <c r="A4159" s="3">
        <v>44197</v>
      </c>
      <c r="B4159" s="2" t="s">
        <v>127</v>
      </c>
      <c r="C4159" s="2">
        <v>2.4</v>
      </c>
      <c r="D4159" s="2">
        <v>6.6299999999999998E-2</v>
      </c>
      <c r="E4159" s="2">
        <v>1.5912000000000001E-3</v>
      </c>
      <c r="F4159" s="2" t="s">
        <v>7</v>
      </c>
    </row>
    <row r="4160" spans="1:6" ht="22.5" hidden="1" customHeight="1" x14ac:dyDescent="0.25">
      <c r="A4160" s="3">
        <v>44197</v>
      </c>
      <c r="B4160" s="2" t="s">
        <v>128</v>
      </c>
      <c r="C4160" s="2">
        <v>2.91</v>
      </c>
      <c r="D4160" s="2">
        <v>9.4899999999999998E-2</v>
      </c>
      <c r="E4160" s="2">
        <v>2.76159E-3</v>
      </c>
      <c r="F4160" s="2" t="s">
        <v>7</v>
      </c>
    </row>
    <row r="4161" spans="1:6" ht="22.5" hidden="1" customHeight="1" x14ac:dyDescent="0.25">
      <c r="A4161" s="3">
        <v>44197</v>
      </c>
      <c r="B4161" s="2" t="s">
        <v>129</v>
      </c>
      <c r="C4161" s="2">
        <v>0.05</v>
      </c>
      <c r="D4161" s="2">
        <v>0.13109999999999999</v>
      </c>
      <c r="E4161" s="2">
        <v>6.5549999999999994E-5</v>
      </c>
      <c r="F4161" s="2" t="s">
        <v>7</v>
      </c>
    </row>
    <row r="4162" spans="1:6" ht="22.5" hidden="1" customHeight="1" x14ac:dyDescent="0.25">
      <c r="A4162" s="3">
        <v>44197</v>
      </c>
      <c r="B4162" s="2" t="s">
        <v>130</v>
      </c>
      <c r="C4162" s="2">
        <v>-1.07</v>
      </c>
      <c r="D4162" s="2">
        <v>1.3100000000000001E-2</v>
      </c>
      <c r="E4162" s="2">
        <v>-1.4017000000000001E-4</v>
      </c>
      <c r="F4162" s="2" t="s">
        <v>7</v>
      </c>
    </row>
    <row r="4163" spans="1:6" ht="22.5" hidden="1" customHeight="1" x14ac:dyDescent="0.25">
      <c r="A4163" s="3">
        <v>44197</v>
      </c>
      <c r="B4163" s="2" t="s">
        <v>131</v>
      </c>
      <c r="C4163" s="2">
        <v>4.45</v>
      </c>
      <c r="D4163" s="2">
        <v>6.2700000000000006E-2</v>
      </c>
      <c r="E4163" s="2">
        <v>2.7901499999999999E-3</v>
      </c>
      <c r="F4163" s="2" t="s">
        <v>7</v>
      </c>
    </row>
    <row r="4164" spans="1:6" ht="22.5" hidden="1" customHeight="1" x14ac:dyDescent="0.25">
      <c r="A4164" s="3">
        <v>44197</v>
      </c>
      <c r="B4164" s="2" t="s">
        <v>132</v>
      </c>
      <c r="C4164" s="2">
        <v>0.74</v>
      </c>
      <c r="D4164" s="2">
        <v>0.29210000000000003</v>
      </c>
      <c r="E4164" s="2">
        <v>2.16154E-3</v>
      </c>
      <c r="F4164" s="2" t="s">
        <v>7</v>
      </c>
    </row>
    <row r="4165" spans="1:6" ht="22.5" hidden="1" customHeight="1" x14ac:dyDescent="0.25">
      <c r="A4165" s="3">
        <v>44197</v>
      </c>
      <c r="B4165" s="2" t="s">
        <v>133</v>
      </c>
      <c r="C4165" s="2">
        <v>-0.73</v>
      </c>
      <c r="D4165" s="2">
        <v>8.9999999999999993E-3</v>
      </c>
      <c r="E4165" s="2">
        <v>-6.5699999999999998E-5</v>
      </c>
      <c r="F4165" s="2" t="s">
        <v>7</v>
      </c>
    </row>
    <row r="4166" spans="1:6" ht="22.5" hidden="1" customHeight="1" x14ac:dyDescent="0.25">
      <c r="A4166" s="3">
        <v>44197</v>
      </c>
      <c r="B4166" s="2" t="s">
        <v>134</v>
      </c>
      <c r="C4166" s="2">
        <v>0.21</v>
      </c>
      <c r="D4166" s="2">
        <v>0.50700000000000001</v>
      </c>
      <c r="E4166" s="2">
        <v>1.0647E-3</v>
      </c>
      <c r="F4166" s="2" t="s">
        <v>7</v>
      </c>
    </row>
    <row r="4167" spans="1:6" ht="22.5" hidden="1" customHeight="1" x14ac:dyDescent="0.25">
      <c r="A4167" s="3">
        <v>44197</v>
      </c>
      <c r="B4167" s="2" t="s">
        <v>135</v>
      </c>
      <c r="C4167" s="2">
        <v>0.66</v>
      </c>
      <c r="D4167" s="2">
        <v>0.4037</v>
      </c>
      <c r="E4167" s="2">
        <v>2.6644199999999998E-3</v>
      </c>
      <c r="F4167" s="2" t="s">
        <v>7</v>
      </c>
    </row>
    <row r="4168" spans="1:6" ht="22.5" hidden="1" customHeight="1" x14ac:dyDescent="0.25">
      <c r="A4168" s="3">
        <v>44197</v>
      </c>
      <c r="B4168" s="2" t="s">
        <v>136</v>
      </c>
      <c r="C4168" s="2">
        <v>2.46</v>
      </c>
      <c r="D4168" s="2">
        <v>3.6999999999999998E-2</v>
      </c>
      <c r="E4168" s="2">
        <v>9.1020000000000001E-4</v>
      </c>
      <c r="F4168" s="2" t="s">
        <v>7</v>
      </c>
    </row>
    <row r="4169" spans="1:6" ht="22.5" hidden="1" customHeight="1" x14ac:dyDescent="0.25">
      <c r="A4169" s="3">
        <v>44197</v>
      </c>
      <c r="B4169" s="2" t="s">
        <v>137</v>
      </c>
      <c r="C4169" s="2">
        <v>1.34</v>
      </c>
      <c r="D4169" s="2">
        <v>6.9199999999999998E-2</v>
      </c>
      <c r="E4169" s="2">
        <v>9.2728000000000005E-4</v>
      </c>
      <c r="F4169" s="2" t="s">
        <v>7</v>
      </c>
    </row>
    <row r="4170" spans="1:6" ht="22.5" hidden="1" customHeight="1" x14ac:dyDescent="0.25">
      <c r="A4170" s="3">
        <v>44197</v>
      </c>
      <c r="B4170" s="2" t="s">
        <v>138</v>
      </c>
      <c r="C4170" s="2">
        <v>1.38</v>
      </c>
      <c r="D4170" s="2">
        <v>4.7800000000000002E-2</v>
      </c>
      <c r="E4170" s="2">
        <v>6.5963999999999997E-4</v>
      </c>
      <c r="F4170" s="2" t="s">
        <v>7</v>
      </c>
    </row>
    <row r="4171" spans="1:6" ht="22.5" hidden="1" customHeight="1" x14ac:dyDescent="0.25">
      <c r="A4171" s="3">
        <v>44197</v>
      </c>
      <c r="B4171" s="2" t="s">
        <v>139</v>
      </c>
      <c r="C4171" s="2">
        <v>0.52</v>
      </c>
      <c r="D4171" s="2">
        <v>2.69E-2</v>
      </c>
      <c r="E4171" s="2">
        <v>1.3988E-4</v>
      </c>
      <c r="F4171" s="2" t="s">
        <v>7</v>
      </c>
    </row>
    <row r="4172" spans="1:6" ht="22.5" hidden="1" customHeight="1" x14ac:dyDescent="0.25">
      <c r="A4172" s="3">
        <v>44197</v>
      </c>
      <c r="B4172" s="2" t="s">
        <v>140</v>
      </c>
      <c r="C4172" s="2">
        <v>2.86</v>
      </c>
      <c r="D4172" s="2">
        <v>2.3E-3</v>
      </c>
      <c r="E4172" s="2">
        <v>6.5779999999999997E-5</v>
      </c>
      <c r="F4172" s="2" t="s">
        <v>7</v>
      </c>
    </row>
    <row r="4173" spans="1:6" ht="22.5" hidden="1" customHeight="1" x14ac:dyDescent="0.25">
      <c r="A4173" s="3">
        <v>44197</v>
      </c>
      <c r="B4173" s="2" t="s">
        <v>141</v>
      </c>
      <c r="C4173" s="2">
        <v>0.59</v>
      </c>
      <c r="D4173" s="2">
        <v>1.9900000000000001E-2</v>
      </c>
      <c r="E4173" s="2">
        <v>1.1741E-4</v>
      </c>
      <c r="F4173" s="2" t="s">
        <v>7</v>
      </c>
    </row>
    <row r="4174" spans="1:6" ht="22.5" hidden="1" customHeight="1" x14ac:dyDescent="0.25">
      <c r="A4174" s="3">
        <v>44197</v>
      </c>
      <c r="B4174" s="2" t="s">
        <v>142</v>
      </c>
      <c r="C4174" s="2">
        <v>1.38</v>
      </c>
      <c r="D4174" s="2">
        <v>4.4000000000000003E-3</v>
      </c>
      <c r="E4174" s="2">
        <v>6.0720000000000001E-5</v>
      </c>
      <c r="F4174" s="2" t="s">
        <v>7</v>
      </c>
    </row>
    <row r="4175" spans="1:6" ht="22.5" hidden="1" customHeight="1" x14ac:dyDescent="0.25">
      <c r="A4175" s="3">
        <v>44197</v>
      </c>
      <c r="B4175" s="2" t="s">
        <v>143</v>
      </c>
      <c r="C4175" s="2">
        <v>1.81</v>
      </c>
      <c r="D4175" s="2">
        <v>4.1200000000000001E-2</v>
      </c>
      <c r="E4175" s="2">
        <v>7.4571999999999995E-4</v>
      </c>
      <c r="F4175" s="2" t="s">
        <v>7</v>
      </c>
    </row>
    <row r="4176" spans="1:6" ht="22.5" hidden="1" customHeight="1" x14ac:dyDescent="0.25">
      <c r="A4176" s="3">
        <v>44197</v>
      </c>
      <c r="B4176" s="2" t="s">
        <v>144</v>
      </c>
      <c r="C4176" s="2">
        <v>5.62</v>
      </c>
      <c r="D4176" s="2">
        <v>1.6000000000000001E-3</v>
      </c>
      <c r="E4176" s="2">
        <v>8.9920000000000006E-5</v>
      </c>
      <c r="F4176" s="2" t="s">
        <v>7</v>
      </c>
    </row>
    <row r="4177" spans="1:6" ht="22.5" hidden="1" customHeight="1" x14ac:dyDescent="0.25">
      <c r="A4177" s="3">
        <v>44197</v>
      </c>
      <c r="B4177" s="2" t="s">
        <v>145</v>
      </c>
      <c r="C4177" s="2">
        <v>3.64</v>
      </c>
      <c r="D4177" s="2">
        <v>1.6000000000000001E-3</v>
      </c>
      <c r="E4177" s="2">
        <v>5.8239999999999998E-5</v>
      </c>
      <c r="F4177" s="2" t="s">
        <v>7</v>
      </c>
    </row>
    <row r="4178" spans="1:6" ht="22.5" hidden="1" customHeight="1" x14ac:dyDescent="0.25">
      <c r="A4178" s="3">
        <v>44197</v>
      </c>
      <c r="B4178" s="2" t="s">
        <v>146</v>
      </c>
      <c r="C4178" s="2">
        <v>1.77</v>
      </c>
      <c r="D4178" s="2">
        <v>3.3000000000000002E-2</v>
      </c>
      <c r="E4178" s="2">
        <v>5.8410000000000005E-4</v>
      </c>
      <c r="F4178" s="2" t="s">
        <v>7</v>
      </c>
    </row>
    <row r="4179" spans="1:6" ht="22.5" hidden="1" customHeight="1" x14ac:dyDescent="0.25">
      <c r="A4179" s="3">
        <v>44197</v>
      </c>
      <c r="B4179" s="2" t="s">
        <v>147</v>
      </c>
      <c r="C4179" s="2">
        <v>1.03</v>
      </c>
      <c r="D4179" s="2">
        <v>2.7099999999999999E-2</v>
      </c>
      <c r="E4179" s="2">
        <v>2.7912999999999999E-4</v>
      </c>
      <c r="F4179" s="2" t="s">
        <v>7</v>
      </c>
    </row>
    <row r="4180" spans="1:6" ht="22.5" hidden="1" customHeight="1" x14ac:dyDescent="0.25">
      <c r="A4180" s="3">
        <v>44197</v>
      </c>
      <c r="B4180" s="2" t="s">
        <v>148</v>
      </c>
      <c r="C4180" s="2">
        <v>1.68</v>
      </c>
      <c r="D4180" s="2">
        <v>2.3800000000000002E-2</v>
      </c>
      <c r="E4180" s="2">
        <v>3.9983999999999999E-4</v>
      </c>
      <c r="F4180" s="2" t="s">
        <v>7</v>
      </c>
    </row>
    <row r="4181" spans="1:6" ht="22.5" hidden="1" customHeight="1" x14ac:dyDescent="0.25">
      <c r="A4181" s="3">
        <v>44197</v>
      </c>
      <c r="B4181" s="2" t="s">
        <v>149</v>
      </c>
      <c r="C4181" s="2">
        <v>1.1299999999999999</v>
      </c>
      <c r="D4181" s="2">
        <v>2.3999999999999998E-3</v>
      </c>
      <c r="E4181" s="2">
        <v>2.7120000000000001E-5</v>
      </c>
      <c r="F4181" s="2" t="s">
        <v>7</v>
      </c>
    </row>
    <row r="4182" spans="1:6" ht="22.5" hidden="1" customHeight="1" x14ac:dyDescent="0.25">
      <c r="A4182" s="3">
        <v>44197</v>
      </c>
      <c r="B4182" s="2" t="s">
        <v>150</v>
      </c>
      <c r="C4182" s="2">
        <v>1.03</v>
      </c>
      <c r="D4182" s="2">
        <v>0.11459999999999999</v>
      </c>
      <c r="E4182" s="2">
        <v>1.18038E-3</v>
      </c>
      <c r="F4182" s="2" t="s">
        <v>7</v>
      </c>
    </row>
    <row r="4183" spans="1:6" ht="22.5" hidden="1" customHeight="1" x14ac:dyDescent="0.25">
      <c r="A4183" s="3">
        <v>44197</v>
      </c>
      <c r="B4183" s="2" t="s">
        <v>151</v>
      </c>
      <c r="C4183" s="2">
        <v>-0.21</v>
      </c>
      <c r="D4183" s="2">
        <v>0.1091</v>
      </c>
      <c r="E4183" s="2">
        <v>-2.2911000000000001E-4</v>
      </c>
      <c r="F4183" s="2" t="s">
        <v>7</v>
      </c>
    </row>
    <row r="4184" spans="1:6" ht="22.5" hidden="1" customHeight="1" x14ac:dyDescent="0.25">
      <c r="A4184" s="3">
        <v>44197</v>
      </c>
      <c r="B4184" s="2" t="s">
        <v>152</v>
      </c>
      <c r="C4184" s="2">
        <v>-0.86</v>
      </c>
      <c r="D4184" s="2">
        <v>3.0999999999999999E-3</v>
      </c>
      <c r="E4184" s="2">
        <v>-2.6659999999999999E-5</v>
      </c>
      <c r="F4184" s="2" t="s">
        <v>7</v>
      </c>
    </row>
    <row r="4185" spans="1:6" ht="22.5" hidden="1" customHeight="1" x14ac:dyDescent="0.25">
      <c r="A4185" s="3">
        <v>44197</v>
      </c>
      <c r="B4185" s="2" t="s">
        <v>153</v>
      </c>
      <c r="C4185" s="2">
        <v>0.91</v>
      </c>
      <c r="D4185" s="2">
        <v>8.9999999999999998E-4</v>
      </c>
      <c r="E4185" s="2">
        <v>8.1899999999999995E-6</v>
      </c>
      <c r="F4185" s="2" t="s">
        <v>7</v>
      </c>
    </row>
    <row r="4186" spans="1:6" ht="22.5" hidden="1" customHeight="1" x14ac:dyDescent="0.25">
      <c r="A4186" s="3">
        <v>44197</v>
      </c>
      <c r="B4186" s="2" t="s">
        <v>154</v>
      </c>
      <c r="C4186" s="2">
        <v>-0.53</v>
      </c>
      <c r="D4186" s="2">
        <v>1E-3</v>
      </c>
      <c r="E4186" s="2">
        <v>-5.3000000000000001E-6</v>
      </c>
      <c r="F4186" s="2" t="s">
        <v>7</v>
      </c>
    </row>
    <row r="4187" spans="1:6" ht="22.5" hidden="1" customHeight="1" x14ac:dyDescent="0.25">
      <c r="A4187" s="3">
        <v>44197</v>
      </c>
      <c r="B4187" s="2" t="s">
        <v>155</v>
      </c>
      <c r="C4187" s="2">
        <v>1.65</v>
      </c>
      <c r="D4187" s="2">
        <v>5.8999999999999999E-3</v>
      </c>
      <c r="E4187" s="2">
        <v>9.7349999999999995E-5</v>
      </c>
      <c r="F4187" s="2" t="s">
        <v>7</v>
      </c>
    </row>
    <row r="4188" spans="1:6" ht="22.5" hidden="1" customHeight="1" x14ac:dyDescent="0.25">
      <c r="A4188" s="3">
        <v>44197</v>
      </c>
      <c r="B4188" s="2" t="s">
        <v>156</v>
      </c>
      <c r="C4188" s="2">
        <v>-0.05</v>
      </c>
      <c r="D4188" s="2">
        <v>4.58E-2</v>
      </c>
      <c r="E4188" s="2">
        <v>-2.2900000000000001E-5</v>
      </c>
      <c r="F4188" s="2" t="s">
        <v>7</v>
      </c>
    </row>
    <row r="4189" spans="1:6" ht="22.5" hidden="1" customHeight="1" x14ac:dyDescent="0.25">
      <c r="A4189" s="3">
        <v>44197</v>
      </c>
      <c r="B4189" s="2" t="s">
        <v>157</v>
      </c>
      <c r="C4189" s="2">
        <v>1.1499999999999999</v>
      </c>
      <c r="D4189" s="2">
        <v>1.7399999999999999E-2</v>
      </c>
      <c r="E4189" s="2">
        <v>2.0010000000000001E-4</v>
      </c>
      <c r="F4189" s="2" t="s">
        <v>7</v>
      </c>
    </row>
    <row r="4190" spans="1:6" ht="22.5" hidden="1" customHeight="1" x14ac:dyDescent="0.25">
      <c r="A4190" s="3">
        <v>44197</v>
      </c>
      <c r="B4190" s="2" t="s">
        <v>158</v>
      </c>
      <c r="C4190" s="2">
        <v>1.06</v>
      </c>
      <c r="D4190" s="2">
        <v>9.9000000000000008E-3</v>
      </c>
      <c r="E4190" s="2">
        <v>1.0493999999999999E-4</v>
      </c>
      <c r="F4190" s="2" t="s">
        <v>7</v>
      </c>
    </row>
    <row r="4191" spans="1:6" ht="22.5" hidden="1" customHeight="1" x14ac:dyDescent="0.25">
      <c r="A4191" s="3">
        <v>44197</v>
      </c>
      <c r="B4191" s="2" t="s">
        <v>159</v>
      </c>
      <c r="C4191" s="2">
        <v>2.14</v>
      </c>
      <c r="D4191" s="2">
        <v>5.3699999999999998E-2</v>
      </c>
      <c r="E4191" s="2">
        <v>1.1491800000000001E-3</v>
      </c>
      <c r="F4191" s="2" t="s">
        <v>7</v>
      </c>
    </row>
    <row r="4192" spans="1:6" ht="22.5" hidden="1" customHeight="1" x14ac:dyDescent="0.25">
      <c r="A4192" s="3">
        <v>44197</v>
      </c>
      <c r="B4192" s="2" t="s">
        <v>160</v>
      </c>
      <c r="C4192" s="2">
        <v>0.81</v>
      </c>
      <c r="D4192" s="2">
        <v>3.7408000000000001</v>
      </c>
      <c r="E4192" s="2">
        <v>3.0300480000000001E-2</v>
      </c>
      <c r="F4192" s="2" t="s">
        <v>7</v>
      </c>
    </row>
    <row r="4193" spans="1:6" ht="22.5" hidden="1" customHeight="1" x14ac:dyDescent="0.25">
      <c r="A4193" s="3">
        <v>44197</v>
      </c>
      <c r="B4193" s="2" t="s">
        <v>161</v>
      </c>
      <c r="C4193" s="2">
        <v>1.45</v>
      </c>
      <c r="D4193" s="2">
        <v>1.7058</v>
      </c>
      <c r="E4193" s="2">
        <v>2.4734099999999998E-2</v>
      </c>
      <c r="F4193" s="2" t="s">
        <v>7</v>
      </c>
    </row>
    <row r="4194" spans="1:6" ht="22.5" hidden="1" customHeight="1" x14ac:dyDescent="0.25">
      <c r="A4194" s="3">
        <v>44197</v>
      </c>
      <c r="B4194" s="2" t="s">
        <v>134</v>
      </c>
      <c r="C4194" s="2">
        <v>1.35</v>
      </c>
      <c r="D4194" s="2">
        <v>0.1236</v>
      </c>
      <c r="E4194" s="2">
        <v>1.6685999999999999E-3</v>
      </c>
      <c r="F4194" s="2" t="s">
        <v>7</v>
      </c>
    </row>
    <row r="4195" spans="1:6" ht="22.5" hidden="1" customHeight="1" x14ac:dyDescent="0.25">
      <c r="A4195" s="3">
        <v>44197</v>
      </c>
      <c r="B4195" s="2" t="s">
        <v>162</v>
      </c>
      <c r="C4195" s="2">
        <v>-0.69</v>
      </c>
      <c r="D4195" s="2">
        <v>4.4200000000000003E-2</v>
      </c>
      <c r="E4195" s="2">
        <v>-3.0498E-4</v>
      </c>
      <c r="F4195" s="2" t="s">
        <v>7</v>
      </c>
    </row>
    <row r="4196" spans="1:6" ht="22.5" hidden="1" customHeight="1" x14ac:dyDescent="0.25">
      <c r="A4196" s="3">
        <v>44197</v>
      </c>
      <c r="B4196" s="2" t="s">
        <v>135</v>
      </c>
      <c r="C4196" s="2">
        <v>1.51</v>
      </c>
      <c r="D4196" s="2">
        <v>0.28749999999999998</v>
      </c>
      <c r="E4196" s="2">
        <v>4.3412499999999996E-3</v>
      </c>
      <c r="F4196" s="2" t="s">
        <v>7</v>
      </c>
    </row>
    <row r="4197" spans="1:6" ht="22.5" hidden="1" customHeight="1" x14ac:dyDescent="0.25">
      <c r="A4197" s="3">
        <v>44197</v>
      </c>
      <c r="B4197" s="2" t="s">
        <v>136</v>
      </c>
      <c r="C4197" s="2">
        <v>0.97</v>
      </c>
      <c r="D4197" s="2">
        <v>4.1999999999999997E-3</v>
      </c>
      <c r="E4197" s="2">
        <v>4.074E-5</v>
      </c>
      <c r="F4197" s="2" t="s">
        <v>7</v>
      </c>
    </row>
    <row r="4198" spans="1:6" ht="22.5" hidden="1" customHeight="1" x14ac:dyDescent="0.25">
      <c r="A4198" s="3">
        <v>44197</v>
      </c>
      <c r="B4198" s="2" t="s">
        <v>137</v>
      </c>
      <c r="C4198" s="2">
        <v>0.12</v>
      </c>
      <c r="D4198" s="2">
        <v>9.7999999999999997E-3</v>
      </c>
      <c r="E4198" s="2">
        <v>1.1759999999999999E-5</v>
      </c>
      <c r="F4198" s="2" t="s">
        <v>7</v>
      </c>
    </row>
    <row r="4199" spans="1:6" ht="22.5" hidden="1" customHeight="1" x14ac:dyDescent="0.25">
      <c r="A4199" s="3">
        <v>44197</v>
      </c>
      <c r="B4199" s="2" t="s">
        <v>163</v>
      </c>
      <c r="C4199" s="2">
        <v>1.27</v>
      </c>
      <c r="D4199" s="2">
        <v>4.3E-3</v>
      </c>
      <c r="E4199" s="2">
        <v>5.4610000000000001E-5</v>
      </c>
      <c r="F4199" s="2" t="s">
        <v>7</v>
      </c>
    </row>
    <row r="4200" spans="1:6" ht="22.5" hidden="1" customHeight="1" x14ac:dyDescent="0.25">
      <c r="A4200" s="3">
        <v>44197</v>
      </c>
      <c r="B4200" s="2" t="s">
        <v>34</v>
      </c>
      <c r="C4200" s="2">
        <v>0.51</v>
      </c>
      <c r="D4200" s="2">
        <v>5.28E-2</v>
      </c>
      <c r="E4200" s="2">
        <v>2.6928E-4</v>
      </c>
      <c r="F4200" s="2" t="s">
        <v>7</v>
      </c>
    </row>
    <row r="4201" spans="1:6" ht="22.5" hidden="1" customHeight="1" x14ac:dyDescent="0.25">
      <c r="A4201" s="3">
        <v>44197</v>
      </c>
      <c r="B4201" s="2" t="s">
        <v>164</v>
      </c>
      <c r="C4201" s="2">
        <v>0.53</v>
      </c>
      <c r="D4201" s="2">
        <v>3.7862</v>
      </c>
      <c r="E4201" s="2">
        <v>2.0066859999999999E-2</v>
      </c>
      <c r="F4201" s="2" t="s">
        <v>165</v>
      </c>
    </row>
    <row r="4202" spans="1:6" ht="22.5" hidden="1" customHeight="1" x14ac:dyDescent="0.25">
      <c r="A4202" s="3">
        <v>44197</v>
      </c>
      <c r="B4202" s="2" t="s">
        <v>166</v>
      </c>
      <c r="C4202" s="2">
        <v>0.77</v>
      </c>
      <c r="D4202" s="2">
        <v>2.3384999999999998</v>
      </c>
      <c r="E4202" s="2">
        <v>1.800645E-2</v>
      </c>
      <c r="F4202" s="2" t="s">
        <v>165</v>
      </c>
    </row>
    <row r="4203" spans="1:6" ht="22.5" hidden="1" customHeight="1" x14ac:dyDescent="0.25">
      <c r="A4203" s="3">
        <v>44562</v>
      </c>
      <c r="B4203" s="2" t="s">
        <v>261</v>
      </c>
      <c r="C4203" s="2">
        <v>0.21</v>
      </c>
      <c r="D4203" s="2">
        <v>0.1762</v>
      </c>
      <c r="E4203" s="2">
        <v>3.7001999999999998E-4</v>
      </c>
      <c r="F4203" s="2" t="s">
        <v>168</v>
      </c>
    </row>
    <row r="4204" spans="1:6" ht="22.5" hidden="1" customHeight="1" x14ac:dyDescent="0.25">
      <c r="A4204" s="3">
        <v>44197</v>
      </c>
      <c r="B4204" s="2" t="s">
        <v>169</v>
      </c>
      <c r="C4204" s="2">
        <v>-0.96</v>
      </c>
      <c r="D4204" s="2">
        <v>1.0500000000000001E-2</v>
      </c>
      <c r="E4204" s="2">
        <v>-1.008E-4</v>
      </c>
      <c r="F4204" s="2" t="s">
        <v>170</v>
      </c>
    </row>
    <row r="4205" spans="1:6" ht="22.5" hidden="1" customHeight="1" x14ac:dyDescent="0.25">
      <c r="A4205" s="3">
        <v>44197</v>
      </c>
      <c r="B4205" s="2" t="s">
        <v>171</v>
      </c>
      <c r="C4205" s="2">
        <v>1.24</v>
      </c>
      <c r="D4205" s="2">
        <v>1.49E-2</v>
      </c>
      <c r="E4205" s="2">
        <v>1.8476000000000001E-4</v>
      </c>
      <c r="F4205" s="2" t="s">
        <v>170</v>
      </c>
    </row>
    <row r="4206" spans="1:6" ht="22.5" hidden="1" customHeight="1" x14ac:dyDescent="0.25">
      <c r="A4206" s="3">
        <v>44197</v>
      </c>
      <c r="B4206" s="2" t="s">
        <v>172</v>
      </c>
      <c r="C4206" s="2">
        <v>-0.08</v>
      </c>
      <c r="D4206" s="2">
        <v>3.3999999999999998E-3</v>
      </c>
      <c r="E4206" s="2">
        <v>-2.7199999999999998E-6</v>
      </c>
      <c r="F4206" s="2" t="s">
        <v>170</v>
      </c>
    </row>
    <row r="4207" spans="1:6" ht="22.5" hidden="1" customHeight="1" x14ac:dyDescent="0.25">
      <c r="A4207" s="3">
        <v>44197</v>
      </c>
      <c r="B4207" s="2" t="s">
        <v>173</v>
      </c>
      <c r="C4207" s="2">
        <v>0.79</v>
      </c>
      <c r="D4207" s="2">
        <v>0.2581</v>
      </c>
      <c r="E4207" s="2">
        <v>2.0389900000000001E-3</v>
      </c>
      <c r="F4207" s="2" t="s">
        <v>174</v>
      </c>
    </row>
    <row r="4208" spans="1:6" ht="22.5" hidden="1" customHeight="1" x14ac:dyDescent="0.25">
      <c r="A4208" s="3">
        <v>44197</v>
      </c>
      <c r="B4208" s="2" t="s">
        <v>175</v>
      </c>
      <c r="C4208" s="2">
        <v>3.26</v>
      </c>
      <c r="D4208" s="2">
        <v>0.2427</v>
      </c>
      <c r="E4208" s="2">
        <v>7.9120200000000005E-3</v>
      </c>
      <c r="F4208" s="2" t="s">
        <v>174</v>
      </c>
    </row>
    <row r="4209" spans="1:6" ht="22.5" hidden="1" customHeight="1" x14ac:dyDescent="0.25">
      <c r="A4209" s="3">
        <v>44197</v>
      </c>
      <c r="B4209" s="2" t="s">
        <v>176</v>
      </c>
      <c r="C4209" s="2">
        <v>3.1</v>
      </c>
      <c r="D4209" s="2">
        <v>1.37E-2</v>
      </c>
      <c r="E4209" s="2">
        <v>4.2470000000000002E-4</v>
      </c>
      <c r="F4209" s="2" t="s">
        <v>170</v>
      </c>
    </row>
    <row r="4210" spans="1:6" ht="22.5" hidden="1" customHeight="1" x14ac:dyDescent="0.25">
      <c r="A4210" s="3">
        <v>44197</v>
      </c>
      <c r="B4210" s="2" t="s">
        <v>177</v>
      </c>
      <c r="C4210" s="2">
        <v>0.66</v>
      </c>
      <c r="D4210" s="2">
        <v>2.4E-2</v>
      </c>
      <c r="E4210" s="2">
        <v>1.584E-4</v>
      </c>
      <c r="F4210" s="2" t="s">
        <v>170</v>
      </c>
    </row>
    <row r="4211" spans="1:6" ht="22.5" hidden="1" customHeight="1" x14ac:dyDescent="0.25">
      <c r="A4211" s="3">
        <v>44197</v>
      </c>
      <c r="B4211" s="2" t="s">
        <v>178</v>
      </c>
      <c r="C4211" s="2">
        <v>-0.42</v>
      </c>
      <c r="D4211" s="2">
        <v>2.18E-2</v>
      </c>
      <c r="E4211" s="2">
        <v>-9.1559999999999998E-5</v>
      </c>
      <c r="F4211" s="2" t="s">
        <v>170</v>
      </c>
    </row>
    <row r="4212" spans="1:6" ht="22.5" hidden="1" customHeight="1" x14ac:dyDescent="0.25">
      <c r="A4212" s="3">
        <v>44197</v>
      </c>
      <c r="B4212" s="2" t="s">
        <v>179</v>
      </c>
      <c r="C4212" s="2">
        <v>2.35</v>
      </c>
      <c r="D4212" s="2">
        <v>4.07E-2</v>
      </c>
      <c r="E4212" s="2">
        <v>9.5644999999999997E-4</v>
      </c>
      <c r="F4212" s="2" t="s">
        <v>170</v>
      </c>
    </row>
    <row r="4213" spans="1:6" ht="22.5" hidden="1" customHeight="1" x14ac:dyDescent="0.25">
      <c r="A4213" s="3">
        <v>44197</v>
      </c>
      <c r="B4213" s="2" t="s">
        <v>180</v>
      </c>
      <c r="C4213" s="2">
        <v>-0.03</v>
      </c>
      <c r="D4213" s="2">
        <v>0.64510000000000001</v>
      </c>
      <c r="E4213" s="2">
        <v>-1.9353E-4</v>
      </c>
      <c r="F4213" s="2" t="s">
        <v>165</v>
      </c>
    </row>
    <row r="4214" spans="1:6" ht="22.5" hidden="1" customHeight="1" x14ac:dyDescent="0.25">
      <c r="A4214" s="3">
        <v>44197</v>
      </c>
      <c r="B4214" s="2" t="s">
        <v>181</v>
      </c>
      <c r="C4214" s="2">
        <v>2.5499999999999998</v>
      </c>
      <c r="D4214" s="2">
        <v>1.29E-2</v>
      </c>
      <c r="E4214" s="2">
        <v>3.2895E-4</v>
      </c>
      <c r="F4214" s="2" t="s">
        <v>174</v>
      </c>
    </row>
    <row r="4215" spans="1:6" ht="22.5" hidden="1" customHeight="1" x14ac:dyDescent="0.25">
      <c r="A4215" s="3">
        <v>44197</v>
      </c>
      <c r="B4215" s="2" t="s">
        <v>182</v>
      </c>
      <c r="C4215" s="2">
        <v>1.34</v>
      </c>
      <c r="D4215" s="2">
        <v>4.1200000000000001E-2</v>
      </c>
      <c r="E4215" s="2">
        <v>5.5208000000000004E-4</v>
      </c>
      <c r="F4215" s="2" t="s">
        <v>170</v>
      </c>
    </row>
    <row r="4216" spans="1:6" ht="22.5" hidden="1" customHeight="1" x14ac:dyDescent="0.25">
      <c r="A4216" s="3">
        <v>44197</v>
      </c>
      <c r="B4216" s="2" t="s">
        <v>183</v>
      </c>
      <c r="C4216" s="2">
        <v>4.3899999999999997</v>
      </c>
      <c r="D4216" s="2">
        <v>4.1000000000000003E-3</v>
      </c>
      <c r="E4216" s="2">
        <v>1.7998999999999999E-4</v>
      </c>
      <c r="F4216" s="2" t="s">
        <v>174</v>
      </c>
    </row>
    <row r="4217" spans="1:6" ht="22.5" hidden="1" customHeight="1" x14ac:dyDescent="0.25">
      <c r="A4217" s="3">
        <v>44197</v>
      </c>
      <c r="B4217" s="2" t="s">
        <v>184</v>
      </c>
      <c r="C4217" s="2">
        <v>1.34</v>
      </c>
      <c r="D4217" s="2">
        <v>6.3500000000000001E-2</v>
      </c>
      <c r="E4217" s="2">
        <v>8.5090000000000003E-4</v>
      </c>
      <c r="F4217" s="2" t="s">
        <v>174</v>
      </c>
    </row>
    <row r="4218" spans="1:6" ht="22.5" hidden="1" customHeight="1" x14ac:dyDescent="0.25">
      <c r="A4218" s="3">
        <v>44197</v>
      </c>
      <c r="B4218" s="2" t="s">
        <v>185</v>
      </c>
      <c r="C4218" s="2">
        <v>0.57999999999999996</v>
      </c>
      <c r="D4218" s="2">
        <v>0.1545</v>
      </c>
      <c r="E4218" s="2">
        <v>8.9610000000000004E-4</v>
      </c>
      <c r="F4218" s="2" t="s">
        <v>174</v>
      </c>
    </row>
    <row r="4219" spans="1:6" ht="22.5" hidden="1" customHeight="1" x14ac:dyDescent="0.25">
      <c r="A4219" s="3">
        <v>44197</v>
      </c>
      <c r="B4219" s="2" t="s">
        <v>186</v>
      </c>
      <c r="C4219" s="2">
        <v>2.41</v>
      </c>
      <c r="D4219" s="2">
        <v>0.21909999999999999</v>
      </c>
      <c r="E4219" s="2">
        <v>5.2803099999999999E-3</v>
      </c>
      <c r="F4219" s="2" t="s">
        <v>174</v>
      </c>
    </row>
    <row r="4220" spans="1:6" ht="22.5" hidden="1" customHeight="1" x14ac:dyDescent="0.25">
      <c r="A4220" s="3">
        <v>44197</v>
      </c>
      <c r="B4220" s="2" t="s">
        <v>187</v>
      </c>
      <c r="C4220" s="2">
        <v>0.76</v>
      </c>
      <c r="D4220" s="2">
        <v>5.9499999999999997E-2</v>
      </c>
      <c r="E4220" s="2">
        <v>4.5219999999999999E-4</v>
      </c>
      <c r="F4220" s="2" t="s">
        <v>174</v>
      </c>
    </row>
    <row r="4221" spans="1:6" ht="22.5" hidden="1" customHeight="1" x14ac:dyDescent="0.25">
      <c r="A4221" s="3">
        <v>44197</v>
      </c>
      <c r="B4221" s="2" t="s">
        <v>188</v>
      </c>
      <c r="C4221" s="2">
        <v>4.1500000000000004</v>
      </c>
      <c r="D4221" s="2">
        <v>2.81E-2</v>
      </c>
      <c r="E4221" s="2">
        <v>1.1661499999999999E-3</v>
      </c>
      <c r="F4221" s="2" t="s">
        <v>174</v>
      </c>
    </row>
    <row r="4222" spans="1:6" ht="22.5" hidden="1" customHeight="1" x14ac:dyDescent="0.25">
      <c r="A4222" s="3">
        <v>44197</v>
      </c>
      <c r="B4222" s="2" t="s">
        <v>189</v>
      </c>
      <c r="C4222" s="2">
        <v>-0.76</v>
      </c>
      <c r="D4222" s="2">
        <v>3.7000000000000002E-3</v>
      </c>
      <c r="E4222" s="2">
        <v>-2.8119999999999998E-5</v>
      </c>
      <c r="F4222" s="2" t="s">
        <v>174</v>
      </c>
    </row>
    <row r="4223" spans="1:6" ht="22.5" hidden="1" customHeight="1" x14ac:dyDescent="0.25">
      <c r="A4223" s="3">
        <v>44197</v>
      </c>
      <c r="B4223" s="2" t="s">
        <v>190</v>
      </c>
      <c r="C4223" s="2">
        <v>2.23</v>
      </c>
      <c r="D4223" s="2">
        <v>4.7999999999999996E-3</v>
      </c>
      <c r="E4223" s="2">
        <v>1.0704000000000001E-4</v>
      </c>
      <c r="F4223" s="2" t="s">
        <v>174</v>
      </c>
    </row>
    <row r="4224" spans="1:6" ht="22.5" hidden="1" customHeight="1" x14ac:dyDescent="0.25">
      <c r="A4224" s="3">
        <v>44197</v>
      </c>
      <c r="B4224" s="2" t="s">
        <v>191</v>
      </c>
      <c r="C4224" s="2">
        <v>2.5299999999999998</v>
      </c>
      <c r="D4224" s="2">
        <v>2.7799999999999998E-2</v>
      </c>
      <c r="E4224" s="2">
        <v>7.0334E-4</v>
      </c>
      <c r="F4224" s="2" t="s">
        <v>174</v>
      </c>
    </row>
    <row r="4225" spans="1:6" ht="22.5" hidden="1" customHeight="1" x14ac:dyDescent="0.25">
      <c r="A4225" s="3">
        <v>44197</v>
      </c>
      <c r="B4225" s="2" t="s">
        <v>192</v>
      </c>
      <c r="C4225" s="2">
        <v>-0.55000000000000004</v>
      </c>
      <c r="D4225" s="2">
        <v>5.1999999999999998E-3</v>
      </c>
      <c r="E4225" s="2">
        <v>-2.8600000000000001E-5</v>
      </c>
      <c r="F4225" s="2" t="s">
        <v>174</v>
      </c>
    </row>
    <row r="4226" spans="1:6" ht="22.5" hidden="1" customHeight="1" x14ac:dyDescent="0.25">
      <c r="A4226" s="3">
        <v>44197</v>
      </c>
      <c r="B4226" s="2" t="s">
        <v>193</v>
      </c>
      <c r="C4226" s="2">
        <v>0.16</v>
      </c>
      <c r="D4226" s="2">
        <v>0.1686</v>
      </c>
      <c r="E4226" s="2">
        <v>2.6976000000000002E-4</v>
      </c>
      <c r="F4226" s="2" t="s">
        <v>174</v>
      </c>
    </row>
    <row r="4227" spans="1:6" ht="22.5" hidden="1" customHeight="1" x14ac:dyDescent="0.25">
      <c r="A4227" s="3">
        <v>44197</v>
      </c>
      <c r="B4227" s="2" t="s">
        <v>194</v>
      </c>
      <c r="C4227" s="2">
        <v>3.22</v>
      </c>
      <c r="D4227" s="2">
        <v>3.3999999999999998E-3</v>
      </c>
      <c r="E4227" s="2">
        <v>1.0948E-4</v>
      </c>
      <c r="F4227" s="2" t="s">
        <v>174</v>
      </c>
    </row>
    <row r="4228" spans="1:6" ht="22.5" hidden="1" customHeight="1" x14ac:dyDescent="0.25">
      <c r="A4228" s="3">
        <v>44013</v>
      </c>
      <c r="B4228" s="2" t="s">
        <v>300</v>
      </c>
      <c r="C4228" s="2">
        <v>0.2</v>
      </c>
      <c r="D4228" s="2">
        <v>0.1847</v>
      </c>
      <c r="E4228" s="2">
        <v>3.6939999999999998E-4</v>
      </c>
      <c r="F4228" s="2" t="s">
        <v>168</v>
      </c>
    </row>
    <row r="4229" spans="1:6" ht="22.5" hidden="1" customHeight="1" x14ac:dyDescent="0.25">
      <c r="A4229" s="3">
        <v>44348</v>
      </c>
      <c r="B4229" s="2" t="s">
        <v>195</v>
      </c>
      <c r="C4229" s="2">
        <v>0.03</v>
      </c>
      <c r="D4229" s="2">
        <v>1.2081999999999999</v>
      </c>
      <c r="E4229" s="2">
        <v>3.6246E-4</v>
      </c>
      <c r="F4229" s="2" t="s">
        <v>168</v>
      </c>
    </row>
    <row r="4230" spans="1:6" ht="22.5" hidden="1" customHeight="1" x14ac:dyDescent="0.25">
      <c r="A4230" s="3">
        <v>43862</v>
      </c>
      <c r="B4230" s="2" t="s">
        <v>167</v>
      </c>
      <c r="C4230" s="2">
        <v>0.02</v>
      </c>
      <c r="D4230" s="2">
        <v>1.8051999999999999</v>
      </c>
      <c r="E4230" s="2">
        <v>3.6104000000000003E-4</v>
      </c>
      <c r="F4230" s="2" t="s">
        <v>168</v>
      </c>
    </row>
    <row r="4231" spans="1:6" ht="22.5" hidden="1" customHeight="1" x14ac:dyDescent="0.25">
      <c r="A4231" s="3">
        <v>44197</v>
      </c>
      <c r="B4231" s="2" t="s">
        <v>198</v>
      </c>
      <c r="C4231" s="2">
        <v>0.01</v>
      </c>
      <c r="D4231" s="2">
        <v>0.34839999999999999</v>
      </c>
      <c r="E4231" s="2">
        <v>3.4839999999999998E-5</v>
      </c>
      <c r="F4231" s="2" t="s">
        <v>170</v>
      </c>
    </row>
    <row r="4232" spans="1:6" ht="22.5" hidden="1" customHeight="1" x14ac:dyDescent="0.25">
      <c r="A4232" s="3">
        <v>44197</v>
      </c>
      <c r="B4232" s="2" t="s">
        <v>199</v>
      </c>
      <c r="C4232" s="2">
        <v>1.37</v>
      </c>
      <c r="D4232" s="2">
        <v>0.46779999999999999</v>
      </c>
      <c r="E4232" s="2">
        <v>6.4088599999999997E-3</v>
      </c>
      <c r="F4232" s="2" t="s">
        <v>170</v>
      </c>
    </row>
    <row r="4233" spans="1:6" ht="22.5" hidden="1" customHeight="1" x14ac:dyDescent="0.25">
      <c r="A4233" s="3">
        <v>44197</v>
      </c>
      <c r="B4233" s="2" t="s">
        <v>200</v>
      </c>
      <c r="C4233" s="2">
        <v>0.47</v>
      </c>
      <c r="D4233" s="2">
        <v>0.18490000000000001</v>
      </c>
      <c r="E4233" s="2">
        <v>8.6903000000000002E-4</v>
      </c>
      <c r="F4233" s="2" t="s">
        <v>170</v>
      </c>
    </row>
    <row r="4234" spans="1:6" ht="22.5" hidden="1" customHeight="1" x14ac:dyDescent="0.25">
      <c r="A4234" s="3">
        <v>44197</v>
      </c>
      <c r="B4234" s="2" t="s">
        <v>201</v>
      </c>
      <c r="C4234" s="2">
        <v>-1.01</v>
      </c>
      <c r="D4234" s="2">
        <v>2.5899999999999999E-2</v>
      </c>
      <c r="E4234" s="2">
        <v>-2.6159000000000002E-4</v>
      </c>
      <c r="F4234" s="2" t="s">
        <v>170</v>
      </c>
    </row>
    <row r="4235" spans="1:6" ht="22.5" hidden="1" customHeight="1" x14ac:dyDescent="0.25">
      <c r="A4235" s="3">
        <v>44197</v>
      </c>
      <c r="B4235" s="2" t="s">
        <v>202</v>
      </c>
      <c r="C4235" s="2">
        <v>1</v>
      </c>
      <c r="D4235" s="2">
        <v>1.8200000000000001E-2</v>
      </c>
      <c r="E4235" s="2">
        <v>1.8200000000000001E-4</v>
      </c>
      <c r="F4235" s="2" t="s">
        <v>170</v>
      </c>
    </row>
    <row r="4236" spans="1:6" ht="22.5" hidden="1" customHeight="1" x14ac:dyDescent="0.25">
      <c r="A4236" s="3">
        <v>44197</v>
      </c>
      <c r="B4236" s="2" t="s">
        <v>203</v>
      </c>
      <c r="C4236" s="2">
        <v>1.28</v>
      </c>
      <c r="D4236" s="2">
        <v>8.3000000000000004E-2</v>
      </c>
      <c r="E4236" s="2">
        <v>1.0624E-3</v>
      </c>
      <c r="F4236" s="2" t="s">
        <v>170</v>
      </c>
    </row>
    <row r="4237" spans="1:6" ht="22.5" hidden="1" customHeight="1" x14ac:dyDescent="0.25">
      <c r="A4237" s="3">
        <v>44197</v>
      </c>
      <c r="B4237" s="2" t="s">
        <v>204</v>
      </c>
      <c r="C4237" s="2">
        <v>0.82</v>
      </c>
      <c r="D4237" s="2">
        <v>6.0199999999999997E-2</v>
      </c>
      <c r="E4237" s="2">
        <v>4.9364000000000005E-4</v>
      </c>
      <c r="F4237" s="2" t="s">
        <v>174</v>
      </c>
    </row>
    <row r="4238" spans="1:6" ht="22.5" hidden="1" customHeight="1" x14ac:dyDescent="0.25">
      <c r="A4238" s="3">
        <v>44197</v>
      </c>
      <c r="B4238" s="2" t="s">
        <v>205</v>
      </c>
      <c r="C4238" s="2">
        <v>0.4</v>
      </c>
      <c r="D4238" s="2">
        <v>9.6100000000000005E-2</v>
      </c>
      <c r="E4238" s="2">
        <v>3.8440000000000002E-4</v>
      </c>
      <c r="F4238" s="2" t="s">
        <v>174</v>
      </c>
    </row>
    <row r="4239" spans="1:6" ht="22.5" hidden="1" customHeight="1" x14ac:dyDescent="0.25">
      <c r="A4239" s="3">
        <v>44197</v>
      </c>
      <c r="B4239" s="2" t="s">
        <v>206</v>
      </c>
      <c r="C4239" s="2">
        <v>0.55000000000000004</v>
      </c>
      <c r="D4239" s="2">
        <v>0.1593</v>
      </c>
      <c r="E4239" s="2">
        <v>8.7615000000000002E-4</v>
      </c>
      <c r="F4239" s="2" t="s">
        <v>174</v>
      </c>
    </row>
    <row r="4240" spans="1:6" ht="22.5" hidden="1" customHeight="1" x14ac:dyDescent="0.25">
      <c r="A4240" s="3">
        <v>44197</v>
      </c>
      <c r="B4240" s="2" t="s">
        <v>207</v>
      </c>
      <c r="C4240" s="2">
        <v>-0.77</v>
      </c>
      <c r="D4240" s="2">
        <v>4.8500000000000001E-2</v>
      </c>
      <c r="E4240" s="2">
        <v>-3.7345E-4</v>
      </c>
      <c r="F4240" s="2" t="s">
        <v>174</v>
      </c>
    </row>
    <row r="4241" spans="1:6" ht="22.5" hidden="1" customHeight="1" x14ac:dyDescent="0.25">
      <c r="A4241" s="3">
        <v>44197</v>
      </c>
      <c r="B4241" s="2" t="s">
        <v>208</v>
      </c>
      <c r="C4241" s="2">
        <v>0.5</v>
      </c>
      <c r="D4241" s="2">
        <v>8.8999999999999999E-3</v>
      </c>
      <c r="E4241" s="2">
        <v>4.4499999999999997E-5</v>
      </c>
      <c r="F4241" s="2" t="s">
        <v>174</v>
      </c>
    </row>
    <row r="4242" spans="1:6" ht="22.5" hidden="1" customHeight="1" x14ac:dyDescent="0.25">
      <c r="A4242" s="3">
        <v>44197</v>
      </c>
      <c r="B4242" s="2" t="s">
        <v>209</v>
      </c>
      <c r="C4242" s="2">
        <v>-2.89</v>
      </c>
      <c r="D4242" s="2">
        <v>6.4999999999999997E-3</v>
      </c>
      <c r="E4242" s="2">
        <v>-1.8785000000000001E-4</v>
      </c>
      <c r="F4242" s="2" t="s">
        <v>174</v>
      </c>
    </row>
    <row r="4243" spans="1:6" ht="22.5" hidden="1" customHeight="1" x14ac:dyDescent="0.25">
      <c r="A4243" s="3">
        <v>44197</v>
      </c>
      <c r="B4243" s="2" t="s">
        <v>210</v>
      </c>
      <c r="C4243" s="2">
        <v>1.85</v>
      </c>
      <c r="D4243" s="2">
        <v>1.43E-2</v>
      </c>
      <c r="E4243" s="2">
        <v>2.6455000000000001E-4</v>
      </c>
      <c r="F4243" s="2" t="s">
        <v>170</v>
      </c>
    </row>
    <row r="4244" spans="1:6" ht="22.5" hidden="1" customHeight="1" x14ac:dyDescent="0.25">
      <c r="A4244" s="3">
        <v>44197</v>
      </c>
      <c r="B4244" s="2" t="s">
        <v>211</v>
      </c>
      <c r="C4244" s="2">
        <v>1.51</v>
      </c>
      <c r="D4244" s="2">
        <v>0.19309999999999999</v>
      </c>
      <c r="E4244" s="2">
        <v>2.91581E-3</v>
      </c>
      <c r="F4244" s="2" t="s">
        <v>174</v>
      </c>
    </row>
    <row r="4245" spans="1:6" ht="22.5" hidden="1" customHeight="1" x14ac:dyDescent="0.25">
      <c r="A4245" s="3">
        <v>44197</v>
      </c>
      <c r="B4245" s="2" t="s">
        <v>212</v>
      </c>
      <c r="C4245" s="2">
        <v>1.48</v>
      </c>
      <c r="D4245" s="2">
        <v>4.4999999999999997E-3</v>
      </c>
      <c r="E4245" s="2">
        <v>6.6600000000000006E-5</v>
      </c>
      <c r="F4245" s="2" t="s">
        <v>174</v>
      </c>
    </row>
    <row r="4246" spans="1:6" ht="22.5" hidden="1" customHeight="1" x14ac:dyDescent="0.25">
      <c r="A4246" s="3">
        <v>44197</v>
      </c>
      <c r="B4246" s="2" t="s">
        <v>213</v>
      </c>
      <c r="C4246" s="2">
        <v>2.38</v>
      </c>
      <c r="D4246" s="2">
        <v>0.33329999999999999</v>
      </c>
      <c r="E4246" s="2">
        <v>7.9325400000000001E-3</v>
      </c>
      <c r="F4246" s="2" t="s">
        <v>170</v>
      </c>
    </row>
    <row r="4247" spans="1:6" ht="22.5" hidden="1" customHeight="1" x14ac:dyDescent="0.25">
      <c r="A4247" s="3">
        <v>44197</v>
      </c>
      <c r="B4247" s="2" t="s">
        <v>214</v>
      </c>
      <c r="C4247" s="2">
        <v>0.28999999999999998</v>
      </c>
      <c r="D4247" s="2">
        <v>0.1113</v>
      </c>
      <c r="E4247" s="2">
        <v>3.2277E-4</v>
      </c>
      <c r="F4247" s="2" t="s">
        <v>170</v>
      </c>
    </row>
    <row r="4248" spans="1:6" ht="22.5" hidden="1" customHeight="1" x14ac:dyDescent="0.25">
      <c r="A4248" s="3">
        <v>44197</v>
      </c>
      <c r="B4248" s="2" t="s">
        <v>215</v>
      </c>
      <c r="C4248" s="2">
        <v>1.59</v>
      </c>
      <c r="D4248" s="2">
        <v>0.2475</v>
      </c>
      <c r="E4248" s="2">
        <v>3.9352500000000004E-3</v>
      </c>
      <c r="F4248" s="2" t="s">
        <v>170</v>
      </c>
    </row>
    <row r="4249" spans="1:6" ht="22.5" hidden="1" customHeight="1" x14ac:dyDescent="0.25">
      <c r="A4249" s="3">
        <v>44197</v>
      </c>
      <c r="B4249" s="2" t="s">
        <v>216</v>
      </c>
      <c r="C4249" s="2">
        <v>1.03</v>
      </c>
      <c r="D4249" s="2">
        <v>1.4999999999999999E-2</v>
      </c>
      <c r="E4249" s="2">
        <v>1.5449999999999999E-4</v>
      </c>
      <c r="F4249" s="2" t="s">
        <v>170</v>
      </c>
    </row>
    <row r="4250" spans="1:6" ht="22.5" hidden="1" customHeight="1" x14ac:dyDescent="0.25">
      <c r="A4250" s="3">
        <v>44197</v>
      </c>
      <c r="B4250" s="2" t="s">
        <v>217</v>
      </c>
      <c r="C4250" s="2">
        <v>0.61</v>
      </c>
      <c r="D4250" s="2">
        <v>0.1714</v>
      </c>
      <c r="E4250" s="2">
        <v>1.04554E-3</v>
      </c>
      <c r="F4250" s="2" t="s">
        <v>170</v>
      </c>
    </row>
    <row r="4251" spans="1:6" ht="22.5" hidden="1" customHeight="1" x14ac:dyDescent="0.25">
      <c r="A4251" s="3">
        <v>44197</v>
      </c>
      <c r="B4251" s="2" t="s">
        <v>218</v>
      </c>
      <c r="C4251" s="2">
        <v>-0.55000000000000004</v>
      </c>
      <c r="D4251" s="2">
        <v>7.4000000000000003E-3</v>
      </c>
      <c r="E4251" s="2">
        <v>-4.07E-5</v>
      </c>
      <c r="F4251" s="2" t="s">
        <v>170</v>
      </c>
    </row>
    <row r="4252" spans="1:6" ht="22.5" hidden="1" customHeight="1" x14ac:dyDescent="0.25">
      <c r="A4252" s="3">
        <v>44197</v>
      </c>
      <c r="B4252" s="2" t="s">
        <v>219</v>
      </c>
      <c r="C4252" s="2">
        <v>2.0499999999999998</v>
      </c>
      <c r="D4252" s="2">
        <v>0.48530000000000001</v>
      </c>
      <c r="E4252" s="2">
        <v>9.9486499999999999E-3</v>
      </c>
      <c r="F4252" s="2" t="s">
        <v>170</v>
      </c>
    </row>
    <row r="4253" spans="1:6" ht="22.5" hidden="1" customHeight="1" x14ac:dyDescent="0.25">
      <c r="A4253" s="3">
        <v>44197</v>
      </c>
      <c r="B4253" s="2" t="s">
        <v>220</v>
      </c>
      <c r="C4253" s="2">
        <v>-0.42</v>
      </c>
      <c r="D4253" s="2">
        <v>1.15E-2</v>
      </c>
      <c r="E4253" s="2">
        <v>-4.8300000000000002E-5</v>
      </c>
      <c r="F4253" s="2" t="s">
        <v>170</v>
      </c>
    </row>
    <row r="4254" spans="1:6" ht="22.5" hidden="1" customHeight="1" x14ac:dyDescent="0.25">
      <c r="A4254" s="3">
        <v>44197</v>
      </c>
      <c r="B4254" s="2" t="s">
        <v>221</v>
      </c>
      <c r="C4254" s="2">
        <v>0.68</v>
      </c>
      <c r="D4254" s="2">
        <v>3.5999999999999999E-3</v>
      </c>
      <c r="E4254" s="2">
        <v>2.4479999999999999E-5</v>
      </c>
      <c r="F4254" s="2" t="s">
        <v>170</v>
      </c>
    </row>
    <row r="4255" spans="1:6" ht="22.5" hidden="1" customHeight="1" x14ac:dyDescent="0.25">
      <c r="A4255" s="3">
        <v>44197</v>
      </c>
      <c r="B4255" s="2" t="s">
        <v>222</v>
      </c>
      <c r="C4255" s="2">
        <v>-1.82</v>
      </c>
      <c r="D4255" s="2">
        <v>0.35809999999999997</v>
      </c>
      <c r="E4255" s="2">
        <v>-6.5174200000000003E-3</v>
      </c>
      <c r="F4255" s="2" t="s">
        <v>170</v>
      </c>
    </row>
    <row r="4256" spans="1:6" ht="22.5" hidden="1" customHeight="1" x14ac:dyDescent="0.25">
      <c r="A4256" s="3">
        <v>44197</v>
      </c>
      <c r="B4256" s="2" t="s">
        <v>223</v>
      </c>
      <c r="C4256" s="2">
        <v>-0.7</v>
      </c>
      <c r="D4256" s="2">
        <v>1.66E-2</v>
      </c>
      <c r="E4256" s="2">
        <v>-1.1620000000000001E-4</v>
      </c>
      <c r="F4256" s="2" t="s">
        <v>165</v>
      </c>
    </row>
    <row r="4257" spans="1:6" ht="22.5" hidden="1" customHeight="1" x14ac:dyDescent="0.25">
      <c r="A4257" s="3">
        <v>44197</v>
      </c>
      <c r="B4257" s="2" t="s">
        <v>224</v>
      </c>
      <c r="C4257" s="2">
        <v>0</v>
      </c>
      <c r="D4257" s="2">
        <v>2.3E-3</v>
      </c>
      <c r="E4257" s="2">
        <v>0</v>
      </c>
      <c r="F4257" s="2" t="s">
        <v>165</v>
      </c>
    </row>
    <row r="4258" spans="1:6" ht="22.5" hidden="1" customHeight="1" x14ac:dyDescent="0.25">
      <c r="A4258" s="3">
        <v>44197</v>
      </c>
      <c r="B4258" s="2" t="s">
        <v>225</v>
      </c>
      <c r="C4258" s="2">
        <v>-0.53</v>
      </c>
      <c r="D4258" s="2">
        <v>4.7000000000000002E-3</v>
      </c>
      <c r="E4258" s="2">
        <v>-2.491E-5</v>
      </c>
      <c r="F4258" s="2" t="s">
        <v>165</v>
      </c>
    </row>
    <row r="4259" spans="1:6" ht="22.5" hidden="1" customHeight="1" x14ac:dyDescent="0.25">
      <c r="A4259" s="3">
        <v>44197</v>
      </c>
      <c r="B4259" s="2" t="s">
        <v>226</v>
      </c>
      <c r="C4259" s="2">
        <v>1.25</v>
      </c>
      <c r="D4259" s="2">
        <v>4.6300000000000001E-2</v>
      </c>
      <c r="E4259" s="2">
        <v>5.7874999999999995E-4</v>
      </c>
      <c r="F4259" s="2" t="s">
        <v>165</v>
      </c>
    </row>
    <row r="4260" spans="1:6" ht="22.5" hidden="1" customHeight="1" x14ac:dyDescent="0.25">
      <c r="A4260" s="3">
        <v>44197</v>
      </c>
      <c r="B4260" s="2" t="s">
        <v>227</v>
      </c>
      <c r="C4260" s="2">
        <v>-0.06</v>
      </c>
      <c r="D4260" s="2">
        <v>6.6299999999999998E-2</v>
      </c>
      <c r="E4260" s="2">
        <v>-3.9780000000000002E-5</v>
      </c>
      <c r="F4260" s="2" t="s">
        <v>165</v>
      </c>
    </row>
    <row r="4261" spans="1:6" ht="22.5" hidden="1" customHeight="1" x14ac:dyDescent="0.25">
      <c r="A4261" s="3">
        <v>44197</v>
      </c>
      <c r="B4261" s="2" t="s">
        <v>228</v>
      </c>
      <c r="C4261" s="2">
        <v>0.43</v>
      </c>
      <c r="D4261" s="2">
        <v>0.19270000000000001</v>
      </c>
      <c r="E4261" s="2">
        <v>8.2861000000000002E-4</v>
      </c>
      <c r="F4261" s="2" t="s">
        <v>165</v>
      </c>
    </row>
    <row r="4262" spans="1:6" ht="22.5" hidden="1" customHeight="1" x14ac:dyDescent="0.25">
      <c r="A4262" s="3">
        <v>44197</v>
      </c>
      <c r="B4262" s="2" t="s">
        <v>229</v>
      </c>
      <c r="C4262" s="2">
        <v>0.89</v>
      </c>
      <c r="D4262" s="2">
        <v>0.27979999999999999</v>
      </c>
      <c r="E4262" s="2">
        <v>2.49022E-3</v>
      </c>
      <c r="F4262" s="2" t="s">
        <v>174</v>
      </c>
    </row>
    <row r="4263" spans="1:6" ht="22.5" hidden="1" customHeight="1" x14ac:dyDescent="0.25">
      <c r="A4263" s="3">
        <v>44197</v>
      </c>
      <c r="B4263" s="2" t="s">
        <v>230</v>
      </c>
      <c r="C4263" s="2">
        <v>-0.25</v>
      </c>
      <c r="D4263" s="2">
        <v>2.0899999999999998E-2</v>
      </c>
      <c r="E4263" s="2">
        <v>-5.2250000000000003E-5</v>
      </c>
      <c r="F4263" s="2" t="s">
        <v>174</v>
      </c>
    </row>
    <row r="4264" spans="1:6" ht="22.5" hidden="1" customHeight="1" x14ac:dyDescent="0.25">
      <c r="A4264" s="3">
        <v>44197</v>
      </c>
      <c r="B4264" s="2" t="s">
        <v>231</v>
      </c>
      <c r="C4264" s="2">
        <v>2.2799999999999998</v>
      </c>
      <c r="D4264" s="2">
        <v>0.16769999999999999</v>
      </c>
      <c r="E4264" s="2">
        <v>3.8235600000000002E-3</v>
      </c>
      <c r="F4264" s="2" t="s">
        <v>174</v>
      </c>
    </row>
    <row r="4265" spans="1:6" ht="22.5" hidden="1" customHeight="1" x14ac:dyDescent="0.25">
      <c r="A4265" s="3">
        <v>44197</v>
      </c>
      <c r="B4265" s="2" t="s">
        <v>232</v>
      </c>
      <c r="C4265" s="2">
        <v>0.48</v>
      </c>
      <c r="D4265" s="2">
        <v>5.4999999999999997E-3</v>
      </c>
      <c r="E4265" s="2">
        <v>2.6400000000000001E-5</v>
      </c>
      <c r="F4265" s="2" t="s">
        <v>174</v>
      </c>
    </row>
    <row r="4266" spans="1:6" ht="22.5" hidden="1" customHeight="1" x14ac:dyDescent="0.25">
      <c r="A4266" s="3">
        <v>44197</v>
      </c>
      <c r="B4266" s="2" t="s">
        <v>233</v>
      </c>
      <c r="C4266" s="2">
        <v>1.04</v>
      </c>
      <c r="D4266" s="2">
        <v>0.55589999999999995</v>
      </c>
      <c r="E4266" s="2">
        <v>5.7813600000000001E-3</v>
      </c>
      <c r="F4266" s="2" t="s">
        <v>174</v>
      </c>
    </row>
    <row r="4267" spans="1:6" ht="22.5" hidden="1" customHeight="1" x14ac:dyDescent="0.25">
      <c r="A4267" s="3">
        <v>44197</v>
      </c>
      <c r="B4267" s="2" t="s">
        <v>234</v>
      </c>
      <c r="C4267" s="2">
        <v>1.6</v>
      </c>
      <c r="D4267" s="2">
        <v>0.30359999999999998</v>
      </c>
      <c r="E4267" s="2">
        <v>4.8576000000000001E-3</v>
      </c>
      <c r="F4267" s="2" t="s">
        <v>174</v>
      </c>
    </row>
    <row r="4268" spans="1:6" ht="22.5" hidden="1" customHeight="1" x14ac:dyDescent="0.25">
      <c r="A4268" s="3">
        <v>44197</v>
      </c>
      <c r="B4268" s="2" t="s">
        <v>235</v>
      </c>
      <c r="C4268" s="2">
        <v>-1.65</v>
      </c>
      <c r="D4268" s="2">
        <v>2.35E-2</v>
      </c>
      <c r="E4268" s="2">
        <v>-3.8775000000000002E-4</v>
      </c>
      <c r="F4268" s="2" t="s">
        <v>174</v>
      </c>
    </row>
    <row r="4269" spans="1:6" ht="22.5" hidden="1" customHeight="1" x14ac:dyDescent="0.25">
      <c r="A4269" s="3">
        <v>44197</v>
      </c>
      <c r="B4269" s="2" t="s">
        <v>236</v>
      </c>
      <c r="C4269" s="2">
        <v>0.02</v>
      </c>
      <c r="D4269" s="2">
        <v>7.4000000000000003E-3</v>
      </c>
      <c r="E4269" s="2">
        <v>1.48E-6</v>
      </c>
      <c r="F4269" s="2" t="s">
        <v>174</v>
      </c>
    </row>
    <row r="4270" spans="1:6" ht="22.5" hidden="1" customHeight="1" x14ac:dyDescent="0.25">
      <c r="A4270" s="3">
        <v>44197</v>
      </c>
      <c r="B4270" s="2" t="s">
        <v>237</v>
      </c>
      <c r="C4270" s="2">
        <v>1.59</v>
      </c>
      <c r="D4270" s="2">
        <v>0.2823</v>
      </c>
      <c r="E4270" s="2">
        <v>4.4885699999999999E-3</v>
      </c>
      <c r="F4270" s="2" t="s">
        <v>174</v>
      </c>
    </row>
    <row r="4271" spans="1:6" ht="22.5" hidden="1" customHeight="1" x14ac:dyDescent="0.25">
      <c r="A4271" s="3">
        <v>44197</v>
      </c>
      <c r="B4271" s="2" t="s">
        <v>238</v>
      </c>
      <c r="C4271" s="2">
        <v>0.26</v>
      </c>
      <c r="D4271" s="2">
        <v>0.50409999999999999</v>
      </c>
      <c r="E4271" s="2">
        <v>1.31066E-3</v>
      </c>
      <c r="F4271" s="2" t="s">
        <v>174</v>
      </c>
    </row>
    <row r="4272" spans="1:6" ht="22.5" hidden="1" customHeight="1" x14ac:dyDescent="0.25">
      <c r="A4272" s="3">
        <v>44197</v>
      </c>
      <c r="B4272" s="2" t="s">
        <v>239</v>
      </c>
      <c r="C4272" s="2">
        <v>0.37</v>
      </c>
      <c r="D4272" s="2">
        <v>0.1105</v>
      </c>
      <c r="E4272" s="2">
        <v>4.0884999999999999E-4</v>
      </c>
      <c r="F4272" s="2" t="s">
        <v>174</v>
      </c>
    </row>
    <row r="4273" spans="1:6" ht="22.5" hidden="1" customHeight="1" x14ac:dyDescent="0.25">
      <c r="A4273" s="3">
        <v>44197</v>
      </c>
      <c r="B4273" s="2" t="s">
        <v>240</v>
      </c>
      <c r="C4273" s="2">
        <v>1.27</v>
      </c>
      <c r="D4273" s="2">
        <v>6.3200000000000006E-2</v>
      </c>
      <c r="E4273" s="2">
        <v>8.0263999999999997E-4</v>
      </c>
      <c r="F4273" s="2" t="s">
        <v>174</v>
      </c>
    </row>
    <row r="4274" spans="1:6" ht="22.5" hidden="1" customHeight="1" x14ac:dyDescent="0.25">
      <c r="A4274" s="3">
        <v>44197</v>
      </c>
      <c r="B4274" s="2" t="s">
        <v>241</v>
      </c>
      <c r="C4274" s="2">
        <v>1.43</v>
      </c>
      <c r="D4274" s="2">
        <v>8.4400000000000003E-2</v>
      </c>
      <c r="E4274" s="2">
        <v>1.20692E-3</v>
      </c>
      <c r="F4274" s="2" t="s">
        <v>174</v>
      </c>
    </row>
    <row r="4275" spans="1:6" ht="22.5" hidden="1" customHeight="1" x14ac:dyDescent="0.25">
      <c r="A4275" s="3">
        <v>44197</v>
      </c>
      <c r="B4275" s="2" t="s">
        <v>242</v>
      </c>
      <c r="C4275" s="2">
        <v>1.1000000000000001</v>
      </c>
      <c r="D4275" s="2">
        <v>7.3800000000000004E-2</v>
      </c>
      <c r="E4275" s="2">
        <v>8.118E-4</v>
      </c>
      <c r="F4275" s="2" t="s">
        <v>174</v>
      </c>
    </row>
    <row r="4276" spans="1:6" ht="22.5" hidden="1" customHeight="1" x14ac:dyDescent="0.25">
      <c r="A4276" s="3">
        <v>44197</v>
      </c>
      <c r="B4276" s="2" t="s">
        <v>243</v>
      </c>
      <c r="C4276" s="2">
        <v>0.5</v>
      </c>
      <c r="D4276" s="2">
        <v>7.6E-3</v>
      </c>
      <c r="E4276" s="2">
        <v>3.8000000000000002E-5</v>
      </c>
      <c r="F4276" s="2" t="s">
        <v>174</v>
      </c>
    </row>
    <row r="4277" spans="1:6" ht="22.5" hidden="1" customHeight="1" x14ac:dyDescent="0.25">
      <c r="A4277" s="3">
        <v>44197</v>
      </c>
      <c r="B4277" s="2" t="s">
        <v>244</v>
      </c>
      <c r="C4277" s="2">
        <v>0.68</v>
      </c>
      <c r="D4277" s="2">
        <v>5.2200000000000003E-2</v>
      </c>
      <c r="E4277" s="2">
        <v>3.5495999999999998E-4</v>
      </c>
      <c r="F4277" s="2" t="s">
        <v>174</v>
      </c>
    </row>
    <row r="4278" spans="1:6" ht="22.5" hidden="1" customHeight="1" x14ac:dyDescent="0.25">
      <c r="A4278" s="3">
        <v>44197</v>
      </c>
      <c r="B4278" s="2" t="s">
        <v>245</v>
      </c>
      <c r="C4278" s="2">
        <v>0.14000000000000001</v>
      </c>
      <c r="D4278" s="2">
        <v>5.1900000000000002E-2</v>
      </c>
      <c r="E4278" s="2">
        <v>7.2659999999999999E-5</v>
      </c>
      <c r="F4278" s="2" t="s">
        <v>174</v>
      </c>
    </row>
    <row r="4279" spans="1:6" ht="22.5" hidden="1" customHeight="1" x14ac:dyDescent="0.25">
      <c r="A4279" s="3">
        <v>44197</v>
      </c>
      <c r="B4279" s="2" t="s">
        <v>246</v>
      </c>
      <c r="C4279" s="2">
        <v>0.91</v>
      </c>
      <c r="D4279" s="2">
        <v>0.18990000000000001</v>
      </c>
      <c r="E4279" s="2">
        <v>1.7280900000000001E-3</v>
      </c>
      <c r="F4279" s="2" t="s">
        <v>174</v>
      </c>
    </row>
    <row r="4280" spans="1:6" ht="22.5" hidden="1" customHeight="1" x14ac:dyDescent="0.25">
      <c r="A4280" s="3">
        <v>44197</v>
      </c>
      <c r="B4280" s="2" t="s">
        <v>247</v>
      </c>
      <c r="C4280" s="2">
        <v>-0.36</v>
      </c>
      <c r="D4280" s="2">
        <v>0.13489999999999999</v>
      </c>
      <c r="E4280" s="2">
        <v>-4.8564000000000002E-4</v>
      </c>
      <c r="F4280" s="2" t="s">
        <v>174</v>
      </c>
    </row>
    <row r="4281" spans="1:6" ht="22.5" hidden="1" customHeight="1" x14ac:dyDescent="0.25">
      <c r="A4281" s="3">
        <v>44197</v>
      </c>
      <c r="B4281" s="2" t="s">
        <v>248</v>
      </c>
      <c r="C4281" s="2">
        <v>0.37</v>
      </c>
      <c r="D4281" s="2">
        <v>0.14680000000000001</v>
      </c>
      <c r="E4281" s="2">
        <v>5.4316E-4</v>
      </c>
      <c r="F4281" s="2" t="s">
        <v>174</v>
      </c>
    </row>
    <row r="4282" spans="1:6" ht="22.5" hidden="1" customHeight="1" x14ac:dyDescent="0.25">
      <c r="A4282" s="3">
        <v>44197</v>
      </c>
      <c r="B4282" s="2" t="s">
        <v>249</v>
      </c>
      <c r="C4282" s="2">
        <v>0.95</v>
      </c>
      <c r="D4282" s="2">
        <v>0.26169999999999999</v>
      </c>
      <c r="E4282" s="2">
        <v>2.4861499999999999E-3</v>
      </c>
      <c r="F4282" s="2" t="s">
        <v>174</v>
      </c>
    </row>
    <row r="4283" spans="1:6" ht="22.5" hidden="1" customHeight="1" x14ac:dyDescent="0.25">
      <c r="A4283" s="3">
        <v>44197</v>
      </c>
      <c r="B4283" s="2" t="s">
        <v>250</v>
      </c>
      <c r="C4283" s="2">
        <v>0.53</v>
      </c>
      <c r="D4283" s="2">
        <v>2.58E-2</v>
      </c>
      <c r="E4283" s="2">
        <v>1.3674E-4</v>
      </c>
      <c r="F4283" s="2" t="s">
        <v>174</v>
      </c>
    </row>
    <row r="4284" spans="1:6" ht="22.5" hidden="1" customHeight="1" x14ac:dyDescent="0.25">
      <c r="A4284" s="3">
        <v>44197</v>
      </c>
      <c r="B4284" s="2" t="s">
        <v>251</v>
      </c>
      <c r="C4284" s="2">
        <v>1.08</v>
      </c>
      <c r="D4284" s="2">
        <v>6.0999999999999999E-2</v>
      </c>
      <c r="E4284" s="2">
        <v>6.5879999999999997E-4</v>
      </c>
      <c r="F4284" s="2" t="s">
        <v>174</v>
      </c>
    </row>
    <row r="4285" spans="1:6" ht="22.5" hidden="1" customHeight="1" x14ac:dyDescent="0.25">
      <c r="A4285" s="3">
        <v>44197</v>
      </c>
      <c r="B4285" s="2" t="s">
        <v>252</v>
      </c>
      <c r="C4285" s="2">
        <v>0.92</v>
      </c>
      <c r="D4285" s="2">
        <v>8.2000000000000007E-3</v>
      </c>
      <c r="E4285" s="2">
        <v>7.5439999999999996E-5</v>
      </c>
      <c r="F4285" s="2" t="s">
        <v>174</v>
      </c>
    </row>
    <row r="4286" spans="1:6" ht="22.5" hidden="1" customHeight="1" x14ac:dyDescent="0.25">
      <c r="A4286" s="3">
        <v>44197</v>
      </c>
      <c r="B4286" s="2" t="s">
        <v>253</v>
      </c>
      <c r="C4286" s="2">
        <v>0.11</v>
      </c>
      <c r="D4286" s="2">
        <v>0.43559999999999999</v>
      </c>
      <c r="E4286" s="2">
        <v>4.7916000000000001E-4</v>
      </c>
      <c r="F4286" s="2" t="s">
        <v>174</v>
      </c>
    </row>
    <row r="4287" spans="1:6" ht="22.5" hidden="1" customHeight="1" x14ac:dyDescent="0.25">
      <c r="A4287" s="3">
        <v>44197</v>
      </c>
      <c r="B4287" s="2" t="s">
        <v>254</v>
      </c>
      <c r="C4287" s="2">
        <v>1.17</v>
      </c>
      <c r="D4287" s="2">
        <v>0.18410000000000001</v>
      </c>
      <c r="E4287" s="2">
        <v>2.1539699999999998E-3</v>
      </c>
      <c r="F4287" s="2" t="s">
        <v>174</v>
      </c>
    </row>
    <row r="4288" spans="1:6" ht="22.5" hidden="1" customHeight="1" x14ac:dyDescent="0.25">
      <c r="A4288" s="3">
        <v>44197</v>
      </c>
      <c r="B4288" s="2" t="s">
        <v>255</v>
      </c>
      <c r="C4288" s="2">
        <v>-0.17</v>
      </c>
      <c r="D4288" s="2">
        <v>1.66E-2</v>
      </c>
      <c r="E4288" s="2">
        <v>-2.8220000000000001E-5</v>
      </c>
      <c r="F4288" s="2" t="s">
        <v>170</v>
      </c>
    </row>
    <row r="4289" spans="1:6" ht="22.5" hidden="1" customHeight="1" x14ac:dyDescent="0.25">
      <c r="A4289" s="3">
        <v>44197</v>
      </c>
      <c r="B4289" s="2" t="s">
        <v>256</v>
      </c>
      <c r="C4289" s="2">
        <v>1.46</v>
      </c>
      <c r="D4289" s="2">
        <v>0.14319999999999999</v>
      </c>
      <c r="E4289" s="2">
        <v>2.0907199999999999E-3</v>
      </c>
      <c r="F4289" s="2" t="s">
        <v>170</v>
      </c>
    </row>
    <row r="4290" spans="1:6" ht="22.5" hidden="1" customHeight="1" x14ac:dyDescent="0.25">
      <c r="A4290" s="3">
        <v>44197</v>
      </c>
      <c r="B4290" s="2" t="s">
        <v>257</v>
      </c>
      <c r="C4290" s="2">
        <v>0.74</v>
      </c>
      <c r="D4290" s="2">
        <v>5.0900000000000001E-2</v>
      </c>
      <c r="E4290" s="2">
        <v>3.7666000000000002E-4</v>
      </c>
      <c r="F4290" s="2" t="s">
        <v>170</v>
      </c>
    </row>
    <row r="4291" spans="1:6" ht="22.5" hidden="1" customHeight="1" x14ac:dyDescent="0.25">
      <c r="A4291" s="3">
        <v>44197</v>
      </c>
      <c r="B4291" s="2" t="s">
        <v>258</v>
      </c>
      <c r="C4291" s="2">
        <v>0.21</v>
      </c>
      <c r="D4291" s="2">
        <v>4.7E-2</v>
      </c>
      <c r="E4291" s="2">
        <v>9.87E-5</v>
      </c>
      <c r="F4291" s="2" t="s">
        <v>174</v>
      </c>
    </row>
    <row r="4292" spans="1:6" ht="22.5" hidden="1" customHeight="1" x14ac:dyDescent="0.25">
      <c r="A4292" s="3">
        <v>44197</v>
      </c>
      <c r="B4292" s="2" t="s">
        <v>259</v>
      </c>
      <c r="C4292" s="2">
        <v>1.17</v>
      </c>
      <c r="D4292" s="2">
        <v>9.9000000000000008E-3</v>
      </c>
      <c r="E4292" s="2">
        <v>1.1582999999999999E-4</v>
      </c>
      <c r="F4292" s="2" t="s">
        <v>174</v>
      </c>
    </row>
    <row r="4293" spans="1:6" ht="22.5" hidden="1" customHeight="1" x14ac:dyDescent="0.25">
      <c r="A4293" s="3">
        <v>43862</v>
      </c>
      <c r="B4293" s="2" t="s">
        <v>287</v>
      </c>
      <c r="C4293" s="2">
        <v>0.55000000000000004</v>
      </c>
      <c r="D4293" s="2">
        <v>6.4799999999999996E-2</v>
      </c>
      <c r="E4293" s="2">
        <v>3.5639999999999999E-4</v>
      </c>
      <c r="F4293" s="2" t="s">
        <v>168</v>
      </c>
    </row>
    <row r="4294" spans="1:6" ht="22.5" hidden="1" customHeight="1" x14ac:dyDescent="0.25">
      <c r="A4294" s="3">
        <v>44013</v>
      </c>
      <c r="B4294" s="2" t="s">
        <v>263</v>
      </c>
      <c r="C4294" s="2">
        <v>0.08</v>
      </c>
      <c r="D4294" s="2">
        <v>0.4425</v>
      </c>
      <c r="E4294" s="2">
        <v>3.5399999999999999E-4</v>
      </c>
      <c r="F4294" s="2" t="s">
        <v>168</v>
      </c>
    </row>
    <row r="4295" spans="1:6" ht="22.5" hidden="1" customHeight="1" x14ac:dyDescent="0.25">
      <c r="A4295" s="3">
        <v>43862</v>
      </c>
      <c r="B4295" s="2" t="s">
        <v>300</v>
      </c>
      <c r="C4295" s="2">
        <v>0.18</v>
      </c>
      <c r="D4295" s="2">
        <v>0.1966</v>
      </c>
      <c r="E4295" s="2">
        <v>3.5387999999999999E-4</v>
      </c>
      <c r="F4295" s="2" t="s">
        <v>168</v>
      </c>
    </row>
    <row r="4296" spans="1:6" ht="22.5" hidden="1" customHeight="1" x14ac:dyDescent="0.25">
      <c r="A4296" s="3">
        <v>44197</v>
      </c>
      <c r="B4296" s="2" t="s">
        <v>288</v>
      </c>
      <c r="C4296" s="2">
        <v>0.15</v>
      </c>
      <c r="D4296" s="2">
        <v>0.23169999999999999</v>
      </c>
      <c r="E4296" s="2">
        <v>3.4755000000000002E-4</v>
      </c>
      <c r="F4296" s="2" t="s">
        <v>168</v>
      </c>
    </row>
    <row r="4297" spans="1:6" ht="22.5" hidden="1" customHeight="1" x14ac:dyDescent="0.25">
      <c r="A4297" s="3">
        <v>44136</v>
      </c>
      <c r="B4297" s="2" t="s">
        <v>287</v>
      </c>
      <c r="C4297" s="2">
        <v>0.55000000000000004</v>
      </c>
      <c r="D4297" s="2">
        <v>6.1100000000000002E-2</v>
      </c>
      <c r="E4297" s="2">
        <v>3.3605000000000001E-4</v>
      </c>
      <c r="F4297" s="2" t="s">
        <v>168</v>
      </c>
    </row>
    <row r="4298" spans="1:6" ht="22.5" hidden="1" customHeight="1" x14ac:dyDescent="0.25">
      <c r="A4298" s="3">
        <v>44256</v>
      </c>
      <c r="B4298" s="2" t="s">
        <v>300</v>
      </c>
      <c r="C4298" s="2">
        <v>0.19</v>
      </c>
      <c r="D4298" s="2">
        <v>0.17469999999999999</v>
      </c>
      <c r="E4298" s="2">
        <v>3.3192999999999997E-4</v>
      </c>
      <c r="F4298" s="2" t="s">
        <v>168</v>
      </c>
    </row>
    <row r="4299" spans="1:6" ht="22.5" hidden="1" customHeight="1" x14ac:dyDescent="0.25">
      <c r="A4299" s="3">
        <v>44317</v>
      </c>
      <c r="B4299" s="2" t="s">
        <v>266</v>
      </c>
      <c r="C4299" s="2">
        <v>0.46</v>
      </c>
      <c r="D4299" s="2">
        <v>7.0800000000000002E-2</v>
      </c>
      <c r="E4299" s="2">
        <v>3.2568000000000001E-4</v>
      </c>
      <c r="F4299" s="2" t="s">
        <v>168</v>
      </c>
    </row>
    <row r="4300" spans="1:6" ht="22.5" hidden="1" customHeight="1" x14ac:dyDescent="0.25">
      <c r="A4300" s="3">
        <v>44197</v>
      </c>
      <c r="B4300" s="2" t="s">
        <v>267</v>
      </c>
      <c r="C4300" s="2">
        <v>0</v>
      </c>
      <c r="D4300" s="2">
        <v>0.1323</v>
      </c>
      <c r="E4300" s="2">
        <v>0</v>
      </c>
      <c r="F4300" s="2" t="s">
        <v>165</v>
      </c>
    </row>
    <row r="4301" spans="1:6" ht="22.5" hidden="1" customHeight="1" x14ac:dyDescent="0.25">
      <c r="A4301" s="3">
        <v>44197</v>
      </c>
      <c r="B4301" s="2" t="s">
        <v>268</v>
      </c>
      <c r="C4301" s="2">
        <v>8.7200000000000006</v>
      </c>
      <c r="D4301" s="2">
        <v>0.18679999999999999</v>
      </c>
      <c r="E4301" s="2">
        <v>1.6288960000000002E-2</v>
      </c>
      <c r="F4301" s="2" t="s">
        <v>165</v>
      </c>
    </row>
    <row r="4302" spans="1:6" ht="22.5" hidden="1" customHeight="1" x14ac:dyDescent="0.25">
      <c r="A4302" s="3">
        <v>44197</v>
      </c>
      <c r="B4302" s="2" t="s">
        <v>269</v>
      </c>
      <c r="C4302" s="2">
        <v>0</v>
      </c>
      <c r="D4302" s="2">
        <v>6.8099999999999994E-2</v>
      </c>
      <c r="E4302" s="2">
        <v>0</v>
      </c>
      <c r="F4302" s="2" t="s">
        <v>165</v>
      </c>
    </row>
    <row r="4303" spans="1:6" ht="22.5" hidden="1" customHeight="1" x14ac:dyDescent="0.25">
      <c r="A4303" s="3">
        <v>44197</v>
      </c>
      <c r="B4303" s="2" t="s">
        <v>270</v>
      </c>
      <c r="C4303" s="2">
        <v>0.92</v>
      </c>
      <c r="D4303" s="2">
        <v>2.9355000000000002</v>
      </c>
      <c r="E4303" s="2">
        <v>2.7006599999999999E-2</v>
      </c>
      <c r="F4303" s="2" t="s">
        <v>170</v>
      </c>
    </row>
    <row r="4304" spans="1:6" ht="22.5" hidden="1" customHeight="1" x14ac:dyDescent="0.25">
      <c r="A4304" s="3">
        <v>44562</v>
      </c>
      <c r="B4304" s="2" t="s">
        <v>301</v>
      </c>
      <c r="C4304" s="2">
        <v>0.23</v>
      </c>
      <c r="D4304" s="2">
        <v>0.1343</v>
      </c>
      <c r="E4304" s="2">
        <v>3.0888999999999998E-4</v>
      </c>
      <c r="F4304" s="2" t="s">
        <v>168</v>
      </c>
    </row>
    <row r="4305" spans="1:6" ht="22.5" hidden="1" customHeight="1" x14ac:dyDescent="0.25">
      <c r="A4305" s="3">
        <v>44197</v>
      </c>
      <c r="B4305" s="2" t="s">
        <v>272</v>
      </c>
      <c r="C4305" s="2">
        <v>3</v>
      </c>
      <c r="D4305" s="2">
        <v>0.75429999999999997</v>
      </c>
      <c r="E4305" s="2">
        <v>2.2629E-2</v>
      </c>
      <c r="F4305" s="2" t="s">
        <v>165</v>
      </c>
    </row>
    <row r="4306" spans="1:6" ht="22.5" hidden="1" customHeight="1" x14ac:dyDescent="0.25">
      <c r="A4306" s="3">
        <v>44287</v>
      </c>
      <c r="B4306" s="2" t="s">
        <v>262</v>
      </c>
      <c r="C4306" s="2">
        <v>0.79</v>
      </c>
      <c r="D4306" s="2">
        <v>3.8600000000000002E-2</v>
      </c>
      <c r="E4306" s="2">
        <v>3.0494000000000002E-4</v>
      </c>
      <c r="F4306" s="2" t="s">
        <v>168</v>
      </c>
    </row>
    <row r="4307" spans="1:6" ht="22.5" hidden="1" customHeight="1" x14ac:dyDescent="0.25">
      <c r="A4307" s="3">
        <v>44197</v>
      </c>
      <c r="B4307" s="2" t="s">
        <v>274</v>
      </c>
      <c r="C4307" s="2">
        <v>1.58</v>
      </c>
      <c r="D4307" s="2">
        <v>0.12859999999999999</v>
      </c>
      <c r="E4307" s="2">
        <v>2.0318799999999998E-3</v>
      </c>
      <c r="F4307" s="2" t="s">
        <v>170</v>
      </c>
    </row>
    <row r="4308" spans="1:6" ht="22.5" hidden="1" customHeight="1" x14ac:dyDescent="0.25">
      <c r="A4308" s="3">
        <v>44197</v>
      </c>
      <c r="B4308" s="2" t="s">
        <v>275</v>
      </c>
      <c r="C4308" s="2">
        <v>0.57999999999999996</v>
      </c>
      <c r="D4308" s="2">
        <v>0.1726</v>
      </c>
      <c r="E4308" s="2">
        <v>1.0010799999999999E-3</v>
      </c>
      <c r="F4308" s="2" t="s">
        <v>170</v>
      </c>
    </row>
    <row r="4309" spans="1:6" ht="22.5" hidden="1" customHeight="1" x14ac:dyDescent="0.25">
      <c r="A4309" s="3">
        <v>44197</v>
      </c>
      <c r="B4309" s="2" t="s">
        <v>276</v>
      </c>
      <c r="C4309" s="2">
        <v>2.75</v>
      </c>
      <c r="D4309" s="2">
        <v>0.21959999999999999</v>
      </c>
      <c r="E4309" s="2">
        <v>6.0390000000000001E-3</v>
      </c>
      <c r="F4309" s="2" t="s">
        <v>170</v>
      </c>
    </row>
    <row r="4310" spans="1:6" ht="22.5" hidden="1" customHeight="1" x14ac:dyDescent="0.25">
      <c r="A4310" s="3">
        <v>44197</v>
      </c>
      <c r="B4310" s="2" t="s">
        <v>277</v>
      </c>
      <c r="C4310" s="2">
        <v>0.45</v>
      </c>
      <c r="D4310" s="2">
        <v>1.6608000000000001</v>
      </c>
      <c r="E4310" s="2">
        <v>7.4736000000000004E-3</v>
      </c>
      <c r="F4310" s="2" t="s">
        <v>165</v>
      </c>
    </row>
    <row r="4311" spans="1:6" ht="22.5" hidden="1" customHeight="1" x14ac:dyDescent="0.25">
      <c r="A4311" s="3">
        <v>44197</v>
      </c>
      <c r="B4311" s="2" t="s">
        <v>278</v>
      </c>
      <c r="C4311" s="2">
        <v>-1.1299999999999999</v>
      </c>
      <c r="D4311" s="2">
        <v>7.0000000000000007E-2</v>
      </c>
      <c r="E4311" s="2">
        <v>-7.9100000000000004E-4</v>
      </c>
      <c r="F4311" s="2" t="s">
        <v>165</v>
      </c>
    </row>
    <row r="4312" spans="1:6" ht="22.5" hidden="1" customHeight="1" x14ac:dyDescent="0.25">
      <c r="A4312" s="3">
        <v>44593</v>
      </c>
      <c r="B4312" s="2" t="s">
        <v>300</v>
      </c>
      <c r="C4312" s="2">
        <v>0.18</v>
      </c>
      <c r="D4312" s="2">
        <v>0.1691</v>
      </c>
      <c r="E4312" s="2">
        <v>3.0437999999999998E-4</v>
      </c>
      <c r="F4312" s="2" t="s">
        <v>168</v>
      </c>
    </row>
    <row r="4313" spans="1:6" ht="22.5" hidden="1" customHeight="1" x14ac:dyDescent="0.25">
      <c r="A4313" s="3">
        <v>44197</v>
      </c>
      <c r="B4313" s="2" t="s">
        <v>280</v>
      </c>
      <c r="C4313" s="2">
        <v>0.88</v>
      </c>
      <c r="D4313" s="2">
        <v>1.8698999999999999</v>
      </c>
      <c r="E4313" s="2">
        <v>1.645512E-2</v>
      </c>
      <c r="F4313" s="2" t="s">
        <v>170</v>
      </c>
    </row>
    <row r="4314" spans="1:6" ht="22.5" hidden="1" customHeight="1" x14ac:dyDescent="0.25">
      <c r="A4314" s="3">
        <v>44197</v>
      </c>
      <c r="B4314" s="2" t="s">
        <v>281</v>
      </c>
      <c r="C4314" s="2">
        <v>2.2000000000000002</v>
      </c>
      <c r="D4314" s="2">
        <v>1.5900000000000001E-2</v>
      </c>
      <c r="E4314" s="2">
        <v>3.4979999999999999E-4</v>
      </c>
      <c r="F4314" s="2" t="s">
        <v>165</v>
      </c>
    </row>
    <row r="4315" spans="1:6" ht="22.5" hidden="1" customHeight="1" x14ac:dyDescent="0.25">
      <c r="A4315" s="3">
        <v>44197</v>
      </c>
      <c r="B4315" s="2" t="s">
        <v>282</v>
      </c>
      <c r="C4315" s="2">
        <v>3.61</v>
      </c>
      <c r="D4315" s="2">
        <v>2.46E-2</v>
      </c>
      <c r="E4315" s="2">
        <v>8.8805999999999998E-4</v>
      </c>
      <c r="F4315" s="2" t="s">
        <v>165</v>
      </c>
    </row>
    <row r="4316" spans="1:6" ht="22.5" hidden="1" customHeight="1" x14ac:dyDescent="0.25">
      <c r="A4316" s="3">
        <v>44197</v>
      </c>
      <c r="B4316" s="2" t="s">
        <v>283</v>
      </c>
      <c r="C4316" s="2">
        <v>0.06</v>
      </c>
      <c r="D4316" s="2">
        <v>0.56810000000000005</v>
      </c>
      <c r="E4316" s="2">
        <v>3.4086000000000001E-4</v>
      </c>
      <c r="F4316" s="2" t="s">
        <v>170</v>
      </c>
    </row>
    <row r="4317" spans="1:6" ht="22.5" hidden="1" customHeight="1" x14ac:dyDescent="0.25">
      <c r="A4317" s="3">
        <v>44044</v>
      </c>
      <c r="B4317" s="2" t="s">
        <v>287</v>
      </c>
      <c r="C4317" s="2">
        <v>0.47</v>
      </c>
      <c r="D4317" s="2">
        <v>6.4100000000000004E-2</v>
      </c>
      <c r="E4317" s="2">
        <v>3.0127000000000002E-4</v>
      </c>
      <c r="F4317" s="2" t="s">
        <v>168</v>
      </c>
    </row>
    <row r="4318" spans="1:6" ht="22.5" hidden="1" customHeight="1" x14ac:dyDescent="0.25">
      <c r="A4318" s="3">
        <v>44197</v>
      </c>
      <c r="B4318" s="2" t="s">
        <v>300</v>
      </c>
      <c r="C4318" s="2">
        <v>0.17</v>
      </c>
      <c r="D4318" s="2">
        <v>0.1759</v>
      </c>
      <c r="E4318" s="2">
        <v>2.9902999999999999E-4</v>
      </c>
      <c r="F4318" s="2" t="s">
        <v>168</v>
      </c>
    </row>
    <row r="4319" spans="1:6" ht="22.5" hidden="1" customHeight="1" x14ac:dyDescent="0.25">
      <c r="A4319" s="3">
        <v>43891</v>
      </c>
      <c r="B4319" s="2" t="s">
        <v>300</v>
      </c>
      <c r="C4319" s="2">
        <v>0.15</v>
      </c>
      <c r="D4319" s="2">
        <v>0.19650000000000001</v>
      </c>
      <c r="E4319" s="2">
        <v>2.9474999999999998E-4</v>
      </c>
      <c r="F4319" s="2" t="s">
        <v>168</v>
      </c>
    </row>
    <row r="4320" spans="1:6" ht="22.5" hidden="1" customHeight="1" x14ac:dyDescent="0.25">
      <c r="A4320" s="3">
        <v>44378</v>
      </c>
      <c r="B4320" s="2" t="s">
        <v>286</v>
      </c>
      <c r="C4320" s="2">
        <v>0.13</v>
      </c>
      <c r="D4320" s="2">
        <v>0.2185</v>
      </c>
      <c r="E4320" s="2">
        <v>2.8404999999999999E-4</v>
      </c>
      <c r="F4320" s="2" t="s">
        <v>168</v>
      </c>
    </row>
    <row r="4321" spans="1:6" ht="22.5" hidden="1" customHeight="1" x14ac:dyDescent="0.25">
      <c r="A4321" s="3">
        <v>44470</v>
      </c>
      <c r="B4321" s="2" t="s">
        <v>287</v>
      </c>
      <c r="C4321" s="2">
        <v>0.36</v>
      </c>
      <c r="D4321" s="2">
        <v>7.8700000000000006E-2</v>
      </c>
      <c r="E4321" s="2">
        <v>2.8331999999999999E-4</v>
      </c>
      <c r="F4321" s="2" t="s">
        <v>168</v>
      </c>
    </row>
    <row r="4322" spans="1:6" ht="22.5" hidden="1" customHeight="1" x14ac:dyDescent="0.25">
      <c r="A4322" s="3">
        <v>44228</v>
      </c>
      <c r="B4322" s="2" t="s">
        <v>292</v>
      </c>
      <c r="C4322" s="2">
        <v>0.22</v>
      </c>
      <c r="D4322" s="2">
        <v>0.1283</v>
      </c>
      <c r="E4322" s="2">
        <v>2.8226E-4</v>
      </c>
      <c r="F4322" s="2" t="s">
        <v>168</v>
      </c>
    </row>
    <row r="4323" spans="1:6" ht="22.5" hidden="1" customHeight="1" x14ac:dyDescent="0.25">
      <c r="A4323" s="3">
        <v>44287</v>
      </c>
      <c r="B4323" s="2" t="s">
        <v>196</v>
      </c>
      <c r="C4323" s="2">
        <v>0.2</v>
      </c>
      <c r="D4323" s="2">
        <v>0.13439999999999999</v>
      </c>
      <c r="E4323" s="2">
        <v>2.6879999999999997E-4</v>
      </c>
      <c r="F4323" s="2" t="s">
        <v>168</v>
      </c>
    </row>
    <row r="4324" spans="1:6" ht="22.5" hidden="1" customHeight="1" x14ac:dyDescent="0.25">
      <c r="A4324" s="3">
        <v>44378</v>
      </c>
      <c r="B4324" s="2" t="s">
        <v>290</v>
      </c>
      <c r="C4324" s="2">
        <v>0.17</v>
      </c>
      <c r="D4324" s="2">
        <v>0.153</v>
      </c>
      <c r="E4324" s="2">
        <v>2.6009999999999998E-4</v>
      </c>
      <c r="F4324" s="2" t="s">
        <v>168</v>
      </c>
    </row>
    <row r="4325" spans="1:6" ht="22.5" hidden="1" customHeight="1" x14ac:dyDescent="0.25">
      <c r="A4325" s="3">
        <v>43983</v>
      </c>
      <c r="B4325" s="2" t="s">
        <v>266</v>
      </c>
      <c r="C4325" s="2">
        <v>0.35</v>
      </c>
      <c r="D4325" s="2">
        <v>7.3400000000000007E-2</v>
      </c>
      <c r="E4325" s="2">
        <v>2.5690000000000001E-4</v>
      </c>
      <c r="F4325" s="2" t="s">
        <v>168</v>
      </c>
    </row>
    <row r="4326" spans="1:6" ht="22.5" hidden="1" customHeight="1" x14ac:dyDescent="0.25">
      <c r="A4326" s="3">
        <v>44256</v>
      </c>
      <c r="B4326" s="2" t="s">
        <v>287</v>
      </c>
      <c r="C4326" s="2">
        <v>0.39</v>
      </c>
      <c r="D4326" s="2">
        <v>6.3899999999999998E-2</v>
      </c>
      <c r="E4326" s="2">
        <v>2.4920999999999998E-4</v>
      </c>
      <c r="F4326" s="2" t="s">
        <v>168</v>
      </c>
    </row>
    <row r="4327" spans="1:6" ht="22.5" hidden="1" customHeight="1" x14ac:dyDescent="0.25">
      <c r="A4327" s="3">
        <v>44562</v>
      </c>
      <c r="B4327" s="2" t="s">
        <v>294</v>
      </c>
      <c r="C4327" s="2">
        <v>0.19</v>
      </c>
      <c r="D4327" s="2">
        <v>0.12909999999999999</v>
      </c>
      <c r="E4327" s="2">
        <v>2.4529E-4</v>
      </c>
      <c r="F4327" s="2" t="s">
        <v>168</v>
      </c>
    </row>
    <row r="4328" spans="1:6" ht="22.5" hidden="1" customHeight="1" x14ac:dyDescent="0.25">
      <c r="A4328" s="3">
        <v>44348</v>
      </c>
      <c r="B4328" s="2" t="s">
        <v>279</v>
      </c>
      <c r="C4328" s="2">
        <v>0.26</v>
      </c>
      <c r="D4328" s="2">
        <v>9.3799999999999994E-2</v>
      </c>
      <c r="E4328" s="2">
        <v>2.4388E-4</v>
      </c>
      <c r="F4328" s="2" t="s">
        <v>168</v>
      </c>
    </row>
    <row r="4329" spans="1:6" ht="22.5" hidden="1" customHeight="1" x14ac:dyDescent="0.25">
      <c r="A4329" s="3">
        <v>44136</v>
      </c>
      <c r="B4329" s="2" t="s">
        <v>296</v>
      </c>
      <c r="C4329" s="2">
        <v>0.12</v>
      </c>
      <c r="D4329" s="2">
        <v>0.19450000000000001</v>
      </c>
      <c r="E4329" s="2">
        <v>2.3340000000000001E-4</v>
      </c>
      <c r="F4329" s="2" t="s">
        <v>168</v>
      </c>
    </row>
    <row r="4330" spans="1:6" ht="22.5" hidden="1" customHeight="1" x14ac:dyDescent="0.25">
      <c r="A4330" s="3">
        <v>44166</v>
      </c>
      <c r="B4330" s="2" t="s">
        <v>296</v>
      </c>
      <c r="C4330" s="2">
        <v>0.12</v>
      </c>
      <c r="D4330" s="2">
        <v>0.19309999999999999</v>
      </c>
      <c r="E4330" s="2">
        <v>2.3172000000000001E-4</v>
      </c>
      <c r="F4330" s="2" t="s">
        <v>168</v>
      </c>
    </row>
    <row r="4331" spans="1:6" ht="22.5" hidden="1" customHeight="1" x14ac:dyDescent="0.25">
      <c r="A4331" s="3">
        <v>43922</v>
      </c>
      <c r="B4331" s="2" t="s">
        <v>263</v>
      </c>
      <c r="C4331" s="2">
        <v>0.05</v>
      </c>
      <c r="D4331" s="2">
        <v>0.44019999999999998</v>
      </c>
      <c r="E4331" s="2">
        <v>2.2010000000000001E-4</v>
      </c>
      <c r="F4331" s="2" t="s">
        <v>168</v>
      </c>
    </row>
    <row r="4332" spans="1:6" ht="22.5" hidden="1" customHeight="1" x14ac:dyDescent="0.25">
      <c r="A4332" s="3">
        <v>44531</v>
      </c>
      <c r="B4332" s="2" t="s">
        <v>299</v>
      </c>
      <c r="C4332" s="2">
        <v>0.25</v>
      </c>
      <c r="D4332" s="2">
        <v>8.6999999999999994E-2</v>
      </c>
      <c r="E4332" s="2">
        <v>2.175E-4</v>
      </c>
      <c r="F4332" s="2" t="s">
        <v>168</v>
      </c>
    </row>
    <row r="4333" spans="1:6" ht="22.5" hidden="1" customHeight="1" x14ac:dyDescent="0.25">
      <c r="A4333" s="3">
        <v>44166</v>
      </c>
      <c r="B4333" s="2" t="s">
        <v>292</v>
      </c>
      <c r="C4333" s="2">
        <v>0.16</v>
      </c>
      <c r="D4333" s="2">
        <v>0.1303</v>
      </c>
      <c r="E4333" s="2">
        <v>2.0848000000000001E-4</v>
      </c>
      <c r="F4333" s="2" t="s">
        <v>168</v>
      </c>
    </row>
    <row r="4334" spans="1:6" ht="22.5" hidden="1" customHeight="1" x14ac:dyDescent="0.25">
      <c r="A4334" s="3">
        <v>44136</v>
      </c>
      <c r="B4334" s="2" t="s">
        <v>292</v>
      </c>
      <c r="C4334" s="2">
        <v>0.15</v>
      </c>
      <c r="D4334" s="2">
        <v>0.13109999999999999</v>
      </c>
      <c r="E4334" s="2">
        <v>1.9665000000000001E-4</v>
      </c>
      <c r="F4334" s="2" t="s">
        <v>168</v>
      </c>
    </row>
    <row r="4335" spans="1:6" ht="22.5" hidden="1" customHeight="1" x14ac:dyDescent="0.25">
      <c r="A4335" s="3">
        <v>44197</v>
      </c>
      <c r="B4335" s="2" t="s">
        <v>302</v>
      </c>
      <c r="C4335" s="2">
        <v>-0.24</v>
      </c>
      <c r="D4335" s="2">
        <v>0.2883</v>
      </c>
      <c r="E4335" s="2">
        <v>-6.9191999999999995E-4</v>
      </c>
      <c r="F4335" s="2" t="s">
        <v>170</v>
      </c>
    </row>
    <row r="4336" spans="1:6" ht="22.5" hidden="1" customHeight="1" x14ac:dyDescent="0.25">
      <c r="A4336" s="3">
        <v>44197</v>
      </c>
      <c r="B4336" s="2" t="s">
        <v>303</v>
      </c>
      <c r="C4336" s="2">
        <v>0.76</v>
      </c>
      <c r="D4336" s="2">
        <v>0.5444</v>
      </c>
      <c r="E4336" s="2">
        <v>4.13744E-3</v>
      </c>
      <c r="F4336" s="2" t="s">
        <v>165</v>
      </c>
    </row>
    <row r="4337" spans="1:6" ht="22.5" hidden="1" customHeight="1" x14ac:dyDescent="0.25">
      <c r="A4337" s="3">
        <v>44197</v>
      </c>
      <c r="B4337" s="2" t="s">
        <v>304</v>
      </c>
      <c r="C4337" s="2">
        <v>0.44</v>
      </c>
      <c r="D4337" s="2">
        <v>0.52459999999999996</v>
      </c>
      <c r="E4337" s="2">
        <v>2.30824E-3</v>
      </c>
      <c r="F4337" s="2" t="s">
        <v>165</v>
      </c>
    </row>
    <row r="4338" spans="1:6" ht="22.5" hidden="1" customHeight="1" x14ac:dyDescent="0.25">
      <c r="A4338" s="3">
        <v>44197</v>
      </c>
      <c r="B4338" s="2" t="s">
        <v>305</v>
      </c>
      <c r="C4338" s="2">
        <v>0.69</v>
      </c>
      <c r="D4338" s="2">
        <v>1.84E-2</v>
      </c>
      <c r="E4338" s="2">
        <v>1.2695999999999999E-4</v>
      </c>
      <c r="F4338" s="2" t="s">
        <v>170</v>
      </c>
    </row>
    <row r="4339" spans="1:6" ht="22.5" hidden="1" customHeight="1" x14ac:dyDescent="0.25">
      <c r="A4339" s="3">
        <v>44197</v>
      </c>
      <c r="B4339" s="2" t="s">
        <v>306</v>
      </c>
      <c r="C4339" s="2">
        <v>0.63</v>
      </c>
      <c r="D4339" s="2">
        <v>4.82E-2</v>
      </c>
      <c r="E4339" s="2">
        <v>3.0365999999999998E-4</v>
      </c>
      <c r="F4339" s="2" t="s">
        <v>165</v>
      </c>
    </row>
    <row r="4340" spans="1:6" ht="22.5" hidden="1" customHeight="1" x14ac:dyDescent="0.25">
      <c r="A4340" s="3">
        <v>44197</v>
      </c>
      <c r="B4340" s="2" t="s">
        <v>307</v>
      </c>
      <c r="C4340" s="2">
        <v>0.82</v>
      </c>
      <c r="D4340" s="2">
        <v>0.1076</v>
      </c>
      <c r="E4340" s="2">
        <v>8.8232000000000002E-4</v>
      </c>
      <c r="F4340" s="2" t="s">
        <v>165</v>
      </c>
    </row>
    <row r="4341" spans="1:6" ht="22.5" hidden="1" customHeight="1" x14ac:dyDescent="0.25">
      <c r="A4341" s="3">
        <v>44197</v>
      </c>
      <c r="B4341" s="2" t="s">
        <v>308</v>
      </c>
      <c r="C4341" s="2">
        <v>-0.23</v>
      </c>
      <c r="D4341" s="2">
        <v>0.37559999999999999</v>
      </c>
      <c r="E4341" s="2">
        <v>-8.6388000000000003E-4</v>
      </c>
      <c r="F4341" s="2" t="s">
        <v>165</v>
      </c>
    </row>
    <row r="4342" spans="1:6" ht="22.5" hidden="1" customHeight="1" x14ac:dyDescent="0.25">
      <c r="A4342" s="3">
        <v>44197</v>
      </c>
      <c r="B4342" s="2" t="s">
        <v>309</v>
      </c>
      <c r="C4342" s="2">
        <v>0.06</v>
      </c>
      <c r="D4342" s="2">
        <v>0.1313</v>
      </c>
      <c r="E4342" s="2">
        <v>7.8780000000000001E-5</v>
      </c>
      <c r="F4342" s="2" t="s">
        <v>165</v>
      </c>
    </row>
    <row r="4343" spans="1:6" ht="22.5" hidden="1" customHeight="1" x14ac:dyDescent="0.25">
      <c r="A4343" s="3">
        <v>43891</v>
      </c>
      <c r="B4343" s="2" t="s">
        <v>262</v>
      </c>
      <c r="C4343" s="2">
        <v>0.49</v>
      </c>
      <c r="D4343" s="2">
        <v>3.9699999999999999E-2</v>
      </c>
      <c r="E4343" s="2">
        <v>1.9453E-4</v>
      </c>
      <c r="F4343" s="2" t="s">
        <v>168</v>
      </c>
    </row>
    <row r="4344" spans="1:6" ht="22.5" hidden="1" customHeight="1" x14ac:dyDescent="0.25">
      <c r="A4344" s="3">
        <v>44197</v>
      </c>
      <c r="B4344" s="2" t="s">
        <v>311</v>
      </c>
      <c r="C4344" s="2">
        <v>0.95</v>
      </c>
      <c r="D4344" s="2">
        <v>0.62060000000000004</v>
      </c>
      <c r="E4344" s="2">
        <v>5.8957000000000002E-3</v>
      </c>
      <c r="F4344" s="2" t="s">
        <v>174</v>
      </c>
    </row>
    <row r="4345" spans="1:6" ht="22.5" hidden="1" customHeight="1" x14ac:dyDescent="0.25">
      <c r="A4345" s="3">
        <v>44197</v>
      </c>
      <c r="B4345" s="2" t="s">
        <v>312</v>
      </c>
      <c r="C4345" s="2">
        <v>-0.31</v>
      </c>
      <c r="D4345" s="2">
        <v>0.2175</v>
      </c>
      <c r="E4345" s="2">
        <v>-6.7425000000000004E-4</v>
      </c>
      <c r="F4345" s="2" t="s">
        <v>174</v>
      </c>
    </row>
    <row r="4346" spans="1:6" ht="22.5" hidden="1" customHeight="1" x14ac:dyDescent="0.25">
      <c r="A4346" s="3">
        <v>44197</v>
      </c>
      <c r="B4346" s="2" t="s">
        <v>313</v>
      </c>
      <c r="C4346" s="2">
        <v>0.81</v>
      </c>
      <c r="D4346" s="2">
        <v>0.1313</v>
      </c>
      <c r="E4346" s="2">
        <v>1.06353E-3</v>
      </c>
      <c r="F4346" s="2" t="s">
        <v>174</v>
      </c>
    </row>
    <row r="4347" spans="1:6" ht="22.5" hidden="1" customHeight="1" x14ac:dyDescent="0.25">
      <c r="A4347" s="3">
        <v>44197</v>
      </c>
      <c r="B4347" s="2" t="s">
        <v>314</v>
      </c>
      <c r="C4347" s="2">
        <v>1.65</v>
      </c>
      <c r="D4347" s="2">
        <v>0.38979999999999998</v>
      </c>
      <c r="E4347" s="2">
        <v>6.4317000000000003E-3</v>
      </c>
      <c r="F4347" s="2" t="s">
        <v>174</v>
      </c>
    </row>
    <row r="4348" spans="1:6" ht="22.5" hidden="1" customHeight="1" x14ac:dyDescent="0.25">
      <c r="A4348" s="3">
        <v>44197</v>
      </c>
      <c r="B4348" s="2" t="s">
        <v>315</v>
      </c>
      <c r="C4348" s="2">
        <v>1.51</v>
      </c>
      <c r="D4348" s="2">
        <v>0.26290000000000002</v>
      </c>
      <c r="E4348" s="2">
        <v>3.96979E-3</v>
      </c>
      <c r="F4348" s="2" t="s">
        <v>174</v>
      </c>
    </row>
    <row r="4349" spans="1:6" ht="22.5" hidden="1" customHeight="1" x14ac:dyDescent="0.25">
      <c r="A4349" s="3">
        <v>44197</v>
      </c>
      <c r="B4349" s="2" t="s">
        <v>316</v>
      </c>
      <c r="C4349" s="2">
        <v>-0.16</v>
      </c>
      <c r="D4349" s="2">
        <v>3.8999999999999998E-3</v>
      </c>
      <c r="E4349" s="2">
        <v>-6.2400000000000004E-6</v>
      </c>
      <c r="F4349" s="2" t="s">
        <v>174</v>
      </c>
    </row>
    <row r="4350" spans="1:6" ht="22.5" hidden="1" customHeight="1" x14ac:dyDescent="0.25">
      <c r="A4350" s="3">
        <v>44197</v>
      </c>
      <c r="B4350" s="2" t="s">
        <v>317</v>
      </c>
      <c r="C4350" s="2">
        <v>1.92</v>
      </c>
      <c r="D4350" s="2">
        <v>1.0001</v>
      </c>
      <c r="E4350" s="2">
        <v>1.9201920000000001E-2</v>
      </c>
      <c r="F4350" s="2" t="s">
        <v>174</v>
      </c>
    </row>
    <row r="4351" spans="1:6" ht="22.5" hidden="1" customHeight="1" x14ac:dyDescent="0.25">
      <c r="A4351" s="3">
        <v>44197</v>
      </c>
      <c r="B4351" s="2" t="s">
        <v>318</v>
      </c>
      <c r="C4351" s="2">
        <v>-0.57999999999999996</v>
      </c>
      <c r="D4351" s="2">
        <v>0.4501</v>
      </c>
      <c r="E4351" s="2">
        <v>-2.6105799999999999E-3</v>
      </c>
      <c r="F4351" s="2" t="s">
        <v>174</v>
      </c>
    </row>
    <row r="4352" spans="1:6" ht="22.5" hidden="1" customHeight="1" x14ac:dyDescent="0.25">
      <c r="A4352" s="3">
        <v>44197</v>
      </c>
      <c r="B4352" s="2" t="s">
        <v>319</v>
      </c>
      <c r="C4352" s="2">
        <v>0.12</v>
      </c>
      <c r="D4352" s="2">
        <v>0.11020000000000001</v>
      </c>
      <c r="E4352" s="2">
        <v>1.3223999999999999E-4</v>
      </c>
      <c r="F4352" s="2" t="s">
        <v>174</v>
      </c>
    </row>
    <row r="4353" spans="1:6" ht="22.5" hidden="1" customHeight="1" x14ac:dyDescent="0.25">
      <c r="A4353" s="3">
        <v>44197</v>
      </c>
      <c r="B4353" s="2" t="s">
        <v>320</v>
      </c>
      <c r="C4353" s="2">
        <v>0.96</v>
      </c>
      <c r="D4353" s="2">
        <v>0.29959999999999998</v>
      </c>
      <c r="E4353" s="2">
        <v>2.87616E-3</v>
      </c>
      <c r="F4353" s="2" t="s">
        <v>174</v>
      </c>
    </row>
    <row r="4354" spans="1:6" ht="22.5" hidden="1" customHeight="1" x14ac:dyDescent="0.25">
      <c r="A4354" s="3">
        <v>44197</v>
      </c>
      <c r="B4354" s="2" t="s">
        <v>321</v>
      </c>
      <c r="C4354" s="2">
        <v>-0.94</v>
      </c>
      <c r="D4354" s="2">
        <v>0.2089</v>
      </c>
      <c r="E4354" s="2">
        <v>-1.9636599999999999E-3</v>
      </c>
      <c r="F4354" s="2" t="s">
        <v>174</v>
      </c>
    </row>
    <row r="4355" spans="1:6" ht="22.5" hidden="1" customHeight="1" x14ac:dyDescent="0.25">
      <c r="A4355" s="3">
        <v>44197</v>
      </c>
      <c r="B4355" s="2" t="s">
        <v>322</v>
      </c>
      <c r="C4355" s="2">
        <v>7.81</v>
      </c>
      <c r="D4355" s="2">
        <v>0.15140000000000001</v>
      </c>
      <c r="E4355" s="2">
        <v>1.1824339999999999E-2</v>
      </c>
      <c r="F4355" s="2" t="s">
        <v>174</v>
      </c>
    </row>
    <row r="4356" spans="1:6" ht="22.5" hidden="1" customHeight="1" x14ac:dyDescent="0.25">
      <c r="A4356" s="3">
        <v>44197</v>
      </c>
      <c r="B4356" s="2" t="s">
        <v>323</v>
      </c>
      <c r="C4356" s="2">
        <v>-1.68</v>
      </c>
      <c r="D4356" s="2">
        <v>1.11E-2</v>
      </c>
      <c r="E4356" s="2">
        <v>-1.8647999999999999E-4</v>
      </c>
      <c r="F4356" s="2" t="s">
        <v>165</v>
      </c>
    </row>
    <row r="4357" spans="1:6" ht="22.5" hidden="1" customHeight="1" x14ac:dyDescent="0.25">
      <c r="A4357" s="3">
        <v>44197</v>
      </c>
      <c r="B4357" s="2" t="s">
        <v>324</v>
      </c>
      <c r="C4357" s="2">
        <v>0.18</v>
      </c>
      <c r="D4357" s="2">
        <v>0.39040000000000002</v>
      </c>
      <c r="E4357" s="2">
        <v>7.0271999999999999E-4</v>
      </c>
      <c r="F4357" s="2" t="s">
        <v>165</v>
      </c>
    </row>
    <row r="4358" spans="1:6" ht="22.5" hidden="1" customHeight="1" x14ac:dyDescent="0.25">
      <c r="A4358" s="3">
        <v>44197</v>
      </c>
      <c r="B4358" s="2" t="s">
        <v>325</v>
      </c>
      <c r="C4358" s="2">
        <v>7.0000000000000007E-2</v>
      </c>
      <c r="D4358" s="2">
        <v>3.1052</v>
      </c>
      <c r="E4358" s="2">
        <v>2.1736400000000001E-3</v>
      </c>
      <c r="F4358" s="2" t="s">
        <v>165</v>
      </c>
    </row>
    <row r="4359" spans="1:6" ht="22.5" hidden="1" customHeight="1" x14ac:dyDescent="0.25">
      <c r="A4359" s="3">
        <v>44197</v>
      </c>
      <c r="B4359" s="2" t="s">
        <v>326</v>
      </c>
      <c r="C4359" s="2">
        <v>0.26</v>
      </c>
      <c r="D4359" s="2">
        <v>1.0342</v>
      </c>
      <c r="E4359" s="2">
        <v>2.68892E-3</v>
      </c>
      <c r="F4359" s="2" t="s">
        <v>165</v>
      </c>
    </row>
    <row r="4360" spans="1:6" ht="22.5" hidden="1" customHeight="1" x14ac:dyDescent="0.25">
      <c r="A4360" s="3">
        <v>44197</v>
      </c>
      <c r="B4360" s="2" t="s">
        <v>327</v>
      </c>
      <c r="C4360" s="2">
        <v>0.54</v>
      </c>
      <c r="D4360" s="2">
        <v>6.1100000000000002E-2</v>
      </c>
      <c r="E4360" s="2">
        <v>3.2993999999999998E-4</v>
      </c>
      <c r="F4360" s="2" t="s">
        <v>165</v>
      </c>
    </row>
    <row r="4361" spans="1:6" ht="22.5" hidden="1" customHeight="1" x14ac:dyDescent="0.25">
      <c r="A4361" s="3">
        <v>44197</v>
      </c>
      <c r="B4361" s="2" t="s">
        <v>328</v>
      </c>
      <c r="C4361" s="2">
        <v>4.42</v>
      </c>
      <c r="D4361" s="2">
        <v>1.8100000000000002E-2</v>
      </c>
      <c r="E4361" s="2">
        <v>8.0002000000000003E-4</v>
      </c>
      <c r="F4361" s="2" t="s">
        <v>165</v>
      </c>
    </row>
    <row r="4362" spans="1:6" ht="22.5" hidden="1" customHeight="1" x14ac:dyDescent="0.25">
      <c r="A4362" s="3">
        <v>44197</v>
      </c>
      <c r="B4362" s="2" t="s">
        <v>329</v>
      </c>
      <c r="C4362" s="2">
        <v>0.85</v>
      </c>
      <c r="D4362" s="2">
        <v>9.7500000000000003E-2</v>
      </c>
      <c r="E4362" s="2">
        <v>8.2874999999999995E-4</v>
      </c>
      <c r="F4362" s="2" t="s">
        <v>165</v>
      </c>
    </row>
    <row r="4363" spans="1:6" ht="22.5" hidden="1" customHeight="1" x14ac:dyDescent="0.25">
      <c r="A4363" s="3">
        <v>44197</v>
      </c>
      <c r="B4363" s="2" t="s">
        <v>330</v>
      </c>
      <c r="C4363" s="2">
        <v>0.8</v>
      </c>
      <c r="D4363" s="2">
        <v>1.7613000000000001</v>
      </c>
      <c r="E4363" s="2">
        <v>1.4090399999999999E-2</v>
      </c>
      <c r="F4363" s="2" t="s">
        <v>165</v>
      </c>
    </row>
    <row r="4364" spans="1:6" ht="22.5" hidden="1" customHeight="1" x14ac:dyDescent="0.25">
      <c r="A4364" s="3">
        <v>44197</v>
      </c>
      <c r="B4364" s="2" t="s">
        <v>331</v>
      </c>
      <c r="C4364" s="2">
        <v>0.06</v>
      </c>
      <c r="D4364" s="2">
        <v>5.7700000000000001E-2</v>
      </c>
      <c r="E4364" s="2">
        <v>3.4619999999999997E-5</v>
      </c>
      <c r="F4364" s="2" t="s">
        <v>165</v>
      </c>
    </row>
    <row r="4365" spans="1:6" ht="22.5" hidden="1" customHeight="1" x14ac:dyDescent="0.25">
      <c r="A4365" s="3">
        <v>44197</v>
      </c>
      <c r="B4365" s="2" t="s">
        <v>332</v>
      </c>
      <c r="C4365" s="2">
        <v>0.03</v>
      </c>
      <c r="D4365" s="2">
        <v>0.1085</v>
      </c>
      <c r="E4365" s="2">
        <v>3.2549999999999998E-5</v>
      </c>
      <c r="F4365" s="2" t="s">
        <v>165</v>
      </c>
    </row>
    <row r="4366" spans="1:6" ht="22.5" hidden="1" customHeight="1" x14ac:dyDescent="0.25">
      <c r="A4366" s="3">
        <v>44197</v>
      </c>
      <c r="B4366" s="2" t="s">
        <v>333</v>
      </c>
      <c r="C4366" s="2">
        <v>0.4</v>
      </c>
      <c r="D4366" s="2">
        <v>8.48E-2</v>
      </c>
      <c r="E4366" s="2">
        <v>3.392E-4</v>
      </c>
      <c r="F4366" s="2" t="s">
        <v>165</v>
      </c>
    </row>
    <row r="4367" spans="1:6" ht="22.5" hidden="1" customHeight="1" x14ac:dyDescent="0.25">
      <c r="A4367" s="3">
        <v>44197</v>
      </c>
      <c r="B4367" s="2" t="s">
        <v>334</v>
      </c>
      <c r="C4367" s="2">
        <v>-0.06</v>
      </c>
      <c r="D4367" s="2">
        <v>2.1100000000000001E-2</v>
      </c>
      <c r="E4367" s="2">
        <v>-1.2660000000000001E-5</v>
      </c>
      <c r="F4367" s="2" t="s">
        <v>170</v>
      </c>
    </row>
    <row r="4368" spans="1:6" ht="22.5" hidden="1" customHeight="1" x14ac:dyDescent="0.25">
      <c r="A4368" s="3">
        <v>44197</v>
      </c>
      <c r="B4368" s="2" t="s">
        <v>335</v>
      </c>
      <c r="C4368" s="2">
        <v>-0.27</v>
      </c>
      <c r="D4368" s="2">
        <v>0.28999999999999998</v>
      </c>
      <c r="E4368" s="2">
        <v>-7.8299999999999995E-4</v>
      </c>
      <c r="F4368" s="2" t="s">
        <v>165</v>
      </c>
    </row>
    <row r="4369" spans="1:6" ht="22.5" hidden="1" customHeight="1" x14ac:dyDescent="0.25">
      <c r="A4369" s="3">
        <v>44197</v>
      </c>
      <c r="B4369" s="2" t="s">
        <v>336</v>
      </c>
      <c r="C4369" s="2">
        <v>0.98</v>
      </c>
      <c r="D4369" s="2">
        <v>0.10199999999999999</v>
      </c>
      <c r="E4369" s="2">
        <v>9.9960000000000001E-4</v>
      </c>
      <c r="F4369" s="2" t="s">
        <v>170</v>
      </c>
    </row>
    <row r="4370" spans="1:6" ht="22.5" hidden="1" customHeight="1" x14ac:dyDescent="0.25">
      <c r="A4370" s="3">
        <v>44197</v>
      </c>
      <c r="B4370" s="2" t="s">
        <v>337</v>
      </c>
      <c r="C4370" s="2">
        <v>0.18</v>
      </c>
      <c r="D4370" s="2">
        <v>0.33989999999999998</v>
      </c>
      <c r="E4370" s="2">
        <v>6.1182000000000001E-4</v>
      </c>
      <c r="F4370" s="2" t="s">
        <v>174</v>
      </c>
    </row>
    <row r="4371" spans="1:6" ht="22.5" hidden="1" customHeight="1" x14ac:dyDescent="0.25">
      <c r="A4371" s="3">
        <v>44197</v>
      </c>
      <c r="B4371" s="2" t="s">
        <v>338</v>
      </c>
      <c r="C4371" s="2">
        <v>1.3</v>
      </c>
      <c r="D4371" s="2">
        <v>0.2021</v>
      </c>
      <c r="E4371" s="2">
        <v>2.6272999999999999E-3</v>
      </c>
      <c r="F4371" s="2" t="s">
        <v>174</v>
      </c>
    </row>
    <row r="4372" spans="1:6" ht="22.5" hidden="1" customHeight="1" x14ac:dyDescent="0.25">
      <c r="A4372" s="3">
        <v>44197</v>
      </c>
      <c r="B4372" s="2" t="s">
        <v>339</v>
      </c>
      <c r="C4372" s="2">
        <v>0</v>
      </c>
      <c r="D4372" s="2">
        <v>4.3400000000000001E-2</v>
      </c>
      <c r="E4372" s="2">
        <v>0</v>
      </c>
      <c r="F4372" s="2" t="s">
        <v>165</v>
      </c>
    </row>
    <row r="4373" spans="1:6" ht="22.5" hidden="1" customHeight="1" x14ac:dyDescent="0.25">
      <c r="A4373" s="3">
        <v>44197</v>
      </c>
      <c r="B4373" s="2" t="s">
        <v>292</v>
      </c>
      <c r="C4373" s="2">
        <v>0.15</v>
      </c>
      <c r="D4373" s="2">
        <v>0.12909999999999999</v>
      </c>
      <c r="E4373" s="2">
        <v>1.9364999999999999E-4</v>
      </c>
      <c r="F4373" s="2" t="s">
        <v>168</v>
      </c>
    </row>
    <row r="4374" spans="1:6" ht="22.5" hidden="1" customHeight="1" x14ac:dyDescent="0.25">
      <c r="A4374" s="3">
        <v>44197</v>
      </c>
      <c r="B4374" s="2" t="s">
        <v>341</v>
      </c>
      <c r="C4374" s="2">
        <v>2.99</v>
      </c>
      <c r="D4374" s="2">
        <v>1.15E-2</v>
      </c>
      <c r="E4374" s="2">
        <v>3.4384999999999998E-4</v>
      </c>
      <c r="F4374" s="2" t="s">
        <v>174</v>
      </c>
    </row>
    <row r="4375" spans="1:6" ht="22.5" hidden="1" customHeight="1" x14ac:dyDescent="0.25">
      <c r="A4375" s="3">
        <v>44197</v>
      </c>
      <c r="B4375" s="2" t="s">
        <v>342</v>
      </c>
      <c r="C4375" s="2">
        <v>0.35</v>
      </c>
      <c r="D4375" s="2">
        <v>0.53010000000000002</v>
      </c>
      <c r="E4375" s="2">
        <v>1.85535E-3</v>
      </c>
      <c r="F4375" s="2" t="s">
        <v>165</v>
      </c>
    </row>
    <row r="4376" spans="1:6" ht="22.5" hidden="1" customHeight="1" x14ac:dyDescent="0.25">
      <c r="A4376" s="3">
        <v>44197</v>
      </c>
      <c r="B4376" s="2" t="s">
        <v>343</v>
      </c>
      <c r="C4376" s="2">
        <v>1.9</v>
      </c>
      <c r="D4376" s="2">
        <v>0.5071</v>
      </c>
      <c r="E4376" s="2">
        <v>9.6349000000000001E-3</v>
      </c>
      <c r="F4376" s="2" t="s">
        <v>165</v>
      </c>
    </row>
    <row r="4377" spans="1:6" ht="22.5" hidden="1" customHeight="1" x14ac:dyDescent="0.25">
      <c r="A4377" s="3">
        <v>44197</v>
      </c>
      <c r="B4377" s="2" t="s">
        <v>344</v>
      </c>
      <c r="C4377" s="2">
        <v>1.28</v>
      </c>
      <c r="D4377" s="2">
        <v>0.1426</v>
      </c>
      <c r="E4377" s="2">
        <v>1.8252800000000001E-3</v>
      </c>
      <c r="F4377" s="2" t="s">
        <v>165</v>
      </c>
    </row>
    <row r="4378" spans="1:6" ht="22.5" hidden="1" customHeight="1" x14ac:dyDescent="0.25">
      <c r="A4378" s="3">
        <v>44197</v>
      </c>
      <c r="B4378" s="2" t="s">
        <v>345</v>
      </c>
      <c r="C4378" s="2">
        <v>0.65</v>
      </c>
      <c r="D4378" s="2">
        <v>0.52249999999999996</v>
      </c>
      <c r="E4378" s="2">
        <v>3.39625E-3</v>
      </c>
      <c r="F4378" s="2" t="s">
        <v>165</v>
      </c>
    </row>
    <row r="4379" spans="1:6" ht="22.5" hidden="1" customHeight="1" x14ac:dyDescent="0.25">
      <c r="A4379" s="3">
        <v>44197</v>
      </c>
      <c r="B4379" s="2" t="s">
        <v>346</v>
      </c>
      <c r="C4379" s="2">
        <v>0</v>
      </c>
      <c r="D4379" s="2">
        <v>0.54410000000000003</v>
      </c>
      <c r="E4379" s="2">
        <v>0</v>
      </c>
      <c r="F4379" s="2" t="s">
        <v>174</v>
      </c>
    </row>
    <row r="4380" spans="1:6" ht="22.5" hidden="1" customHeight="1" x14ac:dyDescent="0.25">
      <c r="A4380" s="3">
        <v>44197</v>
      </c>
      <c r="B4380" s="2" t="s">
        <v>347</v>
      </c>
      <c r="C4380" s="2">
        <v>0</v>
      </c>
      <c r="D4380" s="2">
        <v>0.19450000000000001</v>
      </c>
      <c r="E4380" s="2">
        <v>0</v>
      </c>
      <c r="F4380" s="2" t="s">
        <v>165</v>
      </c>
    </row>
    <row r="4381" spans="1:6" ht="22.5" hidden="1" customHeight="1" x14ac:dyDescent="0.25">
      <c r="A4381" s="3">
        <v>44197</v>
      </c>
      <c r="B4381" s="2" t="s">
        <v>348</v>
      </c>
      <c r="C4381" s="2">
        <v>0</v>
      </c>
      <c r="D4381" s="2">
        <v>0.31480000000000002</v>
      </c>
      <c r="E4381" s="2">
        <v>0</v>
      </c>
      <c r="F4381" s="2" t="s">
        <v>165</v>
      </c>
    </row>
    <row r="4382" spans="1:6" ht="22.5" hidden="1" customHeight="1" x14ac:dyDescent="0.25">
      <c r="A4382" s="3">
        <v>44197</v>
      </c>
      <c r="B4382" s="2" t="s">
        <v>349</v>
      </c>
      <c r="C4382" s="2">
        <v>0</v>
      </c>
      <c r="D4382" s="2">
        <v>1.5204</v>
      </c>
      <c r="E4382" s="2">
        <v>0</v>
      </c>
      <c r="F4382" s="2" t="s">
        <v>165</v>
      </c>
    </row>
    <row r="4383" spans="1:6" ht="22.5" hidden="1" customHeight="1" x14ac:dyDescent="0.25">
      <c r="A4383" s="3">
        <v>44197</v>
      </c>
      <c r="B4383" s="2" t="s">
        <v>350</v>
      </c>
      <c r="C4383" s="2">
        <v>0</v>
      </c>
      <c r="D4383" s="2">
        <v>0.3841</v>
      </c>
      <c r="E4383" s="2">
        <v>0</v>
      </c>
      <c r="F4383" s="2" t="s">
        <v>165</v>
      </c>
    </row>
    <row r="4384" spans="1:6" ht="22.5" hidden="1" customHeight="1" x14ac:dyDescent="0.25">
      <c r="A4384" s="3">
        <v>44197</v>
      </c>
      <c r="B4384" s="2" t="s">
        <v>351</v>
      </c>
      <c r="C4384" s="2">
        <v>0</v>
      </c>
      <c r="D4384" s="2">
        <v>1.7903</v>
      </c>
      <c r="E4384" s="2">
        <v>0</v>
      </c>
      <c r="F4384" s="2" t="s">
        <v>165</v>
      </c>
    </row>
    <row r="4385" spans="1:6" ht="22.5" hidden="1" customHeight="1" x14ac:dyDescent="0.25">
      <c r="A4385" s="3">
        <v>44197</v>
      </c>
      <c r="B4385" s="2" t="s">
        <v>352</v>
      </c>
      <c r="C4385" s="2">
        <v>0</v>
      </c>
      <c r="D4385" s="2">
        <v>0.28149999999999997</v>
      </c>
      <c r="E4385" s="2">
        <v>0</v>
      </c>
      <c r="F4385" s="2" t="s">
        <v>165</v>
      </c>
    </row>
    <row r="4386" spans="1:6" ht="22.5" hidden="1" customHeight="1" x14ac:dyDescent="0.25">
      <c r="A4386" s="3">
        <v>44197</v>
      </c>
      <c r="B4386" s="2" t="s">
        <v>353</v>
      </c>
      <c r="C4386" s="2">
        <v>0</v>
      </c>
      <c r="D4386" s="2">
        <v>4.2700000000000002E-2</v>
      </c>
      <c r="E4386" s="2">
        <v>0</v>
      </c>
      <c r="F4386" s="2" t="s">
        <v>165</v>
      </c>
    </row>
    <row r="4387" spans="1:6" ht="22.5" hidden="1" customHeight="1" x14ac:dyDescent="0.25">
      <c r="A4387" s="3">
        <v>44197</v>
      </c>
      <c r="B4387" s="2" t="s">
        <v>354</v>
      </c>
      <c r="C4387" s="2">
        <v>0</v>
      </c>
      <c r="D4387" s="2">
        <v>3.1300000000000001E-2</v>
      </c>
      <c r="E4387" s="2">
        <v>0</v>
      </c>
      <c r="F4387" s="2" t="s">
        <v>165</v>
      </c>
    </row>
    <row r="4388" spans="1:6" ht="22.5" hidden="1" customHeight="1" x14ac:dyDescent="0.25">
      <c r="A4388" s="3">
        <v>44197</v>
      </c>
      <c r="B4388" s="2" t="s">
        <v>355</v>
      </c>
      <c r="C4388" s="2">
        <v>0</v>
      </c>
      <c r="D4388" s="2">
        <v>2.9700000000000001E-2</v>
      </c>
      <c r="E4388" s="2">
        <v>0</v>
      </c>
      <c r="F4388" s="2" t="s">
        <v>174</v>
      </c>
    </row>
    <row r="4389" spans="1:6" ht="22.5" hidden="1" customHeight="1" x14ac:dyDescent="0.25">
      <c r="A4389" s="3">
        <v>44197</v>
      </c>
      <c r="B4389" s="2" t="s">
        <v>356</v>
      </c>
      <c r="C4389" s="2">
        <v>8.8699999999999992</v>
      </c>
      <c r="D4389" s="2">
        <v>2.6800000000000001E-2</v>
      </c>
      <c r="E4389" s="2">
        <v>2.3771600000000001E-3</v>
      </c>
      <c r="F4389" s="2" t="s">
        <v>174</v>
      </c>
    </row>
    <row r="4390" spans="1:6" ht="22.5" hidden="1" customHeight="1" x14ac:dyDescent="0.25">
      <c r="A4390" s="3">
        <v>44197</v>
      </c>
      <c r="B4390" s="2" t="s">
        <v>357</v>
      </c>
      <c r="C4390" s="2">
        <v>0.72</v>
      </c>
      <c r="D4390" s="2">
        <v>0.37319999999999998</v>
      </c>
      <c r="E4390" s="2">
        <v>2.6870399999999999E-3</v>
      </c>
      <c r="F4390" s="2" t="s">
        <v>174</v>
      </c>
    </row>
    <row r="4391" spans="1:6" ht="22.5" hidden="1" customHeight="1" x14ac:dyDescent="0.25">
      <c r="A4391" s="3">
        <v>44197</v>
      </c>
      <c r="B4391" s="2" t="s">
        <v>358</v>
      </c>
      <c r="C4391" s="2">
        <v>-0.3</v>
      </c>
      <c r="D4391" s="2">
        <v>9.5899999999999999E-2</v>
      </c>
      <c r="E4391" s="2">
        <v>-2.877E-4</v>
      </c>
      <c r="F4391" s="2" t="s">
        <v>174</v>
      </c>
    </row>
    <row r="4392" spans="1:6" ht="22.5" hidden="1" customHeight="1" x14ac:dyDescent="0.25">
      <c r="A4392" s="3">
        <v>44197</v>
      </c>
      <c r="B4392" s="2" t="s">
        <v>359</v>
      </c>
      <c r="C4392" s="2">
        <v>-0.1</v>
      </c>
      <c r="D4392" s="2">
        <v>4.7399999999999998E-2</v>
      </c>
      <c r="E4392" s="2">
        <v>-4.74E-5</v>
      </c>
      <c r="F4392" s="2" t="s">
        <v>174</v>
      </c>
    </row>
    <row r="4393" spans="1:6" ht="22.5" hidden="1" customHeight="1" x14ac:dyDescent="0.25">
      <c r="A4393" s="3">
        <v>44197</v>
      </c>
      <c r="B4393" s="2" t="s">
        <v>360</v>
      </c>
      <c r="C4393" s="2">
        <v>0.53</v>
      </c>
      <c r="D4393" s="2">
        <v>8.8300000000000003E-2</v>
      </c>
      <c r="E4393" s="2">
        <v>4.6799E-4</v>
      </c>
      <c r="F4393" s="2" t="s">
        <v>174</v>
      </c>
    </row>
    <row r="4394" spans="1:6" ht="22.5" hidden="1" customHeight="1" x14ac:dyDescent="0.25">
      <c r="A4394" s="3">
        <v>44197</v>
      </c>
      <c r="B4394" s="2" t="s">
        <v>361</v>
      </c>
      <c r="C4394" s="2">
        <v>0</v>
      </c>
      <c r="D4394" s="2">
        <v>7.8200000000000006E-2</v>
      </c>
      <c r="E4394" s="2">
        <v>0</v>
      </c>
      <c r="F4394" s="2" t="s">
        <v>165</v>
      </c>
    </row>
    <row r="4395" spans="1:6" ht="22.5" hidden="1" customHeight="1" x14ac:dyDescent="0.25">
      <c r="A4395" s="3">
        <v>44197</v>
      </c>
      <c r="B4395" s="2" t="s">
        <v>362</v>
      </c>
      <c r="C4395" s="2">
        <v>0</v>
      </c>
      <c r="D4395" s="2">
        <v>0.30470000000000003</v>
      </c>
      <c r="E4395" s="2">
        <v>0</v>
      </c>
      <c r="F4395" s="2" t="s">
        <v>165</v>
      </c>
    </row>
    <row r="4396" spans="1:6" ht="22.5" hidden="1" customHeight="1" x14ac:dyDescent="0.25">
      <c r="A4396" s="3">
        <v>44197</v>
      </c>
      <c r="B4396" s="2" t="s">
        <v>363</v>
      </c>
      <c r="C4396" s="2">
        <v>0.98</v>
      </c>
      <c r="D4396" s="2">
        <v>4.9200000000000001E-2</v>
      </c>
      <c r="E4396" s="2">
        <v>4.8215999999999998E-4</v>
      </c>
      <c r="F4396" s="2" t="s">
        <v>165</v>
      </c>
    </row>
    <row r="4397" spans="1:6" ht="22.5" hidden="1" customHeight="1" x14ac:dyDescent="0.25">
      <c r="A4397" s="3">
        <v>44197</v>
      </c>
      <c r="B4397" s="2" t="s">
        <v>364</v>
      </c>
      <c r="C4397" s="2">
        <v>0.3</v>
      </c>
      <c r="D4397" s="2">
        <v>0.4047</v>
      </c>
      <c r="E4397" s="2">
        <v>1.2141000000000001E-3</v>
      </c>
      <c r="F4397" s="2" t="s">
        <v>165</v>
      </c>
    </row>
    <row r="4398" spans="1:6" ht="22.5" hidden="1" customHeight="1" x14ac:dyDescent="0.25">
      <c r="A4398" s="3">
        <v>44440</v>
      </c>
      <c r="B4398" s="2" t="s">
        <v>296</v>
      </c>
      <c r="C4398" s="2">
        <v>0.1</v>
      </c>
      <c r="D4398" s="2">
        <v>0.18890000000000001</v>
      </c>
      <c r="E4398" s="2">
        <v>1.8890000000000001E-4</v>
      </c>
      <c r="F4398" s="2" t="s">
        <v>168</v>
      </c>
    </row>
    <row r="4399" spans="1:6" ht="22.5" hidden="1" customHeight="1" x14ac:dyDescent="0.25">
      <c r="A4399" s="3">
        <v>44228</v>
      </c>
      <c r="B4399" s="2" t="s">
        <v>299</v>
      </c>
      <c r="C4399" s="2">
        <v>0.19</v>
      </c>
      <c r="D4399" s="2">
        <v>9.2399999999999996E-2</v>
      </c>
      <c r="E4399" s="2">
        <v>1.7556000000000001E-4</v>
      </c>
      <c r="F4399" s="2" t="s">
        <v>168</v>
      </c>
    </row>
    <row r="4400" spans="1:6" ht="22.5" hidden="1" customHeight="1" x14ac:dyDescent="0.25">
      <c r="A4400" s="3">
        <v>44409</v>
      </c>
      <c r="B4400" s="2" t="s">
        <v>300</v>
      </c>
      <c r="C4400" s="2">
        <v>0.1</v>
      </c>
      <c r="D4400" s="2">
        <v>0.1741</v>
      </c>
      <c r="E4400" s="2">
        <v>1.741E-4</v>
      </c>
      <c r="F4400" s="2" t="s">
        <v>168</v>
      </c>
    </row>
    <row r="4401" spans="1:6" ht="22.5" hidden="1" customHeight="1" x14ac:dyDescent="0.25">
      <c r="A4401" s="3">
        <v>44197</v>
      </c>
      <c r="B4401" s="2" t="s">
        <v>368</v>
      </c>
      <c r="C4401" s="2">
        <v>0</v>
      </c>
      <c r="D4401" s="2">
        <v>0.39360000000000001</v>
      </c>
      <c r="E4401" s="2">
        <v>0</v>
      </c>
      <c r="F4401" s="2" t="s">
        <v>165</v>
      </c>
    </row>
    <row r="4402" spans="1:6" ht="22.5" hidden="1" customHeight="1" x14ac:dyDescent="0.25">
      <c r="A4402" s="3">
        <v>44197</v>
      </c>
      <c r="B4402" s="2" t="s">
        <v>369</v>
      </c>
      <c r="C4402" s="2">
        <v>0</v>
      </c>
      <c r="D4402" s="2">
        <v>0.57020000000000004</v>
      </c>
      <c r="E4402" s="2">
        <v>0</v>
      </c>
      <c r="F4402" s="2" t="s">
        <v>165</v>
      </c>
    </row>
    <row r="4403" spans="1:6" ht="22.5" hidden="1" customHeight="1" x14ac:dyDescent="0.25">
      <c r="A4403" s="3">
        <v>44197</v>
      </c>
      <c r="B4403" s="2" t="s">
        <v>370</v>
      </c>
      <c r="C4403" s="2">
        <v>-7.0000000000000007E-2</v>
      </c>
      <c r="D4403" s="2">
        <v>1.0258</v>
      </c>
      <c r="E4403" s="2">
        <v>-7.1805999999999997E-4</v>
      </c>
      <c r="F4403" s="2" t="s">
        <v>170</v>
      </c>
    </row>
    <row r="4404" spans="1:6" ht="22.5" hidden="1" customHeight="1" x14ac:dyDescent="0.25">
      <c r="A4404" s="3">
        <v>44197</v>
      </c>
      <c r="B4404" s="2" t="s">
        <v>371</v>
      </c>
      <c r="C4404" s="2">
        <v>0</v>
      </c>
      <c r="D4404" s="2">
        <v>6.7500000000000004E-2</v>
      </c>
      <c r="E4404" s="2">
        <v>0</v>
      </c>
      <c r="F4404" s="2" t="s">
        <v>165</v>
      </c>
    </row>
    <row r="4405" spans="1:6" ht="22.5" hidden="1" customHeight="1" x14ac:dyDescent="0.25">
      <c r="A4405" s="3">
        <v>44197</v>
      </c>
      <c r="B4405" s="2" t="s">
        <v>372</v>
      </c>
      <c r="C4405" s="2">
        <v>0</v>
      </c>
      <c r="D4405" s="2">
        <v>1.7218</v>
      </c>
      <c r="E4405" s="2">
        <v>0</v>
      </c>
      <c r="F4405" s="2" t="s">
        <v>165</v>
      </c>
    </row>
    <row r="4406" spans="1:6" ht="22.5" hidden="1" customHeight="1" x14ac:dyDescent="0.25">
      <c r="A4406" s="3">
        <v>44228</v>
      </c>
      <c r="B4406" s="2" t="s">
        <v>6</v>
      </c>
      <c r="C4406" s="2">
        <v>-0.96</v>
      </c>
      <c r="D4406" s="2">
        <v>0.75770000000000004</v>
      </c>
      <c r="E4406" s="2">
        <v>-7.2739199999999997E-3</v>
      </c>
      <c r="F4406" s="2" t="s">
        <v>7</v>
      </c>
    </row>
    <row r="4407" spans="1:6" ht="22.5" hidden="1" customHeight="1" x14ac:dyDescent="0.25">
      <c r="A4407" s="3">
        <v>44228</v>
      </c>
      <c r="B4407" s="2" t="s">
        <v>8</v>
      </c>
      <c r="C4407" s="2">
        <v>2.41</v>
      </c>
      <c r="D4407" s="2">
        <v>1.44E-2</v>
      </c>
      <c r="E4407" s="2">
        <v>3.4704000000000001E-4</v>
      </c>
      <c r="F4407" s="2" t="s">
        <v>7</v>
      </c>
    </row>
    <row r="4408" spans="1:6" ht="22.5" hidden="1" customHeight="1" x14ac:dyDescent="0.25">
      <c r="A4408" s="3">
        <v>44228</v>
      </c>
      <c r="B4408" s="2" t="s">
        <v>9</v>
      </c>
      <c r="C4408" s="2">
        <v>1.8</v>
      </c>
      <c r="D4408" s="2">
        <v>6.8000000000000005E-2</v>
      </c>
      <c r="E4408" s="2">
        <v>1.224E-3</v>
      </c>
      <c r="F4408" s="2" t="s">
        <v>7</v>
      </c>
    </row>
    <row r="4409" spans="1:6" ht="22.5" hidden="1" customHeight="1" x14ac:dyDescent="0.25">
      <c r="A4409" s="3">
        <v>44228</v>
      </c>
      <c r="B4409" s="2" t="s">
        <v>10</v>
      </c>
      <c r="C4409" s="2">
        <v>0.66</v>
      </c>
      <c r="D4409" s="2">
        <v>2.1899999999999999E-2</v>
      </c>
      <c r="E4409" s="2">
        <v>1.4454E-4</v>
      </c>
      <c r="F4409" s="2" t="s">
        <v>7</v>
      </c>
    </row>
    <row r="4410" spans="1:6" ht="22.5" hidden="1" customHeight="1" x14ac:dyDescent="0.25">
      <c r="A4410" s="3">
        <v>44228</v>
      </c>
      <c r="B4410" s="2" t="s">
        <v>11</v>
      </c>
      <c r="C4410" s="2">
        <v>-1.33</v>
      </c>
      <c r="D4410" s="2">
        <v>0.15290000000000001</v>
      </c>
      <c r="E4410" s="2">
        <v>-2.0335700000000002E-3</v>
      </c>
      <c r="F4410" s="2" t="s">
        <v>7</v>
      </c>
    </row>
    <row r="4411" spans="1:6" ht="22.5" hidden="1" customHeight="1" x14ac:dyDescent="0.25">
      <c r="A4411" s="3">
        <v>44228</v>
      </c>
      <c r="B4411" s="2" t="s">
        <v>12</v>
      </c>
      <c r="C4411" s="2">
        <v>-0.5</v>
      </c>
      <c r="D4411" s="2">
        <v>1.09E-2</v>
      </c>
      <c r="E4411" s="2">
        <v>-5.4500000000000003E-5</v>
      </c>
      <c r="F4411" s="2" t="s">
        <v>7</v>
      </c>
    </row>
    <row r="4412" spans="1:6" ht="22.5" hidden="1" customHeight="1" x14ac:dyDescent="0.25">
      <c r="A4412" s="3">
        <v>44228</v>
      </c>
      <c r="B4412" s="2" t="s">
        <v>13</v>
      </c>
      <c r="C4412" s="2">
        <v>3.49</v>
      </c>
      <c r="D4412" s="2">
        <v>3.0000000000000001E-3</v>
      </c>
      <c r="E4412" s="2">
        <v>1.047E-4</v>
      </c>
      <c r="F4412" s="2" t="s">
        <v>7</v>
      </c>
    </row>
    <row r="4413" spans="1:6" ht="22.5" hidden="1" customHeight="1" x14ac:dyDescent="0.25">
      <c r="A4413" s="3">
        <v>44228</v>
      </c>
      <c r="B4413" s="2" t="s">
        <v>14</v>
      </c>
      <c r="C4413" s="2">
        <v>0.59</v>
      </c>
      <c r="D4413" s="2">
        <v>0.1467</v>
      </c>
      <c r="E4413" s="2">
        <v>8.6552999999999999E-4</v>
      </c>
      <c r="F4413" s="2" t="s">
        <v>7</v>
      </c>
    </row>
    <row r="4414" spans="1:6" ht="22.5" hidden="1" customHeight="1" x14ac:dyDescent="0.25">
      <c r="A4414" s="3">
        <v>44228</v>
      </c>
      <c r="B4414" s="2" t="s">
        <v>15</v>
      </c>
      <c r="C4414" s="2">
        <v>1.33</v>
      </c>
      <c r="D4414" s="2">
        <v>7.3000000000000001E-3</v>
      </c>
      <c r="E4414" s="2">
        <v>9.7089999999999994E-5</v>
      </c>
      <c r="F4414" s="2" t="s">
        <v>7</v>
      </c>
    </row>
    <row r="4415" spans="1:6" ht="22.5" hidden="1" customHeight="1" x14ac:dyDescent="0.25">
      <c r="A4415" s="3">
        <v>44228</v>
      </c>
      <c r="B4415" s="2" t="s">
        <v>16</v>
      </c>
      <c r="C4415" s="2">
        <v>-3.26</v>
      </c>
      <c r="D4415" s="2">
        <v>9.4999999999999998E-3</v>
      </c>
      <c r="E4415" s="2">
        <v>-3.0969999999999999E-4</v>
      </c>
      <c r="F4415" s="2" t="s">
        <v>7</v>
      </c>
    </row>
    <row r="4416" spans="1:6" ht="22.5" hidden="1" customHeight="1" x14ac:dyDescent="0.25">
      <c r="A4416" s="3">
        <v>44228</v>
      </c>
      <c r="B4416" s="2" t="s">
        <v>17</v>
      </c>
      <c r="C4416" s="2">
        <v>1.6</v>
      </c>
      <c r="D4416" s="2">
        <v>4.9599999999999998E-2</v>
      </c>
      <c r="E4416" s="2">
        <v>7.9359999999999999E-4</v>
      </c>
      <c r="F4416" s="2" t="s">
        <v>7</v>
      </c>
    </row>
    <row r="4417" spans="1:6" ht="22.5" hidden="1" customHeight="1" x14ac:dyDescent="0.25">
      <c r="A4417" s="3">
        <v>44228</v>
      </c>
      <c r="B4417" s="2" t="s">
        <v>18</v>
      </c>
      <c r="C4417" s="2">
        <v>-0.14000000000000001</v>
      </c>
      <c r="D4417" s="2">
        <v>9.8900000000000002E-2</v>
      </c>
      <c r="E4417" s="2">
        <v>-1.3846E-4</v>
      </c>
      <c r="F4417" s="2" t="s">
        <v>7</v>
      </c>
    </row>
    <row r="4418" spans="1:6" ht="22.5" hidden="1" customHeight="1" x14ac:dyDescent="0.25">
      <c r="A4418" s="3">
        <v>44228</v>
      </c>
      <c r="B4418" s="2" t="s">
        <v>19</v>
      </c>
      <c r="C4418" s="2">
        <v>-0.54</v>
      </c>
      <c r="D4418" s="2">
        <v>0.12230000000000001</v>
      </c>
      <c r="E4418" s="2">
        <v>-6.6042E-4</v>
      </c>
      <c r="F4418" s="2" t="s">
        <v>7</v>
      </c>
    </row>
    <row r="4419" spans="1:6" ht="22.5" hidden="1" customHeight="1" x14ac:dyDescent="0.25">
      <c r="A4419" s="3">
        <v>44228</v>
      </c>
      <c r="B4419" s="2" t="s">
        <v>20</v>
      </c>
      <c r="C4419" s="2">
        <v>-0.99</v>
      </c>
      <c r="D4419" s="2">
        <v>2.5899999999999999E-2</v>
      </c>
      <c r="E4419" s="2">
        <v>-2.5640999999999999E-4</v>
      </c>
      <c r="F4419" s="2" t="s">
        <v>7</v>
      </c>
    </row>
    <row r="4420" spans="1:6" ht="22.5" hidden="1" customHeight="1" x14ac:dyDescent="0.25">
      <c r="A4420" s="3">
        <v>44228</v>
      </c>
      <c r="B4420" s="2" t="s">
        <v>21</v>
      </c>
      <c r="C4420" s="2">
        <v>6.68</v>
      </c>
      <c r="D4420" s="2">
        <v>3.2199999999999999E-2</v>
      </c>
      <c r="E4420" s="2">
        <v>2.1509599999999999E-3</v>
      </c>
      <c r="F4420" s="2" t="s">
        <v>7</v>
      </c>
    </row>
    <row r="4421" spans="1:6" ht="22.5" hidden="1" customHeight="1" x14ac:dyDescent="0.25">
      <c r="A4421" s="3">
        <v>44228</v>
      </c>
      <c r="B4421" s="2" t="s">
        <v>22</v>
      </c>
      <c r="C4421" s="2">
        <v>-5.44</v>
      </c>
      <c r="D4421" s="2">
        <v>0.24510000000000001</v>
      </c>
      <c r="E4421" s="2">
        <v>-1.333344E-2</v>
      </c>
      <c r="F4421" s="2" t="s">
        <v>7</v>
      </c>
    </row>
    <row r="4422" spans="1:6" ht="22.5" hidden="1" customHeight="1" x14ac:dyDescent="0.25">
      <c r="A4422" s="3">
        <v>44228</v>
      </c>
      <c r="B4422" s="2" t="s">
        <v>23</v>
      </c>
      <c r="C4422" s="2">
        <v>0</v>
      </c>
      <c r="D4422" s="2">
        <v>1.6400000000000001E-2</v>
      </c>
      <c r="E4422" s="2">
        <v>0</v>
      </c>
      <c r="F4422" s="2" t="s">
        <v>7</v>
      </c>
    </row>
    <row r="4423" spans="1:6" ht="22.5" hidden="1" customHeight="1" x14ac:dyDescent="0.25">
      <c r="A4423" s="3">
        <v>44228</v>
      </c>
      <c r="B4423" s="2" t="s">
        <v>24</v>
      </c>
      <c r="C4423" s="2">
        <v>17.13</v>
      </c>
      <c r="D4423" s="2">
        <v>8.6E-3</v>
      </c>
      <c r="E4423" s="2">
        <v>1.4731799999999999E-3</v>
      </c>
      <c r="F4423" s="2" t="s">
        <v>7</v>
      </c>
    </row>
    <row r="4424" spans="1:6" ht="22.5" hidden="1" customHeight="1" x14ac:dyDescent="0.25">
      <c r="A4424" s="3">
        <v>44228</v>
      </c>
      <c r="B4424" s="2" t="s">
        <v>25</v>
      </c>
      <c r="C4424" s="2">
        <v>5.83</v>
      </c>
      <c r="D4424" s="2">
        <v>2.8999999999999998E-3</v>
      </c>
      <c r="E4424" s="2">
        <v>1.6907000000000001E-4</v>
      </c>
      <c r="F4424" s="2" t="s">
        <v>7</v>
      </c>
    </row>
    <row r="4425" spans="1:6" ht="22.5" hidden="1" customHeight="1" x14ac:dyDescent="0.25">
      <c r="A4425" s="3">
        <v>44228</v>
      </c>
      <c r="B4425" s="2" t="s">
        <v>26</v>
      </c>
      <c r="C4425" s="2">
        <v>-8.83</v>
      </c>
      <c r="D4425" s="2">
        <v>1.6299999999999999E-2</v>
      </c>
      <c r="E4425" s="2">
        <v>-1.43929E-3</v>
      </c>
      <c r="F4425" s="2" t="s">
        <v>7</v>
      </c>
    </row>
    <row r="4426" spans="1:6" ht="22.5" hidden="1" customHeight="1" x14ac:dyDescent="0.25">
      <c r="A4426" s="3">
        <v>44228</v>
      </c>
      <c r="B4426" s="2" t="s">
        <v>27</v>
      </c>
      <c r="C4426" s="2">
        <v>2.36</v>
      </c>
      <c r="D4426" s="2">
        <v>0.25290000000000001</v>
      </c>
      <c r="E4426" s="2">
        <v>5.9684400000000002E-3</v>
      </c>
      <c r="F4426" s="2" t="s">
        <v>7</v>
      </c>
    </row>
    <row r="4427" spans="1:6" ht="22.5" hidden="1" customHeight="1" x14ac:dyDescent="0.25">
      <c r="A4427" s="3">
        <v>44228</v>
      </c>
      <c r="B4427" s="2" t="s">
        <v>28</v>
      </c>
      <c r="C4427" s="2">
        <v>19.170000000000002</v>
      </c>
      <c r="D4427" s="2">
        <v>0.1211</v>
      </c>
      <c r="E4427" s="2">
        <v>2.3214869999999999E-2</v>
      </c>
      <c r="F4427" s="2" t="s">
        <v>7</v>
      </c>
    </row>
    <row r="4428" spans="1:6" ht="22.5" hidden="1" customHeight="1" x14ac:dyDescent="0.25">
      <c r="A4428" s="3">
        <v>44228</v>
      </c>
      <c r="B4428" s="2" t="s">
        <v>29</v>
      </c>
      <c r="C4428" s="2">
        <v>-3.76</v>
      </c>
      <c r="D4428" s="2">
        <v>5.8799999999999998E-2</v>
      </c>
      <c r="E4428" s="2">
        <v>-2.2108800000000001E-3</v>
      </c>
      <c r="F4428" s="2" t="s">
        <v>7</v>
      </c>
    </row>
    <row r="4429" spans="1:6" ht="22.5" hidden="1" customHeight="1" x14ac:dyDescent="0.25">
      <c r="A4429" s="3">
        <v>44228</v>
      </c>
      <c r="B4429" s="2" t="s">
        <v>30</v>
      </c>
      <c r="C4429" s="2">
        <v>3.04</v>
      </c>
      <c r="D4429" s="2">
        <v>9.74E-2</v>
      </c>
      <c r="E4429" s="2">
        <v>2.9609599999999999E-3</v>
      </c>
      <c r="F4429" s="2" t="s">
        <v>7</v>
      </c>
    </row>
    <row r="4430" spans="1:6" ht="22.5" hidden="1" customHeight="1" x14ac:dyDescent="0.25">
      <c r="A4430" s="3">
        <v>44228</v>
      </c>
      <c r="B4430" s="2" t="s">
        <v>31</v>
      </c>
      <c r="C4430" s="2">
        <v>1.66</v>
      </c>
      <c r="D4430" s="2">
        <v>0.10780000000000001</v>
      </c>
      <c r="E4430" s="2">
        <v>1.78948E-3</v>
      </c>
      <c r="F4430" s="2" t="s">
        <v>7</v>
      </c>
    </row>
    <row r="4431" spans="1:6" ht="22.5" hidden="1" customHeight="1" x14ac:dyDescent="0.25">
      <c r="A4431" s="3">
        <v>44228</v>
      </c>
      <c r="B4431" s="2" t="s">
        <v>32</v>
      </c>
      <c r="C4431" s="2">
        <v>0.31</v>
      </c>
      <c r="D4431" s="2">
        <v>1.55E-2</v>
      </c>
      <c r="E4431" s="2">
        <v>4.8050000000000002E-5</v>
      </c>
      <c r="F4431" s="2" t="s">
        <v>7</v>
      </c>
    </row>
    <row r="4432" spans="1:6" ht="22.5" hidden="1" customHeight="1" x14ac:dyDescent="0.25">
      <c r="A4432" s="3">
        <v>44228</v>
      </c>
      <c r="B4432" s="2" t="s">
        <v>33</v>
      </c>
      <c r="C4432" s="2">
        <v>0.1</v>
      </c>
      <c r="D4432" s="2">
        <v>0.19070000000000001</v>
      </c>
      <c r="E4432" s="2">
        <v>1.907E-4</v>
      </c>
      <c r="F4432" s="2" t="s">
        <v>7</v>
      </c>
    </row>
    <row r="4433" spans="1:6" ht="22.5" hidden="1" customHeight="1" x14ac:dyDescent="0.25">
      <c r="A4433" s="3">
        <v>44228</v>
      </c>
      <c r="B4433" s="2" t="s">
        <v>34</v>
      </c>
      <c r="C4433" s="2">
        <v>-0.95</v>
      </c>
      <c r="D4433" s="2">
        <v>0.14530000000000001</v>
      </c>
      <c r="E4433" s="2">
        <v>-1.38035E-3</v>
      </c>
      <c r="F4433" s="2" t="s">
        <v>7</v>
      </c>
    </row>
    <row r="4434" spans="1:6" ht="22.5" hidden="1" customHeight="1" x14ac:dyDescent="0.25">
      <c r="A4434" s="3">
        <v>44228</v>
      </c>
      <c r="B4434" s="2" t="s">
        <v>35</v>
      </c>
      <c r="C4434" s="2">
        <v>-0.63</v>
      </c>
      <c r="D4434" s="2">
        <v>0.1095</v>
      </c>
      <c r="E4434" s="2">
        <v>-6.8984999999999999E-4</v>
      </c>
      <c r="F4434" s="2" t="s">
        <v>7</v>
      </c>
    </row>
    <row r="4435" spans="1:6" ht="22.5" hidden="1" customHeight="1" x14ac:dyDescent="0.25">
      <c r="A4435" s="3">
        <v>44228</v>
      </c>
      <c r="B4435" s="2" t="s">
        <v>36</v>
      </c>
      <c r="C4435" s="2">
        <v>3.1</v>
      </c>
      <c r="D4435" s="2">
        <v>1.6999999999999999E-3</v>
      </c>
      <c r="E4435" s="2">
        <v>5.27E-5</v>
      </c>
      <c r="F4435" s="2" t="s">
        <v>7</v>
      </c>
    </row>
    <row r="4436" spans="1:6" ht="22.5" hidden="1" customHeight="1" x14ac:dyDescent="0.25">
      <c r="A4436" s="3">
        <v>44228</v>
      </c>
      <c r="B4436" s="2" t="s">
        <v>37</v>
      </c>
      <c r="C4436" s="2">
        <v>5.52</v>
      </c>
      <c r="D4436" s="2">
        <v>8.6499999999999994E-2</v>
      </c>
      <c r="E4436" s="2">
        <v>4.7748000000000001E-3</v>
      </c>
      <c r="F4436" s="2" t="s">
        <v>7</v>
      </c>
    </row>
    <row r="4437" spans="1:6" ht="22.5" hidden="1" customHeight="1" x14ac:dyDescent="0.25">
      <c r="A4437" s="3">
        <v>44228</v>
      </c>
      <c r="B4437" s="2" t="s">
        <v>38</v>
      </c>
      <c r="C4437" s="2">
        <v>-3.23</v>
      </c>
      <c r="D4437" s="2">
        <v>1.0800000000000001E-2</v>
      </c>
      <c r="E4437" s="2">
        <v>-3.4884E-4</v>
      </c>
      <c r="F4437" s="2" t="s">
        <v>7</v>
      </c>
    </row>
    <row r="4438" spans="1:6" ht="22.5" hidden="1" customHeight="1" x14ac:dyDescent="0.25">
      <c r="A4438" s="3">
        <v>44228</v>
      </c>
      <c r="B4438" s="2" t="s">
        <v>39</v>
      </c>
      <c r="C4438" s="2">
        <v>7.03</v>
      </c>
      <c r="D4438" s="2">
        <v>1.46E-2</v>
      </c>
      <c r="E4438" s="2">
        <v>1.0263799999999999E-3</v>
      </c>
      <c r="F4438" s="2" t="s">
        <v>7</v>
      </c>
    </row>
    <row r="4439" spans="1:6" ht="22.5" hidden="1" customHeight="1" x14ac:dyDescent="0.25">
      <c r="A4439" s="3">
        <v>44228</v>
      </c>
      <c r="B4439" s="2" t="s">
        <v>40</v>
      </c>
      <c r="C4439" s="2">
        <v>-0.18</v>
      </c>
      <c r="D4439" s="2">
        <v>3.2000000000000002E-3</v>
      </c>
      <c r="E4439" s="2">
        <v>-5.7599999999999999E-6</v>
      </c>
      <c r="F4439" s="2" t="s">
        <v>7</v>
      </c>
    </row>
    <row r="4440" spans="1:6" ht="22.5" hidden="1" customHeight="1" x14ac:dyDescent="0.25">
      <c r="A4440" s="3">
        <v>44228</v>
      </c>
      <c r="B4440" s="2" t="s">
        <v>41</v>
      </c>
      <c r="C4440" s="2">
        <v>-4.1900000000000004</v>
      </c>
      <c r="D4440" s="2">
        <v>0.02</v>
      </c>
      <c r="E4440" s="2">
        <v>-8.3799999999999999E-4</v>
      </c>
      <c r="F4440" s="2" t="s">
        <v>7</v>
      </c>
    </row>
    <row r="4441" spans="1:6" ht="22.5" hidden="1" customHeight="1" x14ac:dyDescent="0.25">
      <c r="A4441" s="3">
        <v>44228</v>
      </c>
      <c r="B4441" s="2" t="s">
        <v>42</v>
      </c>
      <c r="C4441" s="2">
        <v>6.27</v>
      </c>
      <c r="D4441" s="2">
        <v>4.2700000000000002E-2</v>
      </c>
      <c r="E4441" s="2">
        <v>2.6772900000000001E-3</v>
      </c>
      <c r="F4441" s="2" t="s">
        <v>7</v>
      </c>
    </row>
    <row r="4442" spans="1:6" ht="22.5" hidden="1" customHeight="1" x14ac:dyDescent="0.25">
      <c r="A4442" s="3">
        <v>44228</v>
      </c>
      <c r="B4442" s="2" t="s">
        <v>43</v>
      </c>
      <c r="C4442" s="2">
        <v>4.2300000000000004</v>
      </c>
      <c r="D4442" s="2">
        <v>2.9000000000000001E-2</v>
      </c>
      <c r="E4442" s="2">
        <v>1.2267000000000001E-3</v>
      </c>
      <c r="F4442" s="2" t="s">
        <v>7</v>
      </c>
    </row>
    <row r="4443" spans="1:6" ht="22.5" hidden="1" customHeight="1" x14ac:dyDescent="0.25">
      <c r="A4443" s="3">
        <v>44228</v>
      </c>
      <c r="B4443" s="2" t="s">
        <v>44</v>
      </c>
      <c r="C4443" s="2">
        <v>-5.24</v>
      </c>
      <c r="D4443" s="2">
        <v>1.7299999999999999E-2</v>
      </c>
      <c r="E4443" s="2">
        <v>-9.0651999999999996E-4</v>
      </c>
      <c r="F4443" s="2" t="s">
        <v>7</v>
      </c>
    </row>
    <row r="4444" spans="1:6" ht="22.5" hidden="1" customHeight="1" x14ac:dyDescent="0.25">
      <c r="A4444" s="3">
        <v>44228</v>
      </c>
      <c r="B4444" s="2" t="s">
        <v>45</v>
      </c>
      <c r="C4444" s="2">
        <v>3.42</v>
      </c>
      <c r="D4444" s="2">
        <v>1.8200000000000001E-2</v>
      </c>
      <c r="E4444" s="2">
        <v>6.2244000000000004E-4</v>
      </c>
      <c r="F4444" s="2" t="s">
        <v>7</v>
      </c>
    </row>
    <row r="4445" spans="1:6" ht="22.5" hidden="1" customHeight="1" x14ac:dyDescent="0.25">
      <c r="A4445" s="3">
        <v>44228</v>
      </c>
      <c r="B4445" s="2" t="s">
        <v>46</v>
      </c>
      <c r="C4445" s="2">
        <v>-21.8</v>
      </c>
      <c r="D4445" s="2">
        <v>1.6000000000000001E-3</v>
      </c>
      <c r="E4445" s="2">
        <v>-3.4880000000000002E-4</v>
      </c>
      <c r="F4445" s="2" t="s">
        <v>7</v>
      </c>
    </row>
    <row r="4446" spans="1:6" ht="22.5" hidden="1" customHeight="1" x14ac:dyDescent="0.25">
      <c r="A4446" s="3">
        <v>44228</v>
      </c>
      <c r="B4446" s="2" t="s">
        <v>47</v>
      </c>
      <c r="C4446" s="2">
        <v>-3.23</v>
      </c>
      <c r="D4446" s="2">
        <v>0.128</v>
      </c>
      <c r="E4446" s="2">
        <v>-4.1343999999999999E-3</v>
      </c>
      <c r="F4446" s="2" t="s">
        <v>7</v>
      </c>
    </row>
    <row r="4447" spans="1:6" ht="22.5" hidden="1" customHeight="1" x14ac:dyDescent="0.25">
      <c r="A4447" s="3">
        <v>44228</v>
      </c>
      <c r="B4447" s="2" t="s">
        <v>48</v>
      </c>
      <c r="C4447" s="2">
        <v>1.9</v>
      </c>
      <c r="D4447" s="2">
        <v>4.3E-3</v>
      </c>
      <c r="E4447" s="2">
        <v>8.1699999999999994E-5</v>
      </c>
      <c r="F4447" s="2" t="s">
        <v>7</v>
      </c>
    </row>
    <row r="4448" spans="1:6" ht="22.5" hidden="1" customHeight="1" x14ac:dyDescent="0.25">
      <c r="A4448" s="3">
        <v>44228</v>
      </c>
      <c r="B4448" s="2" t="s">
        <v>49</v>
      </c>
      <c r="C4448" s="2">
        <v>6.09</v>
      </c>
      <c r="D4448" s="2">
        <v>0.17299999999999999</v>
      </c>
      <c r="E4448" s="2">
        <v>1.05357E-2</v>
      </c>
      <c r="F4448" s="2" t="s">
        <v>7</v>
      </c>
    </row>
    <row r="4449" spans="1:6" ht="22.5" hidden="1" customHeight="1" x14ac:dyDescent="0.25">
      <c r="A4449" s="3">
        <v>44228</v>
      </c>
      <c r="B4449" s="2" t="s">
        <v>50</v>
      </c>
      <c r="C4449" s="2">
        <v>-6.98</v>
      </c>
      <c r="D4449" s="2">
        <v>6.1000000000000004E-3</v>
      </c>
      <c r="E4449" s="2">
        <v>-4.2578000000000001E-4</v>
      </c>
      <c r="F4449" s="2" t="s">
        <v>7</v>
      </c>
    </row>
    <row r="4450" spans="1:6" ht="22.5" hidden="1" customHeight="1" x14ac:dyDescent="0.25">
      <c r="A4450" s="3">
        <v>44228</v>
      </c>
      <c r="B4450" s="2" t="s">
        <v>51</v>
      </c>
      <c r="C4450" s="2">
        <v>-3.04</v>
      </c>
      <c r="D4450" s="2">
        <v>6.7000000000000002E-3</v>
      </c>
      <c r="E4450" s="2">
        <v>-2.0368E-4</v>
      </c>
      <c r="F4450" s="2" t="s">
        <v>7</v>
      </c>
    </row>
    <row r="4451" spans="1:6" ht="22.5" hidden="1" customHeight="1" x14ac:dyDescent="0.25">
      <c r="A4451" s="3">
        <v>44228</v>
      </c>
      <c r="B4451" s="2" t="s">
        <v>52</v>
      </c>
      <c r="C4451" s="2">
        <v>-2.61</v>
      </c>
      <c r="D4451" s="2">
        <v>0.03</v>
      </c>
      <c r="E4451" s="2">
        <v>-7.8299999999999995E-4</v>
      </c>
      <c r="F4451" s="2" t="s">
        <v>7</v>
      </c>
    </row>
    <row r="4452" spans="1:6" ht="22.5" hidden="1" customHeight="1" x14ac:dyDescent="0.25">
      <c r="A4452" s="3">
        <v>44228</v>
      </c>
      <c r="B4452" s="2" t="s">
        <v>53</v>
      </c>
      <c r="C4452" s="2">
        <v>3.21</v>
      </c>
      <c r="D4452" s="2">
        <v>0.1883</v>
      </c>
      <c r="E4452" s="2">
        <v>6.0444299999999999E-3</v>
      </c>
      <c r="F4452" s="2" t="s">
        <v>7</v>
      </c>
    </row>
    <row r="4453" spans="1:6" ht="22.5" hidden="1" customHeight="1" x14ac:dyDescent="0.25">
      <c r="A4453" s="3">
        <v>44228</v>
      </c>
      <c r="B4453" s="2" t="s">
        <v>54</v>
      </c>
      <c r="C4453" s="2">
        <v>-12.13</v>
      </c>
      <c r="D4453" s="2">
        <v>0.1017</v>
      </c>
      <c r="E4453" s="2">
        <v>-1.233621E-2</v>
      </c>
      <c r="F4453" s="2" t="s">
        <v>7</v>
      </c>
    </row>
    <row r="4454" spans="1:6" ht="22.5" hidden="1" customHeight="1" x14ac:dyDescent="0.25">
      <c r="A4454" s="3">
        <v>44228</v>
      </c>
      <c r="B4454" s="2" t="s">
        <v>55</v>
      </c>
      <c r="C4454" s="2">
        <v>14.47</v>
      </c>
      <c r="D4454" s="2">
        <v>5.2600000000000001E-2</v>
      </c>
      <c r="E4454" s="2">
        <v>7.6112200000000001E-3</v>
      </c>
      <c r="F4454" s="2" t="s">
        <v>7</v>
      </c>
    </row>
    <row r="4455" spans="1:6" ht="22.5" hidden="1" customHeight="1" x14ac:dyDescent="0.25">
      <c r="A4455" s="3">
        <v>44228</v>
      </c>
      <c r="B4455" s="2" t="s">
        <v>56</v>
      </c>
      <c r="C4455" s="2">
        <v>-14.26</v>
      </c>
      <c r="D4455" s="2">
        <v>7.9000000000000008E-3</v>
      </c>
      <c r="E4455" s="2">
        <v>-1.1265400000000001E-3</v>
      </c>
      <c r="F4455" s="2" t="s">
        <v>7</v>
      </c>
    </row>
    <row r="4456" spans="1:6" ht="22.5" hidden="1" customHeight="1" x14ac:dyDescent="0.25">
      <c r="A4456" s="3">
        <v>44228</v>
      </c>
      <c r="B4456" s="2" t="s">
        <v>57</v>
      </c>
      <c r="C4456" s="2">
        <v>-0.82</v>
      </c>
      <c r="D4456" s="2">
        <v>2.7900000000000001E-2</v>
      </c>
      <c r="E4456" s="2">
        <v>-2.2877999999999999E-4</v>
      </c>
      <c r="F4456" s="2" t="s">
        <v>7</v>
      </c>
    </row>
    <row r="4457" spans="1:6" ht="22.5" hidden="1" customHeight="1" x14ac:dyDescent="0.25">
      <c r="A4457" s="3">
        <v>44228</v>
      </c>
      <c r="B4457" s="2" t="s">
        <v>58</v>
      </c>
      <c r="C4457" s="2">
        <v>11.87</v>
      </c>
      <c r="D4457" s="2">
        <v>1.55E-2</v>
      </c>
      <c r="E4457" s="2">
        <v>1.8398500000000001E-3</v>
      </c>
      <c r="F4457" s="2" t="s">
        <v>7</v>
      </c>
    </row>
    <row r="4458" spans="1:6" ht="22.5" hidden="1" customHeight="1" x14ac:dyDescent="0.25">
      <c r="A4458" s="3">
        <v>44228</v>
      </c>
      <c r="B4458" s="2" t="s">
        <v>59</v>
      </c>
      <c r="C4458" s="2">
        <v>10</v>
      </c>
      <c r="D4458" s="2">
        <v>2.2700000000000001E-2</v>
      </c>
      <c r="E4458" s="2">
        <v>2.2699999999999999E-3</v>
      </c>
      <c r="F4458" s="2" t="s">
        <v>7</v>
      </c>
    </row>
    <row r="4459" spans="1:6" ht="22.5" hidden="1" customHeight="1" x14ac:dyDescent="0.25">
      <c r="A4459" s="3">
        <v>44228</v>
      </c>
      <c r="B4459" s="2" t="s">
        <v>60</v>
      </c>
      <c r="C4459" s="2">
        <v>1.07</v>
      </c>
      <c r="D4459" s="2">
        <v>3.6200000000000003E-2</v>
      </c>
      <c r="E4459" s="2">
        <v>3.8734000000000002E-4</v>
      </c>
      <c r="F4459" s="2" t="s">
        <v>7</v>
      </c>
    </row>
    <row r="4460" spans="1:6" ht="22.5" hidden="1" customHeight="1" x14ac:dyDescent="0.25">
      <c r="A4460" s="3">
        <v>44228</v>
      </c>
      <c r="B4460" s="2" t="s">
        <v>61</v>
      </c>
      <c r="C4460" s="2">
        <v>1.82</v>
      </c>
      <c r="D4460" s="2">
        <v>7.5200000000000003E-2</v>
      </c>
      <c r="E4460" s="2">
        <v>1.36864E-3</v>
      </c>
      <c r="F4460" s="2" t="s">
        <v>7</v>
      </c>
    </row>
    <row r="4461" spans="1:6" ht="22.5" hidden="1" customHeight="1" x14ac:dyDescent="0.25">
      <c r="A4461" s="3">
        <v>44228</v>
      </c>
      <c r="B4461" s="2" t="s">
        <v>62</v>
      </c>
      <c r="C4461" s="2">
        <v>-0.9</v>
      </c>
      <c r="D4461" s="2">
        <v>0.1004</v>
      </c>
      <c r="E4461" s="2">
        <v>-9.0359999999999995E-4</v>
      </c>
      <c r="F4461" s="2" t="s">
        <v>7</v>
      </c>
    </row>
    <row r="4462" spans="1:6" ht="22.5" hidden="1" customHeight="1" x14ac:dyDescent="0.25">
      <c r="A4462" s="3">
        <v>44228</v>
      </c>
      <c r="B4462" s="2" t="s">
        <v>63</v>
      </c>
      <c r="C4462" s="2">
        <v>1.47</v>
      </c>
      <c r="D4462" s="2">
        <v>9.5999999999999992E-3</v>
      </c>
      <c r="E4462" s="2">
        <v>1.4112E-4</v>
      </c>
      <c r="F4462" s="2" t="s">
        <v>7</v>
      </c>
    </row>
    <row r="4463" spans="1:6" ht="22.5" hidden="1" customHeight="1" x14ac:dyDescent="0.25">
      <c r="A4463" s="3">
        <v>44228</v>
      </c>
      <c r="B4463" s="2" t="s">
        <v>64</v>
      </c>
      <c r="C4463" s="2">
        <v>-6.06</v>
      </c>
      <c r="D4463" s="2">
        <v>4.5999999999999999E-3</v>
      </c>
      <c r="E4463" s="2">
        <v>-2.7876000000000002E-4</v>
      </c>
      <c r="F4463" s="2" t="s">
        <v>7</v>
      </c>
    </row>
    <row r="4464" spans="1:6" ht="22.5" hidden="1" customHeight="1" x14ac:dyDescent="0.25">
      <c r="A4464" s="3">
        <v>44228</v>
      </c>
      <c r="B4464" s="2" t="s">
        <v>65</v>
      </c>
      <c r="C4464" s="2">
        <v>-0.19</v>
      </c>
      <c r="D4464" s="2">
        <v>2.1499999999999998E-2</v>
      </c>
      <c r="E4464" s="2">
        <v>-4.0849999999999997E-5</v>
      </c>
      <c r="F4464" s="2" t="s">
        <v>7</v>
      </c>
    </row>
    <row r="4465" spans="1:6" ht="22.5" hidden="1" customHeight="1" x14ac:dyDescent="0.25">
      <c r="A4465" s="3">
        <v>44228</v>
      </c>
      <c r="B4465" s="2" t="s">
        <v>66</v>
      </c>
      <c r="C4465" s="2">
        <v>-1.71</v>
      </c>
      <c r="D4465" s="2">
        <v>0.4032</v>
      </c>
      <c r="E4465" s="2">
        <v>-6.89472E-3</v>
      </c>
      <c r="F4465" s="2" t="s">
        <v>7</v>
      </c>
    </row>
    <row r="4466" spans="1:6" ht="22.5" hidden="1" customHeight="1" x14ac:dyDescent="0.25">
      <c r="A4466" s="3">
        <v>44228</v>
      </c>
      <c r="B4466" s="2" t="s">
        <v>67</v>
      </c>
      <c r="C4466" s="2">
        <v>3.3</v>
      </c>
      <c r="D4466" s="2">
        <v>3.5999999999999999E-3</v>
      </c>
      <c r="E4466" s="2">
        <v>1.188E-4</v>
      </c>
      <c r="F4466" s="2" t="s">
        <v>7</v>
      </c>
    </row>
    <row r="4467" spans="1:6" ht="22.5" hidden="1" customHeight="1" x14ac:dyDescent="0.25">
      <c r="A4467" s="3">
        <v>44228</v>
      </c>
      <c r="B4467" s="2" t="s">
        <v>68</v>
      </c>
      <c r="C4467" s="2">
        <v>-0.13</v>
      </c>
      <c r="D4467" s="2">
        <v>1.24E-2</v>
      </c>
      <c r="E4467" s="2">
        <v>-1.6120000000000002E-5</v>
      </c>
      <c r="F4467" s="2" t="s">
        <v>7</v>
      </c>
    </row>
    <row r="4468" spans="1:6" ht="22.5" hidden="1" customHeight="1" x14ac:dyDescent="0.25">
      <c r="A4468" s="3">
        <v>44228</v>
      </c>
      <c r="B4468" s="2" t="s">
        <v>69</v>
      </c>
      <c r="C4468" s="2">
        <v>1.27</v>
      </c>
      <c r="D4468" s="2">
        <v>0.48909999999999998</v>
      </c>
      <c r="E4468" s="2">
        <v>6.2115699999999996E-3</v>
      </c>
      <c r="F4468" s="2" t="s">
        <v>7</v>
      </c>
    </row>
    <row r="4469" spans="1:6" ht="22.5" hidden="1" customHeight="1" x14ac:dyDescent="0.25">
      <c r="A4469" s="3">
        <v>44228</v>
      </c>
      <c r="B4469" s="2" t="s">
        <v>70</v>
      </c>
      <c r="C4469" s="2">
        <v>-0.45</v>
      </c>
      <c r="D4469" s="2">
        <v>2.6599999999999999E-2</v>
      </c>
      <c r="E4469" s="2">
        <v>-1.197E-4</v>
      </c>
      <c r="F4469" s="2" t="s">
        <v>7</v>
      </c>
    </row>
    <row r="4470" spans="1:6" ht="22.5" hidden="1" customHeight="1" x14ac:dyDescent="0.25">
      <c r="A4470" s="3">
        <v>44228</v>
      </c>
      <c r="B4470" s="2" t="s">
        <v>71</v>
      </c>
      <c r="C4470" s="2">
        <v>1.76</v>
      </c>
      <c r="D4470" s="2">
        <v>0.33610000000000001</v>
      </c>
      <c r="E4470" s="2">
        <v>5.9153599999999997E-3</v>
      </c>
      <c r="F4470" s="2" t="s">
        <v>7</v>
      </c>
    </row>
    <row r="4471" spans="1:6" ht="22.5" hidden="1" customHeight="1" x14ac:dyDescent="0.25">
      <c r="A4471" s="3">
        <v>44228</v>
      </c>
      <c r="B4471" s="2" t="s">
        <v>72</v>
      </c>
      <c r="C4471" s="2">
        <v>1.3</v>
      </c>
      <c r="D4471" s="2">
        <v>0.36430000000000001</v>
      </c>
      <c r="E4471" s="2">
        <v>4.7359000000000004E-3</v>
      </c>
      <c r="F4471" s="2" t="s">
        <v>7</v>
      </c>
    </row>
    <row r="4472" spans="1:6" ht="22.5" hidden="1" customHeight="1" x14ac:dyDescent="0.25">
      <c r="A4472" s="3">
        <v>44228</v>
      </c>
      <c r="B4472" s="2" t="s">
        <v>73</v>
      </c>
      <c r="C4472" s="2">
        <v>0.51</v>
      </c>
      <c r="D4472" s="2">
        <v>0.17860000000000001</v>
      </c>
      <c r="E4472" s="2">
        <v>9.1085999999999999E-4</v>
      </c>
      <c r="F4472" s="2" t="s">
        <v>7</v>
      </c>
    </row>
    <row r="4473" spans="1:6" ht="22.5" hidden="1" customHeight="1" x14ac:dyDescent="0.25">
      <c r="A4473" s="3">
        <v>44228</v>
      </c>
      <c r="B4473" s="2" t="s">
        <v>74</v>
      </c>
      <c r="C4473" s="2">
        <v>1.06</v>
      </c>
      <c r="D4473" s="2">
        <v>9.5999999999999992E-3</v>
      </c>
      <c r="E4473" s="2">
        <v>1.0176E-4</v>
      </c>
      <c r="F4473" s="2" t="s">
        <v>7</v>
      </c>
    </row>
    <row r="4474" spans="1:6" ht="22.5" hidden="1" customHeight="1" x14ac:dyDescent="0.25">
      <c r="A4474" s="3">
        <v>44228</v>
      </c>
      <c r="B4474" s="2" t="s">
        <v>75</v>
      </c>
      <c r="C4474" s="2">
        <v>1.31</v>
      </c>
      <c r="D4474" s="2">
        <v>7.8600000000000003E-2</v>
      </c>
      <c r="E4474" s="2">
        <v>1.02966E-3</v>
      </c>
      <c r="F4474" s="2" t="s">
        <v>7</v>
      </c>
    </row>
    <row r="4475" spans="1:6" ht="22.5" hidden="1" customHeight="1" x14ac:dyDescent="0.25">
      <c r="A4475" s="3">
        <v>44228</v>
      </c>
      <c r="B4475" s="2" t="s">
        <v>76</v>
      </c>
      <c r="C4475" s="2">
        <v>1.69</v>
      </c>
      <c r="D4475" s="2">
        <v>0.16420000000000001</v>
      </c>
      <c r="E4475" s="2">
        <v>2.7749799999999998E-3</v>
      </c>
      <c r="F4475" s="2" t="s">
        <v>7</v>
      </c>
    </row>
    <row r="4476" spans="1:6" ht="22.5" hidden="1" customHeight="1" x14ac:dyDescent="0.25">
      <c r="A4476" s="3">
        <v>44228</v>
      </c>
      <c r="B4476" s="2" t="s">
        <v>77</v>
      </c>
      <c r="C4476" s="2">
        <v>1.63</v>
      </c>
      <c r="D4476" s="2">
        <v>0.1108</v>
      </c>
      <c r="E4476" s="2">
        <v>1.8060400000000001E-3</v>
      </c>
      <c r="F4476" s="2" t="s">
        <v>7</v>
      </c>
    </row>
    <row r="4477" spans="1:6" ht="22.5" hidden="1" customHeight="1" x14ac:dyDescent="0.25">
      <c r="A4477" s="3">
        <v>44228</v>
      </c>
      <c r="B4477" s="2" t="s">
        <v>78</v>
      </c>
      <c r="C4477" s="2">
        <v>0.84</v>
      </c>
      <c r="D4477" s="2">
        <v>0.29930000000000001</v>
      </c>
      <c r="E4477" s="2">
        <v>2.5141199999999999E-3</v>
      </c>
      <c r="F4477" s="2" t="s">
        <v>7</v>
      </c>
    </row>
    <row r="4478" spans="1:6" ht="22.5" hidden="1" customHeight="1" x14ac:dyDescent="0.25">
      <c r="A4478" s="3">
        <v>44228</v>
      </c>
      <c r="B4478" s="2" t="s">
        <v>79</v>
      </c>
      <c r="C4478" s="2">
        <v>1.06</v>
      </c>
      <c r="D4478" s="2">
        <v>1.1599999999999999E-2</v>
      </c>
      <c r="E4478" s="2">
        <v>1.2296E-4</v>
      </c>
      <c r="F4478" s="2" t="s">
        <v>7</v>
      </c>
    </row>
    <row r="4479" spans="1:6" ht="22.5" hidden="1" customHeight="1" x14ac:dyDescent="0.25">
      <c r="A4479" s="3">
        <v>44228</v>
      </c>
      <c r="B4479" s="2" t="s">
        <v>80</v>
      </c>
      <c r="C4479" s="2">
        <v>1.38</v>
      </c>
      <c r="D4479" s="2">
        <v>4.1200000000000001E-2</v>
      </c>
      <c r="E4479" s="2">
        <v>5.6855999999999996E-4</v>
      </c>
      <c r="F4479" s="2" t="s">
        <v>7</v>
      </c>
    </row>
    <row r="4480" spans="1:6" ht="22.5" hidden="1" customHeight="1" x14ac:dyDescent="0.25">
      <c r="A4480" s="3">
        <v>44228</v>
      </c>
      <c r="B4480" s="2" t="s">
        <v>81</v>
      </c>
      <c r="C4480" s="2">
        <v>0.76</v>
      </c>
      <c r="D4480" s="2">
        <v>0.3705</v>
      </c>
      <c r="E4480" s="2">
        <v>2.8157999999999998E-3</v>
      </c>
      <c r="F4480" s="2" t="s">
        <v>7</v>
      </c>
    </row>
    <row r="4481" spans="1:6" ht="22.5" hidden="1" customHeight="1" x14ac:dyDescent="0.25">
      <c r="A4481" s="3">
        <v>44228</v>
      </c>
      <c r="B4481" s="2" t="s">
        <v>82</v>
      </c>
      <c r="C4481" s="2">
        <v>1.18</v>
      </c>
      <c r="D4481" s="2">
        <v>4.65E-2</v>
      </c>
      <c r="E4481" s="2">
        <v>5.4869999999999995E-4</v>
      </c>
      <c r="F4481" s="2" t="s">
        <v>7</v>
      </c>
    </row>
    <row r="4482" spans="1:6" ht="22.5" hidden="1" customHeight="1" x14ac:dyDescent="0.25">
      <c r="A4482" s="3">
        <v>44228</v>
      </c>
      <c r="B4482" s="2" t="s">
        <v>83</v>
      </c>
      <c r="C4482" s="2">
        <v>0</v>
      </c>
      <c r="D4482" s="2">
        <v>6.9999999999999999E-4</v>
      </c>
      <c r="E4482" s="2">
        <v>0</v>
      </c>
      <c r="F4482" s="2" t="s">
        <v>7</v>
      </c>
    </row>
    <row r="4483" spans="1:6" ht="22.5" hidden="1" customHeight="1" x14ac:dyDescent="0.25">
      <c r="A4483" s="3">
        <v>44228</v>
      </c>
      <c r="B4483" s="2" t="s">
        <v>84</v>
      </c>
      <c r="C4483" s="2">
        <v>1.01</v>
      </c>
      <c r="D4483" s="2">
        <v>2.29E-2</v>
      </c>
      <c r="E4483" s="2">
        <v>2.3128999999999999E-4</v>
      </c>
      <c r="F4483" s="2" t="s">
        <v>7</v>
      </c>
    </row>
    <row r="4484" spans="1:6" ht="22.5" hidden="1" customHeight="1" x14ac:dyDescent="0.25">
      <c r="A4484" s="3">
        <v>44228</v>
      </c>
      <c r="B4484" s="2" t="s">
        <v>85</v>
      </c>
      <c r="C4484" s="2">
        <v>0.82</v>
      </c>
      <c r="D4484" s="2">
        <v>5.4999999999999997E-3</v>
      </c>
      <c r="E4484" s="2">
        <v>4.5099999999999998E-5</v>
      </c>
      <c r="F4484" s="2" t="s">
        <v>7</v>
      </c>
    </row>
    <row r="4485" spans="1:6" ht="22.5" hidden="1" customHeight="1" x14ac:dyDescent="0.25">
      <c r="A4485" s="3">
        <v>44228</v>
      </c>
      <c r="B4485" s="2" t="s">
        <v>86</v>
      </c>
      <c r="C4485" s="2">
        <v>0.01</v>
      </c>
      <c r="D4485" s="2">
        <v>2.52E-2</v>
      </c>
      <c r="E4485" s="2">
        <v>2.52E-6</v>
      </c>
      <c r="F4485" s="2" t="s">
        <v>7</v>
      </c>
    </row>
    <row r="4486" spans="1:6" ht="22.5" hidden="1" customHeight="1" x14ac:dyDescent="0.25">
      <c r="A4486" s="3">
        <v>44228</v>
      </c>
      <c r="B4486" s="2" t="s">
        <v>87</v>
      </c>
      <c r="C4486" s="2">
        <v>0.61</v>
      </c>
      <c r="D4486" s="2">
        <v>1E-3</v>
      </c>
      <c r="E4486" s="2">
        <v>6.1E-6</v>
      </c>
      <c r="F4486" s="2" t="s">
        <v>7</v>
      </c>
    </row>
    <row r="4487" spans="1:6" ht="22.5" hidden="1" customHeight="1" x14ac:dyDescent="0.25">
      <c r="A4487" s="3">
        <v>44228</v>
      </c>
      <c r="B4487" s="2" t="s">
        <v>88</v>
      </c>
      <c r="C4487" s="2">
        <v>7.0000000000000007E-2</v>
      </c>
      <c r="D4487" s="2">
        <v>6.7999999999999996E-3</v>
      </c>
      <c r="E4487" s="2">
        <v>4.7600000000000002E-6</v>
      </c>
      <c r="F4487" s="2" t="s">
        <v>7</v>
      </c>
    </row>
    <row r="4488" spans="1:6" ht="22.5" hidden="1" customHeight="1" x14ac:dyDescent="0.25">
      <c r="A4488" s="3">
        <v>44228</v>
      </c>
      <c r="B4488" s="2" t="s">
        <v>89</v>
      </c>
      <c r="C4488" s="2">
        <v>1.28</v>
      </c>
      <c r="D4488" s="2">
        <v>1.77E-2</v>
      </c>
      <c r="E4488" s="2">
        <v>2.2656E-4</v>
      </c>
      <c r="F4488" s="2" t="s">
        <v>7</v>
      </c>
    </row>
    <row r="4489" spans="1:6" ht="22.5" hidden="1" customHeight="1" x14ac:dyDescent="0.25">
      <c r="A4489" s="3">
        <v>44228</v>
      </c>
      <c r="B4489" s="2" t="s">
        <v>90</v>
      </c>
      <c r="C4489" s="2">
        <v>2.16</v>
      </c>
      <c r="D4489" s="2">
        <v>1.6000000000000001E-3</v>
      </c>
      <c r="E4489" s="2">
        <v>3.4560000000000001E-5</v>
      </c>
      <c r="F4489" s="2" t="s">
        <v>7</v>
      </c>
    </row>
    <row r="4490" spans="1:6" ht="22.5" hidden="1" customHeight="1" x14ac:dyDescent="0.25">
      <c r="A4490" s="3">
        <v>44228</v>
      </c>
      <c r="B4490" s="2" t="s">
        <v>91</v>
      </c>
      <c r="C4490" s="2">
        <v>0.36</v>
      </c>
      <c r="D4490" s="2">
        <v>2.4500000000000001E-2</v>
      </c>
      <c r="E4490" s="2">
        <v>8.8200000000000003E-5</v>
      </c>
      <c r="F4490" s="2" t="s">
        <v>7</v>
      </c>
    </row>
    <row r="4491" spans="1:6" ht="22.5" hidden="1" customHeight="1" x14ac:dyDescent="0.25">
      <c r="A4491" s="3">
        <v>44228</v>
      </c>
      <c r="B4491" s="2" t="s">
        <v>92</v>
      </c>
      <c r="C4491" s="2">
        <v>0</v>
      </c>
      <c r="D4491" s="2">
        <v>5.3E-3</v>
      </c>
      <c r="E4491" s="2">
        <v>0</v>
      </c>
      <c r="F4491" s="2" t="s">
        <v>7</v>
      </c>
    </row>
    <row r="4492" spans="1:6" ht="22.5" hidden="1" customHeight="1" x14ac:dyDescent="0.25">
      <c r="A4492" s="3">
        <v>44228</v>
      </c>
      <c r="B4492" s="2" t="s">
        <v>93</v>
      </c>
      <c r="C4492" s="2">
        <v>0</v>
      </c>
      <c r="D4492" s="2">
        <v>1.1000000000000001E-3</v>
      </c>
      <c r="E4492" s="2">
        <v>0</v>
      </c>
      <c r="F4492" s="2" t="s">
        <v>7</v>
      </c>
    </row>
    <row r="4493" spans="1:6" ht="22.5" hidden="1" customHeight="1" x14ac:dyDescent="0.25">
      <c r="A4493" s="3">
        <v>44228</v>
      </c>
      <c r="B4493" s="2" t="s">
        <v>94</v>
      </c>
      <c r="C4493" s="2">
        <v>2.0099999999999998</v>
      </c>
      <c r="D4493" s="2">
        <v>8.9999999999999998E-4</v>
      </c>
      <c r="E4493" s="2">
        <v>1.8090000000000001E-5</v>
      </c>
      <c r="F4493" s="2" t="s">
        <v>7</v>
      </c>
    </row>
    <row r="4494" spans="1:6" ht="22.5" hidden="1" customHeight="1" x14ac:dyDescent="0.25">
      <c r="A4494" s="3">
        <v>44228</v>
      </c>
      <c r="B4494" s="2" t="s">
        <v>95</v>
      </c>
      <c r="C4494" s="2">
        <v>0.57999999999999996</v>
      </c>
      <c r="D4494" s="2">
        <v>1.66E-2</v>
      </c>
      <c r="E4494" s="2">
        <v>9.6280000000000007E-5</v>
      </c>
      <c r="F4494" s="2" t="s">
        <v>7</v>
      </c>
    </row>
    <row r="4495" spans="1:6" ht="22.5" hidden="1" customHeight="1" x14ac:dyDescent="0.25">
      <c r="A4495" s="3">
        <v>44228</v>
      </c>
      <c r="B4495" s="2" t="s">
        <v>96</v>
      </c>
      <c r="C4495" s="2">
        <v>1.54</v>
      </c>
      <c r="D4495" s="2">
        <v>4.8300000000000003E-2</v>
      </c>
      <c r="E4495" s="2">
        <v>7.4381999999999996E-4</v>
      </c>
      <c r="F4495" s="2" t="s">
        <v>7</v>
      </c>
    </row>
    <row r="4496" spans="1:6" ht="22.5" hidden="1" customHeight="1" x14ac:dyDescent="0.25">
      <c r="A4496" s="3">
        <v>44228</v>
      </c>
      <c r="B4496" s="2" t="s">
        <v>97</v>
      </c>
      <c r="C4496" s="2">
        <v>0.38</v>
      </c>
      <c r="D4496" s="2">
        <v>1.0699999999999999E-2</v>
      </c>
      <c r="E4496" s="2">
        <v>4.066E-5</v>
      </c>
      <c r="F4496" s="2" t="s">
        <v>7</v>
      </c>
    </row>
    <row r="4497" spans="1:6" ht="22.5" hidden="1" customHeight="1" x14ac:dyDescent="0.25">
      <c r="A4497" s="3">
        <v>44228</v>
      </c>
      <c r="B4497" s="2" t="s">
        <v>98</v>
      </c>
      <c r="C4497" s="2">
        <v>0</v>
      </c>
      <c r="D4497" s="2">
        <v>6.4000000000000003E-3</v>
      </c>
      <c r="E4497" s="2">
        <v>0</v>
      </c>
      <c r="F4497" s="2" t="s">
        <v>7</v>
      </c>
    </row>
    <row r="4498" spans="1:6" ht="22.5" hidden="1" customHeight="1" x14ac:dyDescent="0.25">
      <c r="A4498" s="3">
        <v>44228</v>
      </c>
      <c r="B4498" s="2" t="s">
        <v>99</v>
      </c>
      <c r="C4498" s="2">
        <v>0.16</v>
      </c>
      <c r="D4498" s="2">
        <v>3.5999999999999999E-3</v>
      </c>
      <c r="E4498" s="2">
        <v>5.7599999999999999E-6</v>
      </c>
      <c r="F4498" s="2" t="s">
        <v>7</v>
      </c>
    </row>
    <row r="4499" spans="1:6" ht="22.5" hidden="1" customHeight="1" x14ac:dyDescent="0.25">
      <c r="A4499" s="3">
        <v>44228</v>
      </c>
      <c r="B4499" s="2" t="s">
        <v>100</v>
      </c>
      <c r="C4499" s="2">
        <v>1.6</v>
      </c>
      <c r="D4499" s="2">
        <v>6.9999999999999999E-4</v>
      </c>
      <c r="E4499" s="2">
        <v>1.1199999999999999E-5</v>
      </c>
      <c r="F4499" s="2" t="s">
        <v>7</v>
      </c>
    </row>
    <row r="4500" spans="1:6" ht="22.5" hidden="1" customHeight="1" x14ac:dyDescent="0.25">
      <c r="A4500" s="3">
        <v>44228</v>
      </c>
      <c r="B4500" s="2" t="s">
        <v>101</v>
      </c>
      <c r="C4500" s="2">
        <v>1.37</v>
      </c>
      <c r="D4500" s="2">
        <v>9.9199999999999997E-2</v>
      </c>
      <c r="E4500" s="2">
        <v>1.3590399999999999E-3</v>
      </c>
      <c r="F4500" s="2" t="s">
        <v>7</v>
      </c>
    </row>
    <row r="4501" spans="1:6" ht="22.5" hidden="1" customHeight="1" x14ac:dyDescent="0.25">
      <c r="A4501" s="3">
        <v>44228</v>
      </c>
      <c r="B4501" s="2" t="s">
        <v>102</v>
      </c>
      <c r="C4501" s="2">
        <v>0.88</v>
      </c>
      <c r="D4501" s="2">
        <v>4.6300000000000001E-2</v>
      </c>
      <c r="E4501" s="2">
        <v>4.0744000000000002E-4</v>
      </c>
      <c r="F4501" s="2" t="s">
        <v>7</v>
      </c>
    </row>
    <row r="4502" spans="1:6" ht="22.5" hidden="1" customHeight="1" x14ac:dyDescent="0.25">
      <c r="A4502" s="3">
        <v>44228</v>
      </c>
      <c r="B4502" s="2" t="s">
        <v>103</v>
      </c>
      <c r="C4502" s="2">
        <v>1.1399999999999999</v>
      </c>
      <c r="D4502" s="2">
        <v>0.35239999999999999</v>
      </c>
      <c r="E4502" s="2">
        <v>4.0173600000000002E-3</v>
      </c>
      <c r="F4502" s="2" t="s">
        <v>7</v>
      </c>
    </row>
    <row r="4503" spans="1:6" ht="22.5" hidden="1" customHeight="1" x14ac:dyDescent="0.25">
      <c r="A4503" s="3">
        <v>44228</v>
      </c>
      <c r="B4503" s="2" t="s">
        <v>104</v>
      </c>
      <c r="C4503" s="2">
        <v>0.4</v>
      </c>
      <c r="D4503" s="2">
        <v>5.3999999999999999E-2</v>
      </c>
      <c r="E4503" s="2">
        <v>2.1599999999999999E-4</v>
      </c>
      <c r="F4503" s="2" t="s">
        <v>7</v>
      </c>
    </row>
    <row r="4504" spans="1:6" ht="22.5" hidden="1" customHeight="1" x14ac:dyDescent="0.25">
      <c r="A4504" s="3">
        <v>44228</v>
      </c>
      <c r="B4504" s="2" t="s">
        <v>105</v>
      </c>
      <c r="C4504" s="2">
        <v>-0.05</v>
      </c>
      <c r="D4504" s="2">
        <v>9.4000000000000004E-3</v>
      </c>
      <c r="E4504" s="2">
        <v>-4.6999999999999999E-6</v>
      </c>
      <c r="F4504" s="2" t="s">
        <v>7</v>
      </c>
    </row>
    <row r="4505" spans="1:6" ht="22.5" hidden="1" customHeight="1" x14ac:dyDescent="0.25">
      <c r="A4505" s="3">
        <v>44228</v>
      </c>
      <c r="B4505" s="2" t="s">
        <v>106</v>
      </c>
      <c r="C4505" s="2">
        <v>0.55000000000000004</v>
      </c>
      <c r="D4505" s="2">
        <v>9.1000000000000004E-3</v>
      </c>
      <c r="E4505" s="2">
        <v>5.0049999999999997E-5</v>
      </c>
      <c r="F4505" s="2" t="s">
        <v>7</v>
      </c>
    </row>
    <row r="4506" spans="1:6" ht="22.5" hidden="1" customHeight="1" x14ac:dyDescent="0.25">
      <c r="A4506" s="3">
        <v>44228</v>
      </c>
      <c r="B4506" s="2" t="s">
        <v>107</v>
      </c>
      <c r="C4506" s="2">
        <v>0.21</v>
      </c>
      <c r="D4506" s="2">
        <v>0.11849999999999999</v>
      </c>
      <c r="E4506" s="2">
        <v>2.4885E-4</v>
      </c>
      <c r="F4506" s="2" t="s">
        <v>7</v>
      </c>
    </row>
    <row r="4507" spans="1:6" ht="22.5" hidden="1" customHeight="1" x14ac:dyDescent="0.25">
      <c r="A4507" s="3">
        <v>44228</v>
      </c>
      <c r="B4507" s="2" t="s">
        <v>108</v>
      </c>
      <c r="C4507" s="2">
        <v>-2.02</v>
      </c>
      <c r="D4507" s="2">
        <v>7.7999999999999996E-3</v>
      </c>
      <c r="E4507" s="2">
        <v>-1.5756E-4</v>
      </c>
      <c r="F4507" s="2" t="s">
        <v>7</v>
      </c>
    </row>
    <row r="4508" spans="1:6" ht="22.5" hidden="1" customHeight="1" x14ac:dyDescent="0.25">
      <c r="A4508" s="3">
        <v>44228</v>
      </c>
      <c r="B4508" s="2" t="s">
        <v>109</v>
      </c>
      <c r="C4508" s="2">
        <v>-0.87</v>
      </c>
      <c r="D4508" s="2">
        <v>0.35770000000000002</v>
      </c>
      <c r="E4508" s="2">
        <v>-3.1119899999999998E-3</v>
      </c>
      <c r="F4508" s="2" t="s">
        <v>7</v>
      </c>
    </row>
    <row r="4509" spans="1:6" ht="22.5" hidden="1" customHeight="1" x14ac:dyDescent="0.25">
      <c r="A4509" s="3">
        <v>44228</v>
      </c>
      <c r="B4509" s="2" t="s">
        <v>110</v>
      </c>
      <c r="C4509" s="2">
        <v>0.66</v>
      </c>
      <c r="D4509" s="2">
        <v>0.60950000000000004</v>
      </c>
      <c r="E4509" s="2">
        <v>4.0226999999999997E-3</v>
      </c>
      <c r="F4509" s="2" t="s">
        <v>7</v>
      </c>
    </row>
    <row r="4510" spans="1:6" ht="22.5" hidden="1" customHeight="1" x14ac:dyDescent="0.25">
      <c r="A4510" s="3">
        <v>44228</v>
      </c>
      <c r="B4510" s="2" t="s">
        <v>111</v>
      </c>
      <c r="C4510" s="2">
        <v>-0.08</v>
      </c>
      <c r="D4510" s="2">
        <v>0.23580000000000001</v>
      </c>
      <c r="E4510" s="2">
        <v>-1.8864000000000001E-4</v>
      </c>
      <c r="F4510" s="2" t="s">
        <v>7</v>
      </c>
    </row>
    <row r="4511" spans="1:6" ht="22.5" hidden="1" customHeight="1" x14ac:dyDescent="0.25">
      <c r="A4511" s="3">
        <v>44228</v>
      </c>
      <c r="B4511" s="2" t="s">
        <v>112</v>
      </c>
      <c r="C4511" s="2">
        <v>-1.79</v>
      </c>
      <c r="D4511" s="2">
        <v>0.74309999999999998</v>
      </c>
      <c r="E4511" s="2">
        <v>-1.3301489999999999E-2</v>
      </c>
      <c r="F4511" s="2" t="s">
        <v>7</v>
      </c>
    </row>
    <row r="4512" spans="1:6" ht="22.5" hidden="1" customHeight="1" x14ac:dyDescent="0.25">
      <c r="A4512" s="3">
        <v>44228</v>
      </c>
      <c r="B4512" s="2" t="s">
        <v>113</v>
      </c>
      <c r="C4512" s="2">
        <v>1.81</v>
      </c>
      <c r="D4512" s="2">
        <v>2.1299999999999999E-2</v>
      </c>
      <c r="E4512" s="2">
        <v>3.8552999999999998E-4</v>
      </c>
      <c r="F4512" s="2" t="s">
        <v>7</v>
      </c>
    </row>
    <row r="4513" spans="1:6" ht="22.5" hidden="1" customHeight="1" x14ac:dyDescent="0.25">
      <c r="A4513" s="3">
        <v>44228</v>
      </c>
      <c r="B4513" s="2" t="s">
        <v>114</v>
      </c>
      <c r="C4513" s="2">
        <v>0.28999999999999998</v>
      </c>
      <c r="D4513" s="2">
        <v>0.20119999999999999</v>
      </c>
      <c r="E4513" s="2">
        <v>5.8348000000000004E-4</v>
      </c>
      <c r="F4513" s="2" t="s">
        <v>7</v>
      </c>
    </row>
    <row r="4514" spans="1:6" ht="22.5" hidden="1" customHeight="1" x14ac:dyDescent="0.25">
      <c r="A4514" s="3">
        <v>44228</v>
      </c>
      <c r="B4514" s="2" t="s">
        <v>115</v>
      </c>
      <c r="C4514" s="2">
        <v>1.45</v>
      </c>
      <c r="D4514" s="2">
        <v>0.52490000000000003</v>
      </c>
      <c r="E4514" s="2">
        <v>7.6110500000000003E-3</v>
      </c>
      <c r="F4514" s="2" t="s">
        <v>7</v>
      </c>
    </row>
    <row r="4515" spans="1:6" ht="22.5" hidden="1" customHeight="1" x14ac:dyDescent="0.25">
      <c r="A4515" s="3">
        <v>44228</v>
      </c>
      <c r="B4515" s="2" t="s">
        <v>116</v>
      </c>
      <c r="C4515" s="2">
        <v>0.88</v>
      </c>
      <c r="D4515" s="2">
        <v>0.14699999999999999</v>
      </c>
      <c r="E4515" s="2">
        <v>1.2936E-3</v>
      </c>
      <c r="F4515" s="2" t="s">
        <v>7</v>
      </c>
    </row>
    <row r="4516" spans="1:6" ht="22.5" hidden="1" customHeight="1" x14ac:dyDescent="0.25">
      <c r="A4516" s="3">
        <v>44228</v>
      </c>
      <c r="B4516" s="2" t="s">
        <v>117</v>
      </c>
      <c r="C4516" s="2">
        <v>2</v>
      </c>
      <c r="D4516" s="2">
        <v>5.4399999999999997E-2</v>
      </c>
      <c r="E4516" s="2">
        <v>1.088E-3</v>
      </c>
      <c r="F4516" s="2" t="s">
        <v>7</v>
      </c>
    </row>
    <row r="4517" spans="1:6" ht="22.5" hidden="1" customHeight="1" x14ac:dyDescent="0.25">
      <c r="A4517" s="3">
        <v>44228</v>
      </c>
      <c r="B4517" s="2" t="s">
        <v>118</v>
      </c>
      <c r="C4517" s="2">
        <v>1.1299999999999999</v>
      </c>
      <c r="D4517" s="2">
        <v>6.2100000000000002E-2</v>
      </c>
      <c r="E4517" s="2">
        <v>7.0173000000000002E-4</v>
      </c>
      <c r="F4517" s="2" t="s">
        <v>7</v>
      </c>
    </row>
    <row r="4518" spans="1:6" ht="22.5" hidden="1" customHeight="1" x14ac:dyDescent="0.25">
      <c r="A4518" s="3">
        <v>44228</v>
      </c>
      <c r="B4518" s="2" t="s">
        <v>119</v>
      </c>
      <c r="C4518" s="2">
        <v>4.16</v>
      </c>
      <c r="D4518" s="2">
        <v>1.04E-2</v>
      </c>
      <c r="E4518" s="2">
        <v>4.3263999999999998E-4</v>
      </c>
      <c r="F4518" s="2" t="s">
        <v>7</v>
      </c>
    </row>
    <row r="4519" spans="1:6" ht="22.5" hidden="1" customHeight="1" x14ac:dyDescent="0.25">
      <c r="A4519" s="3">
        <v>44228</v>
      </c>
      <c r="B4519" s="2" t="s">
        <v>120</v>
      </c>
      <c r="C4519" s="2">
        <v>0.21</v>
      </c>
      <c r="D4519" s="2">
        <v>0.44890000000000002</v>
      </c>
      <c r="E4519" s="2">
        <v>9.4269000000000004E-4</v>
      </c>
      <c r="F4519" s="2" t="s">
        <v>7</v>
      </c>
    </row>
    <row r="4520" spans="1:6" ht="22.5" hidden="1" customHeight="1" x14ac:dyDescent="0.25">
      <c r="A4520" s="3">
        <v>44228</v>
      </c>
      <c r="B4520" s="2" t="s">
        <v>121</v>
      </c>
      <c r="C4520" s="2">
        <v>1.1399999999999999</v>
      </c>
      <c r="D4520" s="2">
        <v>0.7863</v>
      </c>
      <c r="E4520" s="2">
        <v>8.9638200000000008E-3</v>
      </c>
      <c r="F4520" s="2" t="s">
        <v>7</v>
      </c>
    </row>
    <row r="4521" spans="1:6" ht="22.5" hidden="1" customHeight="1" x14ac:dyDescent="0.25">
      <c r="A4521" s="3">
        <v>44228</v>
      </c>
      <c r="B4521" s="2" t="s">
        <v>122</v>
      </c>
      <c r="C4521" s="2">
        <v>-0.55000000000000004</v>
      </c>
      <c r="D4521" s="2">
        <v>8.1600000000000006E-2</v>
      </c>
      <c r="E4521" s="2">
        <v>-4.4880000000000001E-4</v>
      </c>
      <c r="F4521" s="2" t="s">
        <v>7</v>
      </c>
    </row>
    <row r="4522" spans="1:6" ht="22.5" hidden="1" customHeight="1" x14ac:dyDescent="0.25">
      <c r="A4522" s="3">
        <v>44228</v>
      </c>
      <c r="B4522" s="2" t="s">
        <v>123</v>
      </c>
      <c r="C4522" s="2">
        <v>3.73</v>
      </c>
      <c r="D4522" s="2">
        <v>9.5200000000000007E-2</v>
      </c>
      <c r="E4522" s="2">
        <v>3.5509600000000001E-3</v>
      </c>
      <c r="F4522" s="2" t="s">
        <v>7</v>
      </c>
    </row>
    <row r="4523" spans="1:6" ht="22.5" hidden="1" customHeight="1" x14ac:dyDescent="0.25">
      <c r="A4523" s="3">
        <v>44228</v>
      </c>
      <c r="B4523" s="2" t="s">
        <v>124</v>
      </c>
      <c r="C4523" s="2">
        <v>1.4</v>
      </c>
      <c r="D4523" s="2">
        <v>0.1336</v>
      </c>
      <c r="E4523" s="2">
        <v>1.8703999999999999E-3</v>
      </c>
      <c r="F4523" s="2" t="s">
        <v>7</v>
      </c>
    </row>
    <row r="4524" spans="1:6" ht="22.5" hidden="1" customHeight="1" x14ac:dyDescent="0.25">
      <c r="A4524" s="3">
        <v>44228</v>
      </c>
      <c r="B4524" s="2" t="s">
        <v>125</v>
      </c>
      <c r="C4524" s="2">
        <v>-0.09</v>
      </c>
      <c r="D4524" s="2">
        <v>3.2300000000000002E-2</v>
      </c>
      <c r="E4524" s="2">
        <v>-2.9070000000000001E-5</v>
      </c>
      <c r="F4524" s="2" t="s">
        <v>7</v>
      </c>
    </row>
    <row r="4525" spans="1:6" ht="22.5" hidden="1" customHeight="1" x14ac:dyDescent="0.25">
      <c r="A4525" s="3">
        <v>44228</v>
      </c>
      <c r="B4525" s="2" t="s">
        <v>126</v>
      </c>
      <c r="C4525" s="2">
        <v>-1.73</v>
      </c>
      <c r="D4525" s="2">
        <v>0.3327</v>
      </c>
      <c r="E4525" s="2">
        <v>-5.7557099999999998E-3</v>
      </c>
      <c r="F4525" s="2" t="s">
        <v>7</v>
      </c>
    </row>
    <row r="4526" spans="1:6" ht="22.5" hidden="1" customHeight="1" x14ac:dyDescent="0.25">
      <c r="A4526" s="3">
        <v>44228</v>
      </c>
      <c r="B4526" s="2" t="s">
        <v>127</v>
      </c>
      <c r="C4526" s="2">
        <v>1.24</v>
      </c>
      <c r="D4526" s="2">
        <v>6.7500000000000004E-2</v>
      </c>
      <c r="E4526" s="2">
        <v>8.3699999999999996E-4</v>
      </c>
      <c r="F4526" s="2" t="s">
        <v>7</v>
      </c>
    </row>
    <row r="4527" spans="1:6" ht="22.5" hidden="1" customHeight="1" x14ac:dyDescent="0.25">
      <c r="A4527" s="3">
        <v>44228</v>
      </c>
      <c r="B4527" s="2" t="s">
        <v>128</v>
      </c>
      <c r="C4527" s="2">
        <v>2.4700000000000002</v>
      </c>
      <c r="D4527" s="2">
        <v>9.69E-2</v>
      </c>
      <c r="E4527" s="2">
        <v>2.3934300000000002E-3</v>
      </c>
      <c r="F4527" s="2" t="s">
        <v>7</v>
      </c>
    </row>
    <row r="4528" spans="1:6" ht="22.5" hidden="1" customHeight="1" x14ac:dyDescent="0.25">
      <c r="A4528" s="3">
        <v>44228</v>
      </c>
      <c r="B4528" s="2" t="s">
        <v>129</v>
      </c>
      <c r="C4528" s="2">
        <v>0.15</v>
      </c>
      <c r="D4528" s="2">
        <v>0.13009999999999999</v>
      </c>
      <c r="E4528" s="2">
        <v>1.9515E-4</v>
      </c>
      <c r="F4528" s="2" t="s">
        <v>7</v>
      </c>
    </row>
    <row r="4529" spans="1:6" ht="22.5" hidden="1" customHeight="1" x14ac:dyDescent="0.25">
      <c r="A4529" s="3">
        <v>44228</v>
      </c>
      <c r="B4529" s="2" t="s">
        <v>130</v>
      </c>
      <c r="C4529" s="2">
        <v>0.43</v>
      </c>
      <c r="D4529" s="2">
        <v>1.2800000000000001E-2</v>
      </c>
      <c r="E4529" s="2">
        <v>5.5040000000000002E-5</v>
      </c>
      <c r="F4529" s="2" t="s">
        <v>7</v>
      </c>
    </row>
    <row r="4530" spans="1:6" ht="22.5" hidden="1" customHeight="1" x14ac:dyDescent="0.25">
      <c r="A4530" s="3">
        <v>44228</v>
      </c>
      <c r="B4530" s="2" t="s">
        <v>131</v>
      </c>
      <c r="C4530" s="2">
        <v>7.05</v>
      </c>
      <c r="D4530" s="2">
        <v>6.5000000000000002E-2</v>
      </c>
      <c r="E4530" s="2">
        <v>4.5824999999999998E-3</v>
      </c>
      <c r="F4530" s="2" t="s">
        <v>7</v>
      </c>
    </row>
    <row r="4531" spans="1:6" ht="22.5" hidden="1" customHeight="1" x14ac:dyDescent="0.25">
      <c r="A4531" s="3">
        <v>44228</v>
      </c>
      <c r="B4531" s="2" t="s">
        <v>132</v>
      </c>
      <c r="C4531" s="2">
        <v>-0.01</v>
      </c>
      <c r="D4531" s="2">
        <v>0.29199999999999998</v>
      </c>
      <c r="E4531" s="2">
        <v>-2.9200000000000002E-5</v>
      </c>
      <c r="F4531" s="2" t="s">
        <v>7</v>
      </c>
    </row>
    <row r="4532" spans="1:6" ht="22.5" hidden="1" customHeight="1" x14ac:dyDescent="0.25">
      <c r="A4532" s="3">
        <v>44228</v>
      </c>
      <c r="B4532" s="2" t="s">
        <v>133</v>
      </c>
      <c r="C4532" s="2">
        <v>-0.35</v>
      </c>
      <c r="D4532" s="2">
        <v>8.8000000000000005E-3</v>
      </c>
      <c r="E4532" s="2">
        <v>-3.0800000000000003E-5</v>
      </c>
      <c r="F4532" s="2" t="s">
        <v>7</v>
      </c>
    </row>
    <row r="4533" spans="1:6" ht="22.5" hidden="1" customHeight="1" x14ac:dyDescent="0.25">
      <c r="A4533" s="3">
        <v>44228</v>
      </c>
      <c r="B4533" s="2" t="s">
        <v>134</v>
      </c>
      <c r="C4533" s="2">
        <v>0.57999999999999996</v>
      </c>
      <c r="D4533" s="2">
        <v>0.50380000000000003</v>
      </c>
      <c r="E4533" s="2">
        <v>2.9220399999999999E-3</v>
      </c>
      <c r="F4533" s="2" t="s">
        <v>7</v>
      </c>
    </row>
    <row r="4534" spans="1:6" ht="22.5" hidden="1" customHeight="1" x14ac:dyDescent="0.25">
      <c r="A4534" s="3">
        <v>44228</v>
      </c>
      <c r="B4534" s="2" t="s">
        <v>135</v>
      </c>
      <c r="C4534" s="2">
        <v>0.62</v>
      </c>
      <c r="D4534" s="2">
        <v>0.4032</v>
      </c>
      <c r="E4534" s="2">
        <v>2.4998400000000001E-3</v>
      </c>
      <c r="F4534" s="2" t="s">
        <v>7</v>
      </c>
    </row>
    <row r="4535" spans="1:6" ht="22.5" hidden="1" customHeight="1" x14ac:dyDescent="0.25">
      <c r="A4535" s="3">
        <v>44228</v>
      </c>
      <c r="B4535" s="2" t="s">
        <v>136</v>
      </c>
      <c r="C4535" s="2">
        <v>3.26</v>
      </c>
      <c r="D4535" s="2">
        <v>3.7699999999999997E-2</v>
      </c>
      <c r="E4535" s="2">
        <v>1.2290199999999999E-3</v>
      </c>
      <c r="F4535" s="2" t="s">
        <v>7</v>
      </c>
    </row>
    <row r="4536" spans="1:6" ht="22.5" hidden="1" customHeight="1" x14ac:dyDescent="0.25">
      <c r="A4536" s="3">
        <v>44228</v>
      </c>
      <c r="B4536" s="2" t="s">
        <v>137</v>
      </c>
      <c r="C4536" s="2">
        <v>-0.56999999999999995</v>
      </c>
      <c r="D4536" s="2">
        <v>6.9500000000000006E-2</v>
      </c>
      <c r="E4536" s="2">
        <v>-3.9615000000000001E-4</v>
      </c>
      <c r="F4536" s="2" t="s">
        <v>7</v>
      </c>
    </row>
    <row r="4537" spans="1:6" ht="22.5" hidden="1" customHeight="1" x14ac:dyDescent="0.25">
      <c r="A4537" s="3">
        <v>44228</v>
      </c>
      <c r="B4537" s="2" t="s">
        <v>138</v>
      </c>
      <c r="C4537" s="2">
        <v>-0.02</v>
      </c>
      <c r="D4537" s="2">
        <v>4.8099999999999997E-2</v>
      </c>
      <c r="E4537" s="2">
        <v>-9.6199999999999994E-6</v>
      </c>
      <c r="F4537" s="2" t="s">
        <v>7</v>
      </c>
    </row>
    <row r="4538" spans="1:6" ht="22.5" hidden="1" customHeight="1" x14ac:dyDescent="0.25">
      <c r="A4538" s="3">
        <v>44228</v>
      </c>
      <c r="B4538" s="2" t="s">
        <v>139</v>
      </c>
      <c r="C4538" s="2">
        <v>0.43</v>
      </c>
      <c r="D4538" s="2">
        <v>2.6800000000000001E-2</v>
      </c>
      <c r="E4538" s="2">
        <v>1.1524E-4</v>
      </c>
      <c r="F4538" s="2" t="s">
        <v>7</v>
      </c>
    </row>
    <row r="4539" spans="1:6" ht="22.5" hidden="1" customHeight="1" x14ac:dyDescent="0.25">
      <c r="A4539" s="3">
        <v>44228</v>
      </c>
      <c r="B4539" s="2" t="s">
        <v>140</v>
      </c>
      <c r="C4539" s="2">
        <v>0.97</v>
      </c>
      <c r="D4539" s="2">
        <v>2.3E-3</v>
      </c>
      <c r="E4539" s="2">
        <v>2.2310000000000002E-5</v>
      </c>
      <c r="F4539" s="2" t="s">
        <v>7</v>
      </c>
    </row>
    <row r="4540" spans="1:6" ht="22.5" hidden="1" customHeight="1" x14ac:dyDescent="0.25">
      <c r="A4540" s="3">
        <v>44228</v>
      </c>
      <c r="B4540" s="2" t="s">
        <v>141</v>
      </c>
      <c r="C4540" s="2">
        <v>0.25</v>
      </c>
      <c r="D4540" s="2">
        <v>1.9800000000000002E-2</v>
      </c>
      <c r="E4540" s="2">
        <v>4.9499999999999997E-5</v>
      </c>
      <c r="F4540" s="2" t="s">
        <v>7</v>
      </c>
    </row>
    <row r="4541" spans="1:6" ht="22.5" hidden="1" customHeight="1" x14ac:dyDescent="0.25">
      <c r="A4541" s="3">
        <v>44228</v>
      </c>
      <c r="B4541" s="2" t="s">
        <v>142</v>
      </c>
      <c r="C4541" s="2">
        <v>0.7</v>
      </c>
      <c r="D4541" s="2">
        <v>4.4000000000000003E-3</v>
      </c>
      <c r="E4541" s="2">
        <v>3.0800000000000003E-5</v>
      </c>
      <c r="F4541" s="2" t="s">
        <v>7</v>
      </c>
    </row>
    <row r="4542" spans="1:6" ht="22.5" hidden="1" customHeight="1" x14ac:dyDescent="0.25">
      <c r="A4542" s="3">
        <v>44228</v>
      </c>
      <c r="B4542" s="2" t="s">
        <v>143</v>
      </c>
      <c r="C4542" s="2">
        <v>1.24</v>
      </c>
      <c r="D4542" s="2">
        <v>4.1599999999999998E-2</v>
      </c>
      <c r="E4542" s="2">
        <v>5.1584000000000005E-4</v>
      </c>
      <c r="F4542" s="2" t="s">
        <v>7</v>
      </c>
    </row>
    <row r="4543" spans="1:6" ht="22.5" hidden="1" customHeight="1" x14ac:dyDescent="0.25">
      <c r="A4543" s="3">
        <v>44228</v>
      </c>
      <c r="B4543" s="2" t="s">
        <v>144</v>
      </c>
      <c r="C4543" s="2">
        <v>0.77</v>
      </c>
      <c r="D4543" s="2">
        <v>1.6999999999999999E-3</v>
      </c>
      <c r="E4543" s="2">
        <v>1.309E-5</v>
      </c>
      <c r="F4543" s="2" t="s">
        <v>7</v>
      </c>
    </row>
    <row r="4544" spans="1:6" ht="22.5" hidden="1" customHeight="1" x14ac:dyDescent="0.25">
      <c r="A4544" s="3">
        <v>44228</v>
      </c>
      <c r="B4544" s="2" t="s">
        <v>145</v>
      </c>
      <c r="C4544" s="2">
        <v>-0.45</v>
      </c>
      <c r="D4544" s="2">
        <v>1.6000000000000001E-3</v>
      </c>
      <c r="E4544" s="2">
        <v>-7.1999999999999997E-6</v>
      </c>
      <c r="F4544" s="2" t="s">
        <v>7</v>
      </c>
    </row>
    <row r="4545" spans="1:6" ht="22.5" hidden="1" customHeight="1" x14ac:dyDescent="0.25">
      <c r="A4545" s="3">
        <v>44228</v>
      </c>
      <c r="B4545" s="2" t="s">
        <v>146</v>
      </c>
      <c r="C4545" s="2">
        <v>0.42</v>
      </c>
      <c r="D4545" s="2">
        <v>3.3300000000000003E-2</v>
      </c>
      <c r="E4545" s="2">
        <v>1.3986000000000001E-4</v>
      </c>
      <c r="F4545" s="2" t="s">
        <v>7</v>
      </c>
    </row>
    <row r="4546" spans="1:6" ht="22.5" hidden="1" customHeight="1" x14ac:dyDescent="0.25">
      <c r="A4546" s="3">
        <v>44228</v>
      </c>
      <c r="B4546" s="2" t="s">
        <v>147</v>
      </c>
      <c r="C4546" s="2">
        <v>0.44</v>
      </c>
      <c r="D4546" s="2">
        <v>2.7099999999999999E-2</v>
      </c>
      <c r="E4546" s="2">
        <v>1.1924E-4</v>
      </c>
      <c r="F4546" s="2" t="s">
        <v>7</v>
      </c>
    </row>
    <row r="4547" spans="1:6" ht="22.5" hidden="1" customHeight="1" x14ac:dyDescent="0.25">
      <c r="A4547" s="3">
        <v>44228</v>
      </c>
      <c r="B4547" s="2" t="s">
        <v>148</v>
      </c>
      <c r="C4547" s="2">
        <v>-2.4500000000000002</v>
      </c>
      <c r="D4547" s="2">
        <v>2.41E-2</v>
      </c>
      <c r="E4547" s="2">
        <v>-5.9044999999999996E-4</v>
      </c>
      <c r="F4547" s="2" t="s">
        <v>7</v>
      </c>
    </row>
    <row r="4548" spans="1:6" ht="22.5" hidden="1" customHeight="1" x14ac:dyDescent="0.25">
      <c r="A4548" s="3">
        <v>44228</v>
      </c>
      <c r="B4548" s="2" t="s">
        <v>149</v>
      </c>
      <c r="C4548" s="2">
        <v>3</v>
      </c>
      <c r="D4548" s="2">
        <v>2.3999999999999998E-3</v>
      </c>
      <c r="E4548" s="2">
        <v>7.2000000000000002E-5</v>
      </c>
      <c r="F4548" s="2" t="s">
        <v>7</v>
      </c>
    </row>
    <row r="4549" spans="1:6" ht="22.5" hidden="1" customHeight="1" x14ac:dyDescent="0.25">
      <c r="A4549" s="3">
        <v>44228</v>
      </c>
      <c r="B4549" s="2" t="s">
        <v>150</v>
      </c>
      <c r="C4549" s="2">
        <v>-1.24</v>
      </c>
      <c r="D4549" s="2">
        <v>0.1149</v>
      </c>
      <c r="E4549" s="2">
        <v>-1.42476E-3</v>
      </c>
      <c r="F4549" s="2" t="s">
        <v>7</v>
      </c>
    </row>
    <row r="4550" spans="1:6" ht="22.5" hidden="1" customHeight="1" x14ac:dyDescent="0.25">
      <c r="A4550" s="3">
        <v>44228</v>
      </c>
      <c r="B4550" s="2" t="s">
        <v>151</v>
      </c>
      <c r="C4550" s="2">
        <v>1.33</v>
      </c>
      <c r="D4550" s="2">
        <v>0.1081</v>
      </c>
      <c r="E4550" s="2">
        <v>1.4377299999999999E-3</v>
      </c>
      <c r="F4550" s="2" t="s">
        <v>7</v>
      </c>
    </row>
    <row r="4551" spans="1:6" ht="22.5" hidden="1" customHeight="1" x14ac:dyDescent="0.25">
      <c r="A4551" s="3">
        <v>44228</v>
      </c>
      <c r="B4551" s="2" t="s">
        <v>152</v>
      </c>
      <c r="C4551" s="2">
        <v>-0.8</v>
      </c>
      <c r="D4551" s="2">
        <v>3.0999999999999999E-3</v>
      </c>
      <c r="E4551" s="2">
        <v>-2.48E-5</v>
      </c>
      <c r="F4551" s="2" t="s">
        <v>7</v>
      </c>
    </row>
    <row r="4552" spans="1:6" ht="22.5" hidden="1" customHeight="1" x14ac:dyDescent="0.25">
      <c r="A4552" s="3">
        <v>44228</v>
      </c>
      <c r="B4552" s="2" t="s">
        <v>153</v>
      </c>
      <c r="C4552" s="2">
        <v>1.36</v>
      </c>
      <c r="D4552" s="2">
        <v>8.9999999999999998E-4</v>
      </c>
      <c r="E4552" s="2">
        <v>1.224E-5</v>
      </c>
      <c r="F4552" s="2" t="s">
        <v>7</v>
      </c>
    </row>
    <row r="4553" spans="1:6" ht="22.5" hidden="1" customHeight="1" x14ac:dyDescent="0.25">
      <c r="A4553" s="3">
        <v>44228</v>
      </c>
      <c r="B4553" s="2" t="s">
        <v>154</v>
      </c>
      <c r="C4553" s="2">
        <v>-2.85</v>
      </c>
      <c r="D4553" s="2">
        <v>1E-3</v>
      </c>
      <c r="E4553" s="2">
        <v>-2.8500000000000002E-5</v>
      </c>
      <c r="F4553" s="2" t="s">
        <v>7</v>
      </c>
    </row>
    <row r="4554" spans="1:6" ht="22.5" hidden="1" customHeight="1" x14ac:dyDescent="0.25">
      <c r="A4554" s="3">
        <v>44228</v>
      </c>
      <c r="B4554" s="2" t="s">
        <v>155</v>
      </c>
      <c r="C4554" s="2">
        <v>0.96</v>
      </c>
      <c r="D4554" s="2">
        <v>5.8999999999999999E-3</v>
      </c>
      <c r="E4554" s="2">
        <v>5.664E-5</v>
      </c>
      <c r="F4554" s="2" t="s">
        <v>7</v>
      </c>
    </row>
    <row r="4555" spans="1:6" ht="22.5" hidden="1" customHeight="1" x14ac:dyDescent="0.25">
      <c r="A4555" s="3">
        <v>44228</v>
      </c>
      <c r="B4555" s="2" t="s">
        <v>156</v>
      </c>
      <c r="C4555" s="2">
        <v>0.83</v>
      </c>
      <c r="D4555" s="2">
        <v>4.5400000000000003E-2</v>
      </c>
      <c r="E4555" s="2">
        <v>3.7681999999999999E-4</v>
      </c>
      <c r="F4555" s="2" t="s">
        <v>7</v>
      </c>
    </row>
    <row r="4556" spans="1:6" ht="22.5" hidden="1" customHeight="1" x14ac:dyDescent="0.25">
      <c r="A4556" s="3">
        <v>44228</v>
      </c>
      <c r="B4556" s="2" t="s">
        <v>157</v>
      </c>
      <c r="C4556" s="2">
        <v>0.85</v>
      </c>
      <c r="D4556" s="2">
        <v>1.7399999999999999E-2</v>
      </c>
      <c r="E4556" s="2">
        <v>1.4789999999999999E-4</v>
      </c>
      <c r="F4556" s="2" t="s">
        <v>7</v>
      </c>
    </row>
    <row r="4557" spans="1:6" ht="22.5" hidden="1" customHeight="1" x14ac:dyDescent="0.25">
      <c r="A4557" s="3">
        <v>44228</v>
      </c>
      <c r="B4557" s="2" t="s">
        <v>158</v>
      </c>
      <c r="C4557" s="2">
        <v>-0.72</v>
      </c>
      <c r="D4557" s="2">
        <v>9.9000000000000008E-3</v>
      </c>
      <c r="E4557" s="2">
        <v>-7.1279999999999995E-5</v>
      </c>
      <c r="F4557" s="2" t="s">
        <v>7</v>
      </c>
    </row>
    <row r="4558" spans="1:6" ht="22.5" hidden="1" customHeight="1" x14ac:dyDescent="0.25">
      <c r="A4558" s="3">
        <v>44228</v>
      </c>
      <c r="B4558" s="2" t="s">
        <v>159</v>
      </c>
      <c r="C4558" s="2">
        <v>0.2</v>
      </c>
      <c r="D4558" s="2">
        <v>5.45E-2</v>
      </c>
      <c r="E4558" s="2">
        <v>1.0900000000000001E-4</v>
      </c>
      <c r="F4558" s="2" t="s">
        <v>7</v>
      </c>
    </row>
    <row r="4559" spans="1:6" ht="22.5" hidden="1" customHeight="1" x14ac:dyDescent="0.25">
      <c r="A4559" s="3">
        <v>44228</v>
      </c>
      <c r="B4559" s="2" t="s">
        <v>160</v>
      </c>
      <c r="C4559" s="2">
        <v>0.37</v>
      </c>
      <c r="D4559" s="2">
        <v>3.7422</v>
      </c>
      <c r="E4559" s="2">
        <v>1.384614E-2</v>
      </c>
      <c r="F4559" s="2" t="s">
        <v>7</v>
      </c>
    </row>
    <row r="4560" spans="1:6" ht="22.5" hidden="1" customHeight="1" x14ac:dyDescent="0.25">
      <c r="A4560" s="3">
        <v>44228</v>
      </c>
      <c r="B4560" s="2" t="s">
        <v>161</v>
      </c>
      <c r="C4560" s="2">
        <v>1.2</v>
      </c>
      <c r="D4560" s="2">
        <v>1.7173</v>
      </c>
      <c r="E4560" s="2">
        <v>2.06076E-2</v>
      </c>
      <c r="F4560" s="2" t="s">
        <v>7</v>
      </c>
    </row>
    <row r="4561" spans="1:6" ht="22.5" hidden="1" customHeight="1" x14ac:dyDescent="0.25">
      <c r="A4561" s="3">
        <v>44228</v>
      </c>
      <c r="B4561" s="2" t="s">
        <v>134</v>
      </c>
      <c r="C4561" s="2">
        <v>-0.15</v>
      </c>
      <c r="D4561" s="2">
        <v>0.1242</v>
      </c>
      <c r="E4561" s="2">
        <v>-1.863E-4</v>
      </c>
      <c r="F4561" s="2" t="s">
        <v>7</v>
      </c>
    </row>
    <row r="4562" spans="1:6" ht="22.5" hidden="1" customHeight="1" x14ac:dyDescent="0.25">
      <c r="A4562" s="3">
        <v>44228</v>
      </c>
      <c r="B4562" s="2" t="s">
        <v>162</v>
      </c>
      <c r="C4562" s="2">
        <v>1.34</v>
      </c>
      <c r="D4562" s="2">
        <v>4.36E-2</v>
      </c>
      <c r="E4562" s="2">
        <v>5.8423999999999998E-4</v>
      </c>
      <c r="F4562" s="2" t="s">
        <v>7</v>
      </c>
    </row>
    <row r="4563" spans="1:6" ht="22.5" hidden="1" customHeight="1" x14ac:dyDescent="0.25">
      <c r="A4563" s="3">
        <v>44228</v>
      </c>
      <c r="B4563" s="2" t="s">
        <v>135</v>
      </c>
      <c r="C4563" s="2">
        <v>-0.45</v>
      </c>
      <c r="D4563" s="2">
        <v>0.28970000000000001</v>
      </c>
      <c r="E4563" s="2">
        <v>-1.3036499999999999E-3</v>
      </c>
      <c r="F4563" s="2" t="s">
        <v>7</v>
      </c>
    </row>
    <row r="4564" spans="1:6" ht="22.5" hidden="1" customHeight="1" x14ac:dyDescent="0.25">
      <c r="A4564" s="3">
        <v>44228</v>
      </c>
      <c r="B4564" s="2" t="s">
        <v>136</v>
      </c>
      <c r="C4564" s="2">
        <v>1.74</v>
      </c>
      <c r="D4564" s="2">
        <v>4.1000000000000003E-3</v>
      </c>
      <c r="E4564" s="2">
        <v>7.1340000000000005E-5</v>
      </c>
      <c r="F4564" s="2" t="s">
        <v>7</v>
      </c>
    </row>
    <row r="4565" spans="1:6" ht="22.5" hidden="1" customHeight="1" x14ac:dyDescent="0.25">
      <c r="A4565" s="3">
        <v>44228</v>
      </c>
      <c r="B4565" s="2" t="s">
        <v>137</v>
      </c>
      <c r="C4565" s="2">
        <v>1.99</v>
      </c>
      <c r="D4565" s="2">
        <v>9.7999999999999997E-3</v>
      </c>
      <c r="E4565" s="2">
        <v>1.9502000000000001E-4</v>
      </c>
      <c r="F4565" s="2" t="s">
        <v>7</v>
      </c>
    </row>
    <row r="4566" spans="1:6" ht="22.5" hidden="1" customHeight="1" x14ac:dyDescent="0.25">
      <c r="A4566" s="3">
        <v>44228</v>
      </c>
      <c r="B4566" s="2" t="s">
        <v>163</v>
      </c>
      <c r="C4566" s="2">
        <v>0.43</v>
      </c>
      <c r="D4566" s="2">
        <v>4.3E-3</v>
      </c>
      <c r="E4566" s="2">
        <v>1.8490000000000001E-5</v>
      </c>
      <c r="F4566" s="2" t="s">
        <v>7</v>
      </c>
    </row>
    <row r="4567" spans="1:6" ht="22.5" hidden="1" customHeight="1" x14ac:dyDescent="0.25">
      <c r="A4567" s="3">
        <v>44228</v>
      </c>
      <c r="B4567" s="2" t="s">
        <v>34</v>
      </c>
      <c r="C4567" s="2">
        <v>-0.46</v>
      </c>
      <c r="D4567" s="2">
        <v>5.28E-2</v>
      </c>
      <c r="E4567" s="2">
        <v>-2.4288000000000001E-4</v>
      </c>
      <c r="F4567" s="2" t="s">
        <v>7</v>
      </c>
    </row>
    <row r="4568" spans="1:6" ht="22.5" hidden="1" customHeight="1" x14ac:dyDescent="0.25">
      <c r="A4568" s="3">
        <v>44228</v>
      </c>
      <c r="B4568" s="2" t="s">
        <v>164</v>
      </c>
      <c r="C4568" s="2">
        <v>0.69</v>
      </c>
      <c r="D4568" s="2">
        <v>3.7776999999999998</v>
      </c>
      <c r="E4568" s="2">
        <v>2.606613E-2</v>
      </c>
      <c r="F4568" s="2" t="s">
        <v>165</v>
      </c>
    </row>
    <row r="4569" spans="1:6" ht="22.5" hidden="1" customHeight="1" x14ac:dyDescent="0.25">
      <c r="A4569" s="3">
        <v>44228</v>
      </c>
      <c r="B4569" s="2" t="s">
        <v>166</v>
      </c>
      <c r="C4569" s="2">
        <v>0.23</v>
      </c>
      <c r="D4569" s="2">
        <v>2.3393000000000002</v>
      </c>
      <c r="E4569" s="2">
        <v>5.3803899999999997E-3</v>
      </c>
      <c r="F4569" s="2" t="s">
        <v>165</v>
      </c>
    </row>
    <row r="4570" spans="1:6" ht="22.5" hidden="1" customHeight="1" x14ac:dyDescent="0.25">
      <c r="A4570" s="3">
        <v>44075</v>
      </c>
      <c r="B4570" s="2" t="s">
        <v>279</v>
      </c>
      <c r="C4570" s="2">
        <v>0.18</v>
      </c>
      <c r="D4570" s="2">
        <v>9.6000000000000002E-2</v>
      </c>
      <c r="E4570" s="2">
        <v>1.728E-4</v>
      </c>
      <c r="F4570" s="2" t="s">
        <v>168</v>
      </c>
    </row>
    <row r="4571" spans="1:6" ht="22.5" hidden="1" customHeight="1" x14ac:dyDescent="0.25">
      <c r="A4571" s="3">
        <v>44228</v>
      </c>
      <c r="B4571" s="2" t="s">
        <v>169</v>
      </c>
      <c r="C4571" s="2">
        <v>4</v>
      </c>
      <c r="D4571" s="2">
        <v>1.03E-2</v>
      </c>
      <c r="E4571" s="2">
        <v>4.1199999999999999E-4</v>
      </c>
      <c r="F4571" s="2" t="s">
        <v>170</v>
      </c>
    </row>
    <row r="4572" spans="1:6" ht="22.5" hidden="1" customHeight="1" x14ac:dyDescent="0.25">
      <c r="A4572" s="3">
        <v>44228</v>
      </c>
      <c r="B4572" s="2" t="s">
        <v>171</v>
      </c>
      <c r="C4572" s="2">
        <v>0.1</v>
      </c>
      <c r="D4572" s="2">
        <v>1.4999999999999999E-2</v>
      </c>
      <c r="E4572" s="2">
        <v>1.5E-5</v>
      </c>
      <c r="F4572" s="2" t="s">
        <v>170</v>
      </c>
    </row>
    <row r="4573" spans="1:6" ht="22.5" hidden="1" customHeight="1" x14ac:dyDescent="0.25">
      <c r="A4573" s="3">
        <v>44228</v>
      </c>
      <c r="B4573" s="2" t="s">
        <v>172</v>
      </c>
      <c r="C4573" s="2">
        <v>2.09</v>
      </c>
      <c r="D4573" s="2">
        <v>3.3999999999999998E-3</v>
      </c>
      <c r="E4573" s="2">
        <v>7.1060000000000001E-5</v>
      </c>
      <c r="F4573" s="2" t="s">
        <v>170</v>
      </c>
    </row>
    <row r="4574" spans="1:6" ht="22.5" hidden="1" customHeight="1" x14ac:dyDescent="0.25">
      <c r="A4574" s="3">
        <v>44228</v>
      </c>
      <c r="B4574" s="2" t="s">
        <v>173</v>
      </c>
      <c r="C4574" s="2">
        <v>0.99</v>
      </c>
      <c r="D4574" s="2">
        <v>0.25819999999999999</v>
      </c>
      <c r="E4574" s="2">
        <v>2.5561799999999999E-3</v>
      </c>
      <c r="F4574" s="2" t="s">
        <v>174</v>
      </c>
    </row>
    <row r="4575" spans="1:6" ht="22.5" hidden="1" customHeight="1" x14ac:dyDescent="0.25">
      <c r="A4575" s="3">
        <v>44228</v>
      </c>
      <c r="B4575" s="2" t="s">
        <v>175</v>
      </c>
      <c r="C4575" s="2">
        <v>0.77</v>
      </c>
      <c r="D4575" s="2">
        <v>0.24859999999999999</v>
      </c>
      <c r="E4575" s="2">
        <v>1.9142199999999999E-3</v>
      </c>
      <c r="F4575" s="2" t="s">
        <v>174</v>
      </c>
    </row>
    <row r="4576" spans="1:6" ht="22.5" hidden="1" customHeight="1" x14ac:dyDescent="0.25">
      <c r="A4576" s="3">
        <v>44228</v>
      </c>
      <c r="B4576" s="2" t="s">
        <v>176</v>
      </c>
      <c r="C4576" s="2">
        <v>-1.59</v>
      </c>
      <c r="D4576" s="2">
        <v>1.4E-2</v>
      </c>
      <c r="E4576" s="2">
        <v>-2.2259999999999999E-4</v>
      </c>
      <c r="F4576" s="2" t="s">
        <v>170</v>
      </c>
    </row>
    <row r="4577" spans="1:6" ht="22.5" hidden="1" customHeight="1" x14ac:dyDescent="0.25">
      <c r="A4577" s="3">
        <v>44228</v>
      </c>
      <c r="B4577" s="2" t="s">
        <v>177</v>
      </c>
      <c r="C4577" s="2">
        <v>-0.39</v>
      </c>
      <c r="D4577" s="2">
        <v>2.4E-2</v>
      </c>
      <c r="E4577" s="2">
        <v>-9.3599999999999998E-5</v>
      </c>
      <c r="F4577" s="2" t="s">
        <v>170</v>
      </c>
    </row>
    <row r="4578" spans="1:6" ht="22.5" hidden="1" customHeight="1" x14ac:dyDescent="0.25">
      <c r="A4578" s="3">
        <v>44228</v>
      </c>
      <c r="B4578" s="2" t="s">
        <v>178</v>
      </c>
      <c r="C4578" s="2">
        <v>0.9</v>
      </c>
      <c r="D4578" s="2">
        <v>2.1499999999999998E-2</v>
      </c>
      <c r="E4578" s="2">
        <v>1.9349999999999999E-4</v>
      </c>
      <c r="F4578" s="2" t="s">
        <v>170</v>
      </c>
    </row>
    <row r="4579" spans="1:6" ht="22.5" hidden="1" customHeight="1" x14ac:dyDescent="0.25">
      <c r="A4579" s="3">
        <v>44228</v>
      </c>
      <c r="B4579" s="2" t="s">
        <v>179</v>
      </c>
      <c r="C4579" s="2">
        <v>3.18</v>
      </c>
      <c r="D4579" s="2">
        <v>4.1399999999999999E-2</v>
      </c>
      <c r="E4579" s="2">
        <v>1.3165200000000001E-3</v>
      </c>
      <c r="F4579" s="2" t="s">
        <v>170</v>
      </c>
    </row>
    <row r="4580" spans="1:6" ht="22.5" hidden="1" customHeight="1" x14ac:dyDescent="0.25">
      <c r="A4580" s="3">
        <v>44228</v>
      </c>
      <c r="B4580" s="2" t="s">
        <v>180</v>
      </c>
      <c r="C4580" s="2">
        <v>0.01</v>
      </c>
      <c r="D4580" s="2">
        <v>0.64019999999999999</v>
      </c>
      <c r="E4580" s="2">
        <v>6.402E-5</v>
      </c>
      <c r="F4580" s="2" t="s">
        <v>165</v>
      </c>
    </row>
    <row r="4581" spans="1:6" ht="22.5" hidden="1" customHeight="1" x14ac:dyDescent="0.25">
      <c r="A4581" s="3">
        <v>44228</v>
      </c>
      <c r="B4581" s="2" t="s">
        <v>181</v>
      </c>
      <c r="C4581" s="2">
        <v>-1.63</v>
      </c>
      <c r="D4581" s="2">
        <v>1.3100000000000001E-2</v>
      </c>
      <c r="E4581" s="2">
        <v>-2.1353E-4</v>
      </c>
      <c r="F4581" s="2" t="s">
        <v>174</v>
      </c>
    </row>
    <row r="4582" spans="1:6" ht="22.5" hidden="1" customHeight="1" x14ac:dyDescent="0.25">
      <c r="A4582" s="3">
        <v>44228</v>
      </c>
      <c r="B4582" s="2" t="s">
        <v>182</v>
      </c>
      <c r="C4582" s="2">
        <v>0.66</v>
      </c>
      <c r="D4582" s="2">
        <v>4.1399999999999999E-2</v>
      </c>
      <c r="E4582" s="2">
        <v>2.7324000000000001E-4</v>
      </c>
      <c r="F4582" s="2" t="s">
        <v>170</v>
      </c>
    </row>
    <row r="4583" spans="1:6" ht="22.5" hidden="1" customHeight="1" x14ac:dyDescent="0.25">
      <c r="A4583" s="3">
        <v>44228</v>
      </c>
      <c r="B4583" s="2" t="s">
        <v>183</v>
      </c>
      <c r="C4583" s="2">
        <v>-1.81</v>
      </c>
      <c r="D4583" s="2">
        <v>4.3E-3</v>
      </c>
      <c r="E4583" s="2">
        <v>-7.7830000000000005E-5</v>
      </c>
      <c r="F4583" s="2" t="s">
        <v>174</v>
      </c>
    </row>
    <row r="4584" spans="1:6" ht="22.5" hidden="1" customHeight="1" x14ac:dyDescent="0.25">
      <c r="A4584" s="3">
        <v>44228</v>
      </c>
      <c r="B4584" s="2" t="s">
        <v>184</v>
      </c>
      <c r="C4584" s="2">
        <v>0.16</v>
      </c>
      <c r="D4584" s="2">
        <v>6.3899999999999998E-2</v>
      </c>
      <c r="E4584" s="2">
        <v>1.0224E-4</v>
      </c>
      <c r="F4584" s="2" t="s">
        <v>174</v>
      </c>
    </row>
    <row r="4585" spans="1:6" ht="22.5" hidden="1" customHeight="1" x14ac:dyDescent="0.25">
      <c r="A4585" s="3">
        <v>44228</v>
      </c>
      <c r="B4585" s="2" t="s">
        <v>185</v>
      </c>
      <c r="C4585" s="2">
        <v>-0.93</v>
      </c>
      <c r="D4585" s="2">
        <v>0.1542</v>
      </c>
      <c r="E4585" s="2">
        <v>-1.43406E-3</v>
      </c>
      <c r="F4585" s="2" t="s">
        <v>174</v>
      </c>
    </row>
    <row r="4586" spans="1:6" ht="22.5" hidden="1" customHeight="1" x14ac:dyDescent="0.25">
      <c r="A4586" s="3">
        <v>44228</v>
      </c>
      <c r="B4586" s="2" t="s">
        <v>186</v>
      </c>
      <c r="C4586" s="2">
        <v>-2.2599999999999998</v>
      </c>
      <c r="D4586" s="2">
        <v>0.22270000000000001</v>
      </c>
      <c r="E4586" s="2">
        <v>-5.03302E-3</v>
      </c>
      <c r="F4586" s="2" t="s">
        <v>174</v>
      </c>
    </row>
    <row r="4587" spans="1:6" ht="22.5" hidden="1" customHeight="1" x14ac:dyDescent="0.25">
      <c r="A4587" s="3">
        <v>44228</v>
      </c>
      <c r="B4587" s="2" t="s">
        <v>187</v>
      </c>
      <c r="C4587" s="2">
        <v>-0.03</v>
      </c>
      <c r="D4587" s="2">
        <v>5.9400000000000001E-2</v>
      </c>
      <c r="E4587" s="2">
        <v>-1.7819999999999999E-5</v>
      </c>
      <c r="F4587" s="2" t="s">
        <v>174</v>
      </c>
    </row>
    <row r="4588" spans="1:6" ht="22.5" hidden="1" customHeight="1" x14ac:dyDescent="0.25">
      <c r="A4588" s="3">
        <v>44228</v>
      </c>
      <c r="B4588" s="2" t="s">
        <v>188</v>
      </c>
      <c r="C4588" s="2">
        <v>0.46</v>
      </c>
      <c r="D4588" s="2">
        <v>2.9000000000000001E-2</v>
      </c>
      <c r="E4588" s="2">
        <v>1.3339999999999999E-4</v>
      </c>
      <c r="F4588" s="2" t="s">
        <v>174</v>
      </c>
    </row>
    <row r="4589" spans="1:6" ht="22.5" hidden="1" customHeight="1" x14ac:dyDescent="0.25">
      <c r="A4589" s="3">
        <v>44228</v>
      </c>
      <c r="B4589" s="2" t="s">
        <v>189</v>
      </c>
      <c r="C4589" s="2">
        <v>-0.59</v>
      </c>
      <c r="D4589" s="2">
        <v>3.5999999999999999E-3</v>
      </c>
      <c r="E4589" s="2">
        <v>-2.124E-5</v>
      </c>
      <c r="F4589" s="2" t="s">
        <v>174</v>
      </c>
    </row>
    <row r="4590" spans="1:6" ht="22.5" hidden="1" customHeight="1" x14ac:dyDescent="0.25">
      <c r="A4590" s="3">
        <v>44228</v>
      </c>
      <c r="B4590" s="2" t="s">
        <v>190</v>
      </c>
      <c r="C4590" s="2">
        <v>-0.24</v>
      </c>
      <c r="D4590" s="2">
        <v>4.8999999999999998E-3</v>
      </c>
      <c r="E4590" s="2">
        <v>-1.1759999999999999E-5</v>
      </c>
      <c r="F4590" s="2" t="s">
        <v>174</v>
      </c>
    </row>
    <row r="4591" spans="1:6" ht="22.5" hidden="1" customHeight="1" x14ac:dyDescent="0.25">
      <c r="A4591" s="3">
        <v>44228</v>
      </c>
      <c r="B4591" s="2" t="s">
        <v>191</v>
      </c>
      <c r="C4591" s="2">
        <v>-2.85</v>
      </c>
      <c r="D4591" s="2">
        <v>2.8400000000000002E-2</v>
      </c>
      <c r="E4591" s="2">
        <v>-8.0940000000000005E-4</v>
      </c>
      <c r="F4591" s="2" t="s">
        <v>174</v>
      </c>
    </row>
    <row r="4592" spans="1:6" ht="22.5" hidden="1" customHeight="1" x14ac:dyDescent="0.25">
      <c r="A4592" s="3">
        <v>44228</v>
      </c>
      <c r="B4592" s="2" t="s">
        <v>192</v>
      </c>
      <c r="C4592" s="2">
        <v>-1</v>
      </c>
      <c r="D4592" s="2">
        <v>5.1999999999999998E-3</v>
      </c>
      <c r="E4592" s="2">
        <v>-5.1999999999999997E-5</v>
      </c>
      <c r="F4592" s="2" t="s">
        <v>174</v>
      </c>
    </row>
    <row r="4593" spans="1:6" ht="22.5" hidden="1" customHeight="1" x14ac:dyDescent="0.25">
      <c r="A4593" s="3">
        <v>44228</v>
      </c>
      <c r="B4593" s="2" t="s">
        <v>193</v>
      </c>
      <c r="C4593" s="2">
        <v>-0.65</v>
      </c>
      <c r="D4593" s="2">
        <v>0.1676</v>
      </c>
      <c r="E4593" s="2">
        <v>-1.0893999999999999E-3</v>
      </c>
      <c r="F4593" s="2" t="s">
        <v>174</v>
      </c>
    </row>
    <row r="4594" spans="1:6" ht="22.5" hidden="1" customHeight="1" x14ac:dyDescent="0.25">
      <c r="A4594" s="3">
        <v>44228</v>
      </c>
      <c r="B4594" s="2" t="s">
        <v>194</v>
      </c>
      <c r="C4594" s="2">
        <v>-1.75</v>
      </c>
      <c r="D4594" s="2">
        <v>3.5000000000000001E-3</v>
      </c>
      <c r="E4594" s="2">
        <v>-6.1249999999999998E-5</v>
      </c>
      <c r="F4594" s="2" t="s">
        <v>174</v>
      </c>
    </row>
    <row r="4595" spans="1:6" ht="22.5" hidden="1" customHeight="1" x14ac:dyDescent="0.25">
      <c r="A4595" s="3">
        <v>44256</v>
      </c>
      <c r="B4595" s="2" t="s">
        <v>289</v>
      </c>
      <c r="C4595" s="2">
        <v>0.03</v>
      </c>
      <c r="D4595" s="2">
        <v>0.54169999999999996</v>
      </c>
      <c r="E4595" s="2">
        <v>1.6250999999999999E-4</v>
      </c>
      <c r="F4595" s="2" t="s">
        <v>168</v>
      </c>
    </row>
    <row r="4596" spans="1:6" ht="22.5" hidden="1" customHeight="1" x14ac:dyDescent="0.25">
      <c r="A4596" s="3">
        <v>44075</v>
      </c>
      <c r="B4596" s="2" t="s">
        <v>295</v>
      </c>
      <c r="C4596" s="2">
        <v>7.0000000000000007E-2</v>
      </c>
      <c r="D4596" s="2">
        <v>0.2303</v>
      </c>
      <c r="E4596" s="2">
        <v>1.6121000000000001E-4</v>
      </c>
      <c r="F4596" s="2" t="s">
        <v>168</v>
      </c>
    </row>
    <row r="4597" spans="1:6" ht="22.5" hidden="1" customHeight="1" x14ac:dyDescent="0.25">
      <c r="A4597" s="3">
        <v>44409</v>
      </c>
      <c r="B4597" s="2" t="s">
        <v>288</v>
      </c>
      <c r="C4597" s="2">
        <v>7.0000000000000007E-2</v>
      </c>
      <c r="D4597" s="2">
        <v>0.22559999999999999</v>
      </c>
      <c r="E4597" s="2">
        <v>1.5792000000000001E-4</v>
      </c>
      <c r="F4597" s="2" t="s">
        <v>168</v>
      </c>
    </row>
    <row r="4598" spans="1:6" ht="22.5" hidden="1" customHeight="1" x14ac:dyDescent="0.25">
      <c r="A4598" s="3">
        <v>44228</v>
      </c>
      <c r="B4598" s="2" t="s">
        <v>198</v>
      </c>
      <c r="C4598" s="2">
        <v>0.71</v>
      </c>
      <c r="D4598" s="2">
        <v>0.3458</v>
      </c>
      <c r="E4598" s="2">
        <v>2.4551799999999999E-3</v>
      </c>
      <c r="F4598" s="2" t="s">
        <v>170</v>
      </c>
    </row>
    <row r="4599" spans="1:6" ht="22.5" hidden="1" customHeight="1" x14ac:dyDescent="0.25">
      <c r="A4599" s="3">
        <v>44228</v>
      </c>
      <c r="B4599" s="2" t="s">
        <v>199</v>
      </c>
      <c r="C4599" s="2">
        <v>0.86</v>
      </c>
      <c r="D4599" s="2">
        <v>0.47049999999999997</v>
      </c>
      <c r="E4599" s="2">
        <v>4.0463000000000001E-3</v>
      </c>
      <c r="F4599" s="2" t="s">
        <v>170</v>
      </c>
    </row>
    <row r="4600" spans="1:6" ht="22.5" hidden="1" customHeight="1" x14ac:dyDescent="0.25">
      <c r="A4600" s="3">
        <v>44228</v>
      </c>
      <c r="B4600" s="2" t="s">
        <v>200</v>
      </c>
      <c r="C4600" s="2">
        <v>1.3</v>
      </c>
      <c r="D4600" s="2">
        <v>0.18429999999999999</v>
      </c>
      <c r="E4600" s="2">
        <v>2.3958999999999999E-3</v>
      </c>
      <c r="F4600" s="2" t="s">
        <v>170</v>
      </c>
    </row>
    <row r="4601" spans="1:6" ht="22.5" hidden="1" customHeight="1" x14ac:dyDescent="0.25">
      <c r="A4601" s="3">
        <v>44228</v>
      </c>
      <c r="B4601" s="2" t="s">
        <v>201</v>
      </c>
      <c r="C4601" s="2">
        <v>2.13</v>
      </c>
      <c r="D4601" s="2">
        <v>2.5399999999999999E-2</v>
      </c>
      <c r="E4601" s="2">
        <v>5.4102000000000002E-4</v>
      </c>
      <c r="F4601" s="2" t="s">
        <v>170</v>
      </c>
    </row>
    <row r="4602" spans="1:6" ht="22.5" hidden="1" customHeight="1" x14ac:dyDescent="0.25">
      <c r="A4602" s="3">
        <v>44228</v>
      </c>
      <c r="B4602" s="2" t="s">
        <v>202</v>
      </c>
      <c r="C4602" s="2">
        <v>0.63</v>
      </c>
      <c r="D4602" s="2">
        <v>1.8200000000000001E-2</v>
      </c>
      <c r="E4602" s="2">
        <v>1.1466E-4</v>
      </c>
      <c r="F4602" s="2" t="s">
        <v>170</v>
      </c>
    </row>
    <row r="4603" spans="1:6" ht="22.5" hidden="1" customHeight="1" x14ac:dyDescent="0.25">
      <c r="A4603" s="3">
        <v>44228</v>
      </c>
      <c r="B4603" s="2" t="s">
        <v>203</v>
      </c>
      <c r="C4603" s="2">
        <v>-0.94</v>
      </c>
      <c r="D4603" s="2">
        <v>8.3400000000000002E-2</v>
      </c>
      <c r="E4603" s="2">
        <v>-7.8396E-4</v>
      </c>
      <c r="F4603" s="2" t="s">
        <v>170</v>
      </c>
    </row>
    <row r="4604" spans="1:6" ht="22.5" hidden="1" customHeight="1" x14ac:dyDescent="0.25">
      <c r="A4604" s="3">
        <v>44228</v>
      </c>
      <c r="B4604" s="2" t="s">
        <v>204</v>
      </c>
      <c r="C4604" s="2">
        <v>-0.41</v>
      </c>
      <c r="D4604" s="2">
        <v>6.0299999999999999E-2</v>
      </c>
      <c r="E4604" s="2">
        <v>-2.4722999999999998E-4</v>
      </c>
      <c r="F4604" s="2" t="s">
        <v>174</v>
      </c>
    </row>
    <row r="4605" spans="1:6" ht="22.5" hidden="1" customHeight="1" x14ac:dyDescent="0.25">
      <c r="A4605" s="3">
        <v>44228</v>
      </c>
      <c r="B4605" s="2" t="s">
        <v>205</v>
      </c>
      <c r="C4605" s="2">
        <v>0.41</v>
      </c>
      <c r="D4605" s="2">
        <v>9.5699999999999993E-2</v>
      </c>
      <c r="E4605" s="2">
        <v>3.9237000000000001E-4</v>
      </c>
      <c r="F4605" s="2" t="s">
        <v>174</v>
      </c>
    </row>
    <row r="4606" spans="1:6" ht="22.5" hidden="1" customHeight="1" x14ac:dyDescent="0.25">
      <c r="A4606" s="3">
        <v>44228</v>
      </c>
      <c r="B4606" s="2" t="s">
        <v>206</v>
      </c>
      <c r="C4606" s="2">
        <v>2.0699999999999998</v>
      </c>
      <c r="D4606" s="2">
        <v>0.159</v>
      </c>
      <c r="E4606" s="2">
        <v>3.2913E-3</v>
      </c>
      <c r="F4606" s="2" t="s">
        <v>174</v>
      </c>
    </row>
    <row r="4607" spans="1:6" ht="22.5" hidden="1" customHeight="1" x14ac:dyDescent="0.25">
      <c r="A4607" s="3">
        <v>44228</v>
      </c>
      <c r="B4607" s="2" t="s">
        <v>207</v>
      </c>
      <c r="C4607" s="2">
        <v>0.79</v>
      </c>
      <c r="D4607" s="2">
        <v>4.7800000000000002E-2</v>
      </c>
      <c r="E4607" s="2">
        <v>3.7762000000000001E-4</v>
      </c>
      <c r="F4607" s="2" t="s">
        <v>174</v>
      </c>
    </row>
    <row r="4608" spans="1:6" ht="22.5" hidden="1" customHeight="1" x14ac:dyDescent="0.25">
      <c r="A4608" s="3">
        <v>44228</v>
      </c>
      <c r="B4608" s="2" t="s">
        <v>208</v>
      </c>
      <c r="C4608" s="2">
        <v>-0.05</v>
      </c>
      <c r="D4608" s="2">
        <v>8.8999999999999999E-3</v>
      </c>
      <c r="E4608" s="2">
        <v>-4.4499999999999997E-6</v>
      </c>
      <c r="F4608" s="2" t="s">
        <v>174</v>
      </c>
    </row>
    <row r="4609" spans="1:6" ht="22.5" hidden="1" customHeight="1" x14ac:dyDescent="0.25">
      <c r="A4609" s="3">
        <v>44228</v>
      </c>
      <c r="B4609" s="2" t="s">
        <v>209</v>
      </c>
      <c r="C4609" s="2">
        <v>-0.46</v>
      </c>
      <c r="D4609" s="2">
        <v>6.1999999999999998E-3</v>
      </c>
      <c r="E4609" s="2">
        <v>-2.8520000000000001E-5</v>
      </c>
      <c r="F4609" s="2" t="s">
        <v>174</v>
      </c>
    </row>
    <row r="4610" spans="1:6" ht="22.5" hidden="1" customHeight="1" x14ac:dyDescent="0.25">
      <c r="A4610" s="3">
        <v>44228</v>
      </c>
      <c r="B4610" s="2" t="s">
        <v>210</v>
      </c>
      <c r="C4610" s="2">
        <v>0.44</v>
      </c>
      <c r="D4610" s="2">
        <v>1.44E-2</v>
      </c>
      <c r="E4610" s="2">
        <v>6.3360000000000003E-5</v>
      </c>
      <c r="F4610" s="2" t="s">
        <v>170</v>
      </c>
    </row>
    <row r="4611" spans="1:6" ht="22.5" hidden="1" customHeight="1" x14ac:dyDescent="0.25">
      <c r="A4611" s="3">
        <v>44228</v>
      </c>
      <c r="B4611" s="2" t="s">
        <v>211</v>
      </c>
      <c r="C4611" s="2">
        <v>1.69</v>
      </c>
      <c r="D4611" s="2">
        <v>0.19450000000000001</v>
      </c>
      <c r="E4611" s="2">
        <v>3.2870500000000001E-3</v>
      </c>
      <c r="F4611" s="2" t="s">
        <v>174</v>
      </c>
    </row>
    <row r="4612" spans="1:6" ht="22.5" hidden="1" customHeight="1" x14ac:dyDescent="0.25">
      <c r="A4612" s="3">
        <v>44228</v>
      </c>
      <c r="B4612" s="2" t="s">
        <v>212</v>
      </c>
      <c r="C4612" s="2">
        <v>1.82</v>
      </c>
      <c r="D4612" s="2">
        <v>4.4999999999999997E-3</v>
      </c>
      <c r="E4612" s="2">
        <v>8.1899999999999999E-5</v>
      </c>
      <c r="F4612" s="2" t="s">
        <v>174</v>
      </c>
    </row>
    <row r="4613" spans="1:6" ht="22.5" hidden="1" customHeight="1" x14ac:dyDescent="0.25">
      <c r="A4613" s="3">
        <v>44228</v>
      </c>
      <c r="B4613" s="2" t="s">
        <v>213</v>
      </c>
      <c r="C4613" s="2">
        <v>2.5299999999999998</v>
      </c>
      <c r="D4613" s="2">
        <v>0.33860000000000001</v>
      </c>
      <c r="E4613" s="2">
        <v>8.5665800000000007E-3</v>
      </c>
      <c r="F4613" s="2" t="s">
        <v>170</v>
      </c>
    </row>
    <row r="4614" spans="1:6" ht="22.5" hidden="1" customHeight="1" x14ac:dyDescent="0.25">
      <c r="A4614" s="3">
        <v>44228</v>
      </c>
      <c r="B4614" s="2" t="s">
        <v>214</v>
      </c>
      <c r="C4614" s="2">
        <v>0.23</v>
      </c>
      <c r="D4614" s="2">
        <v>0.1108</v>
      </c>
      <c r="E4614" s="2">
        <v>2.5483999999999999E-4</v>
      </c>
      <c r="F4614" s="2" t="s">
        <v>170</v>
      </c>
    </row>
    <row r="4615" spans="1:6" ht="22.5" hidden="1" customHeight="1" x14ac:dyDescent="0.25">
      <c r="A4615" s="3">
        <v>44228</v>
      </c>
      <c r="B4615" s="2" t="s">
        <v>215</v>
      </c>
      <c r="C4615" s="2">
        <v>1.6</v>
      </c>
      <c r="D4615" s="2">
        <v>0.2495</v>
      </c>
      <c r="E4615" s="2">
        <v>3.9919999999999999E-3</v>
      </c>
      <c r="F4615" s="2" t="s">
        <v>170</v>
      </c>
    </row>
    <row r="4616" spans="1:6" ht="22.5" hidden="1" customHeight="1" x14ac:dyDescent="0.25">
      <c r="A4616" s="3">
        <v>44228</v>
      </c>
      <c r="B4616" s="2" t="s">
        <v>216</v>
      </c>
      <c r="C4616" s="2">
        <v>-1.27</v>
      </c>
      <c r="D4616" s="2">
        <v>1.4999999999999999E-2</v>
      </c>
      <c r="E4616" s="2">
        <v>-1.905E-4</v>
      </c>
      <c r="F4616" s="2" t="s">
        <v>170</v>
      </c>
    </row>
    <row r="4617" spans="1:6" ht="22.5" hidden="1" customHeight="1" x14ac:dyDescent="0.25">
      <c r="A4617" s="3">
        <v>44228</v>
      </c>
      <c r="B4617" s="2" t="s">
        <v>217</v>
      </c>
      <c r="C4617" s="2">
        <v>-0.86</v>
      </c>
      <c r="D4617" s="2">
        <v>0.17119999999999999</v>
      </c>
      <c r="E4617" s="2">
        <v>-1.4723200000000001E-3</v>
      </c>
      <c r="F4617" s="2" t="s">
        <v>170</v>
      </c>
    </row>
    <row r="4618" spans="1:6" ht="22.5" hidden="1" customHeight="1" x14ac:dyDescent="0.25">
      <c r="A4618" s="3">
        <v>44228</v>
      </c>
      <c r="B4618" s="2" t="s">
        <v>218</v>
      </c>
      <c r="C4618" s="2">
        <v>0.98</v>
      </c>
      <c r="D4618" s="2">
        <v>7.3000000000000001E-3</v>
      </c>
      <c r="E4618" s="2">
        <v>7.1539999999999996E-5</v>
      </c>
      <c r="F4618" s="2" t="s">
        <v>170</v>
      </c>
    </row>
    <row r="4619" spans="1:6" ht="22.5" hidden="1" customHeight="1" x14ac:dyDescent="0.25">
      <c r="A4619" s="3">
        <v>44228</v>
      </c>
      <c r="B4619" s="2" t="s">
        <v>219</v>
      </c>
      <c r="C4619" s="2">
        <v>2.02</v>
      </c>
      <c r="D4619" s="2">
        <v>0.4914</v>
      </c>
      <c r="E4619" s="2">
        <v>9.9262800000000009E-3</v>
      </c>
      <c r="F4619" s="2" t="s">
        <v>170</v>
      </c>
    </row>
    <row r="4620" spans="1:6" ht="22.5" hidden="1" customHeight="1" x14ac:dyDescent="0.25">
      <c r="A4620" s="3">
        <v>44228</v>
      </c>
      <c r="B4620" s="2" t="s">
        <v>220</v>
      </c>
      <c r="C4620" s="2">
        <v>-0.48</v>
      </c>
      <c r="D4620" s="2">
        <v>1.1299999999999999E-2</v>
      </c>
      <c r="E4620" s="2">
        <v>-5.4240000000000002E-5</v>
      </c>
      <c r="F4620" s="2" t="s">
        <v>170</v>
      </c>
    </row>
    <row r="4621" spans="1:6" ht="22.5" hidden="1" customHeight="1" x14ac:dyDescent="0.25">
      <c r="A4621" s="3">
        <v>44228</v>
      </c>
      <c r="B4621" s="2" t="s">
        <v>221</v>
      </c>
      <c r="C4621" s="2">
        <v>1.97</v>
      </c>
      <c r="D4621" s="2">
        <v>3.5000000000000001E-3</v>
      </c>
      <c r="E4621" s="2">
        <v>6.8949999999999995E-5</v>
      </c>
      <c r="F4621" s="2" t="s">
        <v>170</v>
      </c>
    </row>
    <row r="4622" spans="1:6" ht="22.5" hidden="1" customHeight="1" x14ac:dyDescent="0.25">
      <c r="A4622" s="3">
        <v>44228</v>
      </c>
      <c r="B4622" s="2" t="s">
        <v>222</v>
      </c>
      <c r="C4622" s="2">
        <v>-0.16</v>
      </c>
      <c r="D4622" s="2">
        <v>0.34889999999999999</v>
      </c>
      <c r="E4622" s="2">
        <v>-5.5823999999999999E-4</v>
      </c>
      <c r="F4622" s="2" t="s">
        <v>170</v>
      </c>
    </row>
    <row r="4623" spans="1:6" ht="22.5" hidden="1" customHeight="1" x14ac:dyDescent="0.25">
      <c r="A4623" s="3">
        <v>44228</v>
      </c>
      <c r="B4623" s="2" t="s">
        <v>223</v>
      </c>
      <c r="C4623" s="2">
        <v>-0.23</v>
      </c>
      <c r="D4623" s="2">
        <v>1.6299999999999999E-2</v>
      </c>
      <c r="E4623" s="2">
        <v>-3.7490000000000002E-5</v>
      </c>
      <c r="F4623" s="2" t="s">
        <v>165</v>
      </c>
    </row>
    <row r="4624" spans="1:6" ht="22.5" hidden="1" customHeight="1" x14ac:dyDescent="0.25">
      <c r="A4624" s="3">
        <v>44228</v>
      </c>
      <c r="B4624" s="2" t="s">
        <v>224</v>
      </c>
      <c r="C4624" s="2">
        <v>-0.55000000000000004</v>
      </c>
      <c r="D4624" s="2">
        <v>2.2000000000000001E-3</v>
      </c>
      <c r="E4624" s="2">
        <v>-1.2099999999999999E-5</v>
      </c>
      <c r="F4624" s="2" t="s">
        <v>165</v>
      </c>
    </row>
    <row r="4625" spans="1:6" ht="22.5" hidden="1" customHeight="1" x14ac:dyDescent="0.25">
      <c r="A4625" s="3">
        <v>44228</v>
      </c>
      <c r="B4625" s="2" t="s">
        <v>225</v>
      </c>
      <c r="C4625" s="2">
        <v>2.13</v>
      </c>
      <c r="D4625" s="2">
        <v>4.5999999999999999E-3</v>
      </c>
      <c r="E4625" s="2">
        <v>9.7979999999999994E-5</v>
      </c>
      <c r="F4625" s="2" t="s">
        <v>165</v>
      </c>
    </row>
    <row r="4626" spans="1:6" ht="22.5" hidden="1" customHeight="1" x14ac:dyDescent="0.25">
      <c r="A4626" s="3">
        <v>44228</v>
      </c>
      <c r="B4626" s="2" t="s">
        <v>226</v>
      </c>
      <c r="C4626" s="2">
        <v>0.35</v>
      </c>
      <c r="D4626" s="2">
        <v>4.65E-2</v>
      </c>
      <c r="E4626" s="2">
        <v>1.6275E-4</v>
      </c>
      <c r="F4626" s="2" t="s">
        <v>165</v>
      </c>
    </row>
    <row r="4627" spans="1:6" ht="22.5" hidden="1" customHeight="1" x14ac:dyDescent="0.25">
      <c r="A4627" s="3">
        <v>44228</v>
      </c>
      <c r="B4627" s="2" t="s">
        <v>227</v>
      </c>
      <c r="C4627" s="2">
        <v>7.0000000000000007E-2</v>
      </c>
      <c r="D4627" s="2">
        <v>6.5699999999999995E-2</v>
      </c>
      <c r="E4627" s="2">
        <v>4.5989999999999998E-5</v>
      </c>
      <c r="F4627" s="2" t="s">
        <v>165</v>
      </c>
    </row>
    <row r="4628" spans="1:6" ht="22.5" hidden="1" customHeight="1" x14ac:dyDescent="0.25">
      <c r="A4628" s="3">
        <v>44228</v>
      </c>
      <c r="B4628" s="2" t="s">
        <v>228</v>
      </c>
      <c r="C4628" s="2">
        <v>0.83</v>
      </c>
      <c r="D4628" s="2">
        <v>0.19209999999999999</v>
      </c>
      <c r="E4628" s="2">
        <v>1.59443E-3</v>
      </c>
      <c r="F4628" s="2" t="s">
        <v>165</v>
      </c>
    </row>
    <row r="4629" spans="1:6" ht="22.5" hidden="1" customHeight="1" x14ac:dyDescent="0.25">
      <c r="A4629" s="3">
        <v>44228</v>
      </c>
      <c r="B4629" s="2" t="s">
        <v>229</v>
      </c>
      <c r="C4629" s="2">
        <v>-0.28000000000000003</v>
      </c>
      <c r="D4629" s="2">
        <v>0.28010000000000002</v>
      </c>
      <c r="E4629" s="2">
        <v>-7.8428000000000005E-4</v>
      </c>
      <c r="F4629" s="2" t="s">
        <v>174</v>
      </c>
    </row>
    <row r="4630" spans="1:6" ht="22.5" hidden="1" customHeight="1" x14ac:dyDescent="0.25">
      <c r="A4630" s="3">
        <v>44228</v>
      </c>
      <c r="B4630" s="2" t="s">
        <v>230</v>
      </c>
      <c r="C4630" s="2">
        <v>-0.9</v>
      </c>
      <c r="D4630" s="2">
        <v>2.06E-2</v>
      </c>
      <c r="E4630" s="2">
        <v>-1.8540000000000001E-4</v>
      </c>
      <c r="F4630" s="2" t="s">
        <v>174</v>
      </c>
    </row>
    <row r="4631" spans="1:6" ht="22.5" hidden="1" customHeight="1" x14ac:dyDescent="0.25">
      <c r="A4631" s="3">
        <v>44228</v>
      </c>
      <c r="B4631" s="2" t="s">
        <v>231</v>
      </c>
      <c r="C4631" s="2">
        <v>-0.38</v>
      </c>
      <c r="D4631" s="2">
        <v>0.17019999999999999</v>
      </c>
      <c r="E4631" s="2">
        <v>-6.4676000000000002E-4</v>
      </c>
      <c r="F4631" s="2" t="s">
        <v>174</v>
      </c>
    </row>
    <row r="4632" spans="1:6" ht="22.5" hidden="1" customHeight="1" x14ac:dyDescent="0.25">
      <c r="A4632" s="3">
        <v>44228</v>
      </c>
      <c r="B4632" s="2" t="s">
        <v>232</v>
      </c>
      <c r="C4632" s="2">
        <v>-1.41</v>
      </c>
      <c r="D4632" s="2">
        <v>5.4999999999999997E-3</v>
      </c>
      <c r="E4632" s="2">
        <v>-7.7550000000000001E-5</v>
      </c>
      <c r="F4632" s="2" t="s">
        <v>174</v>
      </c>
    </row>
    <row r="4633" spans="1:6" ht="22.5" hidden="1" customHeight="1" x14ac:dyDescent="0.25">
      <c r="A4633" s="3">
        <v>44228</v>
      </c>
      <c r="B4633" s="2" t="s">
        <v>233</v>
      </c>
      <c r="C4633" s="2">
        <v>0.65</v>
      </c>
      <c r="D4633" s="2">
        <v>0.55730000000000002</v>
      </c>
      <c r="E4633" s="2">
        <v>3.6224500000000001E-3</v>
      </c>
      <c r="F4633" s="2" t="s">
        <v>174</v>
      </c>
    </row>
    <row r="4634" spans="1:6" ht="22.5" hidden="1" customHeight="1" x14ac:dyDescent="0.25">
      <c r="A4634" s="3">
        <v>44228</v>
      </c>
      <c r="B4634" s="2" t="s">
        <v>234</v>
      </c>
      <c r="C4634" s="2">
        <v>-0.72</v>
      </c>
      <c r="D4634" s="2">
        <v>0.30609999999999998</v>
      </c>
      <c r="E4634" s="2">
        <v>-2.2039199999999998E-3</v>
      </c>
      <c r="F4634" s="2" t="s">
        <v>174</v>
      </c>
    </row>
    <row r="4635" spans="1:6" ht="22.5" hidden="1" customHeight="1" x14ac:dyDescent="0.25">
      <c r="A4635" s="3">
        <v>44228</v>
      </c>
      <c r="B4635" s="2" t="s">
        <v>235</v>
      </c>
      <c r="C4635" s="2">
        <v>1.76</v>
      </c>
      <c r="D4635" s="2">
        <v>2.29E-2</v>
      </c>
      <c r="E4635" s="2">
        <v>4.0304000000000002E-4</v>
      </c>
      <c r="F4635" s="2" t="s">
        <v>174</v>
      </c>
    </row>
    <row r="4636" spans="1:6" ht="22.5" hidden="1" customHeight="1" x14ac:dyDescent="0.25">
      <c r="A4636" s="3">
        <v>44228</v>
      </c>
      <c r="B4636" s="2" t="s">
        <v>236</v>
      </c>
      <c r="C4636" s="2">
        <v>-1.38</v>
      </c>
      <c r="D4636" s="2">
        <v>7.4000000000000003E-3</v>
      </c>
      <c r="E4636" s="2">
        <v>-1.0212E-4</v>
      </c>
      <c r="F4636" s="2" t="s">
        <v>174</v>
      </c>
    </row>
    <row r="4637" spans="1:6" ht="22.5" hidden="1" customHeight="1" x14ac:dyDescent="0.25">
      <c r="A4637" s="3">
        <v>44228</v>
      </c>
      <c r="B4637" s="2" t="s">
        <v>237</v>
      </c>
      <c r="C4637" s="2">
        <v>-1.58</v>
      </c>
      <c r="D4637" s="2">
        <v>0.28460000000000002</v>
      </c>
      <c r="E4637" s="2">
        <v>-4.4966800000000003E-3</v>
      </c>
      <c r="F4637" s="2" t="s">
        <v>174</v>
      </c>
    </row>
    <row r="4638" spans="1:6" ht="22.5" hidden="1" customHeight="1" x14ac:dyDescent="0.25">
      <c r="A4638" s="3">
        <v>44228</v>
      </c>
      <c r="B4638" s="2" t="s">
        <v>238</v>
      </c>
      <c r="C4638" s="2">
        <v>-0.17</v>
      </c>
      <c r="D4638" s="2">
        <v>0.50149999999999995</v>
      </c>
      <c r="E4638" s="2">
        <v>-8.5254999999999999E-4</v>
      </c>
      <c r="F4638" s="2" t="s">
        <v>174</v>
      </c>
    </row>
    <row r="4639" spans="1:6" ht="22.5" hidden="1" customHeight="1" x14ac:dyDescent="0.25">
      <c r="A4639" s="3">
        <v>44228</v>
      </c>
      <c r="B4639" s="2" t="s">
        <v>239</v>
      </c>
      <c r="C4639" s="2">
        <v>-0.56000000000000005</v>
      </c>
      <c r="D4639" s="2">
        <v>0.11</v>
      </c>
      <c r="E4639" s="2">
        <v>-6.1600000000000001E-4</v>
      </c>
      <c r="F4639" s="2" t="s">
        <v>174</v>
      </c>
    </row>
    <row r="4640" spans="1:6" ht="22.5" hidden="1" customHeight="1" x14ac:dyDescent="0.25">
      <c r="A4640" s="3">
        <v>44228</v>
      </c>
      <c r="B4640" s="2" t="s">
        <v>240</v>
      </c>
      <c r="C4640" s="2">
        <v>-0.34</v>
      </c>
      <c r="D4640" s="2">
        <v>6.3500000000000001E-2</v>
      </c>
      <c r="E4640" s="2">
        <v>-2.1589999999999999E-4</v>
      </c>
      <c r="F4640" s="2" t="s">
        <v>174</v>
      </c>
    </row>
    <row r="4641" spans="1:6" ht="22.5" hidden="1" customHeight="1" x14ac:dyDescent="0.25">
      <c r="A4641" s="3">
        <v>44228</v>
      </c>
      <c r="B4641" s="2" t="s">
        <v>241</v>
      </c>
      <c r="C4641" s="2">
        <v>1.21</v>
      </c>
      <c r="D4641" s="2">
        <v>8.5000000000000006E-2</v>
      </c>
      <c r="E4641" s="2">
        <v>1.0284999999999999E-3</v>
      </c>
      <c r="F4641" s="2" t="s">
        <v>174</v>
      </c>
    </row>
    <row r="4642" spans="1:6" ht="22.5" hidden="1" customHeight="1" x14ac:dyDescent="0.25">
      <c r="A4642" s="3">
        <v>44228</v>
      </c>
      <c r="B4642" s="2" t="s">
        <v>242</v>
      </c>
      <c r="C4642" s="2">
        <v>-0.95</v>
      </c>
      <c r="D4642" s="2">
        <v>7.3999999999999996E-2</v>
      </c>
      <c r="E4642" s="2">
        <v>-7.0299999999999996E-4</v>
      </c>
      <c r="F4642" s="2" t="s">
        <v>174</v>
      </c>
    </row>
    <row r="4643" spans="1:6" ht="22.5" hidden="1" customHeight="1" x14ac:dyDescent="0.25">
      <c r="A4643" s="3">
        <v>44228</v>
      </c>
      <c r="B4643" s="2" t="s">
        <v>243</v>
      </c>
      <c r="C4643" s="2">
        <v>0.76</v>
      </c>
      <c r="D4643" s="2">
        <v>7.4999999999999997E-3</v>
      </c>
      <c r="E4643" s="2">
        <v>5.7000000000000003E-5</v>
      </c>
      <c r="F4643" s="2" t="s">
        <v>174</v>
      </c>
    </row>
    <row r="4644" spans="1:6" ht="22.5" hidden="1" customHeight="1" x14ac:dyDescent="0.25">
      <c r="A4644" s="3">
        <v>44228</v>
      </c>
      <c r="B4644" s="2" t="s">
        <v>244</v>
      </c>
      <c r="C4644" s="2">
        <v>-1.74</v>
      </c>
      <c r="D4644" s="2">
        <v>5.2200000000000003E-2</v>
      </c>
      <c r="E4644" s="2">
        <v>-9.0828000000000002E-4</v>
      </c>
      <c r="F4644" s="2" t="s">
        <v>174</v>
      </c>
    </row>
    <row r="4645" spans="1:6" ht="22.5" hidden="1" customHeight="1" x14ac:dyDescent="0.25">
      <c r="A4645" s="3">
        <v>44228</v>
      </c>
      <c r="B4645" s="2" t="s">
        <v>245</v>
      </c>
      <c r="C4645" s="2">
        <v>-0.15</v>
      </c>
      <c r="D4645" s="2">
        <v>5.1499999999999997E-2</v>
      </c>
      <c r="E4645" s="2">
        <v>-7.7249999999999994E-5</v>
      </c>
      <c r="F4645" s="2" t="s">
        <v>174</v>
      </c>
    </row>
    <row r="4646" spans="1:6" ht="22.5" hidden="1" customHeight="1" x14ac:dyDescent="0.25">
      <c r="A4646" s="3">
        <v>44228</v>
      </c>
      <c r="B4646" s="2" t="s">
        <v>246</v>
      </c>
      <c r="C4646" s="2">
        <v>0.73</v>
      </c>
      <c r="D4646" s="2">
        <v>0.19020000000000001</v>
      </c>
      <c r="E4646" s="2">
        <v>1.38846E-3</v>
      </c>
      <c r="F4646" s="2" t="s">
        <v>174</v>
      </c>
    </row>
    <row r="4647" spans="1:6" ht="22.5" hidden="1" customHeight="1" x14ac:dyDescent="0.25">
      <c r="A4647" s="3">
        <v>44228</v>
      </c>
      <c r="B4647" s="2" t="s">
        <v>247</v>
      </c>
      <c r="C4647" s="2">
        <v>0.14000000000000001</v>
      </c>
      <c r="D4647" s="2">
        <v>0.13339999999999999</v>
      </c>
      <c r="E4647" s="2">
        <v>1.8676000000000001E-4</v>
      </c>
      <c r="F4647" s="2" t="s">
        <v>174</v>
      </c>
    </row>
    <row r="4648" spans="1:6" ht="22.5" hidden="1" customHeight="1" x14ac:dyDescent="0.25">
      <c r="A4648" s="3">
        <v>44228</v>
      </c>
      <c r="B4648" s="2" t="s">
        <v>248</v>
      </c>
      <c r="C4648" s="2">
        <v>0.36</v>
      </c>
      <c r="D4648" s="2">
        <v>0.14610000000000001</v>
      </c>
      <c r="E4648" s="2">
        <v>5.2596000000000001E-4</v>
      </c>
      <c r="F4648" s="2" t="s">
        <v>174</v>
      </c>
    </row>
    <row r="4649" spans="1:6" ht="22.5" hidden="1" customHeight="1" x14ac:dyDescent="0.25">
      <c r="A4649" s="3">
        <v>44228</v>
      </c>
      <c r="B4649" s="2" t="s">
        <v>249</v>
      </c>
      <c r="C4649" s="2">
        <v>-0.3</v>
      </c>
      <c r="D4649" s="2">
        <v>0.26219999999999999</v>
      </c>
      <c r="E4649" s="2">
        <v>-7.8660000000000004E-4</v>
      </c>
      <c r="F4649" s="2" t="s">
        <v>174</v>
      </c>
    </row>
    <row r="4650" spans="1:6" ht="22.5" hidden="1" customHeight="1" x14ac:dyDescent="0.25">
      <c r="A4650" s="3">
        <v>44228</v>
      </c>
      <c r="B4650" s="2" t="s">
        <v>250</v>
      </c>
      <c r="C4650" s="2">
        <v>-0.46</v>
      </c>
      <c r="D4650" s="2">
        <v>2.5700000000000001E-2</v>
      </c>
      <c r="E4650" s="2">
        <v>-1.1822E-4</v>
      </c>
      <c r="F4650" s="2" t="s">
        <v>174</v>
      </c>
    </row>
    <row r="4651" spans="1:6" ht="22.5" hidden="1" customHeight="1" x14ac:dyDescent="0.25">
      <c r="A4651" s="3">
        <v>44228</v>
      </c>
      <c r="B4651" s="2" t="s">
        <v>251</v>
      </c>
      <c r="C4651" s="2">
        <v>0.33</v>
      </c>
      <c r="D4651" s="2">
        <v>6.1100000000000002E-2</v>
      </c>
      <c r="E4651" s="2">
        <v>2.0163000000000001E-4</v>
      </c>
      <c r="F4651" s="2" t="s">
        <v>174</v>
      </c>
    </row>
    <row r="4652" spans="1:6" ht="22.5" hidden="1" customHeight="1" x14ac:dyDescent="0.25">
      <c r="A4652" s="3">
        <v>44228</v>
      </c>
      <c r="B4652" s="2" t="s">
        <v>252</v>
      </c>
      <c r="C4652" s="2">
        <v>1.44</v>
      </c>
      <c r="D4652" s="2">
        <v>8.2000000000000007E-3</v>
      </c>
      <c r="E4652" s="2">
        <v>1.1807999999999999E-4</v>
      </c>
      <c r="F4652" s="2" t="s">
        <v>174</v>
      </c>
    </row>
    <row r="4653" spans="1:6" ht="22.5" hidden="1" customHeight="1" x14ac:dyDescent="0.25">
      <c r="A4653" s="3">
        <v>44228</v>
      </c>
      <c r="B4653" s="2" t="s">
        <v>253</v>
      </c>
      <c r="C4653" s="2">
        <v>0.37</v>
      </c>
      <c r="D4653" s="2">
        <v>0.43269999999999997</v>
      </c>
      <c r="E4653" s="2">
        <v>1.6009900000000001E-3</v>
      </c>
      <c r="F4653" s="2" t="s">
        <v>174</v>
      </c>
    </row>
    <row r="4654" spans="1:6" ht="22.5" hidden="1" customHeight="1" x14ac:dyDescent="0.25">
      <c r="A4654" s="3">
        <v>44228</v>
      </c>
      <c r="B4654" s="2" t="s">
        <v>254</v>
      </c>
      <c r="C4654" s="2">
        <v>-0.7</v>
      </c>
      <c r="D4654" s="2">
        <v>0.1847</v>
      </c>
      <c r="E4654" s="2">
        <v>-1.2929E-3</v>
      </c>
      <c r="F4654" s="2" t="s">
        <v>174</v>
      </c>
    </row>
    <row r="4655" spans="1:6" ht="22.5" hidden="1" customHeight="1" x14ac:dyDescent="0.25">
      <c r="A4655" s="3">
        <v>44228</v>
      </c>
      <c r="B4655" s="2" t="s">
        <v>255</v>
      </c>
      <c r="C4655" s="2">
        <v>2.25</v>
      </c>
      <c r="D4655" s="2">
        <v>1.6400000000000001E-2</v>
      </c>
      <c r="E4655" s="2">
        <v>3.6900000000000002E-4</v>
      </c>
      <c r="F4655" s="2" t="s">
        <v>170</v>
      </c>
    </row>
    <row r="4656" spans="1:6" ht="22.5" hidden="1" customHeight="1" x14ac:dyDescent="0.25">
      <c r="A4656" s="3">
        <v>44228</v>
      </c>
      <c r="B4656" s="2" t="s">
        <v>256</v>
      </c>
      <c r="C4656" s="2">
        <v>3.27</v>
      </c>
      <c r="D4656" s="2">
        <v>0.14410000000000001</v>
      </c>
      <c r="E4656" s="2">
        <v>4.7120699999999996E-3</v>
      </c>
      <c r="F4656" s="2" t="s">
        <v>170</v>
      </c>
    </row>
    <row r="4657" spans="1:6" ht="22.5" hidden="1" customHeight="1" x14ac:dyDescent="0.25">
      <c r="A4657" s="3">
        <v>44228</v>
      </c>
      <c r="B4657" s="2" t="s">
        <v>257</v>
      </c>
      <c r="C4657" s="2">
        <v>-0.6</v>
      </c>
      <c r="D4657" s="2">
        <v>5.0799999999999998E-2</v>
      </c>
      <c r="E4657" s="2">
        <v>-3.0479999999999998E-4</v>
      </c>
      <c r="F4657" s="2" t="s">
        <v>170</v>
      </c>
    </row>
    <row r="4658" spans="1:6" ht="22.5" hidden="1" customHeight="1" x14ac:dyDescent="0.25">
      <c r="A4658" s="3">
        <v>44228</v>
      </c>
      <c r="B4658" s="2" t="s">
        <v>258</v>
      </c>
      <c r="C4658" s="2">
        <v>0.43</v>
      </c>
      <c r="D4658" s="2">
        <v>4.6699999999999998E-2</v>
      </c>
      <c r="E4658" s="2">
        <v>2.0081E-4</v>
      </c>
      <c r="F4658" s="2" t="s">
        <v>174</v>
      </c>
    </row>
    <row r="4659" spans="1:6" ht="22.5" hidden="1" customHeight="1" x14ac:dyDescent="0.25">
      <c r="A4659" s="3">
        <v>44228</v>
      </c>
      <c r="B4659" s="2" t="s">
        <v>259</v>
      </c>
      <c r="C4659" s="2">
        <v>0.36</v>
      </c>
      <c r="D4659" s="2">
        <v>0.01</v>
      </c>
      <c r="E4659" s="2">
        <v>3.6000000000000001E-5</v>
      </c>
      <c r="F4659" s="2" t="s">
        <v>174</v>
      </c>
    </row>
    <row r="4660" spans="1:6" ht="22.5" hidden="1" customHeight="1" x14ac:dyDescent="0.25">
      <c r="A4660" s="3">
        <v>44317</v>
      </c>
      <c r="B4660" s="2" t="s">
        <v>279</v>
      </c>
      <c r="C4660" s="2">
        <v>0.16</v>
      </c>
      <c r="D4660" s="2">
        <v>9.4E-2</v>
      </c>
      <c r="E4660" s="2">
        <v>1.504E-4</v>
      </c>
      <c r="F4660" s="2" t="s">
        <v>168</v>
      </c>
    </row>
    <row r="4661" spans="1:6" ht="22.5" hidden="1" customHeight="1" x14ac:dyDescent="0.25">
      <c r="A4661" s="3">
        <v>44501</v>
      </c>
      <c r="B4661" s="2" t="s">
        <v>279</v>
      </c>
      <c r="C4661" s="2">
        <v>0.16</v>
      </c>
      <c r="D4661" s="2">
        <v>9.4E-2</v>
      </c>
      <c r="E4661" s="2">
        <v>1.504E-4</v>
      </c>
      <c r="F4661" s="2" t="s">
        <v>168</v>
      </c>
    </row>
    <row r="4662" spans="1:6" ht="22.5" hidden="1" customHeight="1" x14ac:dyDescent="0.25">
      <c r="A4662" s="3">
        <v>44470</v>
      </c>
      <c r="B4662" s="2" t="s">
        <v>296</v>
      </c>
      <c r="C4662" s="2">
        <v>0.08</v>
      </c>
      <c r="D4662" s="2">
        <v>0.18690000000000001</v>
      </c>
      <c r="E4662" s="2">
        <v>1.4951999999999999E-4</v>
      </c>
      <c r="F4662" s="2" t="s">
        <v>168</v>
      </c>
    </row>
    <row r="4663" spans="1:6" ht="22.5" hidden="1" customHeight="1" x14ac:dyDescent="0.25">
      <c r="A4663" s="3">
        <v>44409</v>
      </c>
      <c r="B4663" s="2" t="s">
        <v>294</v>
      </c>
      <c r="C4663" s="2">
        <v>0.11</v>
      </c>
      <c r="D4663" s="2">
        <v>0.1333</v>
      </c>
      <c r="E4663" s="2">
        <v>1.4663E-4</v>
      </c>
      <c r="F4663" s="2" t="s">
        <v>168</v>
      </c>
    </row>
    <row r="4664" spans="1:6" ht="22.5" hidden="1" customHeight="1" x14ac:dyDescent="0.25">
      <c r="A4664" s="3">
        <v>43983</v>
      </c>
      <c r="B4664" s="2" t="s">
        <v>263</v>
      </c>
      <c r="C4664" s="2">
        <v>0.03</v>
      </c>
      <c r="D4664" s="2">
        <v>0.44240000000000002</v>
      </c>
      <c r="E4664" s="2">
        <v>1.3271999999999999E-4</v>
      </c>
      <c r="F4664" s="2" t="s">
        <v>168</v>
      </c>
    </row>
    <row r="4665" spans="1:6" ht="22.5" hidden="1" customHeight="1" x14ac:dyDescent="0.25">
      <c r="A4665" s="3">
        <v>44075</v>
      </c>
      <c r="B4665" s="2" t="s">
        <v>366</v>
      </c>
      <c r="C4665" s="2">
        <v>0.05</v>
      </c>
      <c r="D4665" s="2">
        <v>0.26479999999999998</v>
      </c>
      <c r="E4665" s="2">
        <v>1.3239999999999999E-4</v>
      </c>
      <c r="F4665" s="2" t="s">
        <v>168</v>
      </c>
    </row>
    <row r="4666" spans="1:6" ht="22.5" hidden="1" customHeight="1" x14ac:dyDescent="0.25">
      <c r="A4666" s="3">
        <v>44440</v>
      </c>
      <c r="B4666" s="2" t="s">
        <v>294</v>
      </c>
      <c r="C4666" s="2">
        <v>0.1</v>
      </c>
      <c r="D4666" s="2">
        <v>0.1323</v>
      </c>
      <c r="E4666" s="2">
        <v>1.3229999999999999E-4</v>
      </c>
      <c r="F4666" s="2" t="s">
        <v>168</v>
      </c>
    </row>
    <row r="4667" spans="1:6" ht="22.5" hidden="1" customHeight="1" x14ac:dyDescent="0.25">
      <c r="A4667" s="3">
        <v>44228</v>
      </c>
      <c r="B4667" s="2" t="s">
        <v>267</v>
      </c>
      <c r="C4667" s="2">
        <v>-0.05</v>
      </c>
      <c r="D4667" s="2">
        <v>0.1313</v>
      </c>
      <c r="E4667" s="2">
        <v>-6.5649999999999997E-5</v>
      </c>
      <c r="F4667" s="2" t="s">
        <v>165</v>
      </c>
    </row>
    <row r="4668" spans="1:6" ht="22.5" hidden="1" customHeight="1" x14ac:dyDescent="0.25">
      <c r="A4668" s="3">
        <v>44228</v>
      </c>
      <c r="B4668" s="2" t="s">
        <v>268</v>
      </c>
      <c r="C4668" s="2">
        <v>-9.16</v>
      </c>
      <c r="D4668" s="2">
        <v>0.2014</v>
      </c>
      <c r="E4668" s="2">
        <v>-1.8448240000000001E-2</v>
      </c>
      <c r="F4668" s="2" t="s">
        <v>165</v>
      </c>
    </row>
    <row r="4669" spans="1:6" ht="22.5" hidden="1" customHeight="1" x14ac:dyDescent="0.25">
      <c r="A4669" s="3">
        <v>44228</v>
      </c>
      <c r="B4669" s="2" t="s">
        <v>269</v>
      </c>
      <c r="C4669" s="2">
        <v>0</v>
      </c>
      <c r="D4669" s="2">
        <v>6.7599999999999993E-2</v>
      </c>
      <c r="E4669" s="2">
        <v>0</v>
      </c>
      <c r="F4669" s="2" t="s">
        <v>165</v>
      </c>
    </row>
    <row r="4670" spans="1:6" ht="22.5" hidden="1" customHeight="1" x14ac:dyDescent="0.25">
      <c r="A4670" s="3">
        <v>44228</v>
      </c>
      <c r="B4670" s="2" t="s">
        <v>270</v>
      </c>
      <c r="C4670" s="2">
        <v>1.1200000000000001</v>
      </c>
      <c r="D4670" s="2">
        <v>2.9399000000000002</v>
      </c>
      <c r="E4670" s="2">
        <v>3.2926879999999999E-2</v>
      </c>
      <c r="F4670" s="2" t="s">
        <v>170</v>
      </c>
    </row>
    <row r="4671" spans="1:6" ht="22.5" hidden="1" customHeight="1" x14ac:dyDescent="0.25">
      <c r="A4671" s="3">
        <v>44378</v>
      </c>
      <c r="B4671" s="2" t="s">
        <v>366</v>
      </c>
      <c r="C4671" s="2">
        <v>0.05</v>
      </c>
      <c r="D4671" s="2">
        <v>0.25509999999999999</v>
      </c>
      <c r="E4671" s="2">
        <v>1.2755000000000001E-4</v>
      </c>
      <c r="F4671" s="2" t="s">
        <v>168</v>
      </c>
    </row>
    <row r="4672" spans="1:6" ht="22.5" hidden="1" customHeight="1" x14ac:dyDescent="0.25">
      <c r="A4672" s="3">
        <v>44228</v>
      </c>
      <c r="B4672" s="2" t="s">
        <v>272</v>
      </c>
      <c r="C4672" s="2">
        <v>-1.76</v>
      </c>
      <c r="D4672" s="2">
        <v>0.77139999999999997</v>
      </c>
      <c r="E4672" s="2">
        <v>-1.3576639999999999E-2</v>
      </c>
      <c r="F4672" s="2" t="s">
        <v>165</v>
      </c>
    </row>
    <row r="4673" spans="1:6" ht="22.5" hidden="1" customHeight="1" x14ac:dyDescent="0.25">
      <c r="A4673" s="3">
        <v>44317</v>
      </c>
      <c r="B4673" s="2" t="s">
        <v>263</v>
      </c>
      <c r="C4673" s="2">
        <v>0.03</v>
      </c>
      <c r="D4673" s="2">
        <v>0.40860000000000002</v>
      </c>
      <c r="E4673" s="2">
        <v>1.2258000000000001E-4</v>
      </c>
      <c r="F4673" s="2" t="s">
        <v>168</v>
      </c>
    </row>
    <row r="4674" spans="1:6" ht="22.5" hidden="1" customHeight="1" x14ac:dyDescent="0.25">
      <c r="A4674" s="3">
        <v>44228</v>
      </c>
      <c r="B4674" s="2" t="s">
        <v>274</v>
      </c>
      <c r="C4674" s="2">
        <v>0.74</v>
      </c>
      <c r="D4674" s="2">
        <v>0.12959999999999999</v>
      </c>
      <c r="E4674" s="2">
        <v>9.5903999999999998E-4</v>
      </c>
      <c r="F4674" s="2" t="s">
        <v>170</v>
      </c>
    </row>
    <row r="4675" spans="1:6" ht="22.5" hidden="1" customHeight="1" x14ac:dyDescent="0.25">
      <c r="A4675" s="3">
        <v>44228</v>
      </c>
      <c r="B4675" s="2" t="s">
        <v>275</v>
      </c>
      <c r="C4675" s="2">
        <v>1.46</v>
      </c>
      <c r="D4675" s="2">
        <v>0.17230000000000001</v>
      </c>
      <c r="E4675" s="2">
        <v>2.5155799999999999E-3</v>
      </c>
      <c r="F4675" s="2" t="s">
        <v>170</v>
      </c>
    </row>
    <row r="4676" spans="1:6" ht="22.5" hidden="1" customHeight="1" x14ac:dyDescent="0.25">
      <c r="A4676" s="3">
        <v>44228</v>
      </c>
      <c r="B4676" s="2" t="s">
        <v>276</v>
      </c>
      <c r="C4676" s="2">
        <v>1.81</v>
      </c>
      <c r="D4676" s="2">
        <v>0.22389999999999999</v>
      </c>
      <c r="E4676" s="2">
        <v>4.05259E-3</v>
      </c>
      <c r="F4676" s="2" t="s">
        <v>170</v>
      </c>
    </row>
    <row r="4677" spans="1:6" ht="22.5" hidden="1" customHeight="1" x14ac:dyDescent="0.25">
      <c r="A4677" s="3">
        <v>44228</v>
      </c>
      <c r="B4677" s="2" t="s">
        <v>277</v>
      </c>
      <c r="C4677" s="2">
        <v>0.67</v>
      </c>
      <c r="D4677" s="2">
        <v>1.6556999999999999</v>
      </c>
      <c r="E4677" s="2">
        <v>1.1093189999999999E-2</v>
      </c>
      <c r="F4677" s="2" t="s">
        <v>165</v>
      </c>
    </row>
    <row r="4678" spans="1:6" ht="22.5" hidden="1" customHeight="1" x14ac:dyDescent="0.25">
      <c r="A4678" s="3">
        <v>44228</v>
      </c>
      <c r="B4678" s="2" t="s">
        <v>278</v>
      </c>
      <c r="C4678" s="2">
        <v>-0.59</v>
      </c>
      <c r="D4678" s="2">
        <v>6.88E-2</v>
      </c>
      <c r="E4678" s="2">
        <v>-4.0591999999999999E-4</v>
      </c>
      <c r="F4678" s="2" t="s">
        <v>165</v>
      </c>
    </row>
    <row r="4679" spans="1:6" ht="22.5" hidden="1" customHeight="1" x14ac:dyDescent="0.25">
      <c r="A4679" s="3">
        <v>44501</v>
      </c>
      <c r="B4679" s="2" t="s">
        <v>263</v>
      </c>
      <c r="C4679" s="2">
        <v>0.03</v>
      </c>
      <c r="D4679" s="2">
        <v>0.39529999999999998</v>
      </c>
      <c r="E4679" s="2">
        <v>1.1859E-4</v>
      </c>
      <c r="F4679" s="2" t="s">
        <v>168</v>
      </c>
    </row>
    <row r="4680" spans="1:6" ht="22.5" hidden="1" customHeight="1" x14ac:dyDescent="0.25">
      <c r="A4680" s="3">
        <v>44228</v>
      </c>
      <c r="B4680" s="2" t="s">
        <v>280</v>
      </c>
      <c r="C4680" s="2">
        <v>0.68</v>
      </c>
      <c r="D4680" s="2">
        <v>1.8721000000000001</v>
      </c>
      <c r="E4680" s="2">
        <v>1.273028E-2</v>
      </c>
      <c r="F4680" s="2" t="s">
        <v>170</v>
      </c>
    </row>
    <row r="4681" spans="1:6" ht="22.5" hidden="1" customHeight="1" x14ac:dyDescent="0.25">
      <c r="A4681" s="3">
        <v>44228</v>
      </c>
      <c r="B4681" s="2" t="s">
        <v>281</v>
      </c>
      <c r="C4681" s="2">
        <v>1.78</v>
      </c>
      <c r="D4681" s="2">
        <v>1.61E-2</v>
      </c>
      <c r="E4681" s="2">
        <v>2.8657999999999998E-4</v>
      </c>
      <c r="F4681" s="2" t="s">
        <v>165</v>
      </c>
    </row>
    <row r="4682" spans="1:6" ht="22.5" hidden="1" customHeight="1" x14ac:dyDescent="0.25">
      <c r="A4682" s="3">
        <v>44228</v>
      </c>
      <c r="B4682" s="2" t="s">
        <v>282</v>
      </c>
      <c r="C4682" s="2">
        <v>-0.69</v>
      </c>
      <c r="D4682" s="2">
        <v>2.53E-2</v>
      </c>
      <c r="E4682" s="2">
        <v>-1.7457E-4</v>
      </c>
      <c r="F4682" s="2" t="s">
        <v>165</v>
      </c>
    </row>
    <row r="4683" spans="1:6" ht="22.5" hidden="1" customHeight="1" x14ac:dyDescent="0.25">
      <c r="A4683" s="3">
        <v>44228</v>
      </c>
      <c r="B4683" s="2" t="s">
        <v>283</v>
      </c>
      <c r="C4683" s="2">
        <v>1.41</v>
      </c>
      <c r="D4683" s="2">
        <v>0.56399999999999995</v>
      </c>
      <c r="E4683" s="2">
        <v>7.9524000000000001E-3</v>
      </c>
      <c r="F4683" s="2" t="s">
        <v>170</v>
      </c>
    </row>
    <row r="4684" spans="1:6" ht="22.5" hidden="1" customHeight="1" x14ac:dyDescent="0.25">
      <c r="A4684" s="3">
        <v>44044</v>
      </c>
      <c r="B4684" s="2" t="s">
        <v>195</v>
      </c>
      <c r="C4684" s="2">
        <v>0.01</v>
      </c>
      <c r="D4684" s="2">
        <v>1.0637000000000001</v>
      </c>
      <c r="E4684" s="2">
        <v>1.0637E-4</v>
      </c>
      <c r="F4684" s="2" t="s">
        <v>168</v>
      </c>
    </row>
    <row r="4685" spans="1:6" ht="22.5" hidden="1" customHeight="1" x14ac:dyDescent="0.25">
      <c r="A4685" s="3">
        <v>44470</v>
      </c>
      <c r="B4685" s="2" t="s">
        <v>279</v>
      </c>
      <c r="C4685" s="2">
        <v>0.11</v>
      </c>
      <c r="D4685" s="2">
        <v>9.5200000000000007E-2</v>
      </c>
      <c r="E4685" s="2">
        <v>1.0472E-4</v>
      </c>
      <c r="F4685" s="2" t="s">
        <v>168</v>
      </c>
    </row>
    <row r="4686" spans="1:6" ht="22.5" hidden="1" customHeight="1" x14ac:dyDescent="0.25">
      <c r="A4686" s="3">
        <v>44409</v>
      </c>
      <c r="B4686" s="2" t="s">
        <v>264</v>
      </c>
      <c r="C4686" s="2">
        <v>0.1</v>
      </c>
      <c r="D4686" s="2">
        <v>9.7100000000000006E-2</v>
      </c>
      <c r="E4686" s="2">
        <v>9.7100000000000002E-5</v>
      </c>
      <c r="F4686" s="2" t="s">
        <v>168</v>
      </c>
    </row>
    <row r="4687" spans="1:6" ht="22.5" hidden="1" customHeight="1" x14ac:dyDescent="0.25">
      <c r="A4687" s="3">
        <v>43891</v>
      </c>
      <c r="B4687" s="2" t="s">
        <v>294</v>
      </c>
      <c r="C4687" s="2">
        <v>7.0000000000000007E-2</v>
      </c>
      <c r="D4687" s="2">
        <v>0.1381</v>
      </c>
      <c r="E4687" s="2">
        <v>9.6669999999999994E-5</v>
      </c>
      <c r="F4687" s="2" t="s">
        <v>168</v>
      </c>
    </row>
    <row r="4688" spans="1:6" ht="22.5" hidden="1" customHeight="1" x14ac:dyDescent="0.25">
      <c r="A4688" s="3">
        <v>43891</v>
      </c>
      <c r="B4688" s="2" t="s">
        <v>196</v>
      </c>
      <c r="C4688" s="2">
        <v>0.06</v>
      </c>
      <c r="D4688" s="2">
        <v>0.13880000000000001</v>
      </c>
      <c r="E4688" s="2">
        <v>8.3280000000000002E-5</v>
      </c>
      <c r="F4688" s="2" t="s">
        <v>168</v>
      </c>
    </row>
    <row r="4689" spans="1:6" ht="22.5" hidden="1" customHeight="1" x14ac:dyDescent="0.25">
      <c r="A4689" s="3">
        <v>44348</v>
      </c>
      <c r="B4689" s="2" t="s">
        <v>264</v>
      </c>
      <c r="C4689" s="2">
        <v>0.08</v>
      </c>
      <c r="D4689" s="2">
        <v>9.9199999999999997E-2</v>
      </c>
      <c r="E4689" s="2">
        <v>7.9359999999999999E-5</v>
      </c>
      <c r="F4689" s="2" t="s">
        <v>168</v>
      </c>
    </row>
    <row r="4690" spans="1:6" ht="22.5" hidden="1" customHeight="1" x14ac:dyDescent="0.25">
      <c r="A4690" s="3">
        <v>43862</v>
      </c>
      <c r="B4690" s="2" t="s">
        <v>286</v>
      </c>
      <c r="C4690" s="2">
        <v>0.04</v>
      </c>
      <c r="D4690" s="2">
        <v>0.1956</v>
      </c>
      <c r="E4690" s="2">
        <v>7.8239999999999996E-5</v>
      </c>
      <c r="F4690" s="2" t="s">
        <v>168</v>
      </c>
    </row>
    <row r="4691" spans="1:6" ht="22.5" hidden="1" customHeight="1" x14ac:dyDescent="0.25">
      <c r="A4691" s="3">
        <v>44228</v>
      </c>
      <c r="B4691" s="2" t="s">
        <v>279</v>
      </c>
      <c r="C4691" s="2">
        <v>0.08</v>
      </c>
      <c r="D4691" s="2">
        <v>9.64E-2</v>
      </c>
      <c r="E4691" s="2">
        <v>7.7119999999999993E-5</v>
      </c>
      <c r="F4691" s="2" t="s">
        <v>168</v>
      </c>
    </row>
    <row r="4692" spans="1:6" ht="22.5" hidden="1" customHeight="1" x14ac:dyDescent="0.25">
      <c r="A4692" s="3">
        <v>44287</v>
      </c>
      <c r="B4692" s="2" t="s">
        <v>287</v>
      </c>
      <c r="C4692" s="2">
        <v>0.08</v>
      </c>
      <c r="D4692" s="2">
        <v>6.3799999999999996E-2</v>
      </c>
      <c r="E4692" s="2">
        <v>5.1039999999999999E-5</v>
      </c>
      <c r="F4692" s="2" t="s">
        <v>168</v>
      </c>
    </row>
    <row r="4693" spans="1:6" ht="22.5" hidden="1" customHeight="1" x14ac:dyDescent="0.25">
      <c r="A4693" s="3">
        <v>44075</v>
      </c>
      <c r="B4693" s="2" t="s">
        <v>301</v>
      </c>
      <c r="C4693" s="2">
        <v>0.03</v>
      </c>
      <c r="D4693" s="2">
        <v>0.15509999999999999</v>
      </c>
      <c r="E4693" s="2">
        <v>4.6529999999999997E-5</v>
      </c>
      <c r="F4693" s="2" t="s">
        <v>168</v>
      </c>
    </row>
    <row r="4694" spans="1:6" ht="22.5" hidden="1" customHeight="1" x14ac:dyDescent="0.25">
      <c r="A4694" s="3">
        <v>44044</v>
      </c>
      <c r="B4694" s="2" t="s">
        <v>279</v>
      </c>
      <c r="C4694" s="2">
        <v>0.03</v>
      </c>
      <c r="D4694" s="2">
        <v>9.6199999999999994E-2</v>
      </c>
      <c r="E4694" s="2">
        <v>2.8860000000000002E-5</v>
      </c>
      <c r="F4694" s="2" t="s">
        <v>168</v>
      </c>
    </row>
    <row r="4695" spans="1:6" ht="22.5" hidden="1" customHeight="1" x14ac:dyDescent="0.25">
      <c r="A4695" s="3">
        <v>44287</v>
      </c>
      <c r="B4695" s="2" t="s">
        <v>291</v>
      </c>
      <c r="C4695" s="2">
        <v>0.01</v>
      </c>
      <c r="D4695" s="2">
        <v>0.18410000000000001</v>
      </c>
      <c r="E4695" s="2">
        <v>1.8410000000000002E-5</v>
      </c>
      <c r="F4695" s="2" t="s">
        <v>168</v>
      </c>
    </row>
    <row r="4696" spans="1:6" ht="22.5" hidden="1" customHeight="1" x14ac:dyDescent="0.25">
      <c r="A4696" s="3">
        <v>44013</v>
      </c>
      <c r="B4696" s="2" t="s">
        <v>287</v>
      </c>
      <c r="C4696" s="2">
        <v>0.01</v>
      </c>
      <c r="D4696" s="2">
        <v>6.4100000000000004E-2</v>
      </c>
      <c r="E4696" s="2">
        <v>6.4099999999999996E-6</v>
      </c>
      <c r="F4696" s="2" t="s">
        <v>168</v>
      </c>
    </row>
    <row r="4697" spans="1:6" ht="22.5" hidden="1" customHeight="1" x14ac:dyDescent="0.25">
      <c r="A4697" s="3">
        <v>43862</v>
      </c>
      <c r="B4697" s="2" t="s">
        <v>273</v>
      </c>
      <c r="C4697" s="2">
        <v>0</v>
      </c>
      <c r="D4697" s="2">
        <v>0.12609999999999999</v>
      </c>
      <c r="E4697" s="2">
        <v>0</v>
      </c>
      <c r="F4697" s="2" t="s">
        <v>168</v>
      </c>
    </row>
    <row r="4698" spans="1:6" ht="22.5" hidden="1" customHeight="1" x14ac:dyDescent="0.25">
      <c r="A4698" s="3">
        <v>43862</v>
      </c>
      <c r="B4698" s="2" t="s">
        <v>279</v>
      </c>
      <c r="C4698" s="2">
        <v>0</v>
      </c>
      <c r="D4698" s="2">
        <v>9.6000000000000002E-2</v>
      </c>
      <c r="E4698" s="2">
        <v>0</v>
      </c>
      <c r="F4698" s="2" t="s">
        <v>168</v>
      </c>
    </row>
    <row r="4699" spans="1:6" ht="22.5" hidden="1" customHeight="1" x14ac:dyDescent="0.25">
      <c r="A4699" s="3">
        <v>43862</v>
      </c>
      <c r="B4699" s="2" t="s">
        <v>340</v>
      </c>
      <c r="C4699" s="2">
        <v>0</v>
      </c>
      <c r="D4699" s="2">
        <v>0.52890000000000004</v>
      </c>
      <c r="E4699" s="2">
        <v>0</v>
      </c>
      <c r="F4699" s="2" t="s">
        <v>168</v>
      </c>
    </row>
    <row r="4700" spans="1:6" ht="22.5" hidden="1" customHeight="1" x14ac:dyDescent="0.25">
      <c r="A4700" s="3">
        <v>43862</v>
      </c>
      <c r="B4700" s="2" t="s">
        <v>367</v>
      </c>
      <c r="C4700" s="2">
        <v>0</v>
      </c>
      <c r="D4700" s="2">
        <v>1.6131</v>
      </c>
      <c r="E4700" s="2">
        <v>0</v>
      </c>
      <c r="F4700" s="2" t="s">
        <v>168</v>
      </c>
    </row>
    <row r="4701" spans="1:6" ht="22.5" hidden="1" customHeight="1" x14ac:dyDescent="0.25">
      <c r="A4701" s="3">
        <v>43891</v>
      </c>
      <c r="B4701" s="2" t="s">
        <v>167</v>
      </c>
      <c r="C4701" s="2">
        <v>0</v>
      </c>
      <c r="D4701" s="2">
        <v>1.8013999999999999</v>
      </c>
      <c r="E4701" s="2">
        <v>0</v>
      </c>
      <c r="F4701" s="2" t="s">
        <v>168</v>
      </c>
    </row>
    <row r="4702" spans="1:6" ht="22.5" hidden="1" customHeight="1" x14ac:dyDescent="0.25">
      <c r="A4702" s="3">
        <v>44228</v>
      </c>
      <c r="B4702" s="2" t="s">
        <v>302</v>
      </c>
      <c r="C4702" s="2">
        <v>1</v>
      </c>
      <c r="D4702" s="2">
        <v>0.28539999999999999</v>
      </c>
      <c r="E4702" s="2">
        <v>2.8540000000000002E-3</v>
      </c>
      <c r="F4702" s="2" t="s">
        <v>170</v>
      </c>
    </row>
    <row r="4703" spans="1:6" ht="22.5" hidden="1" customHeight="1" x14ac:dyDescent="0.25">
      <c r="A4703" s="3">
        <v>44228</v>
      </c>
      <c r="B4703" s="2" t="s">
        <v>303</v>
      </c>
      <c r="C4703" s="2">
        <v>0.32</v>
      </c>
      <c r="D4703" s="2">
        <v>0.54430000000000001</v>
      </c>
      <c r="E4703" s="2">
        <v>1.74176E-3</v>
      </c>
      <c r="F4703" s="2" t="s">
        <v>165</v>
      </c>
    </row>
    <row r="4704" spans="1:6" ht="22.5" hidden="1" customHeight="1" x14ac:dyDescent="0.25">
      <c r="A4704" s="3">
        <v>44228</v>
      </c>
      <c r="B4704" s="2" t="s">
        <v>304</v>
      </c>
      <c r="C4704" s="2">
        <v>0.82</v>
      </c>
      <c r="D4704" s="2">
        <v>0.52300000000000002</v>
      </c>
      <c r="E4704" s="2">
        <v>4.2886000000000001E-3</v>
      </c>
      <c r="F4704" s="2" t="s">
        <v>165</v>
      </c>
    </row>
    <row r="4705" spans="1:6" ht="22.5" hidden="1" customHeight="1" x14ac:dyDescent="0.25">
      <c r="A4705" s="3">
        <v>44228</v>
      </c>
      <c r="B4705" s="2" t="s">
        <v>305</v>
      </c>
      <c r="C4705" s="2">
        <v>0.44</v>
      </c>
      <c r="D4705" s="2">
        <v>1.84E-2</v>
      </c>
      <c r="E4705" s="2">
        <v>8.0959999999999997E-5</v>
      </c>
      <c r="F4705" s="2" t="s">
        <v>170</v>
      </c>
    </row>
    <row r="4706" spans="1:6" ht="22.5" hidden="1" customHeight="1" x14ac:dyDescent="0.25">
      <c r="A4706" s="3">
        <v>44228</v>
      </c>
      <c r="B4706" s="2" t="s">
        <v>306</v>
      </c>
      <c r="C4706" s="2">
        <v>0.54</v>
      </c>
      <c r="D4706" s="2">
        <v>4.8099999999999997E-2</v>
      </c>
      <c r="E4706" s="2">
        <v>2.5974E-4</v>
      </c>
      <c r="F4706" s="2" t="s">
        <v>165</v>
      </c>
    </row>
    <row r="4707" spans="1:6" ht="22.5" hidden="1" customHeight="1" x14ac:dyDescent="0.25">
      <c r="A4707" s="3">
        <v>44228</v>
      </c>
      <c r="B4707" s="2" t="s">
        <v>307</v>
      </c>
      <c r="C4707" s="2">
        <v>0.25</v>
      </c>
      <c r="D4707" s="2">
        <v>0.1076</v>
      </c>
      <c r="E4707" s="2">
        <v>2.6899999999999998E-4</v>
      </c>
      <c r="F4707" s="2" t="s">
        <v>165</v>
      </c>
    </row>
    <row r="4708" spans="1:6" ht="22.5" hidden="1" customHeight="1" x14ac:dyDescent="0.25">
      <c r="A4708" s="3">
        <v>44228</v>
      </c>
      <c r="B4708" s="2" t="s">
        <v>308</v>
      </c>
      <c r="C4708" s="2">
        <v>0.53</v>
      </c>
      <c r="D4708" s="2">
        <v>0.372</v>
      </c>
      <c r="E4708" s="2">
        <v>1.9716E-3</v>
      </c>
      <c r="F4708" s="2" t="s">
        <v>165</v>
      </c>
    </row>
    <row r="4709" spans="1:6" ht="22.5" hidden="1" customHeight="1" x14ac:dyDescent="0.25">
      <c r="A4709" s="3">
        <v>44228</v>
      </c>
      <c r="B4709" s="2" t="s">
        <v>309</v>
      </c>
      <c r="C4709" s="2">
        <v>0.85</v>
      </c>
      <c r="D4709" s="2">
        <v>0.1303</v>
      </c>
      <c r="E4709" s="2">
        <v>1.1075499999999999E-3</v>
      </c>
      <c r="F4709" s="2" t="s">
        <v>165</v>
      </c>
    </row>
    <row r="4710" spans="1:6" ht="22.5" hidden="1" customHeight="1" x14ac:dyDescent="0.25">
      <c r="A4710" s="3">
        <v>43891</v>
      </c>
      <c r="B4710" s="2" t="s">
        <v>261</v>
      </c>
      <c r="C4710" s="2">
        <v>0</v>
      </c>
      <c r="D4710" s="2">
        <v>0.2014</v>
      </c>
      <c r="E4710" s="2">
        <v>0</v>
      </c>
      <c r="F4710" s="2" t="s">
        <v>168</v>
      </c>
    </row>
    <row r="4711" spans="1:6" ht="22.5" hidden="1" customHeight="1" x14ac:dyDescent="0.25">
      <c r="A4711" s="3">
        <v>44228</v>
      </c>
      <c r="B4711" s="2" t="s">
        <v>311</v>
      </c>
      <c r="C4711" s="2">
        <v>-0.49</v>
      </c>
      <c r="D4711" s="2">
        <v>0.62160000000000004</v>
      </c>
      <c r="E4711" s="2">
        <v>-3.0458400000000002E-3</v>
      </c>
      <c r="F4711" s="2" t="s">
        <v>174</v>
      </c>
    </row>
    <row r="4712" spans="1:6" ht="22.5" hidden="1" customHeight="1" x14ac:dyDescent="0.25">
      <c r="A4712" s="3">
        <v>44228</v>
      </c>
      <c r="B4712" s="2" t="s">
        <v>312</v>
      </c>
      <c r="C4712" s="2">
        <v>-0.15</v>
      </c>
      <c r="D4712" s="2">
        <v>0.21510000000000001</v>
      </c>
      <c r="E4712" s="2">
        <v>-3.2265000000000001E-4</v>
      </c>
      <c r="F4712" s="2" t="s">
        <v>174</v>
      </c>
    </row>
    <row r="4713" spans="1:6" ht="22.5" hidden="1" customHeight="1" x14ac:dyDescent="0.25">
      <c r="A4713" s="3">
        <v>44228</v>
      </c>
      <c r="B4713" s="2" t="s">
        <v>313</v>
      </c>
      <c r="C4713" s="2">
        <v>0.79</v>
      </c>
      <c r="D4713" s="2">
        <v>0.1313</v>
      </c>
      <c r="E4713" s="2">
        <v>1.0372700000000001E-3</v>
      </c>
      <c r="F4713" s="2" t="s">
        <v>174</v>
      </c>
    </row>
    <row r="4714" spans="1:6" ht="22.5" hidden="1" customHeight="1" x14ac:dyDescent="0.25">
      <c r="A4714" s="3">
        <v>44228</v>
      </c>
      <c r="B4714" s="2" t="s">
        <v>314</v>
      </c>
      <c r="C4714" s="2">
        <v>-1.73</v>
      </c>
      <c r="D4714" s="2">
        <v>0.39319999999999999</v>
      </c>
      <c r="E4714" s="2">
        <v>-6.8023600000000004E-3</v>
      </c>
      <c r="F4714" s="2" t="s">
        <v>174</v>
      </c>
    </row>
    <row r="4715" spans="1:6" ht="22.5" hidden="1" customHeight="1" x14ac:dyDescent="0.25">
      <c r="A4715" s="3">
        <v>44228</v>
      </c>
      <c r="B4715" s="2" t="s">
        <v>315</v>
      </c>
      <c r="C4715" s="2">
        <v>0.03</v>
      </c>
      <c r="D4715" s="2">
        <v>0.26479999999999998</v>
      </c>
      <c r="E4715" s="2">
        <v>7.9439999999999998E-5</v>
      </c>
      <c r="F4715" s="2" t="s">
        <v>174</v>
      </c>
    </row>
    <row r="4716" spans="1:6" ht="22.5" hidden="1" customHeight="1" x14ac:dyDescent="0.25">
      <c r="A4716" s="3">
        <v>44228</v>
      </c>
      <c r="B4716" s="2" t="s">
        <v>316</v>
      </c>
      <c r="C4716" s="2">
        <v>-0.94</v>
      </c>
      <c r="D4716" s="2">
        <v>3.8999999999999998E-3</v>
      </c>
      <c r="E4716" s="2">
        <v>-3.6659999999999998E-5</v>
      </c>
      <c r="F4716" s="2" t="s">
        <v>174</v>
      </c>
    </row>
    <row r="4717" spans="1:6" ht="22.5" hidden="1" customHeight="1" x14ac:dyDescent="0.25">
      <c r="A4717" s="3">
        <v>44228</v>
      </c>
      <c r="B4717" s="2" t="s">
        <v>317</v>
      </c>
      <c r="C4717" s="2">
        <v>1.25</v>
      </c>
      <c r="D4717" s="2">
        <v>1.0113000000000001</v>
      </c>
      <c r="E4717" s="2">
        <v>1.264125E-2</v>
      </c>
      <c r="F4717" s="2" t="s">
        <v>174</v>
      </c>
    </row>
    <row r="4718" spans="1:6" ht="22.5" hidden="1" customHeight="1" x14ac:dyDescent="0.25">
      <c r="A4718" s="3">
        <v>44228</v>
      </c>
      <c r="B4718" s="2" t="s">
        <v>318</v>
      </c>
      <c r="C4718" s="2">
        <v>1.31</v>
      </c>
      <c r="D4718" s="2">
        <v>0.44400000000000001</v>
      </c>
      <c r="E4718" s="2">
        <v>5.8164000000000002E-3</v>
      </c>
      <c r="F4718" s="2" t="s">
        <v>174</v>
      </c>
    </row>
    <row r="4719" spans="1:6" ht="22.5" hidden="1" customHeight="1" x14ac:dyDescent="0.25">
      <c r="A4719" s="3">
        <v>44228</v>
      </c>
      <c r="B4719" s="2" t="s">
        <v>319</v>
      </c>
      <c r="C4719" s="2">
        <v>0.84</v>
      </c>
      <c r="D4719" s="2">
        <v>0.1094</v>
      </c>
      <c r="E4719" s="2">
        <v>9.1896000000000002E-4</v>
      </c>
      <c r="F4719" s="2" t="s">
        <v>174</v>
      </c>
    </row>
    <row r="4720" spans="1:6" ht="22.5" hidden="1" customHeight="1" x14ac:dyDescent="0.25">
      <c r="A4720" s="3">
        <v>44228</v>
      </c>
      <c r="B4720" s="2" t="s">
        <v>320</v>
      </c>
      <c r="C4720" s="2">
        <v>1.38</v>
      </c>
      <c r="D4720" s="2">
        <v>0.30009999999999998</v>
      </c>
      <c r="E4720" s="2">
        <v>4.1413800000000001E-3</v>
      </c>
      <c r="F4720" s="2" t="s">
        <v>174</v>
      </c>
    </row>
    <row r="4721" spans="1:6" ht="22.5" hidden="1" customHeight="1" x14ac:dyDescent="0.25">
      <c r="A4721" s="3">
        <v>44228</v>
      </c>
      <c r="B4721" s="2" t="s">
        <v>321</v>
      </c>
      <c r="C4721" s="2">
        <v>-0.88</v>
      </c>
      <c r="D4721" s="2">
        <v>0.2054</v>
      </c>
      <c r="E4721" s="2">
        <v>-1.80752E-3</v>
      </c>
      <c r="F4721" s="2" t="s">
        <v>174</v>
      </c>
    </row>
    <row r="4722" spans="1:6" ht="22.5" hidden="1" customHeight="1" x14ac:dyDescent="0.25">
      <c r="A4722" s="3">
        <v>44228</v>
      </c>
      <c r="B4722" s="2" t="s">
        <v>322</v>
      </c>
      <c r="C4722" s="2">
        <v>-2.58</v>
      </c>
      <c r="D4722" s="2">
        <v>0.16200000000000001</v>
      </c>
      <c r="E4722" s="2">
        <v>-4.1796000000000003E-3</v>
      </c>
      <c r="F4722" s="2" t="s">
        <v>174</v>
      </c>
    </row>
    <row r="4723" spans="1:6" ht="22.5" hidden="1" customHeight="1" x14ac:dyDescent="0.25">
      <c r="A4723" s="3">
        <v>44228</v>
      </c>
      <c r="B4723" s="2" t="s">
        <v>323</v>
      </c>
      <c r="C4723" s="2">
        <v>1.35</v>
      </c>
      <c r="D4723" s="2">
        <v>1.0800000000000001E-2</v>
      </c>
      <c r="E4723" s="2">
        <v>1.4579999999999999E-4</v>
      </c>
      <c r="F4723" s="2" t="s">
        <v>165</v>
      </c>
    </row>
    <row r="4724" spans="1:6" ht="22.5" hidden="1" customHeight="1" x14ac:dyDescent="0.25">
      <c r="A4724" s="3">
        <v>44228</v>
      </c>
      <c r="B4724" s="2" t="s">
        <v>324</v>
      </c>
      <c r="C4724" s="2">
        <v>0.3</v>
      </c>
      <c r="D4724" s="2">
        <v>0.3881</v>
      </c>
      <c r="E4724" s="2">
        <v>1.1643000000000001E-3</v>
      </c>
      <c r="F4724" s="2" t="s">
        <v>165</v>
      </c>
    </row>
    <row r="4725" spans="1:6" ht="22.5" hidden="1" customHeight="1" x14ac:dyDescent="0.25">
      <c r="A4725" s="3">
        <v>44228</v>
      </c>
      <c r="B4725" s="2" t="s">
        <v>325</v>
      </c>
      <c r="C4725" s="2">
        <v>0.08</v>
      </c>
      <c r="D4725" s="2">
        <v>3.0840999999999998</v>
      </c>
      <c r="E4725" s="2">
        <v>2.4672800000000001E-3</v>
      </c>
      <c r="F4725" s="2" t="s">
        <v>165</v>
      </c>
    </row>
    <row r="4726" spans="1:6" ht="22.5" hidden="1" customHeight="1" x14ac:dyDescent="0.25">
      <c r="A4726" s="3">
        <v>44228</v>
      </c>
      <c r="B4726" s="2" t="s">
        <v>326</v>
      </c>
      <c r="C4726" s="2">
        <v>-0.55000000000000004</v>
      </c>
      <c r="D4726" s="2">
        <v>1.0288999999999999</v>
      </c>
      <c r="E4726" s="2">
        <v>-5.6589500000000003E-3</v>
      </c>
      <c r="F4726" s="2" t="s">
        <v>165</v>
      </c>
    </row>
    <row r="4727" spans="1:6" ht="22.5" hidden="1" customHeight="1" x14ac:dyDescent="0.25">
      <c r="A4727" s="3">
        <v>44228</v>
      </c>
      <c r="B4727" s="2" t="s">
        <v>327</v>
      </c>
      <c r="C4727" s="2">
        <v>0.65</v>
      </c>
      <c r="D4727" s="2">
        <v>6.0999999999999999E-2</v>
      </c>
      <c r="E4727" s="2">
        <v>3.9649999999999999E-4</v>
      </c>
      <c r="F4727" s="2" t="s">
        <v>165</v>
      </c>
    </row>
    <row r="4728" spans="1:6" ht="22.5" hidden="1" customHeight="1" x14ac:dyDescent="0.25">
      <c r="A4728" s="3">
        <v>44228</v>
      </c>
      <c r="B4728" s="2" t="s">
        <v>328</v>
      </c>
      <c r="C4728" s="2">
        <v>4.2</v>
      </c>
      <c r="D4728" s="2">
        <v>1.8700000000000001E-2</v>
      </c>
      <c r="E4728" s="2">
        <v>7.8540000000000001E-4</v>
      </c>
      <c r="F4728" s="2" t="s">
        <v>165</v>
      </c>
    </row>
    <row r="4729" spans="1:6" ht="22.5" hidden="1" customHeight="1" x14ac:dyDescent="0.25">
      <c r="A4729" s="3">
        <v>44228</v>
      </c>
      <c r="B4729" s="2" t="s">
        <v>329</v>
      </c>
      <c r="C4729" s="2">
        <v>-0.44</v>
      </c>
      <c r="D4729" s="2">
        <v>9.7699999999999995E-2</v>
      </c>
      <c r="E4729" s="2">
        <v>-4.2988E-4</v>
      </c>
      <c r="F4729" s="2" t="s">
        <v>165</v>
      </c>
    </row>
    <row r="4730" spans="1:6" ht="22.5" hidden="1" customHeight="1" x14ac:dyDescent="0.25">
      <c r="A4730" s="3">
        <v>44228</v>
      </c>
      <c r="B4730" s="2" t="s">
        <v>330</v>
      </c>
      <c r="C4730" s="2">
        <v>0.38</v>
      </c>
      <c r="D4730" s="2">
        <v>1.7622</v>
      </c>
      <c r="E4730" s="2">
        <v>6.6963600000000002E-3</v>
      </c>
      <c r="F4730" s="2" t="s">
        <v>165</v>
      </c>
    </row>
    <row r="4731" spans="1:6" ht="22.5" hidden="1" customHeight="1" x14ac:dyDescent="0.25">
      <c r="A4731" s="3">
        <v>44228</v>
      </c>
      <c r="B4731" s="2" t="s">
        <v>331</v>
      </c>
      <c r="C4731" s="2">
        <v>0.06</v>
      </c>
      <c r="D4731" s="2">
        <v>5.74E-2</v>
      </c>
      <c r="E4731" s="2">
        <v>3.4440000000000002E-5</v>
      </c>
      <c r="F4731" s="2" t="s">
        <v>165</v>
      </c>
    </row>
    <row r="4732" spans="1:6" ht="22.5" hidden="1" customHeight="1" x14ac:dyDescent="0.25">
      <c r="A4732" s="3">
        <v>44228</v>
      </c>
      <c r="B4732" s="2" t="s">
        <v>332</v>
      </c>
      <c r="C4732" s="2">
        <v>0.94</v>
      </c>
      <c r="D4732" s="2">
        <v>0.1077</v>
      </c>
      <c r="E4732" s="2">
        <v>1.01238E-3</v>
      </c>
      <c r="F4732" s="2" t="s">
        <v>165</v>
      </c>
    </row>
    <row r="4733" spans="1:6" ht="22.5" hidden="1" customHeight="1" x14ac:dyDescent="0.25">
      <c r="A4733" s="3">
        <v>44228</v>
      </c>
      <c r="B4733" s="2" t="s">
        <v>333</v>
      </c>
      <c r="C4733" s="2">
        <v>0.02</v>
      </c>
      <c r="D4733" s="2">
        <v>8.4500000000000006E-2</v>
      </c>
      <c r="E4733" s="2">
        <v>1.6900000000000001E-5</v>
      </c>
      <c r="F4733" s="2" t="s">
        <v>165</v>
      </c>
    </row>
    <row r="4734" spans="1:6" ht="22.5" hidden="1" customHeight="1" x14ac:dyDescent="0.25">
      <c r="A4734" s="3">
        <v>44228</v>
      </c>
      <c r="B4734" s="2" t="s">
        <v>334</v>
      </c>
      <c r="C4734" s="2">
        <v>1.25</v>
      </c>
      <c r="D4734" s="2">
        <v>2.0899999999999998E-2</v>
      </c>
      <c r="E4734" s="2">
        <v>2.6124999999999998E-4</v>
      </c>
      <c r="F4734" s="2" t="s">
        <v>170</v>
      </c>
    </row>
    <row r="4735" spans="1:6" ht="22.5" hidden="1" customHeight="1" x14ac:dyDescent="0.25">
      <c r="A4735" s="3">
        <v>44228</v>
      </c>
      <c r="B4735" s="2" t="s">
        <v>335</v>
      </c>
      <c r="C4735" s="2">
        <v>0.67</v>
      </c>
      <c r="D4735" s="2">
        <v>0.28710000000000002</v>
      </c>
      <c r="E4735" s="2">
        <v>1.9235700000000001E-3</v>
      </c>
      <c r="F4735" s="2" t="s">
        <v>165</v>
      </c>
    </row>
    <row r="4736" spans="1:6" ht="22.5" hidden="1" customHeight="1" x14ac:dyDescent="0.25">
      <c r="A4736" s="3">
        <v>44228</v>
      </c>
      <c r="B4736" s="2" t="s">
        <v>336</v>
      </c>
      <c r="C4736" s="2">
        <v>-0.41</v>
      </c>
      <c r="D4736" s="2">
        <v>0.1023</v>
      </c>
      <c r="E4736" s="2">
        <v>-4.1942999999999999E-4</v>
      </c>
      <c r="F4736" s="2" t="s">
        <v>170</v>
      </c>
    </row>
    <row r="4737" spans="1:6" ht="22.5" hidden="1" customHeight="1" x14ac:dyDescent="0.25">
      <c r="A4737" s="3">
        <v>44228</v>
      </c>
      <c r="B4737" s="2" t="s">
        <v>337</v>
      </c>
      <c r="C4737" s="2">
        <v>7.0000000000000007E-2</v>
      </c>
      <c r="D4737" s="2">
        <v>0.33779999999999999</v>
      </c>
      <c r="E4737" s="2">
        <v>2.3646E-4</v>
      </c>
      <c r="F4737" s="2" t="s">
        <v>174</v>
      </c>
    </row>
    <row r="4738" spans="1:6" ht="22.5" hidden="1" customHeight="1" x14ac:dyDescent="0.25">
      <c r="A4738" s="3">
        <v>44228</v>
      </c>
      <c r="B4738" s="2" t="s">
        <v>338</v>
      </c>
      <c r="C4738" s="2">
        <v>0.6</v>
      </c>
      <c r="D4738" s="2">
        <v>0.20319999999999999</v>
      </c>
      <c r="E4738" s="2">
        <v>1.2191999999999999E-3</v>
      </c>
      <c r="F4738" s="2" t="s">
        <v>174</v>
      </c>
    </row>
    <row r="4739" spans="1:6" ht="22.5" hidden="1" customHeight="1" x14ac:dyDescent="0.25">
      <c r="A4739" s="3">
        <v>44228</v>
      </c>
      <c r="B4739" s="2" t="s">
        <v>339</v>
      </c>
      <c r="C4739" s="2">
        <v>0</v>
      </c>
      <c r="D4739" s="2">
        <v>4.2999999999999997E-2</v>
      </c>
      <c r="E4739" s="2">
        <v>0</v>
      </c>
      <c r="F4739" s="2" t="s">
        <v>165</v>
      </c>
    </row>
    <row r="4740" spans="1:6" ht="22.5" hidden="1" customHeight="1" x14ac:dyDescent="0.25">
      <c r="A4740" s="3">
        <v>43891</v>
      </c>
      <c r="B4740" s="2" t="s">
        <v>266</v>
      </c>
      <c r="C4740" s="2">
        <v>0</v>
      </c>
      <c r="D4740" s="2">
        <v>7.3099999999999998E-2</v>
      </c>
      <c r="E4740" s="2">
        <v>0</v>
      </c>
      <c r="F4740" s="2" t="s">
        <v>168</v>
      </c>
    </row>
    <row r="4741" spans="1:6" ht="22.5" hidden="1" customHeight="1" x14ac:dyDescent="0.25">
      <c r="A4741" s="3">
        <v>44228</v>
      </c>
      <c r="B4741" s="2" t="s">
        <v>341</v>
      </c>
      <c r="C4741" s="2">
        <v>0.42</v>
      </c>
      <c r="D4741" s="2">
        <v>1.17E-2</v>
      </c>
      <c r="E4741" s="2">
        <v>4.914E-5</v>
      </c>
      <c r="F4741" s="2" t="s">
        <v>174</v>
      </c>
    </row>
    <row r="4742" spans="1:6" ht="22.5" hidden="1" customHeight="1" x14ac:dyDescent="0.25">
      <c r="A4742" s="3">
        <v>44228</v>
      </c>
      <c r="B4742" s="2" t="s">
        <v>342</v>
      </c>
      <c r="C4742" s="2">
        <v>-0.01</v>
      </c>
      <c r="D4742" s="2">
        <v>0.52800000000000002</v>
      </c>
      <c r="E4742" s="2">
        <v>-5.2800000000000003E-5</v>
      </c>
      <c r="F4742" s="2" t="s">
        <v>165</v>
      </c>
    </row>
    <row r="4743" spans="1:6" ht="22.5" hidden="1" customHeight="1" x14ac:dyDescent="0.25">
      <c r="A4743" s="3">
        <v>44228</v>
      </c>
      <c r="B4743" s="2" t="s">
        <v>343</v>
      </c>
      <c r="C4743" s="2">
        <v>-0.84</v>
      </c>
      <c r="D4743" s="2">
        <v>0.51300000000000001</v>
      </c>
      <c r="E4743" s="2">
        <v>-4.3092E-3</v>
      </c>
      <c r="F4743" s="2" t="s">
        <v>165</v>
      </c>
    </row>
    <row r="4744" spans="1:6" ht="22.5" hidden="1" customHeight="1" x14ac:dyDescent="0.25">
      <c r="A4744" s="3">
        <v>44228</v>
      </c>
      <c r="B4744" s="2" t="s">
        <v>344</v>
      </c>
      <c r="C4744" s="2">
        <v>-0.01</v>
      </c>
      <c r="D4744" s="2">
        <v>0.1434</v>
      </c>
      <c r="E4744" s="2">
        <v>-1.434E-5</v>
      </c>
      <c r="F4744" s="2" t="s">
        <v>165</v>
      </c>
    </row>
    <row r="4745" spans="1:6" ht="22.5" hidden="1" customHeight="1" x14ac:dyDescent="0.25">
      <c r="A4745" s="3">
        <v>44228</v>
      </c>
      <c r="B4745" s="2" t="s">
        <v>345</v>
      </c>
      <c r="C4745" s="2">
        <v>0.08</v>
      </c>
      <c r="D4745" s="2">
        <v>0.52190000000000003</v>
      </c>
      <c r="E4745" s="2">
        <v>4.1752E-4</v>
      </c>
      <c r="F4745" s="2" t="s">
        <v>165</v>
      </c>
    </row>
    <row r="4746" spans="1:6" ht="22.5" hidden="1" customHeight="1" x14ac:dyDescent="0.25">
      <c r="A4746" s="3">
        <v>44228</v>
      </c>
      <c r="B4746" s="2" t="s">
        <v>346</v>
      </c>
      <c r="C4746" s="2">
        <v>1.79</v>
      </c>
      <c r="D4746" s="2">
        <v>0.53979999999999995</v>
      </c>
      <c r="E4746" s="2">
        <v>9.6624199999999997E-3</v>
      </c>
      <c r="F4746" s="2" t="s">
        <v>174</v>
      </c>
    </row>
    <row r="4747" spans="1:6" ht="22.5" hidden="1" customHeight="1" x14ac:dyDescent="0.25">
      <c r="A4747" s="3">
        <v>44228</v>
      </c>
      <c r="B4747" s="2" t="s">
        <v>347</v>
      </c>
      <c r="C4747" s="2">
        <v>2.56</v>
      </c>
      <c r="D4747" s="2">
        <v>0.19309999999999999</v>
      </c>
      <c r="E4747" s="2">
        <v>4.9433599999999999E-3</v>
      </c>
      <c r="F4747" s="2" t="s">
        <v>165</v>
      </c>
    </row>
    <row r="4748" spans="1:6" ht="22.5" hidden="1" customHeight="1" x14ac:dyDescent="0.25">
      <c r="A4748" s="3">
        <v>44228</v>
      </c>
      <c r="B4748" s="2" t="s">
        <v>348</v>
      </c>
      <c r="C4748" s="2">
        <v>6.14</v>
      </c>
      <c r="D4748" s="2">
        <v>0.31240000000000001</v>
      </c>
      <c r="E4748" s="2">
        <v>1.9181360000000001E-2</v>
      </c>
      <c r="F4748" s="2" t="s">
        <v>165</v>
      </c>
    </row>
    <row r="4749" spans="1:6" ht="22.5" hidden="1" customHeight="1" x14ac:dyDescent="0.25">
      <c r="A4749" s="3">
        <v>44228</v>
      </c>
      <c r="B4749" s="2" t="s">
        <v>349</v>
      </c>
      <c r="C4749" s="2">
        <v>4.71</v>
      </c>
      <c r="D4749" s="2">
        <v>1.5091000000000001</v>
      </c>
      <c r="E4749" s="2">
        <v>7.107861E-2</v>
      </c>
      <c r="F4749" s="2" t="s">
        <v>165</v>
      </c>
    </row>
    <row r="4750" spans="1:6" ht="22.5" hidden="1" customHeight="1" x14ac:dyDescent="0.25">
      <c r="A4750" s="3">
        <v>44228</v>
      </c>
      <c r="B4750" s="2" t="s">
        <v>350</v>
      </c>
      <c r="C4750" s="2">
        <v>4.2300000000000004</v>
      </c>
      <c r="D4750" s="2">
        <v>0.38140000000000002</v>
      </c>
      <c r="E4750" s="2">
        <v>1.613322E-2</v>
      </c>
      <c r="F4750" s="2" t="s">
        <v>165</v>
      </c>
    </row>
    <row r="4751" spans="1:6" ht="22.5" hidden="1" customHeight="1" x14ac:dyDescent="0.25">
      <c r="A4751" s="3">
        <v>44228</v>
      </c>
      <c r="B4751" s="2" t="s">
        <v>351</v>
      </c>
      <c r="C4751" s="2">
        <v>0.91</v>
      </c>
      <c r="D4751" s="2">
        <v>1.7767999999999999</v>
      </c>
      <c r="E4751" s="2">
        <v>1.616888E-2</v>
      </c>
      <c r="F4751" s="2" t="s">
        <v>165</v>
      </c>
    </row>
    <row r="4752" spans="1:6" ht="22.5" hidden="1" customHeight="1" x14ac:dyDescent="0.25">
      <c r="A4752" s="3">
        <v>44228</v>
      </c>
      <c r="B4752" s="2" t="s">
        <v>352</v>
      </c>
      <c r="C4752" s="2">
        <v>2.27</v>
      </c>
      <c r="D4752" s="2">
        <v>0.27929999999999999</v>
      </c>
      <c r="E4752" s="2">
        <v>6.3401100000000004E-3</v>
      </c>
      <c r="F4752" s="2" t="s">
        <v>165</v>
      </c>
    </row>
    <row r="4753" spans="1:6" ht="22.5" hidden="1" customHeight="1" x14ac:dyDescent="0.25">
      <c r="A4753" s="3">
        <v>44228</v>
      </c>
      <c r="B4753" s="2" t="s">
        <v>353</v>
      </c>
      <c r="C4753" s="2">
        <v>1.1499999999999999</v>
      </c>
      <c r="D4753" s="2">
        <v>4.24E-2</v>
      </c>
      <c r="E4753" s="2">
        <v>4.8759999999999998E-4</v>
      </c>
      <c r="F4753" s="2" t="s">
        <v>165</v>
      </c>
    </row>
    <row r="4754" spans="1:6" ht="22.5" hidden="1" customHeight="1" x14ac:dyDescent="0.25">
      <c r="A4754" s="3">
        <v>44228</v>
      </c>
      <c r="B4754" s="2" t="s">
        <v>354</v>
      </c>
      <c r="C4754" s="2">
        <v>0.77</v>
      </c>
      <c r="D4754" s="2">
        <v>3.1E-2</v>
      </c>
      <c r="E4754" s="2">
        <v>2.387E-4</v>
      </c>
      <c r="F4754" s="2" t="s">
        <v>165</v>
      </c>
    </row>
    <row r="4755" spans="1:6" ht="22.5" hidden="1" customHeight="1" x14ac:dyDescent="0.25">
      <c r="A4755" s="3">
        <v>44228</v>
      </c>
      <c r="B4755" s="2" t="s">
        <v>355</v>
      </c>
      <c r="C4755" s="2">
        <v>0</v>
      </c>
      <c r="D4755" s="2">
        <v>2.9399999999999999E-2</v>
      </c>
      <c r="E4755" s="2">
        <v>0</v>
      </c>
      <c r="F4755" s="2" t="s">
        <v>174</v>
      </c>
    </row>
    <row r="4756" spans="1:6" ht="22.5" hidden="1" customHeight="1" x14ac:dyDescent="0.25">
      <c r="A4756" s="3">
        <v>44228</v>
      </c>
      <c r="B4756" s="2" t="s">
        <v>356</v>
      </c>
      <c r="C4756" s="2">
        <v>1.52</v>
      </c>
      <c r="D4756" s="2">
        <v>2.9000000000000001E-2</v>
      </c>
      <c r="E4756" s="2">
        <v>4.4079999999999998E-4</v>
      </c>
      <c r="F4756" s="2" t="s">
        <v>174</v>
      </c>
    </row>
    <row r="4757" spans="1:6" ht="22.5" hidden="1" customHeight="1" x14ac:dyDescent="0.25">
      <c r="A4757" s="3">
        <v>44228</v>
      </c>
      <c r="B4757" s="2" t="s">
        <v>357</v>
      </c>
      <c r="C4757" s="2">
        <v>0.72</v>
      </c>
      <c r="D4757" s="2">
        <v>0.373</v>
      </c>
      <c r="E4757" s="2">
        <v>2.6855999999999998E-3</v>
      </c>
      <c r="F4757" s="2" t="s">
        <v>174</v>
      </c>
    </row>
    <row r="4758" spans="1:6" ht="22.5" hidden="1" customHeight="1" x14ac:dyDescent="0.25">
      <c r="A4758" s="3">
        <v>44228</v>
      </c>
      <c r="B4758" s="2" t="s">
        <v>358</v>
      </c>
      <c r="C4758" s="2">
        <v>-0.03</v>
      </c>
      <c r="D4758" s="2">
        <v>9.4899999999999998E-2</v>
      </c>
      <c r="E4758" s="2">
        <v>-2.847E-5</v>
      </c>
      <c r="F4758" s="2" t="s">
        <v>174</v>
      </c>
    </row>
    <row r="4759" spans="1:6" ht="22.5" hidden="1" customHeight="1" x14ac:dyDescent="0.25">
      <c r="A4759" s="3">
        <v>44228</v>
      </c>
      <c r="B4759" s="2" t="s">
        <v>359</v>
      </c>
      <c r="C4759" s="2">
        <v>1.85</v>
      </c>
      <c r="D4759" s="2">
        <v>4.7E-2</v>
      </c>
      <c r="E4759" s="2">
        <v>8.6950000000000005E-4</v>
      </c>
      <c r="F4759" s="2" t="s">
        <v>174</v>
      </c>
    </row>
    <row r="4760" spans="1:6" ht="22.5" hidden="1" customHeight="1" x14ac:dyDescent="0.25">
      <c r="A4760" s="3">
        <v>44228</v>
      </c>
      <c r="B4760" s="2" t="s">
        <v>360</v>
      </c>
      <c r="C4760" s="2">
        <v>0.06</v>
      </c>
      <c r="D4760" s="2">
        <v>8.7999999999999995E-2</v>
      </c>
      <c r="E4760" s="2">
        <v>5.2800000000000003E-5</v>
      </c>
      <c r="F4760" s="2" t="s">
        <v>174</v>
      </c>
    </row>
    <row r="4761" spans="1:6" ht="22.5" hidden="1" customHeight="1" x14ac:dyDescent="0.25">
      <c r="A4761" s="3">
        <v>44228</v>
      </c>
      <c r="B4761" s="2" t="s">
        <v>361</v>
      </c>
      <c r="C4761" s="2">
        <v>-1.19</v>
      </c>
      <c r="D4761" s="2">
        <v>7.7499999999999999E-2</v>
      </c>
      <c r="E4761" s="2">
        <v>-9.2225E-4</v>
      </c>
      <c r="F4761" s="2" t="s">
        <v>165</v>
      </c>
    </row>
    <row r="4762" spans="1:6" ht="22.5" hidden="1" customHeight="1" x14ac:dyDescent="0.25">
      <c r="A4762" s="3">
        <v>44228</v>
      </c>
      <c r="B4762" s="2" t="s">
        <v>362</v>
      </c>
      <c r="C4762" s="2">
        <v>0.63</v>
      </c>
      <c r="D4762" s="2">
        <v>0.30249999999999999</v>
      </c>
      <c r="E4762" s="2">
        <v>1.9057499999999999E-3</v>
      </c>
      <c r="F4762" s="2" t="s">
        <v>165</v>
      </c>
    </row>
    <row r="4763" spans="1:6" ht="22.5" hidden="1" customHeight="1" x14ac:dyDescent="0.25">
      <c r="A4763" s="3">
        <v>44228</v>
      </c>
      <c r="B4763" s="2" t="s">
        <v>363</v>
      </c>
      <c r="C4763" s="2">
        <v>1.54</v>
      </c>
      <c r="D4763" s="2">
        <v>4.9299999999999997E-2</v>
      </c>
      <c r="E4763" s="2">
        <v>7.5922000000000001E-4</v>
      </c>
      <c r="F4763" s="2" t="s">
        <v>165</v>
      </c>
    </row>
    <row r="4764" spans="1:6" ht="22.5" hidden="1" customHeight="1" x14ac:dyDescent="0.25">
      <c r="A4764" s="3">
        <v>44228</v>
      </c>
      <c r="B4764" s="2" t="s">
        <v>364</v>
      </c>
      <c r="C4764" s="2">
        <v>0.98</v>
      </c>
      <c r="D4764" s="2">
        <v>0.40289999999999998</v>
      </c>
      <c r="E4764" s="2">
        <v>3.9484200000000002E-3</v>
      </c>
      <c r="F4764" s="2" t="s">
        <v>165</v>
      </c>
    </row>
    <row r="4765" spans="1:6" ht="22.5" hidden="1" customHeight="1" x14ac:dyDescent="0.25">
      <c r="A4765" s="3">
        <v>43891</v>
      </c>
      <c r="B4765" s="2" t="s">
        <v>273</v>
      </c>
      <c r="C4765" s="2">
        <v>0</v>
      </c>
      <c r="D4765" s="2">
        <v>0.1258</v>
      </c>
      <c r="E4765" s="2">
        <v>0</v>
      </c>
      <c r="F4765" s="2" t="s">
        <v>168</v>
      </c>
    </row>
    <row r="4766" spans="1:6" ht="22.5" hidden="1" customHeight="1" x14ac:dyDescent="0.25">
      <c r="A4766" s="3">
        <v>43891</v>
      </c>
      <c r="B4766" s="2" t="s">
        <v>279</v>
      </c>
      <c r="C4766" s="2">
        <v>0</v>
      </c>
      <c r="D4766" s="2">
        <v>9.5799999999999996E-2</v>
      </c>
      <c r="E4766" s="2">
        <v>0</v>
      </c>
      <c r="F4766" s="2" t="s">
        <v>168</v>
      </c>
    </row>
    <row r="4767" spans="1:6" ht="22.5" hidden="1" customHeight="1" x14ac:dyDescent="0.25">
      <c r="A4767" s="3">
        <v>43891</v>
      </c>
      <c r="B4767" s="2" t="s">
        <v>340</v>
      </c>
      <c r="C4767" s="2">
        <v>0</v>
      </c>
      <c r="D4767" s="2">
        <v>0.52780000000000005</v>
      </c>
      <c r="E4767" s="2">
        <v>0</v>
      </c>
      <c r="F4767" s="2" t="s">
        <v>168</v>
      </c>
    </row>
    <row r="4768" spans="1:6" ht="22.5" hidden="1" customHeight="1" x14ac:dyDescent="0.25">
      <c r="A4768" s="3">
        <v>44228</v>
      </c>
      <c r="B4768" s="2" t="s">
        <v>368</v>
      </c>
      <c r="C4768" s="2">
        <v>0</v>
      </c>
      <c r="D4768" s="2">
        <v>0.39050000000000001</v>
      </c>
      <c r="E4768" s="2">
        <v>0</v>
      </c>
      <c r="F4768" s="2" t="s">
        <v>165</v>
      </c>
    </row>
    <row r="4769" spans="1:6" ht="22.5" hidden="1" customHeight="1" x14ac:dyDescent="0.25">
      <c r="A4769" s="3">
        <v>44228</v>
      </c>
      <c r="B4769" s="2" t="s">
        <v>369</v>
      </c>
      <c r="C4769" s="2">
        <v>0</v>
      </c>
      <c r="D4769" s="2">
        <v>0.56540000000000001</v>
      </c>
      <c r="E4769" s="2">
        <v>0</v>
      </c>
      <c r="F4769" s="2" t="s">
        <v>165</v>
      </c>
    </row>
    <row r="4770" spans="1:6" ht="22.5" hidden="1" customHeight="1" x14ac:dyDescent="0.25">
      <c r="A4770" s="3">
        <v>44228</v>
      </c>
      <c r="B4770" s="2" t="s">
        <v>370</v>
      </c>
      <c r="C4770" s="2">
        <v>-0.49</v>
      </c>
      <c r="D4770" s="2">
        <v>1.0169999999999999</v>
      </c>
      <c r="E4770" s="2">
        <v>-4.9833000000000004E-3</v>
      </c>
      <c r="F4770" s="2" t="s">
        <v>170</v>
      </c>
    </row>
    <row r="4771" spans="1:6" ht="22.5" hidden="1" customHeight="1" x14ac:dyDescent="0.25">
      <c r="A4771" s="3">
        <v>44228</v>
      </c>
      <c r="B4771" s="2" t="s">
        <v>371</v>
      </c>
      <c r="C4771" s="2">
        <v>0</v>
      </c>
      <c r="D4771" s="2">
        <v>6.7000000000000004E-2</v>
      </c>
      <c r="E4771" s="2">
        <v>0</v>
      </c>
      <c r="F4771" s="2" t="s">
        <v>165</v>
      </c>
    </row>
    <row r="4772" spans="1:6" ht="22.5" hidden="1" customHeight="1" x14ac:dyDescent="0.25">
      <c r="A4772" s="3">
        <v>44228</v>
      </c>
      <c r="B4772" s="2" t="s">
        <v>372</v>
      </c>
      <c r="C4772" s="2">
        <v>0</v>
      </c>
      <c r="D4772" s="2">
        <v>1.7088000000000001</v>
      </c>
      <c r="E4772" s="2">
        <v>0</v>
      </c>
      <c r="F4772" s="2" t="s">
        <v>165</v>
      </c>
    </row>
    <row r="4773" spans="1:6" ht="22.5" hidden="1" customHeight="1" x14ac:dyDescent="0.25">
      <c r="A4773" s="3">
        <v>44256</v>
      </c>
      <c r="B4773" s="2" t="s">
        <v>6</v>
      </c>
      <c r="C4773" s="2">
        <v>-1.65</v>
      </c>
      <c r="D4773" s="2">
        <v>0.74680000000000002</v>
      </c>
      <c r="E4773" s="2">
        <v>-1.23222E-2</v>
      </c>
      <c r="F4773" s="2" t="s">
        <v>7</v>
      </c>
    </row>
    <row r="4774" spans="1:6" ht="22.5" hidden="1" customHeight="1" x14ac:dyDescent="0.25">
      <c r="A4774" s="3">
        <v>44256</v>
      </c>
      <c r="B4774" s="2" t="s">
        <v>8</v>
      </c>
      <c r="C4774" s="2">
        <v>-2.71</v>
      </c>
      <c r="D4774" s="2">
        <v>1.46E-2</v>
      </c>
      <c r="E4774" s="2">
        <v>-3.9565999999999999E-4</v>
      </c>
      <c r="F4774" s="2" t="s">
        <v>7</v>
      </c>
    </row>
    <row r="4775" spans="1:6" ht="22.5" hidden="1" customHeight="1" x14ac:dyDescent="0.25">
      <c r="A4775" s="3">
        <v>44256</v>
      </c>
      <c r="B4775" s="2" t="s">
        <v>9</v>
      </c>
      <c r="C4775" s="2">
        <v>1.91</v>
      </c>
      <c r="D4775" s="2">
        <v>6.8900000000000003E-2</v>
      </c>
      <c r="E4775" s="2">
        <v>1.31599E-3</v>
      </c>
      <c r="F4775" s="2" t="s">
        <v>7</v>
      </c>
    </row>
    <row r="4776" spans="1:6" ht="22.5" hidden="1" customHeight="1" x14ac:dyDescent="0.25">
      <c r="A4776" s="3">
        <v>44256</v>
      </c>
      <c r="B4776" s="2" t="s">
        <v>10</v>
      </c>
      <c r="C4776" s="2">
        <v>2.3199999999999998</v>
      </c>
      <c r="D4776" s="2">
        <v>2.1899999999999999E-2</v>
      </c>
      <c r="E4776" s="2">
        <v>5.0807999999999995E-4</v>
      </c>
      <c r="F4776" s="2" t="s">
        <v>7</v>
      </c>
    </row>
    <row r="4777" spans="1:6" ht="22.5" hidden="1" customHeight="1" x14ac:dyDescent="0.25">
      <c r="A4777" s="3">
        <v>44256</v>
      </c>
      <c r="B4777" s="2" t="s">
        <v>11</v>
      </c>
      <c r="C4777" s="2">
        <v>-0.92</v>
      </c>
      <c r="D4777" s="2">
        <v>0.1502</v>
      </c>
      <c r="E4777" s="2">
        <v>-1.3818400000000001E-3</v>
      </c>
      <c r="F4777" s="2" t="s">
        <v>7</v>
      </c>
    </row>
    <row r="4778" spans="1:6" ht="22.5" hidden="1" customHeight="1" x14ac:dyDescent="0.25">
      <c r="A4778" s="3">
        <v>44256</v>
      </c>
      <c r="B4778" s="2" t="s">
        <v>12</v>
      </c>
      <c r="C4778" s="2">
        <v>0.85</v>
      </c>
      <c r="D4778" s="2">
        <v>1.0800000000000001E-2</v>
      </c>
      <c r="E4778" s="2">
        <v>9.1799999999999995E-5</v>
      </c>
      <c r="F4778" s="2" t="s">
        <v>7</v>
      </c>
    </row>
    <row r="4779" spans="1:6" ht="22.5" hidden="1" customHeight="1" x14ac:dyDescent="0.25">
      <c r="A4779" s="3">
        <v>44256</v>
      </c>
      <c r="B4779" s="2" t="s">
        <v>13</v>
      </c>
      <c r="C4779" s="2">
        <v>-1.34</v>
      </c>
      <c r="D4779" s="2">
        <v>3.0999999999999999E-3</v>
      </c>
      <c r="E4779" s="2">
        <v>-4.1539999999999999E-5</v>
      </c>
      <c r="F4779" s="2" t="s">
        <v>7</v>
      </c>
    </row>
    <row r="4780" spans="1:6" ht="22.5" hidden="1" customHeight="1" x14ac:dyDescent="0.25">
      <c r="A4780" s="3">
        <v>44256</v>
      </c>
      <c r="B4780" s="2" t="s">
        <v>14</v>
      </c>
      <c r="C4780" s="2">
        <v>2.0699999999999998</v>
      </c>
      <c r="D4780" s="2">
        <v>0.14680000000000001</v>
      </c>
      <c r="E4780" s="2">
        <v>3.0387600000000002E-3</v>
      </c>
      <c r="F4780" s="2" t="s">
        <v>7</v>
      </c>
    </row>
    <row r="4781" spans="1:6" ht="22.5" hidden="1" customHeight="1" x14ac:dyDescent="0.25">
      <c r="A4781" s="3">
        <v>44256</v>
      </c>
      <c r="B4781" s="2" t="s">
        <v>15</v>
      </c>
      <c r="C4781" s="2">
        <v>1.57</v>
      </c>
      <c r="D4781" s="2">
        <v>7.3000000000000001E-3</v>
      </c>
      <c r="E4781" s="2">
        <v>1.1461E-4</v>
      </c>
      <c r="F4781" s="2" t="s">
        <v>7</v>
      </c>
    </row>
    <row r="4782" spans="1:6" ht="22.5" hidden="1" customHeight="1" x14ac:dyDescent="0.25">
      <c r="A4782" s="3">
        <v>44256</v>
      </c>
      <c r="B4782" s="2" t="s">
        <v>16</v>
      </c>
      <c r="C4782" s="2">
        <v>1.89</v>
      </c>
      <c r="D4782" s="2">
        <v>9.1999999999999998E-3</v>
      </c>
      <c r="E4782" s="2">
        <v>1.7388000000000001E-4</v>
      </c>
      <c r="F4782" s="2" t="s">
        <v>7</v>
      </c>
    </row>
    <row r="4783" spans="1:6" ht="22.5" hidden="1" customHeight="1" x14ac:dyDescent="0.25">
      <c r="A4783" s="3">
        <v>44256</v>
      </c>
      <c r="B4783" s="2" t="s">
        <v>17</v>
      </c>
      <c r="C4783" s="2">
        <v>1.47</v>
      </c>
      <c r="D4783" s="2">
        <v>5.0099999999999999E-2</v>
      </c>
      <c r="E4783" s="2">
        <v>7.3647000000000003E-4</v>
      </c>
      <c r="F4783" s="2" t="s">
        <v>7</v>
      </c>
    </row>
    <row r="4784" spans="1:6" ht="22.5" hidden="1" customHeight="1" x14ac:dyDescent="0.25">
      <c r="A4784" s="3">
        <v>44256</v>
      </c>
      <c r="B4784" s="2" t="s">
        <v>18</v>
      </c>
      <c r="C4784" s="2">
        <v>0.69</v>
      </c>
      <c r="D4784" s="2">
        <v>9.8199999999999996E-2</v>
      </c>
      <c r="E4784" s="2">
        <v>6.7758E-4</v>
      </c>
      <c r="F4784" s="2" t="s">
        <v>7</v>
      </c>
    </row>
    <row r="4785" spans="1:6" ht="22.5" hidden="1" customHeight="1" x14ac:dyDescent="0.25">
      <c r="A4785" s="3">
        <v>44256</v>
      </c>
      <c r="B4785" s="2" t="s">
        <v>19</v>
      </c>
      <c r="C4785" s="2">
        <v>0.33</v>
      </c>
      <c r="D4785" s="2">
        <v>0.1211</v>
      </c>
      <c r="E4785" s="2">
        <v>3.9962999999999999E-4</v>
      </c>
      <c r="F4785" s="2" t="s">
        <v>7</v>
      </c>
    </row>
    <row r="4786" spans="1:6" ht="22.5" hidden="1" customHeight="1" x14ac:dyDescent="0.25">
      <c r="A4786" s="3">
        <v>44256</v>
      </c>
      <c r="B4786" s="2" t="s">
        <v>20</v>
      </c>
      <c r="C4786" s="2">
        <v>1.7</v>
      </c>
      <c r="D4786" s="2">
        <v>2.5499999999999998E-2</v>
      </c>
      <c r="E4786" s="2">
        <v>4.3350000000000002E-4</v>
      </c>
      <c r="F4786" s="2" t="s">
        <v>7</v>
      </c>
    </row>
    <row r="4787" spans="1:6" ht="22.5" hidden="1" customHeight="1" x14ac:dyDescent="0.25">
      <c r="A4787" s="3">
        <v>44256</v>
      </c>
      <c r="B4787" s="2" t="s">
        <v>21</v>
      </c>
      <c r="C4787" s="2">
        <v>7.12</v>
      </c>
      <c r="D4787" s="2">
        <v>3.4200000000000001E-2</v>
      </c>
      <c r="E4787" s="2">
        <v>2.4350399999999999E-3</v>
      </c>
      <c r="F4787" s="2" t="s">
        <v>7</v>
      </c>
    </row>
    <row r="4788" spans="1:6" ht="22.5" hidden="1" customHeight="1" x14ac:dyDescent="0.25">
      <c r="A4788" s="3">
        <v>44256</v>
      </c>
      <c r="B4788" s="2" t="s">
        <v>22</v>
      </c>
      <c r="C4788" s="2">
        <v>-16.2</v>
      </c>
      <c r="D4788" s="2">
        <v>0.23069999999999999</v>
      </c>
      <c r="E4788" s="2">
        <v>-3.7373400000000001E-2</v>
      </c>
      <c r="F4788" s="2" t="s">
        <v>7</v>
      </c>
    </row>
    <row r="4789" spans="1:6" ht="22.5" hidden="1" customHeight="1" x14ac:dyDescent="0.25">
      <c r="A4789" s="3">
        <v>44256</v>
      </c>
      <c r="B4789" s="2" t="s">
        <v>23</v>
      </c>
      <c r="C4789" s="2">
        <v>-1.72</v>
      </c>
      <c r="D4789" s="2">
        <v>1.6299999999999999E-2</v>
      </c>
      <c r="E4789" s="2">
        <v>-2.8036000000000001E-4</v>
      </c>
      <c r="F4789" s="2" t="s">
        <v>7</v>
      </c>
    </row>
    <row r="4790" spans="1:6" ht="22.5" hidden="1" customHeight="1" x14ac:dyDescent="0.25">
      <c r="A4790" s="3">
        <v>44256</v>
      </c>
      <c r="B4790" s="2" t="s">
        <v>24</v>
      </c>
      <c r="C4790" s="2">
        <v>19.47</v>
      </c>
      <c r="D4790" s="2">
        <v>1.01E-2</v>
      </c>
      <c r="E4790" s="2">
        <v>1.9664700000000001E-3</v>
      </c>
      <c r="F4790" s="2" t="s">
        <v>7</v>
      </c>
    </row>
    <row r="4791" spans="1:6" ht="22.5" hidden="1" customHeight="1" x14ac:dyDescent="0.25">
      <c r="A4791" s="3">
        <v>44256</v>
      </c>
      <c r="B4791" s="2" t="s">
        <v>25</v>
      </c>
      <c r="C4791" s="2">
        <v>8.9499999999999993</v>
      </c>
      <c r="D4791" s="2">
        <v>3.0000000000000001E-3</v>
      </c>
      <c r="E4791" s="2">
        <v>2.6850000000000002E-4</v>
      </c>
      <c r="F4791" s="2" t="s">
        <v>7</v>
      </c>
    </row>
    <row r="4792" spans="1:6" ht="22.5" hidden="1" customHeight="1" x14ac:dyDescent="0.25">
      <c r="A4792" s="3">
        <v>44256</v>
      </c>
      <c r="B4792" s="2" t="s">
        <v>26</v>
      </c>
      <c r="C4792" s="2">
        <v>-1.62</v>
      </c>
      <c r="D4792" s="2">
        <v>1.4800000000000001E-2</v>
      </c>
      <c r="E4792" s="2">
        <v>-2.3975999999999999E-4</v>
      </c>
      <c r="F4792" s="2" t="s">
        <v>7</v>
      </c>
    </row>
    <row r="4793" spans="1:6" ht="22.5" hidden="1" customHeight="1" x14ac:dyDescent="0.25">
      <c r="A4793" s="3">
        <v>44256</v>
      </c>
      <c r="B4793" s="2" t="s">
        <v>27</v>
      </c>
      <c r="C4793" s="2">
        <v>-17.5</v>
      </c>
      <c r="D4793" s="2">
        <v>0.25769999999999998</v>
      </c>
      <c r="E4793" s="2">
        <v>-4.5097499999999999E-2</v>
      </c>
      <c r="F4793" s="2" t="s">
        <v>7</v>
      </c>
    </row>
    <row r="4794" spans="1:6" ht="22.5" hidden="1" customHeight="1" x14ac:dyDescent="0.25">
      <c r="A4794" s="3">
        <v>44256</v>
      </c>
      <c r="B4794" s="2" t="s">
        <v>28</v>
      </c>
      <c r="C4794" s="2">
        <v>4.72</v>
      </c>
      <c r="D4794" s="2">
        <v>0.14360000000000001</v>
      </c>
      <c r="E4794" s="2">
        <v>6.7779199999999998E-3</v>
      </c>
      <c r="F4794" s="2" t="s">
        <v>7</v>
      </c>
    </row>
    <row r="4795" spans="1:6" ht="22.5" hidden="1" customHeight="1" x14ac:dyDescent="0.25">
      <c r="A4795" s="3">
        <v>44256</v>
      </c>
      <c r="B4795" s="2" t="s">
        <v>29</v>
      </c>
      <c r="C4795" s="2">
        <v>3.85</v>
      </c>
      <c r="D4795" s="2">
        <v>5.6300000000000003E-2</v>
      </c>
      <c r="E4795" s="2">
        <v>2.1675499999999999E-3</v>
      </c>
      <c r="F4795" s="2" t="s">
        <v>7</v>
      </c>
    </row>
    <row r="4796" spans="1:6" ht="22.5" hidden="1" customHeight="1" x14ac:dyDescent="0.25">
      <c r="A4796" s="3">
        <v>44256</v>
      </c>
      <c r="B4796" s="2" t="s">
        <v>30</v>
      </c>
      <c r="C4796" s="2">
        <v>0.76</v>
      </c>
      <c r="D4796" s="2">
        <v>9.9900000000000003E-2</v>
      </c>
      <c r="E4796" s="2">
        <v>7.5924E-4</v>
      </c>
      <c r="F4796" s="2" t="s">
        <v>7</v>
      </c>
    </row>
    <row r="4797" spans="1:6" ht="22.5" hidden="1" customHeight="1" x14ac:dyDescent="0.25">
      <c r="A4797" s="3">
        <v>44256</v>
      </c>
      <c r="B4797" s="2" t="s">
        <v>31</v>
      </c>
      <c r="C4797" s="2">
        <v>1.29</v>
      </c>
      <c r="D4797" s="2">
        <v>0.109</v>
      </c>
      <c r="E4797" s="2">
        <v>1.4061E-3</v>
      </c>
      <c r="F4797" s="2" t="s">
        <v>7</v>
      </c>
    </row>
    <row r="4798" spans="1:6" ht="22.5" hidden="1" customHeight="1" x14ac:dyDescent="0.25">
      <c r="A4798" s="3">
        <v>44256</v>
      </c>
      <c r="B4798" s="2" t="s">
        <v>32</v>
      </c>
      <c r="C4798" s="2">
        <v>-0.53</v>
      </c>
      <c r="D4798" s="2">
        <v>1.55E-2</v>
      </c>
      <c r="E4798" s="2">
        <v>-8.2150000000000005E-5</v>
      </c>
      <c r="F4798" s="2" t="s">
        <v>7</v>
      </c>
    </row>
    <row r="4799" spans="1:6" ht="22.5" hidden="1" customHeight="1" x14ac:dyDescent="0.25">
      <c r="A4799" s="3">
        <v>44256</v>
      </c>
      <c r="B4799" s="2" t="s">
        <v>33</v>
      </c>
      <c r="C4799" s="2">
        <v>-0.47</v>
      </c>
      <c r="D4799" s="2">
        <v>0.19</v>
      </c>
      <c r="E4799" s="2">
        <v>-8.9300000000000002E-4</v>
      </c>
      <c r="F4799" s="2" t="s">
        <v>7</v>
      </c>
    </row>
    <row r="4800" spans="1:6" ht="22.5" hidden="1" customHeight="1" x14ac:dyDescent="0.25">
      <c r="A4800" s="3">
        <v>44256</v>
      </c>
      <c r="B4800" s="2" t="s">
        <v>34</v>
      </c>
      <c r="C4800" s="2">
        <v>1.28</v>
      </c>
      <c r="D4800" s="2">
        <v>0.14319999999999999</v>
      </c>
      <c r="E4800" s="2">
        <v>1.83296E-3</v>
      </c>
      <c r="F4800" s="2" t="s">
        <v>7</v>
      </c>
    </row>
    <row r="4801" spans="1:6" ht="22.5" hidden="1" customHeight="1" x14ac:dyDescent="0.25">
      <c r="A4801" s="3">
        <v>44256</v>
      </c>
      <c r="B4801" s="2" t="s">
        <v>35</v>
      </c>
      <c r="C4801" s="2">
        <v>-0.32</v>
      </c>
      <c r="D4801" s="2">
        <v>0.10829999999999999</v>
      </c>
      <c r="E4801" s="2">
        <v>-3.4655999999999999E-4</v>
      </c>
      <c r="F4801" s="2" t="s">
        <v>7</v>
      </c>
    </row>
    <row r="4802" spans="1:6" ht="22.5" hidden="1" customHeight="1" x14ac:dyDescent="0.25">
      <c r="A4802" s="3">
        <v>44256</v>
      </c>
      <c r="B4802" s="2" t="s">
        <v>36</v>
      </c>
      <c r="C4802" s="2">
        <v>-2.69</v>
      </c>
      <c r="D4802" s="2">
        <v>1.8E-3</v>
      </c>
      <c r="E4802" s="2">
        <v>-4.8420000000000001E-5</v>
      </c>
      <c r="F4802" s="2" t="s">
        <v>7</v>
      </c>
    </row>
    <row r="4803" spans="1:6" ht="22.5" hidden="1" customHeight="1" x14ac:dyDescent="0.25">
      <c r="A4803" s="3">
        <v>44256</v>
      </c>
      <c r="B4803" s="2" t="s">
        <v>37</v>
      </c>
      <c r="C4803" s="2">
        <v>3.4</v>
      </c>
      <c r="D4803" s="2">
        <v>9.0899999999999995E-2</v>
      </c>
      <c r="E4803" s="2">
        <v>3.0906000000000002E-3</v>
      </c>
      <c r="F4803" s="2" t="s">
        <v>7</v>
      </c>
    </row>
    <row r="4804" spans="1:6" ht="22.5" hidden="1" customHeight="1" x14ac:dyDescent="0.25">
      <c r="A4804" s="3">
        <v>44256</v>
      </c>
      <c r="B4804" s="2" t="s">
        <v>38</v>
      </c>
      <c r="C4804" s="2">
        <v>-1.96</v>
      </c>
      <c r="D4804" s="2">
        <v>1.04E-2</v>
      </c>
      <c r="E4804" s="2">
        <v>-2.0384E-4</v>
      </c>
      <c r="F4804" s="2" t="s">
        <v>7</v>
      </c>
    </row>
    <row r="4805" spans="1:6" ht="22.5" hidden="1" customHeight="1" x14ac:dyDescent="0.25">
      <c r="A4805" s="3">
        <v>44256</v>
      </c>
      <c r="B4805" s="2" t="s">
        <v>39</v>
      </c>
      <c r="C4805" s="2">
        <v>3.52</v>
      </c>
      <c r="D4805" s="2">
        <v>1.5599999999999999E-2</v>
      </c>
      <c r="E4805" s="2">
        <v>5.4911999999999995E-4</v>
      </c>
      <c r="F4805" s="2" t="s">
        <v>7</v>
      </c>
    </row>
    <row r="4806" spans="1:6" ht="22.5" hidden="1" customHeight="1" x14ac:dyDescent="0.25">
      <c r="A4806" s="3">
        <v>44256</v>
      </c>
      <c r="B4806" s="2" t="s">
        <v>40</v>
      </c>
      <c r="C4806" s="2">
        <v>-0.19</v>
      </c>
      <c r="D4806" s="2">
        <v>3.2000000000000002E-3</v>
      </c>
      <c r="E4806" s="2">
        <v>-6.0800000000000002E-6</v>
      </c>
      <c r="F4806" s="2" t="s">
        <v>7</v>
      </c>
    </row>
    <row r="4807" spans="1:6" ht="22.5" hidden="1" customHeight="1" x14ac:dyDescent="0.25">
      <c r="A4807" s="3">
        <v>44256</v>
      </c>
      <c r="B4807" s="2" t="s">
        <v>41</v>
      </c>
      <c r="C4807" s="2">
        <v>5.66</v>
      </c>
      <c r="D4807" s="2">
        <v>1.9099999999999999E-2</v>
      </c>
      <c r="E4807" s="2">
        <v>1.08106E-3</v>
      </c>
      <c r="F4807" s="2" t="s">
        <v>7</v>
      </c>
    </row>
    <row r="4808" spans="1:6" ht="22.5" hidden="1" customHeight="1" x14ac:dyDescent="0.25">
      <c r="A4808" s="3">
        <v>44256</v>
      </c>
      <c r="B4808" s="2" t="s">
        <v>42</v>
      </c>
      <c r="C4808" s="2">
        <v>0.31</v>
      </c>
      <c r="D4808" s="2">
        <v>4.5100000000000001E-2</v>
      </c>
      <c r="E4808" s="2">
        <v>1.3981E-4</v>
      </c>
      <c r="F4808" s="2" t="s">
        <v>7</v>
      </c>
    </row>
    <row r="4809" spans="1:6" ht="22.5" hidden="1" customHeight="1" x14ac:dyDescent="0.25">
      <c r="A4809" s="3">
        <v>44256</v>
      </c>
      <c r="B4809" s="2" t="s">
        <v>43</v>
      </c>
      <c r="C4809" s="2">
        <v>5.46</v>
      </c>
      <c r="D4809" s="2">
        <v>3.0099999999999998E-2</v>
      </c>
      <c r="E4809" s="2">
        <v>1.64346E-3</v>
      </c>
      <c r="F4809" s="2" t="s">
        <v>7</v>
      </c>
    </row>
    <row r="4810" spans="1:6" ht="22.5" hidden="1" customHeight="1" x14ac:dyDescent="0.25">
      <c r="A4810" s="3">
        <v>44256</v>
      </c>
      <c r="B4810" s="2" t="s">
        <v>44</v>
      </c>
      <c r="C4810" s="2">
        <v>-4.09</v>
      </c>
      <c r="D4810" s="2">
        <v>1.6299999999999999E-2</v>
      </c>
      <c r="E4810" s="2">
        <v>-6.6666999999999996E-4</v>
      </c>
      <c r="F4810" s="2" t="s">
        <v>7</v>
      </c>
    </row>
    <row r="4811" spans="1:6" ht="22.5" hidden="1" customHeight="1" x14ac:dyDescent="0.25">
      <c r="A4811" s="3">
        <v>44256</v>
      </c>
      <c r="B4811" s="2" t="s">
        <v>45</v>
      </c>
      <c r="C4811" s="2">
        <v>4.8899999999999997</v>
      </c>
      <c r="D4811" s="2">
        <v>1.8800000000000001E-2</v>
      </c>
      <c r="E4811" s="2">
        <v>9.1931999999999995E-4</v>
      </c>
      <c r="F4811" s="2" t="s">
        <v>7</v>
      </c>
    </row>
    <row r="4812" spans="1:6" ht="22.5" hidden="1" customHeight="1" x14ac:dyDescent="0.25">
      <c r="A4812" s="3">
        <v>44256</v>
      </c>
      <c r="B4812" s="2" t="s">
        <v>46</v>
      </c>
      <c r="C4812" s="2">
        <v>-20.16</v>
      </c>
      <c r="D4812" s="2">
        <v>1.1999999999999999E-3</v>
      </c>
      <c r="E4812" s="2">
        <v>-2.4191999999999999E-4</v>
      </c>
      <c r="F4812" s="2" t="s">
        <v>7</v>
      </c>
    </row>
    <row r="4813" spans="1:6" ht="22.5" hidden="1" customHeight="1" x14ac:dyDescent="0.25">
      <c r="A4813" s="3">
        <v>44256</v>
      </c>
      <c r="B4813" s="2" t="s">
        <v>47</v>
      </c>
      <c r="C4813" s="2">
        <v>-9.64</v>
      </c>
      <c r="D4813" s="2">
        <v>0.12330000000000001</v>
      </c>
      <c r="E4813" s="2">
        <v>-1.188612E-2</v>
      </c>
      <c r="F4813" s="2" t="s">
        <v>7</v>
      </c>
    </row>
    <row r="4814" spans="1:6" ht="22.5" hidden="1" customHeight="1" x14ac:dyDescent="0.25">
      <c r="A4814" s="3">
        <v>44256</v>
      </c>
      <c r="B4814" s="2" t="s">
        <v>48</v>
      </c>
      <c r="C4814" s="2">
        <v>0.05</v>
      </c>
      <c r="D4814" s="2">
        <v>4.4000000000000003E-3</v>
      </c>
      <c r="E4814" s="2">
        <v>2.2000000000000001E-6</v>
      </c>
      <c r="F4814" s="2" t="s">
        <v>7</v>
      </c>
    </row>
    <row r="4815" spans="1:6" ht="22.5" hidden="1" customHeight="1" x14ac:dyDescent="0.25">
      <c r="A4815" s="3">
        <v>44256</v>
      </c>
      <c r="B4815" s="2" t="s">
        <v>49</v>
      </c>
      <c r="C4815" s="2">
        <v>1.5</v>
      </c>
      <c r="D4815" s="2">
        <v>0.18260000000000001</v>
      </c>
      <c r="E4815" s="2">
        <v>2.7390000000000001E-3</v>
      </c>
      <c r="F4815" s="2" t="s">
        <v>7</v>
      </c>
    </row>
    <row r="4816" spans="1:6" ht="22.5" hidden="1" customHeight="1" x14ac:dyDescent="0.25">
      <c r="A4816" s="3">
        <v>44256</v>
      </c>
      <c r="B4816" s="2" t="s">
        <v>50</v>
      </c>
      <c r="C4816" s="2">
        <v>3.46</v>
      </c>
      <c r="D4816" s="2">
        <v>5.7000000000000002E-3</v>
      </c>
      <c r="E4816" s="2">
        <v>1.9722000000000001E-4</v>
      </c>
      <c r="F4816" s="2" t="s">
        <v>7</v>
      </c>
    </row>
    <row r="4817" spans="1:6" ht="22.5" hidden="1" customHeight="1" x14ac:dyDescent="0.25">
      <c r="A4817" s="3">
        <v>44256</v>
      </c>
      <c r="B4817" s="2" t="s">
        <v>51</v>
      </c>
      <c r="C4817" s="2">
        <v>3.89</v>
      </c>
      <c r="D4817" s="2">
        <v>6.4999999999999997E-3</v>
      </c>
      <c r="E4817" s="2">
        <v>2.5284999999999999E-4</v>
      </c>
      <c r="F4817" s="2" t="s">
        <v>7</v>
      </c>
    </row>
    <row r="4818" spans="1:6" ht="22.5" hidden="1" customHeight="1" x14ac:dyDescent="0.25">
      <c r="A4818" s="3">
        <v>44256</v>
      </c>
      <c r="B4818" s="2" t="s">
        <v>52</v>
      </c>
      <c r="C4818" s="2">
        <v>14.17</v>
      </c>
      <c r="D4818" s="2">
        <v>2.9100000000000001E-2</v>
      </c>
      <c r="E4818" s="2">
        <v>4.1234699999999997E-3</v>
      </c>
      <c r="F4818" s="2" t="s">
        <v>7</v>
      </c>
    </row>
    <row r="4819" spans="1:6" ht="22.5" hidden="1" customHeight="1" x14ac:dyDescent="0.25">
      <c r="A4819" s="3">
        <v>44256</v>
      </c>
      <c r="B4819" s="2" t="s">
        <v>53</v>
      </c>
      <c r="C4819" s="2">
        <v>-11.33</v>
      </c>
      <c r="D4819" s="2">
        <v>0.19339999999999999</v>
      </c>
      <c r="E4819" s="2">
        <v>-2.191222E-2</v>
      </c>
      <c r="F4819" s="2" t="s">
        <v>7</v>
      </c>
    </row>
    <row r="4820" spans="1:6" ht="22.5" hidden="1" customHeight="1" x14ac:dyDescent="0.25">
      <c r="A4820" s="3">
        <v>44256</v>
      </c>
      <c r="B4820" s="2" t="s">
        <v>54</v>
      </c>
      <c r="C4820" s="2">
        <v>14.4</v>
      </c>
      <c r="D4820" s="2">
        <v>8.8900000000000007E-2</v>
      </c>
      <c r="E4820" s="2">
        <v>1.28016E-2</v>
      </c>
      <c r="F4820" s="2" t="s">
        <v>7</v>
      </c>
    </row>
    <row r="4821" spans="1:6" ht="22.5" hidden="1" customHeight="1" x14ac:dyDescent="0.25">
      <c r="A4821" s="3">
        <v>44256</v>
      </c>
      <c r="B4821" s="2" t="s">
        <v>55</v>
      </c>
      <c r="C4821" s="2">
        <v>22.28</v>
      </c>
      <c r="D4821" s="2">
        <v>5.9900000000000002E-2</v>
      </c>
      <c r="E4821" s="2">
        <v>1.334572E-2</v>
      </c>
      <c r="F4821" s="2" t="s">
        <v>7</v>
      </c>
    </row>
    <row r="4822" spans="1:6" ht="22.5" hidden="1" customHeight="1" x14ac:dyDescent="0.25">
      <c r="A4822" s="3">
        <v>44256</v>
      </c>
      <c r="B4822" s="2" t="s">
        <v>56</v>
      </c>
      <c r="C4822" s="2">
        <v>15.87</v>
      </c>
      <c r="D4822" s="2">
        <v>6.7000000000000002E-3</v>
      </c>
      <c r="E4822" s="2">
        <v>1.0632899999999999E-3</v>
      </c>
      <c r="F4822" s="2" t="s">
        <v>7</v>
      </c>
    </row>
    <row r="4823" spans="1:6" ht="22.5" hidden="1" customHeight="1" x14ac:dyDescent="0.25">
      <c r="A4823" s="3">
        <v>44256</v>
      </c>
      <c r="B4823" s="2" t="s">
        <v>57</v>
      </c>
      <c r="C4823" s="2">
        <v>0.59</v>
      </c>
      <c r="D4823" s="2">
        <v>2.76E-2</v>
      </c>
      <c r="E4823" s="2">
        <v>1.6284000000000001E-4</v>
      </c>
      <c r="F4823" s="2" t="s">
        <v>7</v>
      </c>
    </row>
    <row r="4824" spans="1:6" ht="22.5" hidden="1" customHeight="1" x14ac:dyDescent="0.25">
      <c r="A4824" s="3">
        <v>44256</v>
      </c>
      <c r="B4824" s="2" t="s">
        <v>58</v>
      </c>
      <c r="C4824" s="2">
        <v>-4.37</v>
      </c>
      <c r="D4824" s="2">
        <v>1.7299999999999999E-2</v>
      </c>
      <c r="E4824" s="2">
        <v>-7.5600999999999999E-4</v>
      </c>
      <c r="F4824" s="2" t="s">
        <v>7</v>
      </c>
    </row>
    <row r="4825" spans="1:6" ht="22.5" hidden="1" customHeight="1" x14ac:dyDescent="0.25">
      <c r="A4825" s="3">
        <v>44256</v>
      </c>
      <c r="B4825" s="2" t="s">
        <v>59</v>
      </c>
      <c r="C4825" s="2">
        <v>-3.99</v>
      </c>
      <c r="D4825" s="2">
        <v>2.4899999999999999E-2</v>
      </c>
      <c r="E4825" s="2">
        <v>-9.9350999999999997E-4</v>
      </c>
      <c r="F4825" s="2" t="s">
        <v>7</v>
      </c>
    </row>
    <row r="4826" spans="1:6" ht="22.5" hidden="1" customHeight="1" x14ac:dyDescent="0.25">
      <c r="A4826" s="3">
        <v>44256</v>
      </c>
      <c r="B4826" s="2" t="s">
        <v>60</v>
      </c>
      <c r="C4826" s="2">
        <v>-0.09</v>
      </c>
      <c r="D4826" s="2">
        <v>3.6400000000000002E-2</v>
      </c>
      <c r="E4826" s="2">
        <v>-3.2759999999999998E-5</v>
      </c>
      <c r="F4826" s="2" t="s">
        <v>7</v>
      </c>
    </row>
    <row r="4827" spans="1:6" ht="22.5" hidden="1" customHeight="1" x14ac:dyDescent="0.25">
      <c r="A4827" s="3">
        <v>44256</v>
      </c>
      <c r="B4827" s="2" t="s">
        <v>61</v>
      </c>
      <c r="C4827" s="2">
        <v>3.2</v>
      </c>
      <c r="D4827" s="2">
        <v>7.6200000000000004E-2</v>
      </c>
      <c r="E4827" s="2">
        <v>2.4383999999999999E-3</v>
      </c>
      <c r="F4827" s="2" t="s">
        <v>7</v>
      </c>
    </row>
    <row r="4828" spans="1:6" ht="22.5" hidden="1" customHeight="1" x14ac:dyDescent="0.25">
      <c r="A4828" s="3">
        <v>44256</v>
      </c>
      <c r="B4828" s="2" t="s">
        <v>62</v>
      </c>
      <c r="C4828" s="2">
        <v>-4.26</v>
      </c>
      <c r="D4828" s="2">
        <v>9.9000000000000005E-2</v>
      </c>
      <c r="E4828" s="2">
        <v>-4.2173999999999996E-3</v>
      </c>
      <c r="F4828" s="2" t="s">
        <v>7</v>
      </c>
    </row>
    <row r="4829" spans="1:6" ht="22.5" hidden="1" customHeight="1" x14ac:dyDescent="0.25">
      <c r="A4829" s="3">
        <v>44256</v>
      </c>
      <c r="B4829" s="2" t="s">
        <v>63</v>
      </c>
      <c r="C4829" s="2">
        <v>7.43</v>
      </c>
      <c r="D4829" s="2">
        <v>9.7000000000000003E-3</v>
      </c>
      <c r="E4829" s="2">
        <v>7.2070999999999995E-4</v>
      </c>
      <c r="F4829" s="2" t="s">
        <v>7</v>
      </c>
    </row>
    <row r="4830" spans="1:6" ht="22.5" hidden="1" customHeight="1" x14ac:dyDescent="0.25">
      <c r="A4830" s="3">
        <v>44256</v>
      </c>
      <c r="B4830" s="2" t="s">
        <v>64</v>
      </c>
      <c r="C4830" s="2">
        <v>-7.58</v>
      </c>
      <c r="D4830" s="2">
        <v>4.3E-3</v>
      </c>
      <c r="E4830" s="2">
        <v>-3.2593999999999999E-4</v>
      </c>
      <c r="F4830" s="2" t="s">
        <v>7</v>
      </c>
    </row>
    <row r="4831" spans="1:6" ht="22.5" hidden="1" customHeight="1" x14ac:dyDescent="0.25">
      <c r="A4831" s="3">
        <v>44256</v>
      </c>
      <c r="B4831" s="2" t="s">
        <v>65</v>
      </c>
      <c r="C4831" s="2">
        <v>-3.1</v>
      </c>
      <c r="D4831" s="2">
        <v>2.1299999999999999E-2</v>
      </c>
      <c r="E4831" s="2">
        <v>-6.6029999999999995E-4</v>
      </c>
      <c r="F4831" s="2" t="s">
        <v>7</v>
      </c>
    </row>
    <row r="4832" spans="1:6" ht="22.5" hidden="1" customHeight="1" x14ac:dyDescent="0.25">
      <c r="A4832" s="3">
        <v>44256</v>
      </c>
      <c r="B4832" s="2" t="s">
        <v>66</v>
      </c>
      <c r="C4832" s="2">
        <v>-1.65</v>
      </c>
      <c r="D4832" s="2">
        <v>0.39439999999999997</v>
      </c>
      <c r="E4832" s="2">
        <v>-6.5075999999999997E-3</v>
      </c>
      <c r="F4832" s="2" t="s">
        <v>7</v>
      </c>
    </row>
    <row r="4833" spans="1:6" ht="22.5" hidden="1" customHeight="1" x14ac:dyDescent="0.25">
      <c r="A4833" s="3">
        <v>44256</v>
      </c>
      <c r="B4833" s="2" t="s">
        <v>67</v>
      </c>
      <c r="C4833" s="2">
        <v>0.99</v>
      </c>
      <c r="D4833" s="2">
        <v>3.7000000000000002E-3</v>
      </c>
      <c r="E4833" s="2">
        <v>3.663E-5</v>
      </c>
      <c r="F4833" s="2" t="s">
        <v>7</v>
      </c>
    </row>
    <row r="4834" spans="1:6" ht="22.5" hidden="1" customHeight="1" x14ac:dyDescent="0.25">
      <c r="A4834" s="3">
        <v>44256</v>
      </c>
      <c r="B4834" s="2" t="s">
        <v>68</v>
      </c>
      <c r="C4834" s="2">
        <v>1.31</v>
      </c>
      <c r="D4834" s="2">
        <v>1.23E-2</v>
      </c>
      <c r="E4834" s="2">
        <v>1.6113E-4</v>
      </c>
      <c r="F4834" s="2" t="s">
        <v>7</v>
      </c>
    </row>
    <row r="4835" spans="1:6" ht="22.5" hidden="1" customHeight="1" x14ac:dyDescent="0.25">
      <c r="A4835" s="3">
        <v>44256</v>
      </c>
      <c r="B4835" s="2" t="s">
        <v>69</v>
      </c>
      <c r="C4835" s="2">
        <v>1.84</v>
      </c>
      <c r="D4835" s="2">
        <v>0.49330000000000002</v>
      </c>
      <c r="E4835" s="2">
        <v>9.0767199999999999E-3</v>
      </c>
      <c r="F4835" s="2" t="s">
        <v>7</v>
      </c>
    </row>
    <row r="4836" spans="1:6" ht="22.5" hidden="1" customHeight="1" x14ac:dyDescent="0.25">
      <c r="A4836" s="3">
        <v>44256</v>
      </c>
      <c r="B4836" s="2" t="s">
        <v>70</v>
      </c>
      <c r="C4836" s="2">
        <v>2.38</v>
      </c>
      <c r="D4836" s="2">
        <v>2.63E-2</v>
      </c>
      <c r="E4836" s="2">
        <v>6.2593999999999996E-4</v>
      </c>
      <c r="F4836" s="2" t="s">
        <v>7</v>
      </c>
    </row>
    <row r="4837" spans="1:6" ht="22.5" hidden="1" customHeight="1" x14ac:dyDescent="0.25">
      <c r="A4837" s="3">
        <v>44256</v>
      </c>
      <c r="B4837" s="2" t="s">
        <v>71</v>
      </c>
      <c r="C4837" s="2">
        <v>1.9</v>
      </c>
      <c r="D4837" s="2">
        <v>0.34029999999999999</v>
      </c>
      <c r="E4837" s="2">
        <v>6.4656999999999996E-3</v>
      </c>
      <c r="F4837" s="2" t="s">
        <v>7</v>
      </c>
    </row>
    <row r="4838" spans="1:6" ht="22.5" hidden="1" customHeight="1" x14ac:dyDescent="0.25">
      <c r="A4838" s="3">
        <v>44256</v>
      </c>
      <c r="B4838" s="2" t="s">
        <v>72</v>
      </c>
      <c r="C4838" s="2">
        <v>1.46</v>
      </c>
      <c r="D4838" s="2">
        <v>0.36730000000000002</v>
      </c>
      <c r="E4838" s="2">
        <v>5.3625799999999996E-3</v>
      </c>
      <c r="F4838" s="2" t="s">
        <v>7</v>
      </c>
    </row>
    <row r="4839" spans="1:6" ht="22.5" hidden="1" customHeight="1" x14ac:dyDescent="0.25">
      <c r="A4839" s="3">
        <v>44256</v>
      </c>
      <c r="B4839" s="2" t="s">
        <v>73</v>
      </c>
      <c r="C4839" s="2">
        <v>3.48</v>
      </c>
      <c r="D4839" s="2">
        <v>0.17860000000000001</v>
      </c>
      <c r="E4839" s="2">
        <v>6.2152800000000001E-3</v>
      </c>
      <c r="F4839" s="2" t="s">
        <v>7</v>
      </c>
    </row>
    <row r="4840" spans="1:6" ht="22.5" hidden="1" customHeight="1" x14ac:dyDescent="0.25">
      <c r="A4840" s="3">
        <v>44256</v>
      </c>
      <c r="B4840" s="2" t="s">
        <v>74</v>
      </c>
      <c r="C4840" s="2">
        <v>2.11</v>
      </c>
      <c r="D4840" s="2">
        <v>9.7000000000000003E-3</v>
      </c>
      <c r="E4840" s="2">
        <v>2.0467E-4</v>
      </c>
      <c r="F4840" s="2" t="s">
        <v>7</v>
      </c>
    </row>
    <row r="4841" spans="1:6" ht="22.5" hidden="1" customHeight="1" x14ac:dyDescent="0.25">
      <c r="A4841" s="3">
        <v>44256</v>
      </c>
      <c r="B4841" s="2" t="s">
        <v>75</v>
      </c>
      <c r="C4841" s="2">
        <v>2.46</v>
      </c>
      <c r="D4841" s="2">
        <v>7.9299999999999995E-2</v>
      </c>
      <c r="E4841" s="2">
        <v>1.95078E-3</v>
      </c>
      <c r="F4841" s="2" t="s">
        <v>7</v>
      </c>
    </row>
    <row r="4842" spans="1:6" ht="22.5" hidden="1" customHeight="1" x14ac:dyDescent="0.25">
      <c r="A4842" s="3">
        <v>44256</v>
      </c>
      <c r="B4842" s="2" t="s">
        <v>76</v>
      </c>
      <c r="C4842" s="2">
        <v>2.08</v>
      </c>
      <c r="D4842" s="2">
        <v>0.16619999999999999</v>
      </c>
      <c r="E4842" s="2">
        <v>3.4569599999999998E-3</v>
      </c>
      <c r="F4842" s="2" t="s">
        <v>7</v>
      </c>
    </row>
    <row r="4843" spans="1:6" ht="22.5" hidden="1" customHeight="1" x14ac:dyDescent="0.25">
      <c r="A4843" s="3">
        <v>44256</v>
      </c>
      <c r="B4843" s="2" t="s">
        <v>77</v>
      </c>
      <c r="C4843" s="2">
        <v>2.79</v>
      </c>
      <c r="D4843" s="2">
        <v>0.11210000000000001</v>
      </c>
      <c r="E4843" s="2">
        <v>3.12759E-3</v>
      </c>
      <c r="F4843" s="2" t="s">
        <v>7</v>
      </c>
    </row>
    <row r="4844" spans="1:6" ht="22.5" hidden="1" customHeight="1" x14ac:dyDescent="0.25">
      <c r="A4844" s="3">
        <v>44256</v>
      </c>
      <c r="B4844" s="2" t="s">
        <v>78</v>
      </c>
      <c r="C4844" s="2">
        <v>3.54</v>
      </c>
      <c r="D4844" s="2">
        <v>0.3004</v>
      </c>
      <c r="E4844" s="2">
        <v>1.063416E-2</v>
      </c>
      <c r="F4844" s="2" t="s">
        <v>7</v>
      </c>
    </row>
    <row r="4845" spans="1:6" ht="22.5" hidden="1" customHeight="1" x14ac:dyDescent="0.25">
      <c r="A4845" s="3">
        <v>44256</v>
      </c>
      <c r="B4845" s="2" t="s">
        <v>79</v>
      </c>
      <c r="C4845" s="2">
        <v>2.11</v>
      </c>
      <c r="D4845" s="2">
        <v>1.1599999999999999E-2</v>
      </c>
      <c r="E4845" s="2">
        <v>2.4476000000000001E-4</v>
      </c>
      <c r="F4845" s="2" t="s">
        <v>7</v>
      </c>
    </row>
    <row r="4846" spans="1:6" ht="22.5" hidden="1" customHeight="1" x14ac:dyDescent="0.25">
      <c r="A4846" s="3">
        <v>44256</v>
      </c>
      <c r="B4846" s="2" t="s">
        <v>80</v>
      </c>
      <c r="C4846" s="2">
        <v>3.41</v>
      </c>
      <c r="D4846" s="2">
        <v>4.1500000000000002E-2</v>
      </c>
      <c r="E4846" s="2">
        <v>1.41515E-3</v>
      </c>
      <c r="F4846" s="2" t="s">
        <v>7</v>
      </c>
    </row>
    <row r="4847" spans="1:6" ht="22.5" hidden="1" customHeight="1" x14ac:dyDescent="0.25">
      <c r="A4847" s="3">
        <v>44256</v>
      </c>
      <c r="B4847" s="2" t="s">
        <v>81</v>
      </c>
      <c r="C4847" s="2">
        <v>2.4900000000000002</v>
      </c>
      <c r="D4847" s="2">
        <v>0.3715</v>
      </c>
      <c r="E4847" s="2">
        <v>9.2503499999999992E-3</v>
      </c>
      <c r="F4847" s="2" t="s">
        <v>7</v>
      </c>
    </row>
    <row r="4848" spans="1:6" ht="22.5" hidden="1" customHeight="1" x14ac:dyDescent="0.25">
      <c r="A4848" s="3">
        <v>44256</v>
      </c>
      <c r="B4848" s="2" t="s">
        <v>82</v>
      </c>
      <c r="C4848" s="2">
        <v>0.27</v>
      </c>
      <c r="D4848" s="2">
        <v>4.6800000000000001E-2</v>
      </c>
      <c r="E4848" s="2">
        <v>1.2636E-4</v>
      </c>
      <c r="F4848" s="2" t="s">
        <v>7</v>
      </c>
    </row>
    <row r="4849" spans="1:6" ht="22.5" hidden="1" customHeight="1" x14ac:dyDescent="0.25">
      <c r="A4849" s="3">
        <v>44256</v>
      </c>
      <c r="B4849" s="2" t="s">
        <v>83</v>
      </c>
      <c r="C4849" s="2">
        <v>-0.05</v>
      </c>
      <c r="D4849" s="2">
        <v>6.9999999999999999E-4</v>
      </c>
      <c r="E4849" s="2">
        <v>-3.4999999999999998E-7</v>
      </c>
      <c r="F4849" s="2" t="s">
        <v>7</v>
      </c>
    </row>
    <row r="4850" spans="1:6" ht="22.5" hidden="1" customHeight="1" x14ac:dyDescent="0.25">
      <c r="A4850" s="3">
        <v>44256</v>
      </c>
      <c r="B4850" s="2" t="s">
        <v>84</v>
      </c>
      <c r="C4850" s="2">
        <v>-0.35</v>
      </c>
      <c r="D4850" s="2">
        <v>2.3099999999999999E-2</v>
      </c>
      <c r="E4850" s="2">
        <v>-8.085E-5</v>
      </c>
      <c r="F4850" s="2" t="s">
        <v>7</v>
      </c>
    </row>
    <row r="4851" spans="1:6" ht="22.5" hidden="1" customHeight="1" x14ac:dyDescent="0.25">
      <c r="A4851" s="3">
        <v>44256</v>
      </c>
      <c r="B4851" s="2" t="s">
        <v>85</v>
      </c>
      <c r="C4851" s="2">
        <v>0.46</v>
      </c>
      <c r="D4851" s="2">
        <v>5.4999999999999997E-3</v>
      </c>
      <c r="E4851" s="2">
        <v>2.5299999999999998E-5</v>
      </c>
      <c r="F4851" s="2" t="s">
        <v>7</v>
      </c>
    </row>
    <row r="4852" spans="1:6" ht="22.5" hidden="1" customHeight="1" x14ac:dyDescent="0.25">
      <c r="A4852" s="3">
        <v>44256</v>
      </c>
      <c r="B4852" s="2" t="s">
        <v>86</v>
      </c>
      <c r="C4852" s="2">
        <v>0.12</v>
      </c>
      <c r="D4852" s="2">
        <v>2.5100000000000001E-2</v>
      </c>
      <c r="E4852" s="2">
        <v>3.012E-5</v>
      </c>
      <c r="F4852" s="2" t="s">
        <v>7</v>
      </c>
    </row>
    <row r="4853" spans="1:6" ht="22.5" hidden="1" customHeight="1" x14ac:dyDescent="0.25">
      <c r="A4853" s="3">
        <v>44256</v>
      </c>
      <c r="B4853" s="2" t="s">
        <v>87</v>
      </c>
      <c r="C4853" s="2">
        <v>4.6399999999999997</v>
      </c>
      <c r="D4853" s="2">
        <v>1E-3</v>
      </c>
      <c r="E4853" s="2">
        <v>4.6400000000000003E-5</v>
      </c>
      <c r="F4853" s="2" t="s">
        <v>7</v>
      </c>
    </row>
    <row r="4854" spans="1:6" ht="22.5" hidden="1" customHeight="1" x14ac:dyDescent="0.25">
      <c r="A4854" s="3">
        <v>44256</v>
      </c>
      <c r="B4854" s="2" t="s">
        <v>88</v>
      </c>
      <c r="C4854" s="2">
        <v>-0.03</v>
      </c>
      <c r="D4854" s="2">
        <v>6.7000000000000002E-3</v>
      </c>
      <c r="E4854" s="2">
        <v>-2.0099999999999998E-6</v>
      </c>
      <c r="F4854" s="2" t="s">
        <v>7</v>
      </c>
    </row>
    <row r="4855" spans="1:6" ht="22.5" hidden="1" customHeight="1" x14ac:dyDescent="0.25">
      <c r="A4855" s="3">
        <v>44256</v>
      </c>
      <c r="B4855" s="2" t="s">
        <v>89</v>
      </c>
      <c r="C4855" s="2">
        <v>-0.24</v>
      </c>
      <c r="D4855" s="2">
        <v>1.78E-2</v>
      </c>
      <c r="E4855" s="2">
        <v>-4.2719999999999998E-5</v>
      </c>
      <c r="F4855" s="2" t="s">
        <v>7</v>
      </c>
    </row>
    <row r="4856" spans="1:6" ht="22.5" hidden="1" customHeight="1" x14ac:dyDescent="0.25">
      <c r="A4856" s="3">
        <v>44256</v>
      </c>
      <c r="B4856" s="2" t="s">
        <v>90</v>
      </c>
      <c r="C4856" s="2">
        <v>1.41</v>
      </c>
      <c r="D4856" s="2">
        <v>1.6000000000000001E-3</v>
      </c>
      <c r="E4856" s="2">
        <v>2.2560000000000001E-5</v>
      </c>
      <c r="F4856" s="2" t="s">
        <v>7</v>
      </c>
    </row>
    <row r="4857" spans="1:6" ht="22.5" hidden="1" customHeight="1" x14ac:dyDescent="0.25">
      <c r="A4857" s="3">
        <v>44256</v>
      </c>
      <c r="B4857" s="2" t="s">
        <v>91</v>
      </c>
      <c r="C4857" s="2">
        <v>0.47</v>
      </c>
      <c r="D4857" s="2">
        <v>2.4500000000000001E-2</v>
      </c>
      <c r="E4857" s="2">
        <v>1.1514999999999999E-4</v>
      </c>
      <c r="F4857" s="2" t="s">
        <v>7</v>
      </c>
    </row>
    <row r="4858" spans="1:6" ht="22.5" hidden="1" customHeight="1" x14ac:dyDescent="0.25">
      <c r="A4858" s="3">
        <v>44256</v>
      </c>
      <c r="B4858" s="2" t="s">
        <v>92</v>
      </c>
      <c r="C4858" s="2">
        <v>0</v>
      </c>
      <c r="D4858" s="2">
        <v>5.3E-3</v>
      </c>
      <c r="E4858" s="2">
        <v>0</v>
      </c>
      <c r="F4858" s="2" t="s">
        <v>7</v>
      </c>
    </row>
    <row r="4859" spans="1:6" ht="22.5" hidden="1" customHeight="1" x14ac:dyDescent="0.25">
      <c r="A4859" s="3">
        <v>44256</v>
      </c>
      <c r="B4859" s="2" t="s">
        <v>93</v>
      </c>
      <c r="C4859" s="2">
        <v>-0.05</v>
      </c>
      <c r="D4859" s="2">
        <v>1.1000000000000001E-3</v>
      </c>
      <c r="E4859" s="2">
        <v>-5.5000000000000003E-7</v>
      </c>
      <c r="F4859" s="2" t="s">
        <v>7</v>
      </c>
    </row>
    <row r="4860" spans="1:6" ht="22.5" hidden="1" customHeight="1" x14ac:dyDescent="0.25">
      <c r="A4860" s="3">
        <v>44256</v>
      </c>
      <c r="B4860" s="2" t="s">
        <v>94</v>
      </c>
      <c r="C4860" s="2">
        <v>0.96</v>
      </c>
      <c r="D4860" s="2">
        <v>8.9999999999999998E-4</v>
      </c>
      <c r="E4860" s="2">
        <v>8.6400000000000003E-6</v>
      </c>
      <c r="F4860" s="2" t="s">
        <v>7</v>
      </c>
    </row>
    <row r="4861" spans="1:6" ht="22.5" hidden="1" customHeight="1" x14ac:dyDescent="0.25">
      <c r="A4861" s="3">
        <v>44256</v>
      </c>
      <c r="B4861" s="2" t="s">
        <v>95</v>
      </c>
      <c r="C4861" s="2">
        <v>0.08</v>
      </c>
      <c r="D4861" s="2">
        <v>1.66E-2</v>
      </c>
      <c r="E4861" s="2">
        <v>1.328E-5</v>
      </c>
      <c r="F4861" s="2" t="s">
        <v>7</v>
      </c>
    </row>
    <row r="4862" spans="1:6" ht="22.5" hidden="1" customHeight="1" x14ac:dyDescent="0.25">
      <c r="A4862" s="3">
        <v>44256</v>
      </c>
      <c r="B4862" s="2" t="s">
        <v>96</v>
      </c>
      <c r="C4862" s="2">
        <v>0.81</v>
      </c>
      <c r="D4862" s="2">
        <v>4.8800000000000003E-2</v>
      </c>
      <c r="E4862" s="2">
        <v>3.9528000000000002E-4</v>
      </c>
      <c r="F4862" s="2" t="s">
        <v>7</v>
      </c>
    </row>
    <row r="4863" spans="1:6" ht="22.5" hidden="1" customHeight="1" x14ac:dyDescent="0.25">
      <c r="A4863" s="3">
        <v>44256</v>
      </c>
      <c r="B4863" s="2" t="s">
        <v>97</v>
      </c>
      <c r="C4863" s="2">
        <v>0.44</v>
      </c>
      <c r="D4863" s="2">
        <v>1.06E-2</v>
      </c>
      <c r="E4863" s="2">
        <v>4.6640000000000001E-5</v>
      </c>
      <c r="F4863" s="2" t="s">
        <v>7</v>
      </c>
    </row>
    <row r="4864" spans="1:6" ht="22.5" hidden="1" customHeight="1" x14ac:dyDescent="0.25">
      <c r="A4864" s="3">
        <v>44256</v>
      </c>
      <c r="B4864" s="2" t="s">
        <v>98</v>
      </c>
      <c r="C4864" s="2">
        <v>0.25</v>
      </c>
      <c r="D4864" s="2">
        <v>6.4000000000000003E-3</v>
      </c>
      <c r="E4864" s="2">
        <v>1.5999999999999999E-5</v>
      </c>
      <c r="F4864" s="2" t="s">
        <v>7</v>
      </c>
    </row>
    <row r="4865" spans="1:6" ht="22.5" hidden="1" customHeight="1" x14ac:dyDescent="0.25">
      <c r="A4865" s="3">
        <v>44256</v>
      </c>
      <c r="B4865" s="2" t="s">
        <v>99</v>
      </c>
      <c r="C4865" s="2">
        <v>0.31</v>
      </c>
      <c r="D4865" s="2">
        <v>3.5000000000000001E-3</v>
      </c>
      <c r="E4865" s="2">
        <v>1.0849999999999999E-5</v>
      </c>
      <c r="F4865" s="2" t="s">
        <v>7</v>
      </c>
    </row>
    <row r="4866" spans="1:6" ht="22.5" hidden="1" customHeight="1" x14ac:dyDescent="0.25">
      <c r="A4866" s="3">
        <v>44256</v>
      </c>
      <c r="B4866" s="2" t="s">
        <v>100</v>
      </c>
      <c r="C4866" s="2">
        <v>-1.67</v>
      </c>
      <c r="D4866" s="2">
        <v>6.9999999999999999E-4</v>
      </c>
      <c r="E4866" s="2">
        <v>-1.169E-5</v>
      </c>
      <c r="F4866" s="2" t="s">
        <v>7</v>
      </c>
    </row>
    <row r="4867" spans="1:6" ht="22.5" hidden="1" customHeight="1" x14ac:dyDescent="0.25">
      <c r="A4867" s="3">
        <v>44256</v>
      </c>
      <c r="B4867" s="2" t="s">
        <v>101</v>
      </c>
      <c r="C4867" s="2">
        <v>0.7</v>
      </c>
      <c r="D4867" s="2">
        <v>0.10009999999999999</v>
      </c>
      <c r="E4867" s="2">
        <v>7.0069999999999996E-4</v>
      </c>
      <c r="F4867" s="2" t="s">
        <v>7</v>
      </c>
    </row>
    <row r="4868" spans="1:6" ht="22.5" hidden="1" customHeight="1" x14ac:dyDescent="0.25">
      <c r="A4868" s="3">
        <v>44256</v>
      </c>
      <c r="B4868" s="2" t="s">
        <v>102</v>
      </c>
      <c r="C4868" s="2">
        <v>0.96</v>
      </c>
      <c r="D4868" s="2">
        <v>4.65E-2</v>
      </c>
      <c r="E4868" s="2">
        <v>4.4640000000000001E-4</v>
      </c>
      <c r="F4868" s="2" t="s">
        <v>7</v>
      </c>
    </row>
    <row r="4869" spans="1:6" ht="22.5" hidden="1" customHeight="1" x14ac:dyDescent="0.25">
      <c r="A4869" s="3">
        <v>44256</v>
      </c>
      <c r="B4869" s="2" t="s">
        <v>103</v>
      </c>
      <c r="C4869" s="2">
        <v>2.5299999999999998</v>
      </c>
      <c r="D4869" s="2">
        <v>0.35470000000000002</v>
      </c>
      <c r="E4869" s="2">
        <v>8.9739099999999999E-3</v>
      </c>
      <c r="F4869" s="2" t="s">
        <v>7</v>
      </c>
    </row>
    <row r="4870" spans="1:6" ht="22.5" hidden="1" customHeight="1" x14ac:dyDescent="0.25">
      <c r="A4870" s="3">
        <v>44256</v>
      </c>
      <c r="B4870" s="2" t="s">
        <v>104</v>
      </c>
      <c r="C4870" s="2">
        <v>0.68</v>
      </c>
      <c r="D4870" s="2">
        <v>5.3900000000000003E-2</v>
      </c>
      <c r="E4870" s="2">
        <v>3.6652000000000001E-4</v>
      </c>
      <c r="F4870" s="2" t="s">
        <v>7</v>
      </c>
    </row>
    <row r="4871" spans="1:6" ht="22.5" hidden="1" customHeight="1" x14ac:dyDescent="0.25">
      <c r="A4871" s="3">
        <v>44256</v>
      </c>
      <c r="B4871" s="2" t="s">
        <v>105</v>
      </c>
      <c r="C4871" s="2">
        <v>1.39</v>
      </c>
      <c r="D4871" s="2">
        <v>9.2999999999999992E-3</v>
      </c>
      <c r="E4871" s="2">
        <v>1.2926999999999999E-4</v>
      </c>
      <c r="F4871" s="2" t="s">
        <v>7</v>
      </c>
    </row>
    <row r="4872" spans="1:6" ht="22.5" hidden="1" customHeight="1" x14ac:dyDescent="0.25">
      <c r="A4872" s="3">
        <v>44256</v>
      </c>
      <c r="B4872" s="2" t="s">
        <v>106</v>
      </c>
      <c r="C4872" s="2">
        <v>-2.73</v>
      </c>
      <c r="D4872" s="2">
        <v>9.1000000000000004E-3</v>
      </c>
      <c r="E4872" s="2">
        <v>-2.4843E-4</v>
      </c>
      <c r="F4872" s="2" t="s">
        <v>7</v>
      </c>
    </row>
    <row r="4873" spans="1:6" ht="22.5" hidden="1" customHeight="1" x14ac:dyDescent="0.25">
      <c r="A4873" s="3">
        <v>44256</v>
      </c>
      <c r="B4873" s="2" t="s">
        <v>107</v>
      </c>
      <c r="C4873" s="2">
        <v>0.1</v>
      </c>
      <c r="D4873" s="2">
        <v>0.1182</v>
      </c>
      <c r="E4873" s="2">
        <v>1.182E-4</v>
      </c>
      <c r="F4873" s="2" t="s">
        <v>7</v>
      </c>
    </row>
    <row r="4874" spans="1:6" ht="22.5" hidden="1" customHeight="1" x14ac:dyDescent="0.25">
      <c r="A4874" s="3">
        <v>44256</v>
      </c>
      <c r="B4874" s="2" t="s">
        <v>108</v>
      </c>
      <c r="C4874" s="2">
        <v>2.02</v>
      </c>
      <c r="D4874" s="2">
        <v>7.6E-3</v>
      </c>
      <c r="E4874" s="2">
        <v>1.5352000000000001E-4</v>
      </c>
      <c r="F4874" s="2" t="s">
        <v>7</v>
      </c>
    </row>
    <row r="4875" spans="1:6" ht="22.5" hidden="1" customHeight="1" x14ac:dyDescent="0.25">
      <c r="A4875" s="3">
        <v>44256</v>
      </c>
      <c r="B4875" s="2" t="s">
        <v>109</v>
      </c>
      <c r="C4875" s="2">
        <v>1.06</v>
      </c>
      <c r="D4875" s="2">
        <v>0.35260000000000002</v>
      </c>
      <c r="E4875" s="2">
        <v>3.73756E-3</v>
      </c>
      <c r="F4875" s="2" t="s">
        <v>7</v>
      </c>
    </row>
    <row r="4876" spans="1:6" ht="22.5" hidden="1" customHeight="1" x14ac:dyDescent="0.25">
      <c r="A4876" s="3">
        <v>44256</v>
      </c>
      <c r="B4876" s="2" t="s">
        <v>110</v>
      </c>
      <c r="C4876" s="2">
        <v>0.15</v>
      </c>
      <c r="D4876" s="2">
        <v>0.61070000000000002</v>
      </c>
      <c r="E4876" s="2">
        <v>9.1604999999999996E-4</v>
      </c>
      <c r="F4876" s="2" t="s">
        <v>7</v>
      </c>
    </row>
    <row r="4877" spans="1:6" ht="22.5" hidden="1" customHeight="1" x14ac:dyDescent="0.25">
      <c r="A4877" s="3">
        <v>44256</v>
      </c>
      <c r="B4877" s="2" t="s">
        <v>111</v>
      </c>
      <c r="C4877" s="2">
        <v>4.22</v>
      </c>
      <c r="D4877" s="2">
        <v>0.23449999999999999</v>
      </c>
      <c r="E4877" s="2">
        <v>9.8958999999999991E-3</v>
      </c>
      <c r="F4877" s="2" t="s">
        <v>7</v>
      </c>
    </row>
    <row r="4878" spans="1:6" ht="22.5" hidden="1" customHeight="1" x14ac:dyDescent="0.25">
      <c r="A4878" s="3">
        <v>44256</v>
      </c>
      <c r="B4878" s="2" t="s">
        <v>112</v>
      </c>
      <c r="C4878" s="2">
        <v>-4.5</v>
      </c>
      <c r="D4878" s="2">
        <v>0.72640000000000005</v>
      </c>
      <c r="E4878" s="2">
        <v>-3.2688000000000002E-2</v>
      </c>
      <c r="F4878" s="2" t="s">
        <v>7</v>
      </c>
    </row>
    <row r="4879" spans="1:6" ht="22.5" hidden="1" customHeight="1" x14ac:dyDescent="0.25">
      <c r="A4879" s="3">
        <v>44256</v>
      </c>
      <c r="B4879" s="2" t="s">
        <v>113</v>
      </c>
      <c r="C4879" s="2">
        <v>3.02</v>
      </c>
      <c r="D4879" s="2">
        <v>2.1600000000000001E-2</v>
      </c>
      <c r="E4879" s="2">
        <v>6.5231999999999996E-4</v>
      </c>
      <c r="F4879" s="2" t="s">
        <v>7</v>
      </c>
    </row>
    <row r="4880" spans="1:6" ht="22.5" hidden="1" customHeight="1" x14ac:dyDescent="0.25">
      <c r="A4880" s="3">
        <v>44256</v>
      </c>
      <c r="B4880" s="2" t="s">
        <v>114</v>
      </c>
      <c r="C4880" s="2">
        <v>1.1499999999999999</v>
      </c>
      <c r="D4880" s="2">
        <v>0.20069999999999999</v>
      </c>
      <c r="E4880" s="2">
        <v>2.3080499999999999E-3</v>
      </c>
      <c r="F4880" s="2" t="s">
        <v>7</v>
      </c>
    </row>
    <row r="4881" spans="1:6" ht="22.5" hidden="1" customHeight="1" x14ac:dyDescent="0.25">
      <c r="A4881" s="3">
        <v>44256</v>
      </c>
      <c r="B4881" s="2" t="s">
        <v>115</v>
      </c>
      <c r="C4881" s="2">
        <v>1.04</v>
      </c>
      <c r="D4881" s="2">
        <v>0.53</v>
      </c>
      <c r="E4881" s="2">
        <v>5.5120000000000004E-3</v>
      </c>
      <c r="F4881" s="2" t="s">
        <v>7</v>
      </c>
    </row>
    <row r="4882" spans="1:6" ht="22.5" hidden="1" customHeight="1" x14ac:dyDescent="0.25">
      <c r="A4882" s="3">
        <v>44256</v>
      </c>
      <c r="B4882" s="2" t="s">
        <v>116</v>
      </c>
      <c r="C4882" s="2">
        <v>3.38</v>
      </c>
      <c r="D4882" s="2">
        <v>0.14760000000000001</v>
      </c>
      <c r="E4882" s="2">
        <v>4.9888800000000002E-3</v>
      </c>
      <c r="F4882" s="2" t="s">
        <v>7</v>
      </c>
    </row>
    <row r="4883" spans="1:6" ht="22.5" hidden="1" customHeight="1" x14ac:dyDescent="0.25">
      <c r="A4883" s="3">
        <v>44256</v>
      </c>
      <c r="B4883" s="2" t="s">
        <v>117</v>
      </c>
      <c r="C4883" s="2">
        <v>-0.82</v>
      </c>
      <c r="D4883" s="2">
        <v>5.5199999999999999E-2</v>
      </c>
      <c r="E4883" s="2">
        <v>-4.5263999999999998E-4</v>
      </c>
      <c r="F4883" s="2" t="s">
        <v>7</v>
      </c>
    </row>
    <row r="4884" spans="1:6" ht="22.5" hidden="1" customHeight="1" x14ac:dyDescent="0.25">
      <c r="A4884" s="3">
        <v>44256</v>
      </c>
      <c r="B4884" s="2" t="s">
        <v>118</v>
      </c>
      <c r="C4884" s="2">
        <v>1.69</v>
      </c>
      <c r="D4884" s="2">
        <v>6.2600000000000003E-2</v>
      </c>
      <c r="E4884" s="2">
        <v>1.0579400000000001E-3</v>
      </c>
      <c r="F4884" s="2" t="s">
        <v>7</v>
      </c>
    </row>
    <row r="4885" spans="1:6" ht="22.5" hidden="1" customHeight="1" x14ac:dyDescent="0.25">
      <c r="A4885" s="3">
        <v>44256</v>
      </c>
      <c r="B4885" s="2" t="s">
        <v>119</v>
      </c>
      <c r="C4885" s="2">
        <v>4.34</v>
      </c>
      <c r="D4885" s="2">
        <v>1.0800000000000001E-2</v>
      </c>
      <c r="E4885" s="2">
        <v>4.6872E-4</v>
      </c>
      <c r="F4885" s="2" t="s">
        <v>7</v>
      </c>
    </row>
    <row r="4886" spans="1:6" ht="22.5" hidden="1" customHeight="1" x14ac:dyDescent="0.25">
      <c r="A4886" s="3">
        <v>44256</v>
      </c>
      <c r="B4886" s="2" t="s">
        <v>120</v>
      </c>
      <c r="C4886" s="2">
        <v>0.09</v>
      </c>
      <c r="D4886" s="2">
        <v>0.4476</v>
      </c>
      <c r="E4886" s="2">
        <v>4.0284000000000001E-4</v>
      </c>
      <c r="F4886" s="2" t="s">
        <v>7</v>
      </c>
    </row>
    <row r="4887" spans="1:6" ht="22.5" hidden="1" customHeight="1" x14ac:dyDescent="0.25">
      <c r="A4887" s="3">
        <v>44256</v>
      </c>
      <c r="B4887" s="2" t="s">
        <v>121</v>
      </c>
      <c r="C4887" s="2">
        <v>-0.11</v>
      </c>
      <c r="D4887" s="2">
        <v>0.7913</v>
      </c>
      <c r="E4887" s="2">
        <v>-8.7043000000000005E-4</v>
      </c>
      <c r="F4887" s="2" t="s">
        <v>7</v>
      </c>
    </row>
    <row r="4888" spans="1:6" ht="22.5" hidden="1" customHeight="1" x14ac:dyDescent="0.25">
      <c r="A4888" s="3">
        <v>44256</v>
      </c>
      <c r="B4888" s="2" t="s">
        <v>122</v>
      </c>
      <c r="C4888" s="2">
        <v>2.17</v>
      </c>
      <c r="D4888" s="2">
        <v>8.0799999999999997E-2</v>
      </c>
      <c r="E4888" s="2">
        <v>1.75336E-3</v>
      </c>
      <c r="F4888" s="2" t="s">
        <v>7</v>
      </c>
    </row>
    <row r="4889" spans="1:6" ht="22.5" hidden="1" customHeight="1" x14ac:dyDescent="0.25">
      <c r="A4889" s="3">
        <v>44256</v>
      </c>
      <c r="B4889" s="2" t="s">
        <v>123</v>
      </c>
      <c r="C4889" s="2">
        <v>0.79</v>
      </c>
      <c r="D4889" s="2">
        <v>9.8299999999999998E-2</v>
      </c>
      <c r="E4889" s="2">
        <v>7.7656999999999997E-4</v>
      </c>
      <c r="F4889" s="2" t="s">
        <v>7</v>
      </c>
    </row>
    <row r="4890" spans="1:6" ht="22.5" hidden="1" customHeight="1" x14ac:dyDescent="0.25">
      <c r="A4890" s="3">
        <v>44256</v>
      </c>
      <c r="B4890" s="2" t="s">
        <v>124</v>
      </c>
      <c r="C4890" s="2">
        <v>2.0499999999999998</v>
      </c>
      <c r="D4890" s="2">
        <v>0.1348</v>
      </c>
      <c r="E4890" s="2">
        <v>2.7634000000000001E-3</v>
      </c>
      <c r="F4890" s="2" t="s">
        <v>7</v>
      </c>
    </row>
    <row r="4891" spans="1:6" ht="22.5" hidden="1" customHeight="1" x14ac:dyDescent="0.25">
      <c r="A4891" s="3">
        <v>44256</v>
      </c>
      <c r="B4891" s="2" t="s">
        <v>125</v>
      </c>
      <c r="C4891" s="2">
        <v>0.53</v>
      </c>
      <c r="D4891" s="2">
        <v>3.2199999999999999E-2</v>
      </c>
      <c r="E4891" s="2">
        <v>1.7066E-4</v>
      </c>
      <c r="F4891" s="2" t="s">
        <v>7</v>
      </c>
    </row>
    <row r="4892" spans="1:6" ht="22.5" hidden="1" customHeight="1" x14ac:dyDescent="0.25">
      <c r="A4892" s="3">
        <v>44256</v>
      </c>
      <c r="B4892" s="2" t="s">
        <v>126</v>
      </c>
      <c r="C4892" s="2">
        <v>-3.4</v>
      </c>
      <c r="D4892" s="2">
        <v>0.32540000000000002</v>
      </c>
      <c r="E4892" s="2">
        <v>-1.10636E-2</v>
      </c>
      <c r="F4892" s="2" t="s">
        <v>7</v>
      </c>
    </row>
    <row r="4893" spans="1:6" ht="22.5" hidden="1" customHeight="1" x14ac:dyDescent="0.25">
      <c r="A4893" s="3">
        <v>44256</v>
      </c>
      <c r="B4893" s="2" t="s">
        <v>127</v>
      </c>
      <c r="C4893" s="2">
        <v>0.87</v>
      </c>
      <c r="D4893" s="2">
        <v>6.8000000000000005E-2</v>
      </c>
      <c r="E4893" s="2">
        <v>5.9159999999999996E-4</v>
      </c>
      <c r="F4893" s="2" t="s">
        <v>7</v>
      </c>
    </row>
    <row r="4894" spans="1:6" ht="22.5" hidden="1" customHeight="1" x14ac:dyDescent="0.25">
      <c r="A4894" s="3">
        <v>44256</v>
      </c>
      <c r="B4894" s="2" t="s">
        <v>128</v>
      </c>
      <c r="C4894" s="2">
        <v>1.62</v>
      </c>
      <c r="D4894" s="2">
        <v>9.8799999999999999E-2</v>
      </c>
      <c r="E4894" s="2">
        <v>1.60056E-3</v>
      </c>
      <c r="F4894" s="2" t="s">
        <v>7</v>
      </c>
    </row>
    <row r="4895" spans="1:6" ht="22.5" hidden="1" customHeight="1" x14ac:dyDescent="0.25">
      <c r="A4895" s="3">
        <v>44256</v>
      </c>
      <c r="B4895" s="2" t="s">
        <v>129</v>
      </c>
      <c r="C4895" s="2">
        <v>-0.36</v>
      </c>
      <c r="D4895" s="2">
        <v>0.12970000000000001</v>
      </c>
      <c r="E4895" s="2">
        <v>-4.6692000000000001E-4</v>
      </c>
      <c r="F4895" s="2" t="s">
        <v>7</v>
      </c>
    </row>
    <row r="4896" spans="1:6" ht="22.5" hidden="1" customHeight="1" x14ac:dyDescent="0.25">
      <c r="A4896" s="3">
        <v>44256</v>
      </c>
      <c r="B4896" s="2" t="s">
        <v>130</v>
      </c>
      <c r="C4896" s="2">
        <v>1.37</v>
      </c>
      <c r="D4896" s="2">
        <v>1.2800000000000001E-2</v>
      </c>
      <c r="E4896" s="2">
        <v>1.7536E-4</v>
      </c>
      <c r="F4896" s="2" t="s">
        <v>7</v>
      </c>
    </row>
    <row r="4897" spans="1:6" ht="22.5" hidden="1" customHeight="1" x14ac:dyDescent="0.25">
      <c r="A4897" s="3">
        <v>44256</v>
      </c>
      <c r="B4897" s="2" t="s">
        <v>131</v>
      </c>
      <c r="C4897" s="2">
        <v>-0.11</v>
      </c>
      <c r="D4897" s="2">
        <v>6.9099999999999995E-2</v>
      </c>
      <c r="E4897" s="2">
        <v>-7.6009999999999999E-5</v>
      </c>
      <c r="F4897" s="2" t="s">
        <v>7</v>
      </c>
    </row>
    <row r="4898" spans="1:6" ht="22.5" hidden="1" customHeight="1" x14ac:dyDescent="0.25">
      <c r="A4898" s="3">
        <v>44256</v>
      </c>
      <c r="B4898" s="2" t="s">
        <v>132</v>
      </c>
      <c r="C4898" s="2">
        <v>0.18</v>
      </c>
      <c r="D4898" s="2">
        <v>0.29049999999999998</v>
      </c>
      <c r="E4898" s="2">
        <v>5.2289999999999997E-4</v>
      </c>
      <c r="F4898" s="2" t="s">
        <v>7</v>
      </c>
    </row>
    <row r="4899" spans="1:6" ht="22.5" hidden="1" customHeight="1" x14ac:dyDescent="0.25">
      <c r="A4899" s="3">
        <v>44256</v>
      </c>
      <c r="B4899" s="2" t="s">
        <v>133</v>
      </c>
      <c r="C4899" s="2">
        <v>2.25</v>
      </c>
      <c r="D4899" s="2">
        <v>8.8000000000000005E-3</v>
      </c>
      <c r="E4899" s="2">
        <v>1.9799999999999999E-4</v>
      </c>
      <c r="F4899" s="2" t="s">
        <v>7</v>
      </c>
    </row>
    <row r="4900" spans="1:6" ht="22.5" hidden="1" customHeight="1" x14ac:dyDescent="0.25">
      <c r="A4900" s="3">
        <v>44256</v>
      </c>
      <c r="B4900" s="2" t="s">
        <v>134</v>
      </c>
      <c r="C4900" s="2">
        <v>0.06</v>
      </c>
      <c r="D4900" s="2">
        <v>0.50439999999999996</v>
      </c>
      <c r="E4900" s="2">
        <v>3.0264000000000002E-4</v>
      </c>
      <c r="F4900" s="2" t="s">
        <v>7</v>
      </c>
    </row>
    <row r="4901" spans="1:6" ht="22.5" hidden="1" customHeight="1" x14ac:dyDescent="0.25">
      <c r="A4901" s="3">
        <v>44256</v>
      </c>
      <c r="B4901" s="2" t="s">
        <v>135</v>
      </c>
      <c r="C4901" s="2">
        <v>0.45</v>
      </c>
      <c r="D4901" s="2">
        <v>0.40389999999999998</v>
      </c>
      <c r="E4901" s="2">
        <v>1.81755E-3</v>
      </c>
      <c r="F4901" s="2" t="s">
        <v>7</v>
      </c>
    </row>
    <row r="4902" spans="1:6" ht="22.5" hidden="1" customHeight="1" x14ac:dyDescent="0.25">
      <c r="A4902" s="3">
        <v>44256</v>
      </c>
      <c r="B4902" s="2" t="s">
        <v>136</v>
      </c>
      <c r="C4902" s="2">
        <v>0.42</v>
      </c>
      <c r="D4902" s="2">
        <v>3.8600000000000002E-2</v>
      </c>
      <c r="E4902" s="2">
        <v>1.6212E-4</v>
      </c>
      <c r="F4902" s="2" t="s">
        <v>7</v>
      </c>
    </row>
    <row r="4903" spans="1:6" ht="22.5" hidden="1" customHeight="1" x14ac:dyDescent="0.25">
      <c r="A4903" s="3">
        <v>44256</v>
      </c>
      <c r="B4903" s="2" t="s">
        <v>137</v>
      </c>
      <c r="C4903" s="2">
        <v>1.65</v>
      </c>
      <c r="D4903" s="2">
        <v>6.88E-2</v>
      </c>
      <c r="E4903" s="2">
        <v>1.1352000000000001E-3</v>
      </c>
      <c r="F4903" s="2" t="s">
        <v>7</v>
      </c>
    </row>
    <row r="4904" spans="1:6" ht="22.5" hidden="1" customHeight="1" x14ac:dyDescent="0.25">
      <c r="A4904" s="3">
        <v>44256</v>
      </c>
      <c r="B4904" s="2" t="s">
        <v>138</v>
      </c>
      <c r="C4904" s="2">
        <v>0.04</v>
      </c>
      <c r="D4904" s="2">
        <v>4.7899999999999998E-2</v>
      </c>
      <c r="E4904" s="2">
        <v>1.916E-5</v>
      </c>
      <c r="F4904" s="2" t="s">
        <v>7</v>
      </c>
    </row>
    <row r="4905" spans="1:6" ht="22.5" hidden="1" customHeight="1" x14ac:dyDescent="0.25">
      <c r="A4905" s="3">
        <v>44256</v>
      </c>
      <c r="B4905" s="2" t="s">
        <v>139</v>
      </c>
      <c r="C4905" s="2">
        <v>2.38</v>
      </c>
      <c r="D4905" s="2">
        <v>2.6800000000000001E-2</v>
      </c>
      <c r="E4905" s="2">
        <v>6.3783999999999998E-4</v>
      </c>
      <c r="F4905" s="2" t="s">
        <v>7</v>
      </c>
    </row>
    <row r="4906" spans="1:6" ht="22.5" hidden="1" customHeight="1" x14ac:dyDescent="0.25">
      <c r="A4906" s="3">
        <v>44256</v>
      </c>
      <c r="B4906" s="2" t="s">
        <v>140</v>
      </c>
      <c r="C4906" s="2">
        <v>0.94</v>
      </c>
      <c r="D4906" s="2">
        <v>2.3E-3</v>
      </c>
      <c r="E4906" s="2">
        <v>2.162E-5</v>
      </c>
      <c r="F4906" s="2" t="s">
        <v>7</v>
      </c>
    </row>
    <row r="4907" spans="1:6" ht="22.5" hidden="1" customHeight="1" x14ac:dyDescent="0.25">
      <c r="A4907" s="3">
        <v>44256</v>
      </c>
      <c r="B4907" s="2" t="s">
        <v>141</v>
      </c>
      <c r="C4907" s="2">
        <v>2.04</v>
      </c>
      <c r="D4907" s="2">
        <v>1.9800000000000002E-2</v>
      </c>
      <c r="E4907" s="2">
        <v>4.0392E-4</v>
      </c>
      <c r="F4907" s="2" t="s">
        <v>7</v>
      </c>
    </row>
    <row r="4908" spans="1:6" ht="22.5" hidden="1" customHeight="1" x14ac:dyDescent="0.25">
      <c r="A4908" s="3">
        <v>44256</v>
      </c>
      <c r="B4908" s="2" t="s">
        <v>142</v>
      </c>
      <c r="C4908" s="2">
        <v>-0.27</v>
      </c>
      <c r="D4908" s="2">
        <v>4.4000000000000003E-3</v>
      </c>
      <c r="E4908" s="2">
        <v>-1.188E-5</v>
      </c>
      <c r="F4908" s="2" t="s">
        <v>7</v>
      </c>
    </row>
    <row r="4909" spans="1:6" ht="22.5" hidden="1" customHeight="1" x14ac:dyDescent="0.25">
      <c r="A4909" s="3">
        <v>44256</v>
      </c>
      <c r="B4909" s="2" t="s">
        <v>143</v>
      </c>
      <c r="C4909" s="2">
        <v>1.6</v>
      </c>
      <c r="D4909" s="2">
        <v>4.19E-2</v>
      </c>
      <c r="E4909" s="2">
        <v>6.7040000000000003E-4</v>
      </c>
      <c r="F4909" s="2" t="s">
        <v>7</v>
      </c>
    </row>
    <row r="4910" spans="1:6" ht="22.5" hidden="1" customHeight="1" x14ac:dyDescent="0.25">
      <c r="A4910" s="3">
        <v>44256</v>
      </c>
      <c r="B4910" s="2" t="s">
        <v>144</v>
      </c>
      <c r="C4910" s="2">
        <v>4.6399999999999997</v>
      </c>
      <c r="D4910" s="2">
        <v>1.6999999999999999E-3</v>
      </c>
      <c r="E4910" s="2">
        <v>7.8880000000000004E-5</v>
      </c>
      <c r="F4910" s="2" t="s">
        <v>7</v>
      </c>
    </row>
    <row r="4911" spans="1:6" ht="22.5" hidden="1" customHeight="1" x14ac:dyDescent="0.25">
      <c r="A4911" s="3">
        <v>44256</v>
      </c>
      <c r="B4911" s="2" t="s">
        <v>145</v>
      </c>
      <c r="C4911" s="2">
        <v>-0.86</v>
      </c>
      <c r="D4911" s="2">
        <v>1.6000000000000001E-3</v>
      </c>
      <c r="E4911" s="2">
        <v>-1.376E-5</v>
      </c>
      <c r="F4911" s="2" t="s">
        <v>7</v>
      </c>
    </row>
    <row r="4912" spans="1:6" ht="22.5" hidden="1" customHeight="1" x14ac:dyDescent="0.25">
      <c r="A4912" s="3">
        <v>44256</v>
      </c>
      <c r="B4912" s="2" t="s">
        <v>146</v>
      </c>
      <c r="C4912" s="2">
        <v>1.3</v>
      </c>
      <c r="D4912" s="2">
        <v>3.3300000000000003E-2</v>
      </c>
      <c r="E4912" s="2">
        <v>4.3290000000000001E-4</v>
      </c>
      <c r="F4912" s="2" t="s">
        <v>7</v>
      </c>
    </row>
    <row r="4913" spans="1:6" ht="22.5" hidden="1" customHeight="1" x14ac:dyDescent="0.25">
      <c r="A4913" s="3">
        <v>44256</v>
      </c>
      <c r="B4913" s="2" t="s">
        <v>147</v>
      </c>
      <c r="C4913" s="2">
        <v>0.77</v>
      </c>
      <c r="D4913" s="2">
        <v>2.7099999999999999E-2</v>
      </c>
      <c r="E4913" s="2">
        <v>2.0866999999999999E-4</v>
      </c>
      <c r="F4913" s="2" t="s">
        <v>7</v>
      </c>
    </row>
    <row r="4914" spans="1:6" ht="22.5" hidden="1" customHeight="1" x14ac:dyDescent="0.25">
      <c r="A4914" s="3">
        <v>44256</v>
      </c>
      <c r="B4914" s="2" t="s">
        <v>148</v>
      </c>
      <c r="C4914" s="2">
        <v>-0.22</v>
      </c>
      <c r="D4914" s="2">
        <v>2.3400000000000001E-2</v>
      </c>
      <c r="E4914" s="2">
        <v>-5.1480000000000002E-5</v>
      </c>
      <c r="F4914" s="2" t="s">
        <v>7</v>
      </c>
    </row>
    <row r="4915" spans="1:6" ht="22.5" hidden="1" customHeight="1" x14ac:dyDescent="0.25">
      <c r="A4915" s="3">
        <v>44256</v>
      </c>
      <c r="B4915" s="2" t="s">
        <v>149</v>
      </c>
      <c r="C4915" s="2">
        <v>0.51</v>
      </c>
      <c r="D4915" s="2">
        <v>2.3999999999999998E-3</v>
      </c>
      <c r="E4915" s="2">
        <v>1.224E-5</v>
      </c>
      <c r="F4915" s="2" t="s">
        <v>7</v>
      </c>
    </row>
    <row r="4916" spans="1:6" ht="22.5" hidden="1" customHeight="1" x14ac:dyDescent="0.25">
      <c r="A4916" s="3">
        <v>44256</v>
      </c>
      <c r="B4916" s="2" t="s">
        <v>150</v>
      </c>
      <c r="C4916" s="2">
        <v>0.36</v>
      </c>
      <c r="D4916" s="2">
        <v>0.113</v>
      </c>
      <c r="E4916" s="2">
        <v>4.0680000000000002E-4</v>
      </c>
      <c r="F4916" s="2" t="s">
        <v>7</v>
      </c>
    </row>
    <row r="4917" spans="1:6" ht="22.5" hidden="1" customHeight="1" x14ac:dyDescent="0.25">
      <c r="A4917" s="3">
        <v>44256</v>
      </c>
      <c r="B4917" s="2" t="s">
        <v>151</v>
      </c>
      <c r="C4917" s="2">
        <v>3.27</v>
      </c>
      <c r="D4917" s="2">
        <v>0.109</v>
      </c>
      <c r="E4917" s="2">
        <v>3.5642999999999998E-3</v>
      </c>
      <c r="F4917" s="2" t="s">
        <v>7</v>
      </c>
    </row>
    <row r="4918" spans="1:6" ht="22.5" hidden="1" customHeight="1" x14ac:dyDescent="0.25">
      <c r="A4918" s="3">
        <v>44256</v>
      </c>
      <c r="B4918" s="2" t="s">
        <v>152</v>
      </c>
      <c r="C4918" s="2">
        <v>-1.07</v>
      </c>
      <c r="D4918" s="2">
        <v>3.0000000000000001E-3</v>
      </c>
      <c r="E4918" s="2">
        <v>-3.2100000000000001E-5</v>
      </c>
      <c r="F4918" s="2" t="s">
        <v>7</v>
      </c>
    </row>
    <row r="4919" spans="1:6" ht="22.5" hidden="1" customHeight="1" x14ac:dyDescent="0.25">
      <c r="A4919" s="3">
        <v>44256</v>
      </c>
      <c r="B4919" s="2" t="s">
        <v>153</v>
      </c>
      <c r="C4919" s="2">
        <v>-1.82</v>
      </c>
      <c r="D4919" s="2">
        <v>8.9999999999999998E-4</v>
      </c>
      <c r="E4919" s="2">
        <v>-1.6379999999999999E-5</v>
      </c>
      <c r="F4919" s="2" t="s">
        <v>7</v>
      </c>
    </row>
    <row r="4920" spans="1:6" ht="22.5" hidden="1" customHeight="1" x14ac:dyDescent="0.25">
      <c r="A4920" s="3">
        <v>44256</v>
      </c>
      <c r="B4920" s="2" t="s">
        <v>154</v>
      </c>
      <c r="C4920" s="2">
        <v>2.11</v>
      </c>
      <c r="D4920" s="2">
        <v>1E-3</v>
      </c>
      <c r="E4920" s="2">
        <v>2.1100000000000001E-5</v>
      </c>
      <c r="F4920" s="2" t="s">
        <v>7</v>
      </c>
    </row>
    <row r="4921" spans="1:6" ht="22.5" hidden="1" customHeight="1" x14ac:dyDescent="0.25">
      <c r="A4921" s="3">
        <v>44256</v>
      </c>
      <c r="B4921" s="2" t="s">
        <v>155</v>
      </c>
      <c r="C4921" s="2">
        <v>1.05</v>
      </c>
      <c r="D4921" s="2">
        <v>6.0000000000000001E-3</v>
      </c>
      <c r="E4921" s="2">
        <v>6.3E-5</v>
      </c>
      <c r="F4921" s="2" t="s">
        <v>7</v>
      </c>
    </row>
    <row r="4922" spans="1:6" ht="22.5" hidden="1" customHeight="1" x14ac:dyDescent="0.25">
      <c r="A4922" s="3">
        <v>44256</v>
      </c>
      <c r="B4922" s="2" t="s">
        <v>156</v>
      </c>
      <c r="C4922" s="2">
        <v>0.43</v>
      </c>
      <c r="D4922" s="2">
        <v>4.5600000000000002E-2</v>
      </c>
      <c r="E4922" s="2">
        <v>1.9608000000000001E-4</v>
      </c>
      <c r="F4922" s="2" t="s">
        <v>7</v>
      </c>
    </row>
    <row r="4923" spans="1:6" ht="22.5" hidden="1" customHeight="1" x14ac:dyDescent="0.25">
      <c r="A4923" s="3">
        <v>44256</v>
      </c>
      <c r="B4923" s="2" t="s">
        <v>157</v>
      </c>
      <c r="C4923" s="2">
        <v>0.36</v>
      </c>
      <c r="D4923" s="2">
        <v>1.7500000000000002E-2</v>
      </c>
      <c r="E4923" s="2">
        <v>6.3E-5</v>
      </c>
      <c r="F4923" s="2" t="s">
        <v>7</v>
      </c>
    </row>
    <row r="4924" spans="1:6" ht="22.5" hidden="1" customHeight="1" x14ac:dyDescent="0.25">
      <c r="A4924" s="3">
        <v>44256</v>
      </c>
      <c r="B4924" s="2" t="s">
        <v>158</v>
      </c>
      <c r="C4924" s="2">
        <v>0</v>
      </c>
      <c r="D4924" s="2">
        <v>9.7999999999999997E-3</v>
      </c>
      <c r="E4924" s="2">
        <v>0</v>
      </c>
      <c r="F4924" s="2" t="s">
        <v>7</v>
      </c>
    </row>
    <row r="4925" spans="1:6" ht="22.5" hidden="1" customHeight="1" x14ac:dyDescent="0.25">
      <c r="A4925" s="3">
        <v>44256</v>
      </c>
      <c r="B4925" s="2" t="s">
        <v>159</v>
      </c>
      <c r="C4925" s="2">
        <v>-0.12</v>
      </c>
      <c r="D4925" s="2">
        <v>5.4300000000000001E-2</v>
      </c>
      <c r="E4925" s="2">
        <v>-6.5160000000000006E-5</v>
      </c>
      <c r="F4925" s="2" t="s">
        <v>7</v>
      </c>
    </row>
    <row r="4926" spans="1:6" ht="22.5" hidden="1" customHeight="1" x14ac:dyDescent="0.25">
      <c r="A4926" s="3">
        <v>44256</v>
      </c>
      <c r="B4926" s="2" t="s">
        <v>160</v>
      </c>
      <c r="C4926" s="2">
        <v>0.33</v>
      </c>
      <c r="D4926" s="2">
        <v>3.7382</v>
      </c>
      <c r="E4926" s="2">
        <v>1.2336059999999999E-2</v>
      </c>
      <c r="F4926" s="2" t="s">
        <v>7</v>
      </c>
    </row>
    <row r="4927" spans="1:6" ht="22.5" hidden="1" customHeight="1" x14ac:dyDescent="0.25">
      <c r="A4927" s="3">
        <v>44256</v>
      </c>
      <c r="B4927" s="2" t="s">
        <v>161</v>
      </c>
      <c r="C4927" s="2">
        <v>0.64</v>
      </c>
      <c r="D4927" s="2">
        <v>1.7296</v>
      </c>
      <c r="E4927" s="2">
        <v>1.106944E-2</v>
      </c>
      <c r="F4927" s="2" t="s">
        <v>7</v>
      </c>
    </row>
    <row r="4928" spans="1:6" ht="22.5" hidden="1" customHeight="1" x14ac:dyDescent="0.25">
      <c r="A4928" s="3">
        <v>44256</v>
      </c>
      <c r="B4928" s="2" t="s">
        <v>134</v>
      </c>
      <c r="C4928" s="2">
        <v>1.33</v>
      </c>
      <c r="D4928" s="2">
        <v>0.1235</v>
      </c>
      <c r="E4928" s="2">
        <v>1.64255E-3</v>
      </c>
      <c r="F4928" s="2" t="s">
        <v>7</v>
      </c>
    </row>
    <row r="4929" spans="1:6" ht="22.5" hidden="1" customHeight="1" x14ac:dyDescent="0.25">
      <c r="A4929" s="3">
        <v>44256</v>
      </c>
      <c r="B4929" s="2" t="s">
        <v>162</v>
      </c>
      <c r="C4929" s="2">
        <v>-2.7</v>
      </c>
      <c r="D4929" s="2">
        <v>4.3999999999999997E-2</v>
      </c>
      <c r="E4929" s="2">
        <v>-1.188E-3</v>
      </c>
      <c r="F4929" s="2" t="s">
        <v>7</v>
      </c>
    </row>
    <row r="4930" spans="1:6" ht="22.5" hidden="1" customHeight="1" x14ac:dyDescent="0.25">
      <c r="A4930" s="3">
        <v>44256</v>
      </c>
      <c r="B4930" s="2" t="s">
        <v>135</v>
      </c>
      <c r="C4930" s="2">
        <v>1.5</v>
      </c>
      <c r="D4930" s="2">
        <v>0.28699999999999998</v>
      </c>
      <c r="E4930" s="2">
        <v>4.3049999999999998E-3</v>
      </c>
      <c r="F4930" s="2" t="s">
        <v>7</v>
      </c>
    </row>
    <row r="4931" spans="1:6" ht="22.5" hidden="1" customHeight="1" x14ac:dyDescent="0.25">
      <c r="A4931" s="3">
        <v>44256</v>
      </c>
      <c r="B4931" s="2" t="s">
        <v>136</v>
      </c>
      <c r="C4931" s="2">
        <v>-0.84</v>
      </c>
      <c r="D4931" s="2">
        <v>4.1999999999999997E-3</v>
      </c>
      <c r="E4931" s="2">
        <v>-3.5280000000000001E-5</v>
      </c>
      <c r="F4931" s="2" t="s">
        <v>7</v>
      </c>
    </row>
    <row r="4932" spans="1:6" ht="22.5" hidden="1" customHeight="1" x14ac:dyDescent="0.25">
      <c r="A4932" s="3">
        <v>44256</v>
      </c>
      <c r="B4932" s="2" t="s">
        <v>137</v>
      </c>
      <c r="C4932" s="2">
        <v>-0.39</v>
      </c>
      <c r="D4932" s="2">
        <v>9.9000000000000008E-3</v>
      </c>
      <c r="E4932" s="2">
        <v>-3.8609999999999998E-5</v>
      </c>
      <c r="F4932" s="2" t="s">
        <v>7</v>
      </c>
    </row>
    <row r="4933" spans="1:6" ht="22.5" hidden="1" customHeight="1" x14ac:dyDescent="0.25">
      <c r="A4933" s="3">
        <v>44256</v>
      </c>
      <c r="B4933" s="2" t="s">
        <v>163</v>
      </c>
      <c r="C4933" s="2">
        <v>1.48</v>
      </c>
      <c r="D4933" s="2">
        <v>4.3E-3</v>
      </c>
      <c r="E4933" s="2">
        <v>6.3639999999999994E-5</v>
      </c>
      <c r="F4933" s="2" t="s">
        <v>7</v>
      </c>
    </row>
    <row r="4934" spans="1:6" ht="22.5" hidden="1" customHeight="1" x14ac:dyDescent="0.25">
      <c r="A4934" s="3">
        <v>44256</v>
      </c>
      <c r="B4934" s="2" t="s">
        <v>34</v>
      </c>
      <c r="C4934" s="2">
        <v>1.9</v>
      </c>
      <c r="D4934" s="2">
        <v>5.2299999999999999E-2</v>
      </c>
      <c r="E4934" s="2">
        <v>9.9369999999999992E-4</v>
      </c>
      <c r="F4934" s="2" t="s">
        <v>7</v>
      </c>
    </row>
    <row r="4935" spans="1:6" ht="22.5" hidden="1" customHeight="1" x14ac:dyDescent="0.25">
      <c r="A4935" s="3">
        <v>44256</v>
      </c>
      <c r="B4935" s="2" t="s">
        <v>164</v>
      </c>
      <c r="C4935" s="2">
        <v>0.3</v>
      </c>
      <c r="D4935" s="2">
        <v>3.786</v>
      </c>
      <c r="E4935" s="2">
        <v>1.1358E-2</v>
      </c>
      <c r="F4935" s="2" t="s">
        <v>165</v>
      </c>
    </row>
    <row r="4936" spans="1:6" ht="22.5" hidden="1" customHeight="1" x14ac:dyDescent="0.25">
      <c r="A4936" s="3">
        <v>44256</v>
      </c>
      <c r="B4936" s="2" t="s">
        <v>166</v>
      </c>
      <c r="C4936" s="2">
        <v>0.06</v>
      </c>
      <c r="D4936" s="2">
        <v>2.3338000000000001</v>
      </c>
      <c r="E4936" s="2">
        <v>1.4002800000000001E-3</v>
      </c>
      <c r="F4936" s="2" t="s">
        <v>165</v>
      </c>
    </row>
    <row r="4937" spans="1:6" ht="22.5" hidden="1" customHeight="1" x14ac:dyDescent="0.25">
      <c r="A4937" s="3">
        <v>43891</v>
      </c>
      <c r="B4937" s="2" t="s">
        <v>367</v>
      </c>
      <c r="C4937" s="2">
        <v>0</v>
      </c>
      <c r="D4937" s="2">
        <v>1.6093999999999999</v>
      </c>
      <c r="E4937" s="2">
        <v>0</v>
      </c>
      <c r="F4937" s="2" t="s">
        <v>168</v>
      </c>
    </row>
    <row r="4938" spans="1:6" ht="22.5" hidden="1" customHeight="1" x14ac:dyDescent="0.25">
      <c r="A4938" s="3">
        <v>44256</v>
      </c>
      <c r="B4938" s="2" t="s">
        <v>169</v>
      </c>
      <c r="C4938" s="2">
        <v>3.64</v>
      </c>
      <c r="D4938" s="2">
        <v>1.06E-2</v>
      </c>
      <c r="E4938" s="2">
        <v>3.8583999999999998E-4</v>
      </c>
      <c r="F4938" s="2" t="s">
        <v>170</v>
      </c>
    </row>
    <row r="4939" spans="1:6" ht="22.5" hidden="1" customHeight="1" x14ac:dyDescent="0.25">
      <c r="A4939" s="3">
        <v>44256</v>
      </c>
      <c r="B4939" s="2" t="s">
        <v>171</v>
      </c>
      <c r="C4939" s="2">
        <v>0.1</v>
      </c>
      <c r="D4939" s="2">
        <v>1.49E-2</v>
      </c>
      <c r="E4939" s="2">
        <v>1.49E-5</v>
      </c>
      <c r="F4939" s="2" t="s">
        <v>170</v>
      </c>
    </row>
    <row r="4940" spans="1:6" ht="22.5" hidden="1" customHeight="1" x14ac:dyDescent="0.25">
      <c r="A4940" s="3">
        <v>44256</v>
      </c>
      <c r="B4940" s="2" t="s">
        <v>172</v>
      </c>
      <c r="C4940" s="2">
        <v>2.7</v>
      </c>
      <c r="D4940" s="2">
        <v>3.3999999999999998E-3</v>
      </c>
      <c r="E4940" s="2">
        <v>9.1799999999999995E-5</v>
      </c>
      <c r="F4940" s="2" t="s">
        <v>170</v>
      </c>
    </row>
    <row r="4941" spans="1:6" ht="22.5" hidden="1" customHeight="1" x14ac:dyDescent="0.25">
      <c r="A4941" s="3">
        <v>44256</v>
      </c>
      <c r="B4941" s="2" t="s">
        <v>173</v>
      </c>
      <c r="C4941" s="2">
        <v>0.9</v>
      </c>
      <c r="D4941" s="2">
        <v>0.25950000000000001</v>
      </c>
      <c r="E4941" s="2">
        <v>2.3354999999999999E-3</v>
      </c>
      <c r="F4941" s="2" t="s">
        <v>174</v>
      </c>
    </row>
    <row r="4942" spans="1:6" ht="22.5" hidden="1" customHeight="1" x14ac:dyDescent="0.25">
      <c r="A4942" s="3">
        <v>44256</v>
      </c>
      <c r="B4942" s="2" t="s">
        <v>175</v>
      </c>
      <c r="C4942" s="2">
        <v>4.95</v>
      </c>
      <c r="D4942" s="2">
        <v>0.24940000000000001</v>
      </c>
      <c r="E4942" s="2">
        <v>1.23453E-2</v>
      </c>
      <c r="F4942" s="2" t="s">
        <v>174</v>
      </c>
    </row>
    <row r="4943" spans="1:6" ht="22.5" hidden="1" customHeight="1" x14ac:dyDescent="0.25">
      <c r="A4943" s="3">
        <v>44256</v>
      </c>
      <c r="B4943" s="2" t="s">
        <v>176</v>
      </c>
      <c r="C4943" s="2">
        <v>0.23</v>
      </c>
      <c r="D4943" s="2">
        <v>1.37E-2</v>
      </c>
      <c r="E4943" s="2">
        <v>3.1510000000000002E-5</v>
      </c>
      <c r="F4943" s="2" t="s">
        <v>170</v>
      </c>
    </row>
    <row r="4944" spans="1:6" ht="22.5" hidden="1" customHeight="1" x14ac:dyDescent="0.25">
      <c r="A4944" s="3">
        <v>44256</v>
      </c>
      <c r="B4944" s="2" t="s">
        <v>177</v>
      </c>
      <c r="C4944" s="2">
        <v>2.15</v>
      </c>
      <c r="D4944" s="2">
        <v>2.3699999999999999E-2</v>
      </c>
      <c r="E4944" s="2">
        <v>5.0955E-4</v>
      </c>
      <c r="F4944" s="2" t="s">
        <v>170</v>
      </c>
    </row>
    <row r="4945" spans="1:6" ht="22.5" hidden="1" customHeight="1" x14ac:dyDescent="0.25">
      <c r="A4945" s="3">
        <v>44256</v>
      </c>
      <c r="B4945" s="2" t="s">
        <v>178</v>
      </c>
      <c r="C4945" s="2">
        <v>0.8</v>
      </c>
      <c r="D4945" s="2">
        <v>2.1700000000000001E-2</v>
      </c>
      <c r="E4945" s="2">
        <v>1.7359999999999999E-4</v>
      </c>
      <c r="F4945" s="2" t="s">
        <v>170</v>
      </c>
    </row>
    <row r="4946" spans="1:6" ht="22.5" hidden="1" customHeight="1" x14ac:dyDescent="0.25">
      <c r="A4946" s="3">
        <v>44256</v>
      </c>
      <c r="B4946" s="2" t="s">
        <v>179</v>
      </c>
      <c r="C4946" s="2">
        <v>4.41</v>
      </c>
      <c r="D4946" s="2">
        <v>4.2500000000000003E-2</v>
      </c>
      <c r="E4946" s="2">
        <v>1.87425E-3</v>
      </c>
      <c r="F4946" s="2" t="s">
        <v>170</v>
      </c>
    </row>
    <row r="4947" spans="1:6" ht="22.5" hidden="1" customHeight="1" x14ac:dyDescent="0.25">
      <c r="A4947" s="3">
        <v>44256</v>
      </c>
      <c r="B4947" s="2" t="s">
        <v>180</v>
      </c>
      <c r="C4947" s="2">
        <v>0.03</v>
      </c>
      <c r="D4947" s="2">
        <v>0.63719999999999999</v>
      </c>
      <c r="E4947" s="2">
        <v>1.9116000000000001E-4</v>
      </c>
      <c r="F4947" s="2" t="s">
        <v>165</v>
      </c>
    </row>
    <row r="4948" spans="1:6" ht="22.5" hidden="1" customHeight="1" x14ac:dyDescent="0.25">
      <c r="A4948" s="3">
        <v>44256</v>
      </c>
      <c r="B4948" s="2" t="s">
        <v>181</v>
      </c>
      <c r="C4948" s="2">
        <v>1.98</v>
      </c>
      <c r="D4948" s="2">
        <v>1.2800000000000001E-2</v>
      </c>
      <c r="E4948" s="2">
        <v>2.5344000000000001E-4</v>
      </c>
      <c r="F4948" s="2" t="s">
        <v>174</v>
      </c>
    </row>
    <row r="4949" spans="1:6" ht="22.5" hidden="1" customHeight="1" x14ac:dyDescent="0.25">
      <c r="A4949" s="3">
        <v>44256</v>
      </c>
      <c r="B4949" s="2" t="s">
        <v>182</v>
      </c>
      <c r="C4949" s="2">
        <v>0.75</v>
      </c>
      <c r="D4949" s="2">
        <v>4.1399999999999999E-2</v>
      </c>
      <c r="E4949" s="2">
        <v>3.1050000000000001E-4</v>
      </c>
      <c r="F4949" s="2" t="s">
        <v>170</v>
      </c>
    </row>
    <row r="4950" spans="1:6" ht="22.5" hidden="1" customHeight="1" x14ac:dyDescent="0.25">
      <c r="A4950" s="3">
        <v>44256</v>
      </c>
      <c r="B4950" s="2" t="s">
        <v>183</v>
      </c>
      <c r="C4950" s="2">
        <v>0.14000000000000001</v>
      </c>
      <c r="D4950" s="2">
        <v>4.1999999999999997E-3</v>
      </c>
      <c r="E4950" s="2">
        <v>5.8799999999999996E-6</v>
      </c>
      <c r="F4950" s="2" t="s">
        <v>174</v>
      </c>
    </row>
    <row r="4951" spans="1:6" ht="22.5" hidden="1" customHeight="1" x14ac:dyDescent="0.25">
      <c r="A4951" s="3">
        <v>44256</v>
      </c>
      <c r="B4951" s="2" t="s">
        <v>184</v>
      </c>
      <c r="C4951" s="2">
        <v>0.15</v>
      </c>
      <c r="D4951" s="2">
        <v>6.3700000000000007E-2</v>
      </c>
      <c r="E4951" s="2">
        <v>9.5550000000000005E-5</v>
      </c>
      <c r="F4951" s="2" t="s">
        <v>174</v>
      </c>
    </row>
    <row r="4952" spans="1:6" ht="22.5" hidden="1" customHeight="1" x14ac:dyDescent="0.25">
      <c r="A4952" s="3">
        <v>44256</v>
      </c>
      <c r="B4952" s="2" t="s">
        <v>185</v>
      </c>
      <c r="C4952" s="2">
        <v>1.55</v>
      </c>
      <c r="D4952" s="2">
        <v>0.15210000000000001</v>
      </c>
      <c r="E4952" s="2">
        <v>2.3575499999999999E-3</v>
      </c>
      <c r="F4952" s="2" t="s">
        <v>174</v>
      </c>
    </row>
    <row r="4953" spans="1:6" ht="22.5" hidden="1" customHeight="1" x14ac:dyDescent="0.25">
      <c r="A4953" s="3">
        <v>44256</v>
      </c>
      <c r="B4953" s="2" t="s">
        <v>186</v>
      </c>
      <c r="C4953" s="2">
        <v>2.69</v>
      </c>
      <c r="D4953" s="2">
        <v>0.21659999999999999</v>
      </c>
      <c r="E4953" s="2">
        <v>5.8265399999999998E-3</v>
      </c>
      <c r="F4953" s="2" t="s">
        <v>174</v>
      </c>
    </row>
    <row r="4954" spans="1:6" ht="22.5" hidden="1" customHeight="1" x14ac:dyDescent="0.25">
      <c r="A4954" s="3">
        <v>44256</v>
      </c>
      <c r="B4954" s="2" t="s">
        <v>187</v>
      </c>
      <c r="C4954" s="2">
        <v>0.13</v>
      </c>
      <c r="D4954" s="2">
        <v>5.91E-2</v>
      </c>
      <c r="E4954" s="2">
        <v>7.6829999999999995E-5</v>
      </c>
      <c r="F4954" s="2" t="s">
        <v>174</v>
      </c>
    </row>
    <row r="4955" spans="1:6" ht="22.5" hidden="1" customHeight="1" x14ac:dyDescent="0.25">
      <c r="A4955" s="3">
        <v>44256</v>
      </c>
      <c r="B4955" s="2" t="s">
        <v>188</v>
      </c>
      <c r="C4955" s="2">
        <v>0.32</v>
      </c>
      <c r="D4955" s="2">
        <v>2.8899999999999999E-2</v>
      </c>
      <c r="E4955" s="2">
        <v>9.2479999999999995E-5</v>
      </c>
      <c r="F4955" s="2" t="s">
        <v>174</v>
      </c>
    </row>
    <row r="4956" spans="1:6" ht="22.5" hidden="1" customHeight="1" x14ac:dyDescent="0.25">
      <c r="A4956" s="3">
        <v>44256</v>
      </c>
      <c r="B4956" s="2" t="s">
        <v>189</v>
      </c>
      <c r="C4956" s="2">
        <v>1.34</v>
      </c>
      <c r="D4956" s="2">
        <v>3.5999999999999999E-3</v>
      </c>
      <c r="E4956" s="2">
        <v>4.8239999999999999E-5</v>
      </c>
      <c r="F4956" s="2" t="s">
        <v>174</v>
      </c>
    </row>
    <row r="4957" spans="1:6" ht="22.5" hidden="1" customHeight="1" x14ac:dyDescent="0.25">
      <c r="A4957" s="3">
        <v>44256</v>
      </c>
      <c r="B4957" s="2" t="s">
        <v>190</v>
      </c>
      <c r="C4957" s="2">
        <v>-0.86</v>
      </c>
      <c r="D4957" s="2">
        <v>4.8999999999999998E-3</v>
      </c>
      <c r="E4957" s="2">
        <v>-4.214E-5</v>
      </c>
      <c r="F4957" s="2" t="s">
        <v>174</v>
      </c>
    </row>
    <row r="4958" spans="1:6" ht="22.5" hidden="1" customHeight="1" x14ac:dyDescent="0.25">
      <c r="A4958" s="3">
        <v>44256</v>
      </c>
      <c r="B4958" s="2" t="s">
        <v>191</v>
      </c>
      <c r="C4958" s="2">
        <v>0.94</v>
      </c>
      <c r="D4958" s="2">
        <v>2.7400000000000001E-2</v>
      </c>
      <c r="E4958" s="2">
        <v>2.5755999999999999E-4</v>
      </c>
      <c r="F4958" s="2" t="s">
        <v>174</v>
      </c>
    </row>
    <row r="4959" spans="1:6" ht="22.5" hidden="1" customHeight="1" x14ac:dyDescent="0.25">
      <c r="A4959" s="3">
        <v>44256</v>
      </c>
      <c r="B4959" s="2" t="s">
        <v>192</v>
      </c>
      <c r="C4959" s="2">
        <v>1.83</v>
      </c>
      <c r="D4959" s="2">
        <v>5.1000000000000004E-3</v>
      </c>
      <c r="E4959" s="2">
        <v>9.3330000000000003E-5</v>
      </c>
      <c r="F4959" s="2" t="s">
        <v>174</v>
      </c>
    </row>
    <row r="4960" spans="1:6" ht="22.5" hidden="1" customHeight="1" x14ac:dyDescent="0.25">
      <c r="A4960" s="3">
        <v>44256</v>
      </c>
      <c r="B4960" s="2" t="s">
        <v>193</v>
      </c>
      <c r="C4960" s="2">
        <v>-0.13</v>
      </c>
      <c r="D4960" s="2">
        <v>0.16569999999999999</v>
      </c>
      <c r="E4960" s="2">
        <v>-2.1541E-4</v>
      </c>
      <c r="F4960" s="2" t="s">
        <v>174</v>
      </c>
    </row>
    <row r="4961" spans="1:6" ht="22.5" hidden="1" customHeight="1" x14ac:dyDescent="0.25">
      <c r="A4961" s="3">
        <v>44256</v>
      </c>
      <c r="B4961" s="2" t="s">
        <v>194</v>
      </c>
      <c r="C4961" s="2">
        <v>1.72</v>
      </c>
      <c r="D4961" s="2">
        <v>3.3999999999999998E-3</v>
      </c>
      <c r="E4961" s="2">
        <v>5.8480000000000003E-5</v>
      </c>
      <c r="F4961" s="2" t="s">
        <v>174</v>
      </c>
    </row>
    <row r="4962" spans="1:6" ht="22.5" hidden="1" customHeight="1" x14ac:dyDescent="0.25">
      <c r="A4962" s="3">
        <v>43922</v>
      </c>
      <c r="B4962" s="2" t="s">
        <v>261</v>
      </c>
      <c r="C4962" s="2">
        <v>0</v>
      </c>
      <c r="D4962" s="2">
        <v>0.20130000000000001</v>
      </c>
      <c r="E4962" s="2">
        <v>0</v>
      </c>
      <c r="F4962" s="2" t="s">
        <v>168</v>
      </c>
    </row>
    <row r="4963" spans="1:6" ht="22.5" hidden="1" customHeight="1" x14ac:dyDescent="0.25">
      <c r="A4963" s="3">
        <v>43922</v>
      </c>
      <c r="B4963" s="2" t="s">
        <v>262</v>
      </c>
      <c r="C4963" s="2">
        <v>0</v>
      </c>
      <c r="D4963" s="2">
        <v>3.9899999999999998E-2</v>
      </c>
      <c r="E4963" s="2">
        <v>0</v>
      </c>
      <c r="F4963" s="2" t="s">
        <v>168</v>
      </c>
    </row>
    <row r="4964" spans="1:6" ht="22.5" hidden="1" customHeight="1" x14ac:dyDescent="0.25">
      <c r="A4964" s="3">
        <v>43922</v>
      </c>
      <c r="B4964" s="2" t="s">
        <v>266</v>
      </c>
      <c r="C4964" s="2">
        <v>0</v>
      </c>
      <c r="D4964" s="2">
        <v>7.3099999999999998E-2</v>
      </c>
      <c r="E4964" s="2">
        <v>0</v>
      </c>
      <c r="F4964" s="2" t="s">
        <v>168</v>
      </c>
    </row>
    <row r="4965" spans="1:6" ht="22.5" hidden="1" customHeight="1" x14ac:dyDescent="0.25">
      <c r="A4965" s="3">
        <v>44256</v>
      </c>
      <c r="B4965" s="2" t="s">
        <v>198</v>
      </c>
      <c r="C4965" s="2">
        <v>0.48</v>
      </c>
      <c r="D4965" s="2">
        <v>0.34660000000000002</v>
      </c>
      <c r="E4965" s="2">
        <v>1.6636800000000001E-3</v>
      </c>
      <c r="F4965" s="2" t="s">
        <v>170</v>
      </c>
    </row>
    <row r="4966" spans="1:6" ht="22.5" hidden="1" customHeight="1" x14ac:dyDescent="0.25">
      <c r="A4966" s="3">
        <v>44256</v>
      </c>
      <c r="B4966" s="2" t="s">
        <v>199</v>
      </c>
      <c r="C4966" s="2">
        <v>2.0299999999999998</v>
      </c>
      <c r="D4966" s="2">
        <v>0.4723</v>
      </c>
      <c r="E4966" s="2">
        <v>9.5876899999999994E-3</v>
      </c>
      <c r="F4966" s="2" t="s">
        <v>170</v>
      </c>
    </row>
    <row r="4967" spans="1:6" ht="22.5" hidden="1" customHeight="1" x14ac:dyDescent="0.25">
      <c r="A4967" s="3">
        <v>44256</v>
      </c>
      <c r="B4967" s="2" t="s">
        <v>200</v>
      </c>
      <c r="C4967" s="2">
        <v>1.19</v>
      </c>
      <c r="D4967" s="2">
        <v>0.18579999999999999</v>
      </c>
      <c r="E4967" s="2">
        <v>2.2110200000000002E-3</v>
      </c>
      <c r="F4967" s="2" t="s">
        <v>170</v>
      </c>
    </row>
    <row r="4968" spans="1:6" ht="22.5" hidden="1" customHeight="1" x14ac:dyDescent="0.25">
      <c r="A4968" s="3">
        <v>44256</v>
      </c>
      <c r="B4968" s="2" t="s">
        <v>201</v>
      </c>
      <c r="C4968" s="2">
        <v>0.55000000000000004</v>
      </c>
      <c r="D4968" s="2">
        <v>2.58E-2</v>
      </c>
      <c r="E4968" s="2">
        <v>1.4190000000000001E-4</v>
      </c>
      <c r="F4968" s="2" t="s">
        <v>170</v>
      </c>
    </row>
    <row r="4969" spans="1:6" ht="22.5" hidden="1" customHeight="1" x14ac:dyDescent="0.25">
      <c r="A4969" s="3">
        <v>44256</v>
      </c>
      <c r="B4969" s="2" t="s">
        <v>202</v>
      </c>
      <c r="C4969" s="2">
        <v>2</v>
      </c>
      <c r="D4969" s="2">
        <v>1.83E-2</v>
      </c>
      <c r="E4969" s="2">
        <v>3.6600000000000001E-4</v>
      </c>
      <c r="F4969" s="2" t="s">
        <v>170</v>
      </c>
    </row>
    <row r="4970" spans="1:6" ht="22.5" hidden="1" customHeight="1" x14ac:dyDescent="0.25">
      <c r="A4970" s="3">
        <v>44256</v>
      </c>
      <c r="B4970" s="2" t="s">
        <v>203</v>
      </c>
      <c r="C4970" s="2">
        <v>0.77</v>
      </c>
      <c r="D4970" s="2">
        <v>8.2199999999999995E-2</v>
      </c>
      <c r="E4970" s="2">
        <v>6.3294000000000002E-4</v>
      </c>
      <c r="F4970" s="2" t="s">
        <v>170</v>
      </c>
    </row>
    <row r="4971" spans="1:6" ht="22.5" hidden="1" customHeight="1" x14ac:dyDescent="0.25">
      <c r="A4971" s="3">
        <v>44256</v>
      </c>
      <c r="B4971" s="2" t="s">
        <v>204</v>
      </c>
      <c r="C4971" s="2">
        <v>0.44</v>
      </c>
      <c r="D4971" s="2">
        <v>5.9799999999999999E-2</v>
      </c>
      <c r="E4971" s="2">
        <v>2.6311999999999999E-4</v>
      </c>
      <c r="F4971" s="2" t="s">
        <v>174</v>
      </c>
    </row>
    <row r="4972" spans="1:6" ht="22.5" hidden="1" customHeight="1" x14ac:dyDescent="0.25">
      <c r="A4972" s="3">
        <v>44256</v>
      </c>
      <c r="B4972" s="2" t="s">
        <v>205</v>
      </c>
      <c r="C4972" s="2">
        <v>0.66</v>
      </c>
      <c r="D4972" s="2">
        <v>9.5699999999999993E-2</v>
      </c>
      <c r="E4972" s="2">
        <v>6.3161999999999995E-4</v>
      </c>
      <c r="F4972" s="2" t="s">
        <v>174</v>
      </c>
    </row>
    <row r="4973" spans="1:6" ht="22.5" hidden="1" customHeight="1" x14ac:dyDescent="0.25">
      <c r="A4973" s="3">
        <v>44256</v>
      </c>
      <c r="B4973" s="2" t="s">
        <v>206</v>
      </c>
      <c r="C4973" s="2">
        <v>0.11</v>
      </c>
      <c r="D4973" s="2">
        <v>0.1615</v>
      </c>
      <c r="E4973" s="2">
        <v>1.7765000000000001E-4</v>
      </c>
      <c r="F4973" s="2" t="s">
        <v>174</v>
      </c>
    </row>
    <row r="4974" spans="1:6" ht="22.5" hidden="1" customHeight="1" x14ac:dyDescent="0.25">
      <c r="A4974" s="3">
        <v>44256</v>
      </c>
      <c r="B4974" s="2" t="s">
        <v>207</v>
      </c>
      <c r="C4974" s="2">
        <v>1.99</v>
      </c>
      <c r="D4974" s="2">
        <v>4.8000000000000001E-2</v>
      </c>
      <c r="E4974" s="2">
        <v>9.5520000000000002E-4</v>
      </c>
      <c r="F4974" s="2" t="s">
        <v>174</v>
      </c>
    </row>
    <row r="4975" spans="1:6" ht="22.5" hidden="1" customHeight="1" x14ac:dyDescent="0.25">
      <c r="A4975" s="3">
        <v>44256</v>
      </c>
      <c r="B4975" s="2" t="s">
        <v>208</v>
      </c>
      <c r="C4975" s="2">
        <v>2.09</v>
      </c>
      <c r="D4975" s="2">
        <v>8.8000000000000005E-3</v>
      </c>
      <c r="E4975" s="2">
        <v>1.8391999999999999E-4</v>
      </c>
      <c r="F4975" s="2" t="s">
        <v>174</v>
      </c>
    </row>
    <row r="4976" spans="1:6" ht="22.5" hidden="1" customHeight="1" x14ac:dyDescent="0.25">
      <c r="A4976" s="3">
        <v>44256</v>
      </c>
      <c r="B4976" s="2" t="s">
        <v>209</v>
      </c>
      <c r="C4976" s="2">
        <v>-0.81</v>
      </c>
      <c r="D4976" s="2">
        <v>6.1999999999999998E-3</v>
      </c>
      <c r="E4976" s="2">
        <v>-5.0219999999999997E-5</v>
      </c>
      <c r="F4976" s="2" t="s">
        <v>174</v>
      </c>
    </row>
    <row r="4977" spans="1:6" ht="22.5" hidden="1" customHeight="1" x14ac:dyDescent="0.25">
      <c r="A4977" s="3">
        <v>44256</v>
      </c>
      <c r="B4977" s="2" t="s">
        <v>210</v>
      </c>
      <c r="C4977" s="2">
        <v>-0.56999999999999995</v>
      </c>
      <c r="D4977" s="2">
        <v>1.44E-2</v>
      </c>
      <c r="E4977" s="2">
        <v>-8.208E-5</v>
      </c>
      <c r="F4977" s="2" t="s">
        <v>170</v>
      </c>
    </row>
    <row r="4978" spans="1:6" ht="22.5" hidden="1" customHeight="1" x14ac:dyDescent="0.25">
      <c r="A4978" s="3">
        <v>44256</v>
      </c>
      <c r="B4978" s="2" t="s">
        <v>211</v>
      </c>
      <c r="C4978" s="2">
        <v>0.37</v>
      </c>
      <c r="D4978" s="2">
        <v>0.1968</v>
      </c>
      <c r="E4978" s="2">
        <v>7.2816000000000005E-4</v>
      </c>
      <c r="F4978" s="2" t="s">
        <v>174</v>
      </c>
    </row>
    <row r="4979" spans="1:6" ht="22.5" hidden="1" customHeight="1" x14ac:dyDescent="0.25">
      <c r="A4979" s="3">
        <v>44256</v>
      </c>
      <c r="B4979" s="2" t="s">
        <v>212</v>
      </c>
      <c r="C4979" s="2">
        <v>-0.87</v>
      </c>
      <c r="D4979" s="2">
        <v>4.5999999999999999E-3</v>
      </c>
      <c r="E4979" s="2">
        <v>-4.002E-5</v>
      </c>
      <c r="F4979" s="2" t="s">
        <v>174</v>
      </c>
    </row>
    <row r="4980" spans="1:6" ht="22.5" hidden="1" customHeight="1" x14ac:dyDescent="0.25">
      <c r="A4980" s="3">
        <v>44256</v>
      </c>
      <c r="B4980" s="2" t="s">
        <v>213</v>
      </c>
      <c r="C4980" s="2">
        <v>0.09</v>
      </c>
      <c r="D4980" s="2">
        <v>0.34560000000000002</v>
      </c>
      <c r="E4980" s="2">
        <v>3.1104E-4</v>
      </c>
      <c r="F4980" s="2" t="s">
        <v>170</v>
      </c>
    </row>
    <row r="4981" spans="1:6" ht="22.5" hidden="1" customHeight="1" x14ac:dyDescent="0.25">
      <c r="A4981" s="3">
        <v>44256</v>
      </c>
      <c r="B4981" s="2" t="s">
        <v>214</v>
      </c>
      <c r="C4981" s="2">
        <v>-1.81</v>
      </c>
      <c r="D4981" s="2">
        <v>0.1105</v>
      </c>
      <c r="E4981" s="2">
        <v>-2.0000500000000002E-3</v>
      </c>
      <c r="F4981" s="2" t="s">
        <v>170</v>
      </c>
    </row>
    <row r="4982" spans="1:6" ht="22.5" hidden="1" customHeight="1" x14ac:dyDescent="0.25">
      <c r="A4982" s="3">
        <v>44256</v>
      </c>
      <c r="B4982" s="2" t="s">
        <v>215</v>
      </c>
      <c r="C4982" s="2">
        <v>0.99</v>
      </c>
      <c r="D4982" s="2">
        <v>0.25230000000000002</v>
      </c>
      <c r="E4982" s="2">
        <v>2.4977699999999999E-3</v>
      </c>
      <c r="F4982" s="2" t="s">
        <v>170</v>
      </c>
    </row>
    <row r="4983" spans="1:6" ht="22.5" hidden="1" customHeight="1" x14ac:dyDescent="0.25">
      <c r="A4983" s="3">
        <v>44256</v>
      </c>
      <c r="B4983" s="2" t="s">
        <v>216</v>
      </c>
      <c r="C4983" s="2">
        <v>-1.46</v>
      </c>
      <c r="D4983" s="2">
        <v>1.4800000000000001E-2</v>
      </c>
      <c r="E4983" s="2">
        <v>-2.1608E-4</v>
      </c>
      <c r="F4983" s="2" t="s">
        <v>170</v>
      </c>
    </row>
    <row r="4984" spans="1:6" ht="22.5" hidden="1" customHeight="1" x14ac:dyDescent="0.25">
      <c r="A4984" s="3">
        <v>44256</v>
      </c>
      <c r="B4984" s="2" t="s">
        <v>217</v>
      </c>
      <c r="C4984" s="2">
        <v>-1.06</v>
      </c>
      <c r="D4984" s="2">
        <v>0.16889999999999999</v>
      </c>
      <c r="E4984" s="2">
        <v>-1.7903400000000001E-3</v>
      </c>
      <c r="F4984" s="2" t="s">
        <v>170</v>
      </c>
    </row>
    <row r="4985" spans="1:6" ht="22.5" hidden="1" customHeight="1" x14ac:dyDescent="0.25">
      <c r="A4985" s="3">
        <v>44256</v>
      </c>
      <c r="B4985" s="2" t="s">
        <v>218</v>
      </c>
      <c r="C4985" s="2">
        <v>1.24</v>
      </c>
      <c r="D4985" s="2">
        <v>7.3000000000000001E-3</v>
      </c>
      <c r="E4985" s="2">
        <v>9.0519999999999994E-5</v>
      </c>
      <c r="F4985" s="2" t="s">
        <v>170</v>
      </c>
    </row>
    <row r="4986" spans="1:6" ht="22.5" hidden="1" customHeight="1" x14ac:dyDescent="0.25">
      <c r="A4986" s="3">
        <v>44256</v>
      </c>
      <c r="B4986" s="2" t="s">
        <v>219</v>
      </c>
      <c r="C4986" s="2">
        <v>0.39</v>
      </c>
      <c r="D4986" s="2">
        <v>0.499</v>
      </c>
      <c r="E4986" s="2">
        <v>1.9461000000000001E-3</v>
      </c>
      <c r="F4986" s="2" t="s">
        <v>170</v>
      </c>
    </row>
    <row r="4987" spans="1:6" ht="22.5" hidden="1" customHeight="1" x14ac:dyDescent="0.25">
      <c r="A4987" s="3">
        <v>44256</v>
      </c>
      <c r="B4987" s="2" t="s">
        <v>220</v>
      </c>
      <c r="C4987" s="2">
        <v>-1.32</v>
      </c>
      <c r="D4987" s="2">
        <v>1.12E-2</v>
      </c>
      <c r="E4987" s="2">
        <v>-1.4783999999999999E-4</v>
      </c>
      <c r="F4987" s="2" t="s">
        <v>170</v>
      </c>
    </row>
    <row r="4988" spans="1:6" ht="22.5" hidden="1" customHeight="1" x14ac:dyDescent="0.25">
      <c r="A4988" s="3">
        <v>44256</v>
      </c>
      <c r="B4988" s="2" t="s">
        <v>221</v>
      </c>
      <c r="C4988" s="2">
        <v>1.19</v>
      </c>
      <c r="D4988" s="2">
        <v>3.5999999999999999E-3</v>
      </c>
      <c r="E4988" s="2">
        <v>4.2840000000000003E-5</v>
      </c>
      <c r="F4988" s="2" t="s">
        <v>170</v>
      </c>
    </row>
    <row r="4989" spans="1:6" ht="22.5" hidden="1" customHeight="1" x14ac:dyDescent="0.25">
      <c r="A4989" s="3">
        <v>44256</v>
      </c>
      <c r="B4989" s="2" t="s">
        <v>222</v>
      </c>
      <c r="C4989" s="2">
        <v>0.95</v>
      </c>
      <c r="D4989" s="2">
        <v>0.34670000000000001</v>
      </c>
      <c r="E4989" s="2">
        <v>3.29365E-3</v>
      </c>
      <c r="F4989" s="2" t="s">
        <v>170</v>
      </c>
    </row>
    <row r="4990" spans="1:6" ht="22.5" hidden="1" customHeight="1" x14ac:dyDescent="0.25">
      <c r="A4990" s="3">
        <v>44256</v>
      </c>
      <c r="B4990" s="2" t="s">
        <v>223</v>
      </c>
      <c r="C4990" s="2">
        <v>0.47</v>
      </c>
      <c r="D4990" s="2">
        <v>1.6199999999999999E-2</v>
      </c>
      <c r="E4990" s="2">
        <v>7.6139999999999999E-5</v>
      </c>
      <c r="F4990" s="2" t="s">
        <v>165</v>
      </c>
    </row>
    <row r="4991" spans="1:6" ht="22.5" hidden="1" customHeight="1" x14ac:dyDescent="0.25">
      <c r="A4991" s="3">
        <v>44256</v>
      </c>
      <c r="B4991" s="2" t="s">
        <v>224</v>
      </c>
      <c r="C4991" s="2">
        <v>-1.04</v>
      </c>
      <c r="D4991" s="2">
        <v>2.2000000000000001E-3</v>
      </c>
      <c r="E4991" s="2">
        <v>-2.2880000000000001E-5</v>
      </c>
      <c r="F4991" s="2" t="s">
        <v>165</v>
      </c>
    </row>
    <row r="4992" spans="1:6" ht="22.5" hidden="1" customHeight="1" x14ac:dyDescent="0.25">
      <c r="A4992" s="3">
        <v>44256</v>
      </c>
      <c r="B4992" s="2" t="s">
        <v>225</v>
      </c>
      <c r="C4992" s="2">
        <v>3.32</v>
      </c>
      <c r="D4992" s="2">
        <v>4.7000000000000002E-3</v>
      </c>
      <c r="E4992" s="2">
        <v>1.5604E-4</v>
      </c>
      <c r="F4992" s="2" t="s">
        <v>165</v>
      </c>
    </row>
    <row r="4993" spans="1:6" ht="22.5" hidden="1" customHeight="1" x14ac:dyDescent="0.25">
      <c r="A4993" s="3">
        <v>44256</v>
      </c>
      <c r="B4993" s="2" t="s">
        <v>226</v>
      </c>
      <c r="C4993" s="2">
        <v>0.59</v>
      </c>
      <c r="D4993" s="2">
        <v>4.65E-2</v>
      </c>
      <c r="E4993" s="2">
        <v>2.7434999999999997E-4</v>
      </c>
      <c r="F4993" s="2" t="s">
        <v>165</v>
      </c>
    </row>
    <row r="4994" spans="1:6" ht="22.5" hidden="1" customHeight="1" x14ac:dyDescent="0.25">
      <c r="A4994" s="3">
        <v>44256</v>
      </c>
      <c r="B4994" s="2" t="s">
        <v>227</v>
      </c>
      <c r="C4994" s="2">
        <v>-0.12</v>
      </c>
      <c r="D4994" s="2">
        <v>6.54E-2</v>
      </c>
      <c r="E4994" s="2">
        <v>-7.8479999999999994E-5</v>
      </c>
      <c r="F4994" s="2" t="s">
        <v>165</v>
      </c>
    </row>
    <row r="4995" spans="1:6" ht="22.5" hidden="1" customHeight="1" x14ac:dyDescent="0.25">
      <c r="A4995" s="3">
        <v>44256</v>
      </c>
      <c r="B4995" s="2" t="s">
        <v>228</v>
      </c>
      <c r="C4995" s="2">
        <v>-0.32</v>
      </c>
      <c r="D4995" s="2">
        <v>0.1928</v>
      </c>
      <c r="E4995" s="2">
        <v>-6.1695999999999995E-4</v>
      </c>
      <c r="F4995" s="2" t="s">
        <v>165</v>
      </c>
    </row>
    <row r="4996" spans="1:6" ht="22.5" hidden="1" customHeight="1" x14ac:dyDescent="0.25">
      <c r="A4996" s="3">
        <v>44256</v>
      </c>
      <c r="B4996" s="2" t="s">
        <v>229</v>
      </c>
      <c r="C4996" s="2">
        <v>0.05</v>
      </c>
      <c r="D4996" s="2">
        <v>0.27800000000000002</v>
      </c>
      <c r="E4996" s="2">
        <v>1.3899999999999999E-4</v>
      </c>
      <c r="F4996" s="2" t="s">
        <v>174</v>
      </c>
    </row>
    <row r="4997" spans="1:6" ht="22.5" hidden="1" customHeight="1" x14ac:dyDescent="0.25">
      <c r="A4997" s="3">
        <v>44256</v>
      </c>
      <c r="B4997" s="2" t="s">
        <v>230</v>
      </c>
      <c r="C4997" s="2">
        <v>4.07</v>
      </c>
      <c r="D4997" s="2">
        <v>2.0400000000000001E-2</v>
      </c>
      <c r="E4997" s="2">
        <v>8.3027999999999997E-4</v>
      </c>
      <c r="F4997" s="2" t="s">
        <v>174</v>
      </c>
    </row>
    <row r="4998" spans="1:6" ht="22.5" hidden="1" customHeight="1" x14ac:dyDescent="0.25">
      <c r="A4998" s="3">
        <v>44256</v>
      </c>
      <c r="B4998" s="2" t="s">
        <v>231</v>
      </c>
      <c r="C4998" s="2">
        <v>-1.04</v>
      </c>
      <c r="D4998" s="2">
        <v>0.16869999999999999</v>
      </c>
      <c r="E4998" s="2">
        <v>-1.7544800000000001E-3</v>
      </c>
      <c r="F4998" s="2" t="s">
        <v>174</v>
      </c>
    </row>
    <row r="4999" spans="1:6" ht="22.5" hidden="1" customHeight="1" x14ac:dyDescent="0.25">
      <c r="A4999" s="3">
        <v>44256</v>
      </c>
      <c r="B4999" s="2" t="s">
        <v>232</v>
      </c>
      <c r="C4999" s="2">
        <v>-0.45</v>
      </c>
      <c r="D4999" s="2">
        <v>5.4000000000000003E-3</v>
      </c>
      <c r="E4999" s="2">
        <v>-2.4300000000000001E-5</v>
      </c>
      <c r="F4999" s="2" t="s">
        <v>174</v>
      </c>
    </row>
    <row r="5000" spans="1:6" ht="22.5" hidden="1" customHeight="1" x14ac:dyDescent="0.25">
      <c r="A5000" s="3">
        <v>44256</v>
      </c>
      <c r="B5000" s="2" t="s">
        <v>233</v>
      </c>
      <c r="C5000" s="2">
        <v>0.1</v>
      </c>
      <c r="D5000" s="2">
        <v>0.55820000000000003</v>
      </c>
      <c r="E5000" s="2">
        <v>5.5820000000000002E-4</v>
      </c>
      <c r="F5000" s="2" t="s">
        <v>174</v>
      </c>
    </row>
    <row r="5001" spans="1:6" ht="22.5" hidden="1" customHeight="1" x14ac:dyDescent="0.25">
      <c r="A5001" s="3">
        <v>44256</v>
      </c>
      <c r="B5001" s="2" t="s">
        <v>234</v>
      </c>
      <c r="C5001" s="2">
        <v>-0.79</v>
      </c>
      <c r="D5001" s="2">
        <v>0.3024</v>
      </c>
      <c r="E5001" s="2">
        <v>-2.3889599999999999E-3</v>
      </c>
      <c r="F5001" s="2" t="s">
        <v>174</v>
      </c>
    </row>
    <row r="5002" spans="1:6" ht="22.5" hidden="1" customHeight="1" x14ac:dyDescent="0.25">
      <c r="A5002" s="3">
        <v>44256</v>
      </c>
      <c r="B5002" s="2" t="s">
        <v>235</v>
      </c>
      <c r="C5002" s="2">
        <v>4.95</v>
      </c>
      <c r="D5002" s="2">
        <v>2.3199999999999998E-2</v>
      </c>
      <c r="E5002" s="2">
        <v>1.1483999999999999E-3</v>
      </c>
      <c r="F5002" s="2" t="s">
        <v>174</v>
      </c>
    </row>
    <row r="5003" spans="1:6" ht="22.5" hidden="1" customHeight="1" x14ac:dyDescent="0.25">
      <c r="A5003" s="3">
        <v>44256</v>
      </c>
      <c r="B5003" s="2" t="s">
        <v>236</v>
      </c>
      <c r="C5003" s="2">
        <v>-2.15</v>
      </c>
      <c r="D5003" s="2">
        <v>7.1999999999999998E-3</v>
      </c>
      <c r="E5003" s="2">
        <v>-1.548E-4</v>
      </c>
      <c r="F5003" s="2" t="s">
        <v>174</v>
      </c>
    </row>
    <row r="5004" spans="1:6" ht="22.5" hidden="1" customHeight="1" x14ac:dyDescent="0.25">
      <c r="A5004" s="3">
        <v>44256</v>
      </c>
      <c r="B5004" s="2" t="s">
        <v>237</v>
      </c>
      <c r="C5004" s="2">
        <v>0.28000000000000003</v>
      </c>
      <c r="D5004" s="2">
        <v>0.2787</v>
      </c>
      <c r="E5004" s="2">
        <v>7.8036000000000002E-4</v>
      </c>
      <c r="F5004" s="2" t="s">
        <v>174</v>
      </c>
    </row>
    <row r="5005" spans="1:6" ht="22.5" hidden="1" customHeight="1" x14ac:dyDescent="0.25">
      <c r="A5005" s="3">
        <v>44256</v>
      </c>
      <c r="B5005" s="2" t="s">
        <v>238</v>
      </c>
      <c r="C5005" s="2">
        <v>0.24</v>
      </c>
      <c r="D5005" s="2">
        <v>0.49819999999999998</v>
      </c>
      <c r="E5005" s="2">
        <v>1.19568E-3</v>
      </c>
      <c r="F5005" s="2" t="s">
        <v>174</v>
      </c>
    </row>
    <row r="5006" spans="1:6" ht="22.5" hidden="1" customHeight="1" x14ac:dyDescent="0.25">
      <c r="A5006" s="3">
        <v>44256</v>
      </c>
      <c r="B5006" s="2" t="s">
        <v>239</v>
      </c>
      <c r="C5006" s="2">
        <v>-0.68</v>
      </c>
      <c r="D5006" s="2">
        <v>0.1089</v>
      </c>
      <c r="E5006" s="2">
        <v>-7.4052000000000005E-4</v>
      </c>
      <c r="F5006" s="2" t="s">
        <v>174</v>
      </c>
    </row>
    <row r="5007" spans="1:6" ht="22.5" hidden="1" customHeight="1" x14ac:dyDescent="0.25">
      <c r="A5007" s="3">
        <v>44256</v>
      </c>
      <c r="B5007" s="2" t="s">
        <v>240</v>
      </c>
      <c r="C5007" s="2">
        <v>0.14000000000000001</v>
      </c>
      <c r="D5007" s="2">
        <v>6.2899999999999998E-2</v>
      </c>
      <c r="E5007" s="2">
        <v>8.8059999999999994E-5</v>
      </c>
      <c r="F5007" s="2" t="s">
        <v>174</v>
      </c>
    </row>
    <row r="5008" spans="1:6" ht="22.5" hidden="1" customHeight="1" x14ac:dyDescent="0.25">
      <c r="A5008" s="3">
        <v>44256</v>
      </c>
      <c r="B5008" s="2" t="s">
        <v>241</v>
      </c>
      <c r="C5008" s="2">
        <v>0.39</v>
      </c>
      <c r="D5008" s="2">
        <v>8.5500000000000007E-2</v>
      </c>
      <c r="E5008" s="2">
        <v>3.3345E-4</v>
      </c>
      <c r="F5008" s="2" t="s">
        <v>174</v>
      </c>
    </row>
    <row r="5009" spans="1:6" ht="22.5" hidden="1" customHeight="1" x14ac:dyDescent="0.25">
      <c r="A5009" s="3">
        <v>44256</v>
      </c>
      <c r="B5009" s="2" t="s">
        <v>242</v>
      </c>
      <c r="C5009" s="2">
        <v>-0.46</v>
      </c>
      <c r="D5009" s="2">
        <v>7.2999999999999995E-2</v>
      </c>
      <c r="E5009" s="2">
        <v>-3.3579999999999998E-4</v>
      </c>
      <c r="F5009" s="2" t="s">
        <v>174</v>
      </c>
    </row>
    <row r="5010" spans="1:6" ht="22.5" hidden="1" customHeight="1" x14ac:dyDescent="0.25">
      <c r="A5010" s="3">
        <v>44256</v>
      </c>
      <c r="B5010" s="2" t="s">
        <v>243</v>
      </c>
      <c r="C5010" s="2">
        <v>5.54</v>
      </c>
      <c r="D5010" s="2">
        <v>7.4999999999999997E-3</v>
      </c>
      <c r="E5010" s="2">
        <v>4.1550000000000002E-4</v>
      </c>
      <c r="F5010" s="2" t="s">
        <v>174</v>
      </c>
    </row>
    <row r="5011" spans="1:6" ht="22.5" hidden="1" customHeight="1" x14ac:dyDescent="0.25">
      <c r="A5011" s="3">
        <v>44256</v>
      </c>
      <c r="B5011" s="2" t="s">
        <v>244</v>
      </c>
      <c r="C5011" s="2">
        <v>-1.31</v>
      </c>
      <c r="D5011" s="2">
        <v>5.0999999999999997E-2</v>
      </c>
      <c r="E5011" s="2">
        <v>-6.6810000000000003E-4</v>
      </c>
      <c r="F5011" s="2" t="s">
        <v>174</v>
      </c>
    </row>
    <row r="5012" spans="1:6" ht="22.5" hidden="1" customHeight="1" x14ac:dyDescent="0.25">
      <c r="A5012" s="3">
        <v>44256</v>
      </c>
      <c r="B5012" s="2" t="s">
        <v>245</v>
      </c>
      <c r="C5012" s="2">
        <v>-1.45</v>
      </c>
      <c r="D5012" s="2">
        <v>5.1200000000000002E-2</v>
      </c>
      <c r="E5012" s="2">
        <v>-7.4240000000000005E-4</v>
      </c>
      <c r="F5012" s="2" t="s">
        <v>174</v>
      </c>
    </row>
    <row r="5013" spans="1:6" ht="22.5" hidden="1" customHeight="1" x14ac:dyDescent="0.25">
      <c r="A5013" s="3">
        <v>44256</v>
      </c>
      <c r="B5013" s="2" t="s">
        <v>246</v>
      </c>
      <c r="C5013" s="2">
        <v>-1.79</v>
      </c>
      <c r="D5013" s="2">
        <v>0.19059999999999999</v>
      </c>
      <c r="E5013" s="2">
        <v>-3.4117399999999999E-3</v>
      </c>
      <c r="F5013" s="2" t="s">
        <v>174</v>
      </c>
    </row>
    <row r="5014" spans="1:6" ht="22.5" hidden="1" customHeight="1" x14ac:dyDescent="0.25">
      <c r="A5014" s="3">
        <v>44256</v>
      </c>
      <c r="B5014" s="2" t="s">
        <v>247</v>
      </c>
      <c r="C5014" s="2">
        <v>-1.0900000000000001</v>
      </c>
      <c r="D5014" s="2">
        <v>0.13300000000000001</v>
      </c>
      <c r="E5014" s="2">
        <v>-1.4496999999999999E-3</v>
      </c>
      <c r="F5014" s="2" t="s">
        <v>174</v>
      </c>
    </row>
    <row r="5015" spans="1:6" ht="22.5" hidden="1" customHeight="1" x14ac:dyDescent="0.25">
      <c r="A5015" s="3">
        <v>44256</v>
      </c>
      <c r="B5015" s="2" t="s">
        <v>248</v>
      </c>
      <c r="C5015" s="2">
        <v>0.16</v>
      </c>
      <c r="D5015" s="2">
        <v>0.1459</v>
      </c>
      <c r="E5015" s="2">
        <v>2.3343999999999999E-4</v>
      </c>
      <c r="F5015" s="2" t="s">
        <v>174</v>
      </c>
    </row>
    <row r="5016" spans="1:6" ht="22.5" hidden="1" customHeight="1" x14ac:dyDescent="0.25">
      <c r="A5016" s="3">
        <v>44256</v>
      </c>
      <c r="B5016" s="2" t="s">
        <v>249</v>
      </c>
      <c r="C5016" s="2">
        <v>0.03</v>
      </c>
      <c r="D5016" s="2">
        <v>0.2601</v>
      </c>
      <c r="E5016" s="2">
        <v>7.8029999999999997E-5</v>
      </c>
      <c r="F5016" s="2" t="s">
        <v>174</v>
      </c>
    </row>
    <row r="5017" spans="1:6" ht="22.5" hidden="1" customHeight="1" x14ac:dyDescent="0.25">
      <c r="A5017" s="3">
        <v>44256</v>
      </c>
      <c r="B5017" s="2" t="s">
        <v>250</v>
      </c>
      <c r="C5017" s="2">
        <v>1.42</v>
      </c>
      <c r="D5017" s="2">
        <v>2.5499999999999998E-2</v>
      </c>
      <c r="E5017" s="2">
        <v>3.6210000000000002E-4</v>
      </c>
      <c r="F5017" s="2" t="s">
        <v>174</v>
      </c>
    </row>
    <row r="5018" spans="1:6" ht="22.5" hidden="1" customHeight="1" x14ac:dyDescent="0.25">
      <c r="A5018" s="3">
        <v>44256</v>
      </c>
      <c r="B5018" s="2" t="s">
        <v>251</v>
      </c>
      <c r="C5018" s="2">
        <v>-0.42</v>
      </c>
      <c r="D5018" s="2">
        <v>6.0999999999999999E-2</v>
      </c>
      <c r="E5018" s="2">
        <v>-2.5619999999999999E-4</v>
      </c>
      <c r="F5018" s="2" t="s">
        <v>174</v>
      </c>
    </row>
    <row r="5019" spans="1:6" ht="22.5" hidden="1" customHeight="1" x14ac:dyDescent="0.25">
      <c r="A5019" s="3">
        <v>44256</v>
      </c>
      <c r="B5019" s="2" t="s">
        <v>252</v>
      </c>
      <c r="C5019" s="2">
        <v>1.1000000000000001</v>
      </c>
      <c r="D5019" s="2">
        <v>8.3000000000000001E-3</v>
      </c>
      <c r="E5019" s="2">
        <v>9.1299999999999997E-5</v>
      </c>
      <c r="F5019" s="2" t="s">
        <v>174</v>
      </c>
    </row>
    <row r="5020" spans="1:6" ht="22.5" hidden="1" customHeight="1" x14ac:dyDescent="0.25">
      <c r="A5020" s="3">
        <v>44256</v>
      </c>
      <c r="B5020" s="2" t="s">
        <v>253</v>
      </c>
      <c r="C5020" s="2">
        <v>1.36</v>
      </c>
      <c r="D5020" s="2">
        <v>0.43230000000000002</v>
      </c>
      <c r="E5020" s="2">
        <v>5.8792799999999997E-3</v>
      </c>
      <c r="F5020" s="2" t="s">
        <v>174</v>
      </c>
    </row>
    <row r="5021" spans="1:6" ht="22.5" hidden="1" customHeight="1" x14ac:dyDescent="0.25">
      <c r="A5021" s="3">
        <v>44256</v>
      </c>
      <c r="B5021" s="2" t="s">
        <v>254</v>
      </c>
      <c r="C5021" s="2">
        <v>-0.84</v>
      </c>
      <c r="D5021" s="2">
        <v>0.1825</v>
      </c>
      <c r="E5021" s="2">
        <v>-1.5330000000000001E-3</v>
      </c>
      <c r="F5021" s="2" t="s">
        <v>174</v>
      </c>
    </row>
    <row r="5022" spans="1:6" ht="22.5" hidden="1" customHeight="1" x14ac:dyDescent="0.25">
      <c r="A5022" s="3">
        <v>44256</v>
      </c>
      <c r="B5022" s="2" t="s">
        <v>255</v>
      </c>
      <c r="C5022" s="2">
        <v>-0.77</v>
      </c>
      <c r="D5022" s="2">
        <v>1.67E-2</v>
      </c>
      <c r="E5022" s="2">
        <v>-1.2858999999999999E-4</v>
      </c>
      <c r="F5022" s="2" t="s">
        <v>170</v>
      </c>
    </row>
    <row r="5023" spans="1:6" ht="22.5" hidden="1" customHeight="1" x14ac:dyDescent="0.25">
      <c r="A5023" s="3">
        <v>44256</v>
      </c>
      <c r="B5023" s="2" t="s">
        <v>256</v>
      </c>
      <c r="C5023" s="2">
        <v>1.29</v>
      </c>
      <c r="D5023" s="2">
        <v>0.1482</v>
      </c>
      <c r="E5023" s="2">
        <v>1.9117800000000001E-3</v>
      </c>
      <c r="F5023" s="2" t="s">
        <v>170</v>
      </c>
    </row>
    <row r="5024" spans="1:6" ht="22.5" hidden="1" customHeight="1" x14ac:dyDescent="0.25">
      <c r="A5024" s="3">
        <v>44256</v>
      </c>
      <c r="B5024" s="2" t="s">
        <v>257</v>
      </c>
      <c r="C5024" s="2">
        <v>1.1599999999999999</v>
      </c>
      <c r="D5024" s="2">
        <v>5.0299999999999997E-2</v>
      </c>
      <c r="E5024" s="2">
        <v>5.8348000000000004E-4</v>
      </c>
      <c r="F5024" s="2" t="s">
        <v>170</v>
      </c>
    </row>
    <row r="5025" spans="1:6" ht="22.5" hidden="1" customHeight="1" x14ac:dyDescent="0.25">
      <c r="A5025" s="3">
        <v>44256</v>
      </c>
      <c r="B5025" s="2" t="s">
        <v>258</v>
      </c>
      <c r="C5025" s="2">
        <v>0.52</v>
      </c>
      <c r="D5025" s="2">
        <v>4.6699999999999998E-2</v>
      </c>
      <c r="E5025" s="2">
        <v>2.4284E-4</v>
      </c>
      <c r="F5025" s="2" t="s">
        <v>174</v>
      </c>
    </row>
    <row r="5026" spans="1:6" ht="22.5" hidden="1" customHeight="1" x14ac:dyDescent="0.25">
      <c r="A5026" s="3">
        <v>44256</v>
      </c>
      <c r="B5026" s="2" t="s">
        <v>259</v>
      </c>
      <c r="C5026" s="2">
        <v>0.45</v>
      </c>
      <c r="D5026" s="2">
        <v>0.01</v>
      </c>
      <c r="E5026" s="2">
        <v>4.5000000000000003E-5</v>
      </c>
      <c r="F5026" s="2" t="s">
        <v>174</v>
      </c>
    </row>
    <row r="5027" spans="1:6" ht="22.5" hidden="1" customHeight="1" x14ac:dyDescent="0.25">
      <c r="A5027" s="3">
        <v>43922</v>
      </c>
      <c r="B5027" s="2" t="s">
        <v>273</v>
      </c>
      <c r="C5027" s="2">
        <v>0</v>
      </c>
      <c r="D5027" s="2">
        <v>0.1258</v>
      </c>
      <c r="E5027" s="2">
        <v>0</v>
      </c>
      <c r="F5027" s="2" t="s">
        <v>168</v>
      </c>
    </row>
    <row r="5028" spans="1:6" ht="22.5" hidden="1" customHeight="1" x14ac:dyDescent="0.25">
      <c r="A5028" s="3">
        <v>43922</v>
      </c>
      <c r="B5028" s="2" t="s">
        <v>279</v>
      </c>
      <c r="C5028" s="2">
        <v>0</v>
      </c>
      <c r="D5028" s="2">
        <v>9.5799999999999996E-2</v>
      </c>
      <c r="E5028" s="2">
        <v>0</v>
      </c>
      <c r="F5028" s="2" t="s">
        <v>168</v>
      </c>
    </row>
    <row r="5029" spans="1:6" ht="22.5" hidden="1" customHeight="1" x14ac:dyDescent="0.25">
      <c r="A5029" s="3">
        <v>43922</v>
      </c>
      <c r="B5029" s="2" t="s">
        <v>287</v>
      </c>
      <c r="C5029" s="2">
        <v>0</v>
      </c>
      <c r="D5029" s="2">
        <v>6.4600000000000005E-2</v>
      </c>
      <c r="E5029" s="2">
        <v>0</v>
      </c>
      <c r="F5029" s="2" t="s">
        <v>168</v>
      </c>
    </row>
    <row r="5030" spans="1:6" ht="22.5" hidden="1" customHeight="1" x14ac:dyDescent="0.25">
      <c r="A5030" s="3">
        <v>43922</v>
      </c>
      <c r="B5030" s="2" t="s">
        <v>340</v>
      </c>
      <c r="C5030" s="2">
        <v>0</v>
      </c>
      <c r="D5030" s="2">
        <v>0.52769999999999995</v>
      </c>
      <c r="E5030" s="2">
        <v>0</v>
      </c>
      <c r="F5030" s="2" t="s">
        <v>168</v>
      </c>
    </row>
    <row r="5031" spans="1:6" ht="22.5" hidden="1" customHeight="1" x14ac:dyDescent="0.25">
      <c r="A5031" s="3">
        <v>43922</v>
      </c>
      <c r="B5031" s="2" t="s">
        <v>365</v>
      </c>
      <c r="C5031" s="2">
        <v>0</v>
      </c>
      <c r="D5031" s="2">
        <v>7.0800000000000002E-2</v>
      </c>
      <c r="E5031" s="2">
        <v>0</v>
      </c>
      <c r="F5031" s="2" t="s">
        <v>168</v>
      </c>
    </row>
    <row r="5032" spans="1:6" ht="22.5" hidden="1" customHeight="1" x14ac:dyDescent="0.25">
      <c r="A5032" s="3">
        <v>43922</v>
      </c>
      <c r="B5032" s="2" t="s">
        <v>366</v>
      </c>
      <c r="C5032" s="2">
        <v>0</v>
      </c>
      <c r="D5032" s="2">
        <v>0.26450000000000001</v>
      </c>
      <c r="E5032" s="2">
        <v>0</v>
      </c>
      <c r="F5032" s="2" t="s">
        <v>168</v>
      </c>
    </row>
    <row r="5033" spans="1:6" ht="22.5" hidden="1" customHeight="1" x14ac:dyDescent="0.25">
      <c r="A5033" s="3">
        <v>43922</v>
      </c>
      <c r="B5033" s="2" t="s">
        <v>367</v>
      </c>
      <c r="C5033" s="2">
        <v>0</v>
      </c>
      <c r="D5033" s="2">
        <v>1.6092</v>
      </c>
      <c r="E5033" s="2">
        <v>0</v>
      </c>
      <c r="F5033" s="2" t="s">
        <v>168</v>
      </c>
    </row>
    <row r="5034" spans="1:6" ht="22.5" hidden="1" customHeight="1" x14ac:dyDescent="0.25">
      <c r="A5034" s="3">
        <v>44256</v>
      </c>
      <c r="B5034" s="2" t="s">
        <v>267</v>
      </c>
      <c r="C5034" s="2">
        <v>-0.08</v>
      </c>
      <c r="D5034" s="2">
        <v>0.13059999999999999</v>
      </c>
      <c r="E5034" s="2">
        <v>-1.0448E-4</v>
      </c>
      <c r="F5034" s="2" t="s">
        <v>165</v>
      </c>
    </row>
    <row r="5035" spans="1:6" ht="22.5" hidden="1" customHeight="1" x14ac:dyDescent="0.25">
      <c r="A5035" s="3">
        <v>44256</v>
      </c>
      <c r="B5035" s="2" t="s">
        <v>268</v>
      </c>
      <c r="C5035" s="2">
        <v>-2.38</v>
      </c>
      <c r="D5035" s="2">
        <v>0.1822</v>
      </c>
      <c r="E5035" s="2">
        <v>-4.33636E-3</v>
      </c>
      <c r="F5035" s="2" t="s">
        <v>165</v>
      </c>
    </row>
    <row r="5036" spans="1:6" ht="22.5" hidden="1" customHeight="1" x14ac:dyDescent="0.25">
      <c r="A5036" s="3">
        <v>44256</v>
      </c>
      <c r="B5036" s="2" t="s">
        <v>269</v>
      </c>
      <c r="C5036" s="2">
        <v>0</v>
      </c>
      <c r="D5036" s="2">
        <v>6.7299999999999999E-2</v>
      </c>
      <c r="E5036" s="2">
        <v>0</v>
      </c>
      <c r="F5036" s="2" t="s">
        <v>165</v>
      </c>
    </row>
    <row r="5037" spans="1:6" ht="22.5" hidden="1" customHeight="1" x14ac:dyDescent="0.25">
      <c r="A5037" s="3">
        <v>44256</v>
      </c>
      <c r="B5037" s="2" t="s">
        <v>270</v>
      </c>
      <c r="C5037" s="2">
        <v>0.99</v>
      </c>
      <c r="D5037" s="2">
        <v>2.9586999999999999</v>
      </c>
      <c r="E5037" s="2">
        <v>2.9291129999999999E-2</v>
      </c>
      <c r="F5037" s="2" t="s">
        <v>170</v>
      </c>
    </row>
    <row r="5038" spans="1:6" ht="22.5" hidden="1" customHeight="1" x14ac:dyDescent="0.25">
      <c r="A5038" s="3">
        <v>43952</v>
      </c>
      <c r="B5038" s="2" t="s">
        <v>260</v>
      </c>
      <c r="C5038" s="2">
        <v>0</v>
      </c>
      <c r="D5038" s="2">
        <v>1.3876999999999999</v>
      </c>
      <c r="E5038" s="2">
        <v>0</v>
      </c>
      <c r="F5038" s="2" t="s">
        <v>168</v>
      </c>
    </row>
    <row r="5039" spans="1:6" ht="22.5" hidden="1" customHeight="1" x14ac:dyDescent="0.25">
      <c r="A5039" s="3">
        <v>44256</v>
      </c>
      <c r="B5039" s="2" t="s">
        <v>272</v>
      </c>
      <c r="C5039" s="2">
        <v>2.57</v>
      </c>
      <c r="D5039" s="2">
        <v>0.75439999999999996</v>
      </c>
      <c r="E5039" s="2">
        <v>1.9388079999999999E-2</v>
      </c>
      <c r="F5039" s="2" t="s">
        <v>165</v>
      </c>
    </row>
    <row r="5040" spans="1:6" ht="22.5" hidden="1" customHeight="1" x14ac:dyDescent="0.25">
      <c r="A5040" s="3">
        <v>43952</v>
      </c>
      <c r="B5040" s="2" t="s">
        <v>261</v>
      </c>
      <c r="C5040" s="2">
        <v>0</v>
      </c>
      <c r="D5040" s="2">
        <v>0.20100000000000001</v>
      </c>
      <c r="E5040" s="2">
        <v>0</v>
      </c>
      <c r="F5040" s="2" t="s">
        <v>168</v>
      </c>
    </row>
    <row r="5041" spans="1:6" ht="22.5" hidden="1" customHeight="1" x14ac:dyDescent="0.25">
      <c r="A5041" s="3">
        <v>44256</v>
      </c>
      <c r="B5041" s="2" t="s">
        <v>274</v>
      </c>
      <c r="C5041" s="2">
        <v>0.42</v>
      </c>
      <c r="D5041" s="2">
        <v>0.13</v>
      </c>
      <c r="E5041" s="2">
        <v>5.4600000000000004E-4</v>
      </c>
      <c r="F5041" s="2" t="s">
        <v>170</v>
      </c>
    </row>
    <row r="5042" spans="1:6" ht="22.5" hidden="1" customHeight="1" x14ac:dyDescent="0.25">
      <c r="A5042" s="3">
        <v>44256</v>
      </c>
      <c r="B5042" s="2" t="s">
        <v>275</v>
      </c>
      <c r="C5042" s="2">
        <v>0.97</v>
      </c>
      <c r="D5042" s="2">
        <v>0.1739</v>
      </c>
      <c r="E5042" s="2">
        <v>1.6868300000000001E-3</v>
      </c>
      <c r="F5042" s="2" t="s">
        <v>170</v>
      </c>
    </row>
    <row r="5043" spans="1:6" ht="22.5" hidden="1" customHeight="1" x14ac:dyDescent="0.25">
      <c r="A5043" s="3">
        <v>44256</v>
      </c>
      <c r="B5043" s="2" t="s">
        <v>276</v>
      </c>
      <c r="C5043" s="2">
        <v>2.65</v>
      </c>
      <c r="D5043" s="2">
        <v>0.22689999999999999</v>
      </c>
      <c r="E5043" s="2">
        <v>6.0128500000000001E-3</v>
      </c>
      <c r="F5043" s="2" t="s">
        <v>170</v>
      </c>
    </row>
    <row r="5044" spans="1:6" ht="22.5" hidden="1" customHeight="1" x14ac:dyDescent="0.25">
      <c r="A5044" s="3">
        <v>44256</v>
      </c>
      <c r="B5044" s="2" t="s">
        <v>277</v>
      </c>
      <c r="C5044" s="2">
        <v>0.55000000000000004</v>
      </c>
      <c r="D5044" s="2">
        <v>1.6586000000000001</v>
      </c>
      <c r="E5044" s="2">
        <v>9.1222999999999999E-3</v>
      </c>
      <c r="F5044" s="2" t="s">
        <v>165</v>
      </c>
    </row>
    <row r="5045" spans="1:6" ht="22.5" hidden="1" customHeight="1" x14ac:dyDescent="0.25">
      <c r="A5045" s="3">
        <v>44256</v>
      </c>
      <c r="B5045" s="2" t="s">
        <v>278</v>
      </c>
      <c r="C5045" s="2">
        <v>-0.39</v>
      </c>
      <c r="D5045" s="2">
        <v>6.8099999999999994E-2</v>
      </c>
      <c r="E5045" s="2">
        <v>-2.6559000000000001E-4</v>
      </c>
      <c r="F5045" s="2" t="s">
        <v>165</v>
      </c>
    </row>
    <row r="5046" spans="1:6" ht="22.5" hidden="1" customHeight="1" x14ac:dyDescent="0.25">
      <c r="A5046" s="3">
        <v>43952</v>
      </c>
      <c r="B5046" s="2" t="s">
        <v>262</v>
      </c>
      <c r="C5046" s="2">
        <v>0</v>
      </c>
      <c r="D5046" s="2">
        <v>3.9800000000000002E-2</v>
      </c>
      <c r="E5046" s="2">
        <v>0</v>
      </c>
      <c r="F5046" s="2" t="s">
        <v>168</v>
      </c>
    </row>
    <row r="5047" spans="1:6" ht="22.5" hidden="1" customHeight="1" x14ac:dyDescent="0.25">
      <c r="A5047" s="3">
        <v>44256</v>
      </c>
      <c r="B5047" s="2" t="s">
        <v>280</v>
      </c>
      <c r="C5047" s="2">
        <v>0.3</v>
      </c>
      <c r="D5047" s="2">
        <v>1.8763000000000001</v>
      </c>
      <c r="E5047" s="2">
        <v>5.6289E-3</v>
      </c>
      <c r="F5047" s="2" t="s">
        <v>170</v>
      </c>
    </row>
    <row r="5048" spans="1:6" ht="22.5" hidden="1" customHeight="1" x14ac:dyDescent="0.25">
      <c r="A5048" s="3">
        <v>44256</v>
      </c>
      <c r="B5048" s="2" t="s">
        <v>281</v>
      </c>
      <c r="C5048" s="2">
        <v>0.69</v>
      </c>
      <c r="D5048" s="2">
        <v>1.6299999999999999E-2</v>
      </c>
      <c r="E5048" s="2">
        <v>1.1247E-4</v>
      </c>
      <c r="F5048" s="2" t="s">
        <v>165</v>
      </c>
    </row>
    <row r="5049" spans="1:6" ht="22.5" hidden="1" customHeight="1" x14ac:dyDescent="0.25">
      <c r="A5049" s="3">
        <v>44256</v>
      </c>
      <c r="B5049" s="2" t="s">
        <v>282</v>
      </c>
      <c r="C5049" s="2">
        <v>-7.62</v>
      </c>
      <c r="D5049" s="2">
        <v>2.5000000000000001E-2</v>
      </c>
      <c r="E5049" s="2">
        <v>-1.905E-3</v>
      </c>
      <c r="F5049" s="2" t="s">
        <v>165</v>
      </c>
    </row>
    <row r="5050" spans="1:6" ht="22.5" hidden="1" customHeight="1" x14ac:dyDescent="0.25">
      <c r="A5050" s="3">
        <v>44256</v>
      </c>
      <c r="B5050" s="2" t="s">
        <v>283</v>
      </c>
      <c r="C5050" s="2">
        <v>0.05</v>
      </c>
      <c r="D5050" s="2">
        <v>0.56920000000000004</v>
      </c>
      <c r="E5050" s="2">
        <v>2.8459999999999998E-4</v>
      </c>
      <c r="F5050" s="2" t="s">
        <v>170</v>
      </c>
    </row>
    <row r="5051" spans="1:6" ht="22.5" hidden="1" customHeight="1" x14ac:dyDescent="0.25">
      <c r="A5051" s="3">
        <v>43952</v>
      </c>
      <c r="B5051" s="2" t="s">
        <v>266</v>
      </c>
      <c r="C5051" s="2">
        <v>0</v>
      </c>
      <c r="D5051" s="2">
        <v>7.3099999999999998E-2</v>
      </c>
      <c r="E5051" s="2">
        <v>0</v>
      </c>
      <c r="F5051" s="2" t="s">
        <v>168</v>
      </c>
    </row>
    <row r="5052" spans="1:6" ht="22.5" hidden="1" customHeight="1" x14ac:dyDescent="0.25">
      <c r="A5052" s="3">
        <v>43952</v>
      </c>
      <c r="B5052" s="2" t="s">
        <v>273</v>
      </c>
      <c r="C5052" s="2">
        <v>0</v>
      </c>
      <c r="D5052" s="2">
        <v>0.12590000000000001</v>
      </c>
      <c r="E5052" s="2">
        <v>0</v>
      </c>
      <c r="F5052" s="2" t="s">
        <v>168</v>
      </c>
    </row>
    <row r="5053" spans="1:6" ht="22.5" hidden="1" customHeight="1" x14ac:dyDescent="0.25">
      <c r="A5053" s="3">
        <v>43952</v>
      </c>
      <c r="B5053" s="2" t="s">
        <v>279</v>
      </c>
      <c r="C5053" s="2">
        <v>0</v>
      </c>
      <c r="D5053" s="2">
        <v>9.5899999999999999E-2</v>
      </c>
      <c r="E5053" s="2">
        <v>0</v>
      </c>
      <c r="F5053" s="2" t="s">
        <v>168</v>
      </c>
    </row>
    <row r="5054" spans="1:6" ht="22.5" hidden="1" customHeight="1" x14ac:dyDescent="0.25">
      <c r="A5054" s="3">
        <v>43952</v>
      </c>
      <c r="B5054" s="2" t="s">
        <v>340</v>
      </c>
      <c r="C5054" s="2">
        <v>0</v>
      </c>
      <c r="D5054" s="2">
        <v>0.52790000000000004</v>
      </c>
      <c r="E5054" s="2">
        <v>0</v>
      </c>
      <c r="F5054" s="2" t="s">
        <v>168</v>
      </c>
    </row>
    <row r="5055" spans="1:6" ht="22.5" hidden="1" customHeight="1" x14ac:dyDescent="0.25">
      <c r="A5055" s="3">
        <v>43952</v>
      </c>
      <c r="B5055" s="2" t="s">
        <v>365</v>
      </c>
      <c r="C5055" s="2">
        <v>0</v>
      </c>
      <c r="D5055" s="2">
        <v>7.0900000000000005E-2</v>
      </c>
      <c r="E5055" s="2">
        <v>0</v>
      </c>
      <c r="F5055" s="2" t="s">
        <v>168</v>
      </c>
    </row>
    <row r="5056" spans="1:6" ht="22.5" hidden="1" customHeight="1" x14ac:dyDescent="0.25">
      <c r="A5056" s="3">
        <v>43952</v>
      </c>
      <c r="B5056" s="2" t="s">
        <v>366</v>
      </c>
      <c r="C5056" s="2">
        <v>0</v>
      </c>
      <c r="D5056" s="2">
        <v>0.26429999999999998</v>
      </c>
      <c r="E5056" s="2">
        <v>0</v>
      </c>
      <c r="F5056" s="2" t="s">
        <v>168</v>
      </c>
    </row>
    <row r="5057" spans="1:6" ht="22.5" hidden="1" customHeight="1" x14ac:dyDescent="0.25">
      <c r="A5057" s="3">
        <v>43952</v>
      </c>
      <c r="B5057" s="2" t="s">
        <v>367</v>
      </c>
      <c r="C5057" s="2">
        <v>0</v>
      </c>
      <c r="D5057" s="2">
        <v>1.6093</v>
      </c>
      <c r="E5057" s="2">
        <v>0</v>
      </c>
      <c r="F5057" s="2" t="s">
        <v>168</v>
      </c>
    </row>
    <row r="5058" spans="1:6" ht="22.5" hidden="1" customHeight="1" x14ac:dyDescent="0.25">
      <c r="A5058" s="3">
        <v>43983</v>
      </c>
      <c r="B5058" s="2" t="s">
        <v>260</v>
      </c>
      <c r="C5058" s="2">
        <v>0</v>
      </c>
      <c r="D5058" s="2">
        <v>1.3953</v>
      </c>
      <c r="E5058" s="2">
        <v>0</v>
      </c>
      <c r="F5058" s="2" t="s">
        <v>168</v>
      </c>
    </row>
    <row r="5059" spans="1:6" ht="22.5" hidden="1" customHeight="1" x14ac:dyDescent="0.25">
      <c r="A5059" s="3">
        <v>43983</v>
      </c>
      <c r="B5059" s="2" t="s">
        <v>262</v>
      </c>
      <c r="C5059" s="2">
        <v>0</v>
      </c>
      <c r="D5059" s="2">
        <v>0.04</v>
      </c>
      <c r="E5059" s="2">
        <v>0</v>
      </c>
      <c r="F5059" s="2" t="s">
        <v>168</v>
      </c>
    </row>
    <row r="5060" spans="1:6" ht="22.5" hidden="1" customHeight="1" x14ac:dyDescent="0.25">
      <c r="A5060" s="3">
        <v>43983</v>
      </c>
      <c r="B5060" s="2" t="s">
        <v>273</v>
      </c>
      <c r="C5060" s="2">
        <v>0</v>
      </c>
      <c r="D5060" s="2">
        <v>0.12659999999999999</v>
      </c>
      <c r="E5060" s="2">
        <v>0</v>
      </c>
      <c r="F5060" s="2" t="s">
        <v>168</v>
      </c>
    </row>
    <row r="5061" spans="1:6" ht="22.5" hidden="1" customHeight="1" x14ac:dyDescent="0.25">
      <c r="A5061" s="3">
        <v>43983</v>
      </c>
      <c r="B5061" s="2" t="s">
        <v>279</v>
      </c>
      <c r="C5061" s="2">
        <v>0</v>
      </c>
      <c r="D5061" s="2">
        <v>9.6500000000000002E-2</v>
      </c>
      <c r="E5061" s="2">
        <v>0</v>
      </c>
      <c r="F5061" s="2" t="s">
        <v>168</v>
      </c>
    </row>
    <row r="5062" spans="1:6" ht="22.5" hidden="1" customHeight="1" x14ac:dyDescent="0.25">
      <c r="A5062" s="3">
        <v>43983</v>
      </c>
      <c r="B5062" s="2" t="s">
        <v>340</v>
      </c>
      <c r="C5062" s="2">
        <v>0</v>
      </c>
      <c r="D5062" s="2">
        <v>0.53110000000000002</v>
      </c>
      <c r="E5062" s="2">
        <v>0</v>
      </c>
      <c r="F5062" s="2" t="s">
        <v>168</v>
      </c>
    </row>
    <row r="5063" spans="1:6" ht="22.5" hidden="1" customHeight="1" x14ac:dyDescent="0.25">
      <c r="A5063" s="3">
        <v>43983</v>
      </c>
      <c r="B5063" s="2" t="s">
        <v>365</v>
      </c>
      <c r="C5063" s="2">
        <v>0</v>
      </c>
      <c r="D5063" s="2">
        <v>7.1300000000000002E-2</v>
      </c>
      <c r="E5063" s="2">
        <v>0</v>
      </c>
      <c r="F5063" s="2" t="s">
        <v>168</v>
      </c>
    </row>
    <row r="5064" spans="1:6" ht="22.5" hidden="1" customHeight="1" x14ac:dyDescent="0.25">
      <c r="A5064" s="3">
        <v>43983</v>
      </c>
      <c r="B5064" s="2" t="s">
        <v>366</v>
      </c>
      <c r="C5064" s="2">
        <v>0</v>
      </c>
      <c r="D5064" s="2">
        <v>0.26579999999999998</v>
      </c>
      <c r="E5064" s="2">
        <v>0</v>
      </c>
      <c r="F5064" s="2" t="s">
        <v>168</v>
      </c>
    </row>
    <row r="5065" spans="1:6" ht="22.5" hidden="1" customHeight="1" x14ac:dyDescent="0.25">
      <c r="A5065" s="3">
        <v>43983</v>
      </c>
      <c r="B5065" s="2" t="s">
        <v>367</v>
      </c>
      <c r="C5065" s="2">
        <v>0</v>
      </c>
      <c r="D5065" s="2">
        <v>1.6188</v>
      </c>
      <c r="E5065" s="2">
        <v>0</v>
      </c>
      <c r="F5065" s="2" t="s">
        <v>168</v>
      </c>
    </row>
    <row r="5066" spans="1:6" ht="22.5" hidden="1" customHeight="1" x14ac:dyDescent="0.25">
      <c r="A5066" s="3">
        <v>44013</v>
      </c>
      <c r="B5066" s="2" t="s">
        <v>260</v>
      </c>
      <c r="C5066" s="2">
        <v>0</v>
      </c>
      <c r="D5066" s="2">
        <v>1.3946000000000001</v>
      </c>
      <c r="E5066" s="2">
        <v>0</v>
      </c>
      <c r="F5066" s="2" t="s">
        <v>168</v>
      </c>
    </row>
    <row r="5067" spans="1:6" ht="22.5" hidden="1" customHeight="1" x14ac:dyDescent="0.25">
      <c r="A5067" s="3">
        <v>44013</v>
      </c>
      <c r="B5067" s="2" t="s">
        <v>262</v>
      </c>
      <c r="C5067" s="2">
        <v>0</v>
      </c>
      <c r="D5067" s="2">
        <v>0.04</v>
      </c>
      <c r="E5067" s="2">
        <v>0</v>
      </c>
      <c r="F5067" s="2" t="s">
        <v>168</v>
      </c>
    </row>
    <row r="5068" spans="1:6" ht="22.5" hidden="1" customHeight="1" x14ac:dyDescent="0.25">
      <c r="A5068" s="3">
        <v>44013</v>
      </c>
      <c r="B5068" s="2" t="s">
        <v>273</v>
      </c>
      <c r="C5068" s="2">
        <v>0</v>
      </c>
      <c r="D5068" s="2">
        <v>0.12659999999999999</v>
      </c>
      <c r="E5068" s="2">
        <v>0</v>
      </c>
      <c r="F5068" s="2" t="s">
        <v>168</v>
      </c>
    </row>
    <row r="5069" spans="1:6" ht="22.5" hidden="1" customHeight="1" x14ac:dyDescent="0.25">
      <c r="A5069" s="3">
        <v>44256</v>
      </c>
      <c r="B5069" s="2" t="s">
        <v>302</v>
      </c>
      <c r="C5069" s="2">
        <v>-1.65</v>
      </c>
      <c r="D5069" s="2">
        <v>0.2868</v>
      </c>
      <c r="E5069" s="2">
        <v>-4.7321999999999998E-3</v>
      </c>
      <c r="F5069" s="2" t="s">
        <v>170</v>
      </c>
    </row>
    <row r="5070" spans="1:6" ht="22.5" hidden="1" customHeight="1" x14ac:dyDescent="0.25">
      <c r="A5070" s="3">
        <v>44256</v>
      </c>
      <c r="B5070" s="2" t="s">
        <v>303</v>
      </c>
      <c r="C5070" s="2">
        <v>0.18</v>
      </c>
      <c r="D5070" s="2">
        <v>0.54339999999999999</v>
      </c>
      <c r="E5070" s="2">
        <v>9.7812000000000007E-4</v>
      </c>
      <c r="F5070" s="2" t="s">
        <v>165</v>
      </c>
    </row>
    <row r="5071" spans="1:6" ht="22.5" hidden="1" customHeight="1" x14ac:dyDescent="0.25">
      <c r="A5071" s="3">
        <v>44256</v>
      </c>
      <c r="B5071" s="2" t="s">
        <v>304</v>
      </c>
      <c r="C5071" s="2">
        <v>0.28999999999999998</v>
      </c>
      <c r="D5071" s="2">
        <v>0.52480000000000004</v>
      </c>
      <c r="E5071" s="2">
        <v>1.52192E-3</v>
      </c>
      <c r="F5071" s="2" t="s">
        <v>165</v>
      </c>
    </row>
    <row r="5072" spans="1:6" ht="22.5" hidden="1" customHeight="1" x14ac:dyDescent="0.25">
      <c r="A5072" s="3">
        <v>44256</v>
      </c>
      <c r="B5072" s="2" t="s">
        <v>305</v>
      </c>
      <c r="C5072" s="2">
        <v>0.03</v>
      </c>
      <c r="D5072" s="2">
        <v>1.84E-2</v>
      </c>
      <c r="E5072" s="2">
        <v>5.5199999999999997E-6</v>
      </c>
      <c r="F5072" s="2" t="s">
        <v>170</v>
      </c>
    </row>
    <row r="5073" spans="1:6" ht="22.5" hidden="1" customHeight="1" x14ac:dyDescent="0.25">
      <c r="A5073" s="3">
        <v>44256</v>
      </c>
      <c r="B5073" s="2" t="s">
        <v>306</v>
      </c>
      <c r="C5073" s="2">
        <v>0.06</v>
      </c>
      <c r="D5073" s="2">
        <v>4.82E-2</v>
      </c>
      <c r="E5073" s="2">
        <v>2.8920000000000001E-5</v>
      </c>
      <c r="F5073" s="2" t="s">
        <v>165</v>
      </c>
    </row>
    <row r="5074" spans="1:6" ht="22.5" hidden="1" customHeight="1" x14ac:dyDescent="0.25">
      <c r="A5074" s="3">
        <v>44256</v>
      </c>
      <c r="B5074" s="2" t="s">
        <v>307</v>
      </c>
      <c r="C5074" s="2">
        <v>0.82</v>
      </c>
      <c r="D5074" s="2">
        <v>0.10730000000000001</v>
      </c>
      <c r="E5074" s="2">
        <v>8.7986E-4</v>
      </c>
      <c r="F5074" s="2" t="s">
        <v>165</v>
      </c>
    </row>
    <row r="5075" spans="1:6" ht="22.5" hidden="1" customHeight="1" x14ac:dyDescent="0.25">
      <c r="A5075" s="3">
        <v>44256</v>
      </c>
      <c r="B5075" s="2" t="s">
        <v>308</v>
      </c>
      <c r="C5075" s="2">
        <v>0.12</v>
      </c>
      <c r="D5075" s="2">
        <v>0.37230000000000002</v>
      </c>
      <c r="E5075" s="2">
        <v>4.4675999999999998E-4</v>
      </c>
      <c r="F5075" s="2" t="s">
        <v>165</v>
      </c>
    </row>
    <row r="5076" spans="1:6" ht="22.5" hidden="1" customHeight="1" x14ac:dyDescent="0.25">
      <c r="A5076" s="3">
        <v>44256</v>
      </c>
      <c r="B5076" s="2" t="s">
        <v>309</v>
      </c>
      <c r="C5076" s="2">
        <v>0.08</v>
      </c>
      <c r="D5076" s="2">
        <v>0.1308</v>
      </c>
      <c r="E5076" s="2">
        <v>1.0464E-4</v>
      </c>
      <c r="F5076" s="2" t="s">
        <v>165</v>
      </c>
    </row>
    <row r="5077" spans="1:6" ht="22.5" hidden="1" customHeight="1" x14ac:dyDescent="0.25">
      <c r="A5077" s="3">
        <v>44013</v>
      </c>
      <c r="B5077" s="2" t="s">
        <v>279</v>
      </c>
      <c r="C5077" s="2">
        <v>0</v>
      </c>
      <c r="D5077" s="2">
        <v>9.6500000000000002E-2</v>
      </c>
      <c r="E5077" s="2">
        <v>0</v>
      </c>
      <c r="F5077" s="2" t="s">
        <v>168</v>
      </c>
    </row>
    <row r="5078" spans="1:6" ht="22.5" hidden="1" customHeight="1" x14ac:dyDescent="0.25">
      <c r="A5078" s="3">
        <v>44256</v>
      </c>
      <c r="B5078" s="2" t="s">
        <v>311</v>
      </c>
      <c r="C5078" s="2">
        <v>-0.23</v>
      </c>
      <c r="D5078" s="2">
        <v>0.61560000000000004</v>
      </c>
      <c r="E5078" s="2">
        <v>-1.41588E-3</v>
      </c>
      <c r="F5078" s="2" t="s">
        <v>174</v>
      </c>
    </row>
    <row r="5079" spans="1:6" ht="22.5" hidden="1" customHeight="1" x14ac:dyDescent="0.25">
      <c r="A5079" s="3">
        <v>44256</v>
      </c>
      <c r="B5079" s="2" t="s">
        <v>312</v>
      </c>
      <c r="C5079" s="2">
        <v>0.09</v>
      </c>
      <c r="D5079" s="2">
        <v>0.2137</v>
      </c>
      <c r="E5079" s="2">
        <v>1.9233E-4</v>
      </c>
      <c r="F5079" s="2" t="s">
        <v>174</v>
      </c>
    </row>
    <row r="5080" spans="1:6" ht="22.5" hidden="1" customHeight="1" x14ac:dyDescent="0.25">
      <c r="A5080" s="3">
        <v>44256</v>
      </c>
      <c r="B5080" s="2" t="s">
        <v>313</v>
      </c>
      <c r="C5080" s="2">
        <v>-0.36</v>
      </c>
      <c r="D5080" s="2">
        <v>0.13170000000000001</v>
      </c>
      <c r="E5080" s="2">
        <v>-4.7412000000000002E-4</v>
      </c>
      <c r="F5080" s="2" t="s">
        <v>174</v>
      </c>
    </row>
    <row r="5081" spans="1:6" ht="22.5" hidden="1" customHeight="1" x14ac:dyDescent="0.25">
      <c r="A5081" s="3">
        <v>44256</v>
      </c>
      <c r="B5081" s="2" t="s">
        <v>314</v>
      </c>
      <c r="C5081" s="2">
        <v>3.16</v>
      </c>
      <c r="D5081" s="2">
        <v>0.3846</v>
      </c>
      <c r="E5081" s="2">
        <v>1.215336E-2</v>
      </c>
      <c r="F5081" s="2" t="s">
        <v>174</v>
      </c>
    </row>
    <row r="5082" spans="1:6" ht="22.5" hidden="1" customHeight="1" x14ac:dyDescent="0.25">
      <c r="A5082" s="3">
        <v>44256</v>
      </c>
      <c r="B5082" s="2" t="s">
        <v>315</v>
      </c>
      <c r="C5082" s="2">
        <v>-0.32</v>
      </c>
      <c r="D5082" s="2">
        <v>0.26369999999999999</v>
      </c>
      <c r="E5082" s="2">
        <v>-8.4384E-4</v>
      </c>
      <c r="F5082" s="2" t="s">
        <v>174</v>
      </c>
    </row>
    <row r="5083" spans="1:6" ht="22.5" hidden="1" customHeight="1" x14ac:dyDescent="0.25">
      <c r="A5083" s="3">
        <v>44256</v>
      </c>
      <c r="B5083" s="2" t="s">
        <v>316</v>
      </c>
      <c r="C5083" s="2">
        <v>-0.32</v>
      </c>
      <c r="D5083" s="2">
        <v>3.8E-3</v>
      </c>
      <c r="E5083" s="2">
        <v>-1.216E-5</v>
      </c>
      <c r="F5083" s="2" t="s">
        <v>174</v>
      </c>
    </row>
    <row r="5084" spans="1:6" ht="22.5" hidden="1" customHeight="1" x14ac:dyDescent="0.25">
      <c r="A5084" s="3">
        <v>44256</v>
      </c>
      <c r="B5084" s="2" t="s">
        <v>317</v>
      </c>
      <c r="C5084" s="2">
        <v>1.25</v>
      </c>
      <c r="D5084" s="2">
        <v>1.0187999999999999</v>
      </c>
      <c r="E5084" s="2">
        <v>1.2735E-2</v>
      </c>
      <c r="F5084" s="2" t="s">
        <v>174</v>
      </c>
    </row>
    <row r="5085" spans="1:6" ht="22.5" hidden="1" customHeight="1" x14ac:dyDescent="0.25">
      <c r="A5085" s="3">
        <v>44256</v>
      </c>
      <c r="B5085" s="2" t="s">
        <v>318</v>
      </c>
      <c r="C5085" s="2">
        <v>-1.76</v>
      </c>
      <c r="D5085" s="2">
        <v>0.44769999999999999</v>
      </c>
      <c r="E5085" s="2">
        <v>-7.8795199999999992E-3</v>
      </c>
      <c r="F5085" s="2" t="s">
        <v>174</v>
      </c>
    </row>
    <row r="5086" spans="1:6" ht="22.5" hidden="1" customHeight="1" x14ac:dyDescent="0.25">
      <c r="A5086" s="3">
        <v>44256</v>
      </c>
      <c r="B5086" s="2" t="s">
        <v>319</v>
      </c>
      <c r="C5086" s="2">
        <v>-0.62</v>
      </c>
      <c r="D5086" s="2">
        <v>0.10979999999999999</v>
      </c>
      <c r="E5086" s="2">
        <v>-6.8075999999999998E-4</v>
      </c>
      <c r="F5086" s="2" t="s">
        <v>174</v>
      </c>
    </row>
    <row r="5087" spans="1:6" ht="22.5" hidden="1" customHeight="1" x14ac:dyDescent="0.25">
      <c r="A5087" s="3">
        <v>44256</v>
      </c>
      <c r="B5087" s="2" t="s">
        <v>320</v>
      </c>
      <c r="C5087" s="2">
        <v>-0.39</v>
      </c>
      <c r="D5087" s="2">
        <v>0.30280000000000001</v>
      </c>
      <c r="E5087" s="2">
        <v>-1.18092E-3</v>
      </c>
      <c r="F5087" s="2" t="s">
        <v>174</v>
      </c>
    </row>
    <row r="5088" spans="1:6" ht="22.5" hidden="1" customHeight="1" x14ac:dyDescent="0.25">
      <c r="A5088" s="3">
        <v>44256</v>
      </c>
      <c r="B5088" s="2" t="s">
        <v>321</v>
      </c>
      <c r="C5088" s="2">
        <v>0.42</v>
      </c>
      <c r="D5088" s="2">
        <v>0.2026</v>
      </c>
      <c r="E5088" s="2">
        <v>8.5092000000000002E-4</v>
      </c>
      <c r="F5088" s="2" t="s">
        <v>174</v>
      </c>
    </row>
    <row r="5089" spans="1:6" ht="22.5" hidden="1" customHeight="1" x14ac:dyDescent="0.25">
      <c r="A5089" s="3">
        <v>44256</v>
      </c>
      <c r="B5089" s="2" t="s">
        <v>322</v>
      </c>
      <c r="C5089" s="2">
        <v>1.05</v>
      </c>
      <c r="D5089" s="2">
        <v>0.15709999999999999</v>
      </c>
      <c r="E5089" s="2">
        <v>1.6495500000000001E-3</v>
      </c>
      <c r="F5089" s="2" t="s">
        <v>174</v>
      </c>
    </row>
    <row r="5090" spans="1:6" ht="22.5" hidden="1" customHeight="1" x14ac:dyDescent="0.25">
      <c r="A5090" s="3">
        <v>44256</v>
      </c>
      <c r="B5090" s="2" t="s">
        <v>323</v>
      </c>
      <c r="C5090" s="2">
        <v>0.37</v>
      </c>
      <c r="D5090" s="2">
        <v>1.09E-2</v>
      </c>
      <c r="E5090" s="2">
        <v>4.0330000000000002E-5</v>
      </c>
      <c r="F5090" s="2" t="s">
        <v>165</v>
      </c>
    </row>
    <row r="5091" spans="1:6" ht="22.5" hidden="1" customHeight="1" x14ac:dyDescent="0.25">
      <c r="A5091" s="3">
        <v>44256</v>
      </c>
      <c r="B5091" s="2" t="s">
        <v>324</v>
      </c>
      <c r="C5091" s="2">
        <v>0.35</v>
      </c>
      <c r="D5091" s="2">
        <v>0.38750000000000001</v>
      </c>
      <c r="E5091" s="2">
        <v>1.35625E-3</v>
      </c>
      <c r="F5091" s="2" t="s">
        <v>165</v>
      </c>
    </row>
    <row r="5092" spans="1:6" ht="22.5" hidden="1" customHeight="1" x14ac:dyDescent="0.25">
      <c r="A5092" s="3">
        <v>44256</v>
      </c>
      <c r="B5092" s="2" t="s">
        <v>325</v>
      </c>
      <c r="C5092" s="2">
        <v>0.12</v>
      </c>
      <c r="D5092" s="2">
        <v>3.0718000000000001</v>
      </c>
      <c r="E5092" s="2">
        <v>3.68616E-3</v>
      </c>
      <c r="F5092" s="2" t="s">
        <v>165</v>
      </c>
    </row>
    <row r="5093" spans="1:6" ht="22.5" hidden="1" customHeight="1" x14ac:dyDescent="0.25">
      <c r="A5093" s="3">
        <v>44256</v>
      </c>
      <c r="B5093" s="2" t="s">
        <v>326</v>
      </c>
      <c r="C5093" s="2">
        <v>0.77</v>
      </c>
      <c r="D5093" s="2">
        <v>1.0183</v>
      </c>
      <c r="E5093" s="2">
        <v>7.8409099999999995E-3</v>
      </c>
      <c r="F5093" s="2" t="s">
        <v>165</v>
      </c>
    </row>
    <row r="5094" spans="1:6" ht="22.5" hidden="1" customHeight="1" x14ac:dyDescent="0.25">
      <c r="A5094" s="3">
        <v>44256</v>
      </c>
      <c r="B5094" s="2" t="s">
        <v>327</v>
      </c>
      <c r="C5094" s="2">
        <v>-0.63</v>
      </c>
      <c r="D5094" s="2">
        <v>6.1100000000000002E-2</v>
      </c>
      <c r="E5094" s="2">
        <v>-3.8493000000000002E-4</v>
      </c>
      <c r="F5094" s="2" t="s">
        <v>165</v>
      </c>
    </row>
    <row r="5095" spans="1:6" ht="22.5" hidden="1" customHeight="1" x14ac:dyDescent="0.25">
      <c r="A5095" s="3">
        <v>44256</v>
      </c>
      <c r="B5095" s="2" t="s">
        <v>328</v>
      </c>
      <c r="C5095" s="2">
        <v>0.24</v>
      </c>
      <c r="D5095" s="2">
        <v>1.95E-2</v>
      </c>
      <c r="E5095" s="2">
        <v>4.6799999999999999E-5</v>
      </c>
      <c r="F5095" s="2" t="s">
        <v>165</v>
      </c>
    </row>
    <row r="5096" spans="1:6" ht="22.5" hidden="1" customHeight="1" x14ac:dyDescent="0.25">
      <c r="A5096" s="3">
        <v>44256</v>
      </c>
      <c r="B5096" s="2" t="s">
        <v>329</v>
      </c>
      <c r="C5096" s="2">
        <v>0.63</v>
      </c>
      <c r="D5096" s="2">
        <v>9.6799999999999997E-2</v>
      </c>
      <c r="E5096" s="2">
        <v>6.0983999999999995E-4</v>
      </c>
      <c r="F5096" s="2" t="s">
        <v>165</v>
      </c>
    </row>
    <row r="5097" spans="1:6" ht="22.5" hidden="1" customHeight="1" x14ac:dyDescent="0.25">
      <c r="A5097" s="3">
        <v>44256</v>
      </c>
      <c r="B5097" s="2" t="s">
        <v>330</v>
      </c>
      <c r="C5097" s="2">
        <v>0.11</v>
      </c>
      <c r="D5097" s="2">
        <v>1.7606999999999999</v>
      </c>
      <c r="E5097" s="2">
        <v>1.93677E-3</v>
      </c>
      <c r="F5097" s="2" t="s">
        <v>165</v>
      </c>
    </row>
    <row r="5098" spans="1:6" ht="22.5" hidden="1" customHeight="1" x14ac:dyDescent="0.25">
      <c r="A5098" s="3">
        <v>44256</v>
      </c>
      <c r="B5098" s="2" t="s">
        <v>331</v>
      </c>
      <c r="C5098" s="2">
        <v>0.06</v>
      </c>
      <c r="D5098" s="2">
        <v>5.7099999999999998E-2</v>
      </c>
      <c r="E5098" s="2">
        <v>3.4260000000000001E-5</v>
      </c>
      <c r="F5098" s="2" t="s">
        <v>165</v>
      </c>
    </row>
    <row r="5099" spans="1:6" ht="22.5" hidden="1" customHeight="1" x14ac:dyDescent="0.25">
      <c r="A5099" s="3">
        <v>44256</v>
      </c>
      <c r="B5099" s="2" t="s">
        <v>332</v>
      </c>
      <c r="C5099" s="2">
        <v>1.39</v>
      </c>
      <c r="D5099" s="2">
        <v>0.1082</v>
      </c>
      <c r="E5099" s="2">
        <v>1.50398E-3</v>
      </c>
      <c r="F5099" s="2" t="s">
        <v>165</v>
      </c>
    </row>
    <row r="5100" spans="1:6" ht="22.5" hidden="1" customHeight="1" x14ac:dyDescent="0.25">
      <c r="A5100" s="3">
        <v>44256</v>
      </c>
      <c r="B5100" s="2" t="s">
        <v>333</v>
      </c>
      <c r="C5100" s="2">
        <v>-0.2</v>
      </c>
      <c r="D5100" s="2">
        <v>8.4099999999999994E-2</v>
      </c>
      <c r="E5100" s="2">
        <v>-1.682E-4</v>
      </c>
      <c r="F5100" s="2" t="s">
        <v>165</v>
      </c>
    </row>
    <row r="5101" spans="1:6" ht="22.5" hidden="1" customHeight="1" x14ac:dyDescent="0.25">
      <c r="A5101" s="3">
        <v>44256</v>
      </c>
      <c r="B5101" s="2" t="s">
        <v>334</v>
      </c>
      <c r="C5101" s="2">
        <v>-0.43</v>
      </c>
      <c r="D5101" s="2">
        <v>2.1100000000000001E-2</v>
      </c>
      <c r="E5101" s="2">
        <v>-9.0729999999999994E-5</v>
      </c>
      <c r="F5101" s="2" t="s">
        <v>170</v>
      </c>
    </row>
    <row r="5102" spans="1:6" ht="22.5" hidden="1" customHeight="1" x14ac:dyDescent="0.25">
      <c r="A5102" s="3">
        <v>44256</v>
      </c>
      <c r="B5102" s="2" t="s">
        <v>335</v>
      </c>
      <c r="C5102" s="2">
        <v>0.85</v>
      </c>
      <c r="D5102" s="2">
        <v>0.28770000000000001</v>
      </c>
      <c r="E5102" s="2">
        <v>2.4454500000000001E-3</v>
      </c>
      <c r="F5102" s="2" t="s">
        <v>165</v>
      </c>
    </row>
    <row r="5103" spans="1:6" ht="22.5" hidden="1" customHeight="1" x14ac:dyDescent="0.25">
      <c r="A5103" s="3">
        <v>44256</v>
      </c>
      <c r="B5103" s="2" t="s">
        <v>336</v>
      </c>
      <c r="C5103" s="2">
        <v>0.95</v>
      </c>
      <c r="D5103" s="2">
        <v>0.1014</v>
      </c>
      <c r="E5103" s="2">
        <v>9.6330000000000005E-4</v>
      </c>
      <c r="F5103" s="2" t="s">
        <v>170</v>
      </c>
    </row>
    <row r="5104" spans="1:6" ht="22.5" hidden="1" customHeight="1" x14ac:dyDescent="0.25">
      <c r="A5104" s="3">
        <v>44256</v>
      </c>
      <c r="B5104" s="2" t="s">
        <v>337</v>
      </c>
      <c r="C5104" s="2">
        <v>2.87</v>
      </c>
      <c r="D5104" s="2">
        <v>0.33650000000000002</v>
      </c>
      <c r="E5104" s="2">
        <v>9.6575500000000009E-3</v>
      </c>
      <c r="F5104" s="2" t="s">
        <v>174</v>
      </c>
    </row>
    <row r="5105" spans="1:6" ht="22.5" hidden="1" customHeight="1" x14ac:dyDescent="0.25">
      <c r="A5105" s="3">
        <v>44256</v>
      </c>
      <c r="B5105" s="2" t="s">
        <v>338</v>
      </c>
      <c r="C5105" s="2">
        <v>-1.36</v>
      </c>
      <c r="D5105" s="2">
        <v>0.2034</v>
      </c>
      <c r="E5105" s="2">
        <v>-2.7662400000000001E-3</v>
      </c>
      <c r="F5105" s="2" t="s">
        <v>174</v>
      </c>
    </row>
    <row r="5106" spans="1:6" ht="22.5" hidden="1" customHeight="1" x14ac:dyDescent="0.25">
      <c r="A5106" s="3">
        <v>44256</v>
      </c>
      <c r="B5106" s="2" t="s">
        <v>339</v>
      </c>
      <c r="C5106" s="2">
        <v>-0.52</v>
      </c>
      <c r="D5106" s="2">
        <v>4.2900000000000001E-2</v>
      </c>
      <c r="E5106" s="2">
        <v>-2.2308000000000001E-4</v>
      </c>
      <c r="F5106" s="2" t="s">
        <v>165</v>
      </c>
    </row>
    <row r="5107" spans="1:6" ht="22.5" hidden="1" customHeight="1" x14ac:dyDescent="0.25">
      <c r="A5107" s="3">
        <v>44013</v>
      </c>
      <c r="B5107" s="2" t="s">
        <v>340</v>
      </c>
      <c r="C5107" s="2">
        <v>0</v>
      </c>
      <c r="D5107" s="2">
        <v>0.53100000000000003</v>
      </c>
      <c r="E5107" s="2">
        <v>0</v>
      </c>
      <c r="F5107" s="2" t="s">
        <v>168</v>
      </c>
    </row>
    <row r="5108" spans="1:6" ht="22.5" hidden="1" customHeight="1" x14ac:dyDescent="0.25">
      <c r="A5108" s="3">
        <v>44256</v>
      </c>
      <c r="B5108" s="2" t="s">
        <v>341</v>
      </c>
      <c r="C5108" s="2">
        <v>0.7</v>
      </c>
      <c r="D5108" s="2">
        <v>1.17E-2</v>
      </c>
      <c r="E5108" s="2">
        <v>8.1899999999999999E-5</v>
      </c>
      <c r="F5108" s="2" t="s">
        <v>174</v>
      </c>
    </row>
    <row r="5109" spans="1:6" ht="22.5" hidden="1" customHeight="1" x14ac:dyDescent="0.25">
      <c r="A5109" s="3">
        <v>44256</v>
      </c>
      <c r="B5109" s="2" t="s">
        <v>342</v>
      </c>
      <c r="C5109" s="2">
        <v>-0.75</v>
      </c>
      <c r="D5109" s="2">
        <v>0.52539999999999998</v>
      </c>
      <c r="E5109" s="2">
        <v>-3.9405000000000004E-3</v>
      </c>
      <c r="F5109" s="2" t="s">
        <v>165</v>
      </c>
    </row>
    <row r="5110" spans="1:6" ht="22.5" hidden="1" customHeight="1" x14ac:dyDescent="0.25">
      <c r="A5110" s="3">
        <v>44256</v>
      </c>
      <c r="B5110" s="2" t="s">
        <v>343</v>
      </c>
      <c r="C5110" s="2">
        <v>-2.89</v>
      </c>
      <c r="D5110" s="2">
        <v>0.50629999999999997</v>
      </c>
      <c r="E5110" s="2">
        <v>-1.463207E-2</v>
      </c>
      <c r="F5110" s="2" t="s">
        <v>165</v>
      </c>
    </row>
    <row r="5111" spans="1:6" ht="22.5" hidden="1" customHeight="1" x14ac:dyDescent="0.25">
      <c r="A5111" s="3">
        <v>44256</v>
      </c>
      <c r="B5111" s="2" t="s">
        <v>344</v>
      </c>
      <c r="C5111" s="2">
        <v>1.21</v>
      </c>
      <c r="D5111" s="2">
        <v>0.14269999999999999</v>
      </c>
      <c r="E5111" s="2">
        <v>1.72667E-3</v>
      </c>
      <c r="F5111" s="2" t="s">
        <v>165</v>
      </c>
    </row>
    <row r="5112" spans="1:6" ht="22.5" hidden="1" customHeight="1" x14ac:dyDescent="0.25">
      <c r="A5112" s="3">
        <v>44256</v>
      </c>
      <c r="B5112" s="2" t="s">
        <v>345</v>
      </c>
      <c r="C5112" s="2">
        <v>-0.06</v>
      </c>
      <c r="D5112" s="2">
        <v>0.51980000000000004</v>
      </c>
      <c r="E5112" s="2">
        <v>-3.1188E-4</v>
      </c>
      <c r="F5112" s="2" t="s">
        <v>165</v>
      </c>
    </row>
    <row r="5113" spans="1:6" ht="22.5" hidden="1" customHeight="1" x14ac:dyDescent="0.25">
      <c r="A5113" s="3">
        <v>44256</v>
      </c>
      <c r="B5113" s="2" t="s">
        <v>346</v>
      </c>
      <c r="C5113" s="2">
        <v>0.28999999999999998</v>
      </c>
      <c r="D5113" s="2">
        <v>0.54710000000000003</v>
      </c>
      <c r="E5113" s="2">
        <v>1.5865899999999999E-3</v>
      </c>
      <c r="F5113" s="2" t="s">
        <v>174</v>
      </c>
    </row>
    <row r="5114" spans="1:6" ht="22.5" hidden="1" customHeight="1" x14ac:dyDescent="0.25">
      <c r="A5114" s="3">
        <v>44256</v>
      </c>
      <c r="B5114" s="2" t="s">
        <v>347</v>
      </c>
      <c r="C5114" s="2">
        <v>0.26</v>
      </c>
      <c r="D5114" s="2">
        <v>0.1971</v>
      </c>
      <c r="E5114" s="2">
        <v>5.1245999999999996E-4</v>
      </c>
      <c r="F5114" s="2" t="s">
        <v>165</v>
      </c>
    </row>
    <row r="5115" spans="1:6" ht="22.5" hidden="1" customHeight="1" x14ac:dyDescent="0.25">
      <c r="A5115" s="3">
        <v>44256</v>
      </c>
      <c r="B5115" s="2" t="s">
        <v>348</v>
      </c>
      <c r="C5115" s="2">
        <v>-0.52</v>
      </c>
      <c r="D5115" s="2">
        <v>0.33</v>
      </c>
      <c r="E5115" s="2">
        <v>-1.7160000000000001E-3</v>
      </c>
      <c r="F5115" s="2" t="s">
        <v>165</v>
      </c>
    </row>
    <row r="5116" spans="1:6" ht="22.5" hidden="1" customHeight="1" x14ac:dyDescent="0.25">
      <c r="A5116" s="3">
        <v>44256</v>
      </c>
      <c r="B5116" s="2" t="s">
        <v>349</v>
      </c>
      <c r="C5116" s="2">
        <v>-0.4</v>
      </c>
      <c r="D5116" s="2">
        <v>1.5726</v>
      </c>
      <c r="E5116" s="2">
        <v>-6.2903999999999998E-3</v>
      </c>
      <c r="F5116" s="2" t="s">
        <v>165</v>
      </c>
    </row>
    <row r="5117" spans="1:6" ht="22.5" hidden="1" customHeight="1" x14ac:dyDescent="0.25">
      <c r="A5117" s="3">
        <v>44256</v>
      </c>
      <c r="B5117" s="2" t="s">
        <v>350</v>
      </c>
      <c r="C5117" s="2">
        <v>0.05</v>
      </c>
      <c r="D5117" s="2">
        <v>0.39550000000000002</v>
      </c>
      <c r="E5117" s="2">
        <v>1.9775000000000001E-4</v>
      </c>
      <c r="F5117" s="2" t="s">
        <v>165</v>
      </c>
    </row>
    <row r="5118" spans="1:6" ht="22.5" hidden="1" customHeight="1" x14ac:dyDescent="0.25">
      <c r="A5118" s="3">
        <v>44256</v>
      </c>
      <c r="B5118" s="2" t="s">
        <v>351</v>
      </c>
      <c r="C5118" s="2">
        <v>-1.82</v>
      </c>
      <c r="D5118" s="2">
        <v>1.7846</v>
      </c>
      <c r="E5118" s="2">
        <v>-3.2479719999999997E-2</v>
      </c>
      <c r="F5118" s="2" t="s">
        <v>165</v>
      </c>
    </row>
    <row r="5119" spans="1:6" ht="22.5" hidden="1" customHeight="1" x14ac:dyDescent="0.25">
      <c r="A5119" s="3">
        <v>44256</v>
      </c>
      <c r="B5119" s="2" t="s">
        <v>352</v>
      </c>
      <c r="C5119" s="2">
        <v>0.26</v>
      </c>
      <c r="D5119" s="2">
        <v>0.28420000000000001</v>
      </c>
      <c r="E5119" s="2">
        <v>7.3892000000000001E-4</v>
      </c>
      <c r="F5119" s="2" t="s">
        <v>165</v>
      </c>
    </row>
    <row r="5120" spans="1:6" ht="22.5" hidden="1" customHeight="1" x14ac:dyDescent="0.25">
      <c r="A5120" s="3">
        <v>44256</v>
      </c>
      <c r="B5120" s="2" t="s">
        <v>353</v>
      </c>
      <c r="C5120" s="2">
        <v>0</v>
      </c>
      <c r="D5120" s="2">
        <v>4.2599999999999999E-2</v>
      </c>
      <c r="E5120" s="2">
        <v>0</v>
      </c>
      <c r="F5120" s="2" t="s">
        <v>165</v>
      </c>
    </row>
    <row r="5121" spans="1:6" ht="22.5" hidden="1" customHeight="1" x14ac:dyDescent="0.25">
      <c r="A5121" s="3">
        <v>44256</v>
      </c>
      <c r="B5121" s="2" t="s">
        <v>354</v>
      </c>
      <c r="C5121" s="2">
        <v>0.24</v>
      </c>
      <c r="D5121" s="2">
        <v>3.1099999999999999E-2</v>
      </c>
      <c r="E5121" s="2">
        <v>7.4640000000000004E-5</v>
      </c>
      <c r="F5121" s="2" t="s">
        <v>165</v>
      </c>
    </row>
    <row r="5122" spans="1:6" ht="22.5" hidden="1" customHeight="1" x14ac:dyDescent="0.25">
      <c r="A5122" s="3">
        <v>44256</v>
      </c>
      <c r="B5122" s="2" t="s">
        <v>355</v>
      </c>
      <c r="C5122" s="2">
        <v>0</v>
      </c>
      <c r="D5122" s="2">
        <v>2.93E-2</v>
      </c>
      <c r="E5122" s="2">
        <v>0</v>
      </c>
      <c r="F5122" s="2" t="s">
        <v>174</v>
      </c>
    </row>
    <row r="5123" spans="1:6" ht="22.5" hidden="1" customHeight="1" x14ac:dyDescent="0.25">
      <c r="A5123" s="3">
        <v>44256</v>
      </c>
      <c r="B5123" s="2" t="s">
        <v>356</v>
      </c>
      <c r="C5123" s="2">
        <v>0</v>
      </c>
      <c r="D5123" s="2">
        <v>2.93E-2</v>
      </c>
      <c r="E5123" s="2">
        <v>0</v>
      </c>
      <c r="F5123" s="2" t="s">
        <v>174</v>
      </c>
    </row>
    <row r="5124" spans="1:6" ht="22.5" hidden="1" customHeight="1" x14ac:dyDescent="0.25">
      <c r="A5124" s="3">
        <v>44256</v>
      </c>
      <c r="B5124" s="2" t="s">
        <v>357</v>
      </c>
      <c r="C5124" s="2">
        <v>0.03</v>
      </c>
      <c r="D5124" s="2">
        <v>0.37390000000000001</v>
      </c>
      <c r="E5124" s="2">
        <v>1.1217000000000001E-4</v>
      </c>
      <c r="F5124" s="2" t="s">
        <v>174</v>
      </c>
    </row>
    <row r="5125" spans="1:6" ht="22.5" hidden="1" customHeight="1" x14ac:dyDescent="0.25">
      <c r="A5125" s="3">
        <v>44256</v>
      </c>
      <c r="B5125" s="2" t="s">
        <v>358</v>
      </c>
      <c r="C5125" s="2">
        <v>-0.8</v>
      </c>
      <c r="D5125" s="2">
        <v>9.4399999999999998E-2</v>
      </c>
      <c r="E5125" s="2">
        <v>-7.5520000000000003E-4</v>
      </c>
      <c r="F5125" s="2" t="s">
        <v>174</v>
      </c>
    </row>
    <row r="5126" spans="1:6" ht="22.5" hidden="1" customHeight="1" x14ac:dyDescent="0.25">
      <c r="A5126" s="3">
        <v>44256</v>
      </c>
      <c r="B5126" s="2" t="s">
        <v>359</v>
      </c>
      <c r="C5126" s="2">
        <v>1.17</v>
      </c>
      <c r="D5126" s="2">
        <v>4.7600000000000003E-2</v>
      </c>
      <c r="E5126" s="2">
        <v>5.5692000000000003E-4</v>
      </c>
      <c r="F5126" s="2" t="s">
        <v>174</v>
      </c>
    </row>
    <row r="5127" spans="1:6" ht="22.5" hidden="1" customHeight="1" x14ac:dyDescent="0.25">
      <c r="A5127" s="3">
        <v>44256</v>
      </c>
      <c r="B5127" s="2" t="s">
        <v>360</v>
      </c>
      <c r="C5127" s="2">
        <v>0.95</v>
      </c>
      <c r="D5127" s="2">
        <v>8.77E-2</v>
      </c>
      <c r="E5127" s="2">
        <v>8.3314999999999995E-4</v>
      </c>
      <c r="F5127" s="2" t="s">
        <v>174</v>
      </c>
    </row>
    <row r="5128" spans="1:6" ht="22.5" hidden="1" customHeight="1" x14ac:dyDescent="0.25">
      <c r="A5128" s="3">
        <v>44256</v>
      </c>
      <c r="B5128" s="2" t="s">
        <v>361</v>
      </c>
      <c r="C5128" s="2">
        <v>0.98</v>
      </c>
      <c r="D5128" s="2">
        <v>7.6300000000000007E-2</v>
      </c>
      <c r="E5128" s="2">
        <v>7.4773999999999999E-4</v>
      </c>
      <c r="F5128" s="2" t="s">
        <v>165</v>
      </c>
    </row>
    <row r="5129" spans="1:6" ht="22.5" hidden="1" customHeight="1" x14ac:dyDescent="0.25">
      <c r="A5129" s="3">
        <v>44256</v>
      </c>
      <c r="B5129" s="2" t="s">
        <v>362</v>
      </c>
      <c r="C5129" s="2">
        <v>1.61</v>
      </c>
      <c r="D5129" s="2">
        <v>0.30299999999999999</v>
      </c>
      <c r="E5129" s="2">
        <v>4.8783000000000003E-3</v>
      </c>
      <c r="F5129" s="2" t="s">
        <v>165</v>
      </c>
    </row>
    <row r="5130" spans="1:6" ht="22.5" hidden="1" customHeight="1" x14ac:dyDescent="0.25">
      <c r="A5130" s="3">
        <v>44256</v>
      </c>
      <c r="B5130" s="2" t="s">
        <v>363</v>
      </c>
      <c r="C5130" s="2">
        <v>0.33</v>
      </c>
      <c r="D5130" s="2">
        <v>4.9700000000000001E-2</v>
      </c>
      <c r="E5130" s="2">
        <v>1.6401E-4</v>
      </c>
      <c r="F5130" s="2" t="s">
        <v>165</v>
      </c>
    </row>
    <row r="5131" spans="1:6" ht="22.5" hidden="1" customHeight="1" x14ac:dyDescent="0.25">
      <c r="A5131" s="3">
        <v>44256</v>
      </c>
      <c r="B5131" s="2" t="s">
        <v>364</v>
      </c>
      <c r="C5131" s="2">
        <v>0.24</v>
      </c>
      <c r="D5131" s="2">
        <v>0.40489999999999998</v>
      </c>
      <c r="E5131" s="2">
        <v>9.7176000000000001E-4</v>
      </c>
      <c r="F5131" s="2" t="s">
        <v>165</v>
      </c>
    </row>
    <row r="5132" spans="1:6" ht="22.5" hidden="1" customHeight="1" x14ac:dyDescent="0.25">
      <c r="A5132" s="3">
        <v>44013</v>
      </c>
      <c r="B5132" s="2" t="s">
        <v>365</v>
      </c>
      <c r="C5132" s="2">
        <v>0</v>
      </c>
      <c r="D5132" s="2">
        <v>7.1300000000000002E-2</v>
      </c>
      <c r="E5132" s="2">
        <v>0</v>
      </c>
      <c r="F5132" s="2" t="s">
        <v>168</v>
      </c>
    </row>
    <row r="5133" spans="1:6" ht="22.5" hidden="1" customHeight="1" x14ac:dyDescent="0.25">
      <c r="A5133" s="3">
        <v>44013</v>
      </c>
      <c r="B5133" s="2" t="s">
        <v>366</v>
      </c>
      <c r="C5133" s="2">
        <v>0</v>
      </c>
      <c r="D5133" s="2">
        <v>0.26569999999999999</v>
      </c>
      <c r="E5133" s="2">
        <v>0</v>
      </c>
      <c r="F5133" s="2" t="s">
        <v>168</v>
      </c>
    </row>
    <row r="5134" spans="1:6" ht="22.5" hidden="1" customHeight="1" x14ac:dyDescent="0.25">
      <c r="A5134" s="3">
        <v>44013</v>
      </c>
      <c r="B5134" s="2" t="s">
        <v>367</v>
      </c>
      <c r="C5134" s="2">
        <v>0</v>
      </c>
      <c r="D5134" s="2">
        <v>1.6184000000000001</v>
      </c>
      <c r="E5134" s="2">
        <v>0</v>
      </c>
      <c r="F5134" s="2" t="s">
        <v>168</v>
      </c>
    </row>
    <row r="5135" spans="1:6" ht="22.5" hidden="1" customHeight="1" x14ac:dyDescent="0.25">
      <c r="A5135" s="3">
        <v>44256</v>
      </c>
      <c r="B5135" s="2" t="s">
        <v>368</v>
      </c>
      <c r="C5135" s="2">
        <v>0</v>
      </c>
      <c r="D5135" s="2">
        <v>0.38869999999999999</v>
      </c>
      <c r="E5135" s="2">
        <v>0</v>
      </c>
      <c r="F5135" s="2" t="s">
        <v>165</v>
      </c>
    </row>
    <row r="5136" spans="1:6" ht="22.5" hidden="1" customHeight="1" x14ac:dyDescent="0.25">
      <c r="A5136" s="3">
        <v>44256</v>
      </c>
      <c r="B5136" s="2" t="s">
        <v>369</v>
      </c>
      <c r="C5136" s="2">
        <v>0</v>
      </c>
      <c r="D5136" s="2">
        <v>0.56279999999999997</v>
      </c>
      <c r="E5136" s="2">
        <v>0</v>
      </c>
      <c r="F5136" s="2" t="s">
        <v>165</v>
      </c>
    </row>
    <row r="5137" spans="1:6" ht="22.5" hidden="1" customHeight="1" x14ac:dyDescent="0.25">
      <c r="A5137" s="3">
        <v>44256</v>
      </c>
      <c r="B5137" s="2" t="s">
        <v>370</v>
      </c>
      <c r="C5137" s="2">
        <v>0.13</v>
      </c>
      <c r="D5137" s="2">
        <v>1.0071000000000001</v>
      </c>
      <c r="E5137" s="2">
        <v>1.30923E-3</v>
      </c>
      <c r="F5137" s="2" t="s">
        <v>170</v>
      </c>
    </row>
    <row r="5138" spans="1:6" ht="22.5" hidden="1" customHeight="1" x14ac:dyDescent="0.25">
      <c r="A5138" s="3">
        <v>44256</v>
      </c>
      <c r="B5138" s="2" t="s">
        <v>371</v>
      </c>
      <c r="C5138" s="2">
        <v>0</v>
      </c>
      <c r="D5138" s="2">
        <v>6.6699999999999995E-2</v>
      </c>
      <c r="E5138" s="2">
        <v>0</v>
      </c>
      <c r="F5138" s="2" t="s">
        <v>165</v>
      </c>
    </row>
    <row r="5139" spans="1:6" ht="22.5" hidden="1" customHeight="1" x14ac:dyDescent="0.25">
      <c r="A5139" s="3">
        <v>44256</v>
      </c>
      <c r="B5139" s="2" t="s">
        <v>372</v>
      </c>
      <c r="C5139" s="2">
        <v>0</v>
      </c>
      <c r="D5139" s="2">
        <v>1.7009000000000001</v>
      </c>
      <c r="E5139" s="2">
        <v>0</v>
      </c>
      <c r="F5139" s="2" t="s">
        <v>165</v>
      </c>
    </row>
    <row r="5140" spans="1:6" ht="22.5" hidden="1" customHeight="1" x14ac:dyDescent="0.25">
      <c r="A5140" s="3">
        <v>44287</v>
      </c>
      <c r="B5140" s="2" t="s">
        <v>6</v>
      </c>
      <c r="C5140" s="2">
        <v>-1.44</v>
      </c>
      <c r="D5140" s="2">
        <v>0.72760000000000002</v>
      </c>
      <c r="E5140" s="2">
        <v>-1.0477439999999999E-2</v>
      </c>
      <c r="F5140" s="2" t="s">
        <v>7</v>
      </c>
    </row>
    <row r="5141" spans="1:6" ht="22.5" hidden="1" customHeight="1" x14ac:dyDescent="0.25">
      <c r="A5141" s="3">
        <v>44287</v>
      </c>
      <c r="B5141" s="2" t="s">
        <v>8</v>
      </c>
      <c r="C5141" s="2">
        <v>0.15</v>
      </c>
      <c r="D5141" s="2">
        <v>1.41E-2</v>
      </c>
      <c r="E5141" s="2">
        <v>2.1149999999999999E-5</v>
      </c>
      <c r="F5141" s="2" t="s">
        <v>7</v>
      </c>
    </row>
    <row r="5142" spans="1:6" ht="22.5" hidden="1" customHeight="1" x14ac:dyDescent="0.25">
      <c r="A5142" s="3">
        <v>44287</v>
      </c>
      <c r="B5142" s="2" t="s">
        <v>9</v>
      </c>
      <c r="C5142" s="2">
        <v>3</v>
      </c>
      <c r="D5142" s="2">
        <v>6.9599999999999995E-2</v>
      </c>
      <c r="E5142" s="2">
        <v>2.088E-3</v>
      </c>
      <c r="F5142" s="2" t="s">
        <v>7</v>
      </c>
    </row>
    <row r="5143" spans="1:6" ht="22.5" hidden="1" customHeight="1" x14ac:dyDescent="0.25">
      <c r="A5143" s="3">
        <v>44287</v>
      </c>
      <c r="B5143" s="2" t="s">
        <v>10</v>
      </c>
      <c r="C5143" s="2">
        <v>2.9</v>
      </c>
      <c r="D5143" s="2">
        <v>2.2200000000000001E-2</v>
      </c>
      <c r="E5143" s="2">
        <v>6.4380000000000004E-4</v>
      </c>
      <c r="F5143" s="2" t="s">
        <v>7</v>
      </c>
    </row>
    <row r="5144" spans="1:6" ht="22.5" hidden="1" customHeight="1" x14ac:dyDescent="0.25">
      <c r="A5144" s="3">
        <v>44287</v>
      </c>
      <c r="B5144" s="2" t="s">
        <v>11</v>
      </c>
      <c r="C5144" s="2">
        <v>1.35</v>
      </c>
      <c r="D5144" s="2">
        <v>0.1474</v>
      </c>
      <c r="E5144" s="2">
        <v>1.9899000000000002E-3</v>
      </c>
      <c r="F5144" s="2" t="s">
        <v>7</v>
      </c>
    </row>
    <row r="5145" spans="1:6" ht="22.5" hidden="1" customHeight="1" x14ac:dyDescent="0.25">
      <c r="A5145" s="3">
        <v>44287</v>
      </c>
      <c r="B5145" s="2" t="s">
        <v>12</v>
      </c>
      <c r="C5145" s="2">
        <v>-0.41</v>
      </c>
      <c r="D5145" s="2">
        <v>1.0800000000000001E-2</v>
      </c>
      <c r="E5145" s="2">
        <v>-4.4280000000000003E-5</v>
      </c>
      <c r="F5145" s="2" t="s">
        <v>7</v>
      </c>
    </row>
    <row r="5146" spans="1:6" ht="22.5" hidden="1" customHeight="1" x14ac:dyDescent="0.25">
      <c r="A5146" s="3">
        <v>44287</v>
      </c>
      <c r="B5146" s="2" t="s">
        <v>13</v>
      </c>
      <c r="C5146" s="2">
        <v>-1.81</v>
      </c>
      <c r="D5146" s="2">
        <v>3.0000000000000001E-3</v>
      </c>
      <c r="E5146" s="2">
        <v>-5.4299999999999998E-5</v>
      </c>
      <c r="F5146" s="2" t="s">
        <v>7</v>
      </c>
    </row>
    <row r="5147" spans="1:6" ht="22.5" hidden="1" customHeight="1" x14ac:dyDescent="0.25">
      <c r="A5147" s="3">
        <v>44287</v>
      </c>
      <c r="B5147" s="2" t="s">
        <v>14</v>
      </c>
      <c r="C5147" s="2">
        <v>0.89</v>
      </c>
      <c r="D5147" s="2">
        <v>0.14849999999999999</v>
      </c>
      <c r="E5147" s="2">
        <v>1.32165E-3</v>
      </c>
      <c r="F5147" s="2" t="s">
        <v>7</v>
      </c>
    </row>
    <row r="5148" spans="1:6" ht="22.5" hidden="1" customHeight="1" x14ac:dyDescent="0.25">
      <c r="A5148" s="3">
        <v>44287</v>
      </c>
      <c r="B5148" s="2" t="s">
        <v>15</v>
      </c>
      <c r="C5148" s="2">
        <v>1.33</v>
      </c>
      <c r="D5148" s="2">
        <v>7.4000000000000003E-3</v>
      </c>
      <c r="E5148" s="2">
        <v>9.8419999999999996E-5</v>
      </c>
      <c r="F5148" s="2" t="s">
        <v>7</v>
      </c>
    </row>
    <row r="5149" spans="1:6" ht="22.5" hidden="1" customHeight="1" x14ac:dyDescent="0.25">
      <c r="A5149" s="3">
        <v>44287</v>
      </c>
      <c r="B5149" s="2" t="s">
        <v>16</v>
      </c>
      <c r="C5149" s="2">
        <v>-0.37</v>
      </c>
      <c r="D5149" s="2">
        <v>9.1999999999999998E-3</v>
      </c>
      <c r="E5149" s="2">
        <v>-3.4039999999999999E-5</v>
      </c>
      <c r="F5149" s="2" t="s">
        <v>7</v>
      </c>
    </row>
    <row r="5150" spans="1:6" ht="22.5" hidden="1" customHeight="1" x14ac:dyDescent="0.25">
      <c r="A5150" s="3">
        <v>44287</v>
      </c>
      <c r="B5150" s="2" t="s">
        <v>17</v>
      </c>
      <c r="C5150" s="2">
        <v>2.39</v>
      </c>
      <c r="D5150" s="2">
        <v>5.04E-2</v>
      </c>
      <c r="E5150" s="2">
        <v>1.2045599999999999E-3</v>
      </c>
      <c r="F5150" s="2" t="s">
        <v>7</v>
      </c>
    </row>
    <row r="5151" spans="1:6" ht="22.5" hidden="1" customHeight="1" x14ac:dyDescent="0.25">
      <c r="A5151" s="3">
        <v>44287</v>
      </c>
      <c r="B5151" s="2" t="s">
        <v>18</v>
      </c>
      <c r="C5151" s="2">
        <v>0.5</v>
      </c>
      <c r="D5151" s="2">
        <v>9.7799999999999998E-2</v>
      </c>
      <c r="E5151" s="2">
        <v>4.8899999999999996E-4</v>
      </c>
      <c r="F5151" s="2" t="s">
        <v>7</v>
      </c>
    </row>
    <row r="5152" spans="1:6" ht="22.5" hidden="1" customHeight="1" x14ac:dyDescent="0.25">
      <c r="A5152" s="3">
        <v>44287</v>
      </c>
      <c r="B5152" s="2" t="s">
        <v>19</v>
      </c>
      <c r="C5152" s="2">
        <v>-0.61</v>
      </c>
      <c r="D5152" s="2">
        <v>0.12039999999999999</v>
      </c>
      <c r="E5152" s="2">
        <v>-7.3444000000000005E-4</v>
      </c>
      <c r="F5152" s="2" t="s">
        <v>7</v>
      </c>
    </row>
    <row r="5153" spans="1:6" ht="22.5" hidden="1" customHeight="1" x14ac:dyDescent="0.25">
      <c r="A5153" s="3">
        <v>44287</v>
      </c>
      <c r="B5153" s="2" t="s">
        <v>20</v>
      </c>
      <c r="C5153" s="2">
        <v>-0.93</v>
      </c>
      <c r="D5153" s="2">
        <v>2.58E-2</v>
      </c>
      <c r="E5153" s="2">
        <v>-2.3994000000000001E-4</v>
      </c>
      <c r="F5153" s="2" t="s">
        <v>7</v>
      </c>
    </row>
    <row r="5154" spans="1:6" ht="22.5" hidden="1" customHeight="1" x14ac:dyDescent="0.25">
      <c r="A5154" s="3">
        <v>44287</v>
      </c>
      <c r="B5154" s="2" t="s">
        <v>21</v>
      </c>
      <c r="C5154" s="2">
        <v>-7.37</v>
      </c>
      <c r="D5154" s="2">
        <v>3.6400000000000002E-2</v>
      </c>
      <c r="E5154" s="2">
        <v>-2.6826799999999998E-3</v>
      </c>
      <c r="F5154" s="2" t="s">
        <v>7</v>
      </c>
    </row>
    <row r="5155" spans="1:6" ht="22.5" hidden="1" customHeight="1" x14ac:dyDescent="0.25">
      <c r="A5155" s="3">
        <v>44287</v>
      </c>
      <c r="B5155" s="2" t="s">
        <v>22</v>
      </c>
      <c r="C5155" s="2">
        <v>-5.03</v>
      </c>
      <c r="D5155" s="2">
        <v>0.19159999999999999</v>
      </c>
      <c r="E5155" s="2">
        <v>-9.6374800000000004E-3</v>
      </c>
      <c r="F5155" s="2" t="s">
        <v>7</v>
      </c>
    </row>
    <row r="5156" spans="1:6" ht="22.5" hidden="1" customHeight="1" x14ac:dyDescent="0.25">
      <c r="A5156" s="3">
        <v>44287</v>
      </c>
      <c r="B5156" s="2" t="s">
        <v>23</v>
      </c>
      <c r="C5156" s="2">
        <v>8.66</v>
      </c>
      <c r="D5156" s="2">
        <v>1.5800000000000002E-2</v>
      </c>
      <c r="E5156" s="2">
        <v>1.3682799999999999E-3</v>
      </c>
      <c r="F5156" s="2" t="s">
        <v>7</v>
      </c>
    </row>
    <row r="5157" spans="1:6" ht="22.5" hidden="1" customHeight="1" x14ac:dyDescent="0.25">
      <c r="A5157" s="3">
        <v>44287</v>
      </c>
      <c r="B5157" s="2" t="s">
        <v>24</v>
      </c>
      <c r="C5157" s="2">
        <v>-29.09</v>
      </c>
      <c r="D5157" s="2">
        <v>1.2E-2</v>
      </c>
      <c r="E5157" s="2">
        <v>-3.4908000000000001E-3</v>
      </c>
      <c r="F5157" s="2" t="s">
        <v>7</v>
      </c>
    </row>
    <row r="5158" spans="1:6" ht="22.5" hidden="1" customHeight="1" x14ac:dyDescent="0.25">
      <c r="A5158" s="3">
        <v>44287</v>
      </c>
      <c r="B5158" s="2" t="s">
        <v>25</v>
      </c>
      <c r="C5158" s="2">
        <v>-0.53</v>
      </c>
      <c r="D5158" s="2">
        <v>3.3E-3</v>
      </c>
      <c r="E5158" s="2">
        <v>-1.749E-5</v>
      </c>
      <c r="F5158" s="2" t="s">
        <v>7</v>
      </c>
    </row>
    <row r="5159" spans="1:6" ht="22.5" hidden="1" customHeight="1" x14ac:dyDescent="0.25">
      <c r="A5159" s="3">
        <v>44287</v>
      </c>
      <c r="B5159" s="2" t="s">
        <v>26</v>
      </c>
      <c r="C5159" s="2">
        <v>10.4</v>
      </c>
      <c r="D5159" s="2">
        <v>1.4500000000000001E-2</v>
      </c>
      <c r="E5159" s="2">
        <v>1.508E-3</v>
      </c>
      <c r="F5159" s="2" t="s">
        <v>7</v>
      </c>
    </row>
    <row r="5160" spans="1:6" ht="22.5" hidden="1" customHeight="1" x14ac:dyDescent="0.25">
      <c r="A5160" s="3">
        <v>44287</v>
      </c>
      <c r="B5160" s="2" t="s">
        <v>27</v>
      </c>
      <c r="C5160" s="2">
        <v>-3.48</v>
      </c>
      <c r="D5160" s="2">
        <v>0.21060000000000001</v>
      </c>
      <c r="E5160" s="2">
        <v>-7.3288800000000003E-3</v>
      </c>
      <c r="F5160" s="2" t="s">
        <v>7</v>
      </c>
    </row>
    <row r="5161" spans="1:6" ht="22.5" hidden="1" customHeight="1" x14ac:dyDescent="0.25">
      <c r="A5161" s="3">
        <v>44287</v>
      </c>
      <c r="B5161" s="2" t="s">
        <v>28</v>
      </c>
      <c r="C5161" s="2">
        <v>-1.02</v>
      </c>
      <c r="D5161" s="2">
        <v>0.14899999999999999</v>
      </c>
      <c r="E5161" s="2">
        <v>-1.5198E-3</v>
      </c>
      <c r="F5161" s="2" t="s">
        <v>7</v>
      </c>
    </row>
    <row r="5162" spans="1:6" ht="22.5" hidden="1" customHeight="1" x14ac:dyDescent="0.25">
      <c r="A5162" s="3">
        <v>44287</v>
      </c>
      <c r="B5162" s="2" t="s">
        <v>29</v>
      </c>
      <c r="C5162" s="2">
        <v>-13.58</v>
      </c>
      <c r="D5162" s="2">
        <v>5.8000000000000003E-2</v>
      </c>
      <c r="E5162" s="2">
        <v>-7.8764000000000004E-3</v>
      </c>
      <c r="F5162" s="2" t="s">
        <v>7</v>
      </c>
    </row>
    <row r="5163" spans="1:6" ht="22.5" hidden="1" customHeight="1" x14ac:dyDescent="0.25">
      <c r="A5163" s="3">
        <v>44287</v>
      </c>
      <c r="B5163" s="2" t="s">
        <v>30</v>
      </c>
      <c r="C5163" s="2">
        <v>3.8</v>
      </c>
      <c r="D5163" s="2">
        <v>9.9900000000000003E-2</v>
      </c>
      <c r="E5163" s="2">
        <v>3.7962E-3</v>
      </c>
      <c r="F5163" s="2" t="s">
        <v>7</v>
      </c>
    </row>
    <row r="5164" spans="1:6" ht="22.5" hidden="1" customHeight="1" x14ac:dyDescent="0.25">
      <c r="A5164" s="3">
        <v>44287</v>
      </c>
      <c r="B5164" s="2" t="s">
        <v>31</v>
      </c>
      <c r="C5164" s="2">
        <v>1.26</v>
      </c>
      <c r="D5164" s="2">
        <v>0.10920000000000001</v>
      </c>
      <c r="E5164" s="2">
        <v>1.3759200000000001E-3</v>
      </c>
      <c r="F5164" s="2" t="s">
        <v>7</v>
      </c>
    </row>
    <row r="5165" spans="1:6" ht="22.5" hidden="1" customHeight="1" x14ac:dyDescent="0.25">
      <c r="A5165" s="3">
        <v>44287</v>
      </c>
      <c r="B5165" s="2" t="s">
        <v>32</v>
      </c>
      <c r="C5165" s="2">
        <v>7.0000000000000007E-2</v>
      </c>
      <c r="D5165" s="2">
        <v>1.5299999999999999E-2</v>
      </c>
      <c r="E5165" s="2">
        <v>1.0710000000000001E-5</v>
      </c>
      <c r="F5165" s="2" t="s">
        <v>7</v>
      </c>
    </row>
    <row r="5166" spans="1:6" ht="22.5" hidden="1" customHeight="1" x14ac:dyDescent="0.25">
      <c r="A5166" s="3">
        <v>44287</v>
      </c>
      <c r="B5166" s="2" t="s">
        <v>33</v>
      </c>
      <c r="C5166" s="2">
        <v>-0.55000000000000004</v>
      </c>
      <c r="D5166" s="2">
        <v>0.18740000000000001</v>
      </c>
      <c r="E5166" s="2">
        <v>-1.0307000000000001E-3</v>
      </c>
      <c r="F5166" s="2" t="s">
        <v>7</v>
      </c>
    </row>
    <row r="5167" spans="1:6" ht="22.5" hidden="1" customHeight="1" x14ac:dyDescent="0.25">
      <c r="A5167" s="3">
        <v>44287</v>
      </c>
      <c r="B5167" s="2" t="s">
        <v>34</v>
      </c>
      <c r="C5167" s="2">
        <v>1.22</v>
      </c>
      <c r="D5167" s="2">
        <v>0.14369999999999999</v>
      </c>
      <c r="E5167" s="2">
        <v>1.75314E-3</v>
      </c>
      <c r="F5167" s="2" t="s">
        <v>7</v>
      </c>
    </row>
    <row r="5168" spans="1:6" ht="22.5" hidden="1" customHeight="1" x14ac:dyDescent="0.25">
      <c r="A5168" s="3">
        <v>44287</v>
      </c>
      <c r="B5168" s="2" t="s">
        <v>35</v>
      </c>
      <c r="C5168" s="2">
        <v>1.52</v>
      </c>
      <c r="D5168" s="2">
        <v>0.107</v>
      </c>
      <c r="E5168" s="2">
        <v>1.6264000000000001E-3</v>
      </c>
      <c r="F5168" s="2" t="s">
        <v>7</v>
      </c>
    </row>
    <row r="5169" spans="1:6" ht="22.5" hidden="1" customHeight="1" x14ac:dyDescent="0.25">
      <c r="A5169" s="3">
        <v>44287</v>
      </c>
      <c r="B5169" s="2" t="s">
        <v>36</v>
      </c>
      <c r="C5169" s="2">
        <v>1.76</v>
      </c>
      <c r="D5169" s="2">
        <v>1.6999999999999999E-3</v>
      </c>
      <c r="E5169" s="2">
        <v>2.9920000000000002E-5</v>
      </c>
      <c r="F5169" s="2" t="s">
        <v>7</v>
      </c>
    </row>
    <row r="5170" spans="1:6" ht="22.5" hidden="1" customHeight="1" x14ac:dyDescent="0.25">
      <c r="A5170" s="3">
        <v>44287</v>
      </c>
      <c r="B5170" s="2" t="s">
        <v>37</v>
      </c>
      <c r="C5170" s="2">
        <v>-0.81</v>
      </c>
      <c r="D5170" s="2">
        <v>9.3100000000000002E-2</v>
      </c>
      <c r="E5170" s="2">
        <v>-7.5411E-4</v>
      </c>
      <c r="F5170" s="2" t="s">
        <v>7</v>
      </c>
    </row>
    <row r="5171" spans="1:6" ht="22.5" hidden="1" customHeight="1" x14ac:dyDescent="0.25">
      <c r="A5171" s="3">
        <v>44287</v>
      </c>
      <c r="B5171" s="2" t="s">
        <v>38</v>
      </c>
      <c r="C5171" s="2">
        <v>4.37</v>
      </c>
      <c r="D5171" s="2">
        <v>1.01E-2</v>
      </c>
      <c r="E5171" s="2">
        <v>4.4137000000000001E-4</v>
      </c>
      <c r="F5171" s="2" t="s">
        <v>7</v>
      </c>
    </row>
    <row r="5172" spans="1:6" ht="22.5" hidden="1" customHeight="1" x14ac:dyDescent="0.25">
      <c r="A5172" s="3">
        <v>44287</v>
      </c>
      <c r="B5172" s="2" t="s">
        <v>39</v>
      </c>
      <c r="C5172" s="2">
        <v>-1.04</v>
      </c>
      <c r="D5172" s="2">
        <v>1.6E-2</v>
      </c>
      <c r="E5172" s="2">
        <v>-1.6640000000000001E-4</v>
      </c>
      <c r="F5172" s="2" t="s">
        <v>7</v>
      </c>
    </row>
    <row r="5173" spans="1:6" ht="22.5" hidden="1" customHeight="1" x14ac:dyDescent="0.25">
      <c r="A5173" s="3">
        <v>44287</v>
      </c>
      <c r="B5173" s="2" t="s">
        <v>40</v>
      </c>
      <c r="C5173" s="2">
        <v>-2.61</v>
      </c>
      <c r="D5173" s="2">
        <v>3.0999999999999999E-3</v>
      </c>
      <c r="E5173" s="2">
        <v>-8.0909999999999996E-5</v>
      </c>
      <c r="F5173" s="2" t="s">
        <v>7</v>
      </c>
    </row>
    <row r="5174" spans="1:6" ht="22.5" hidden="1" customHeight="1" x14ac:dyDescent="0.25">
      <c r="A5174" s="3">
        <v>44287</v>
      </c>
      <c r="B5174" s="2" t="s">
        <v>41</v>
      </c>
      <c r="C5174" s="2">
        <v>5.75</v>
      </c>
      <c r="D5174" s="2">
        <v>0.02</v>
      </c>
      <c r="E5174" s="2">
        <v>1.15E-3</v>
      </c>
      <c r="F5174" s="2" t="s">
        <v>7</v>
      </c>
    </row>
    <row r="5175" spans="1:6" ht="22.5" hidden="1" customHeight="1" x14ac:dyDescent="0.25">
      <c r="A5175" s="3">
        <v>44287</v>
      </c>
      <c r="B5175" s="2" t="s">
        <v>42</v>
      </c>
      <c r="C5175" s="2">
        <v>-1.1000000000000001</v>
      </c>
      <c r="D5175" s="2">
        <v>4.48E-2</v>
      </c>
      <c r="E5175" s="2">
        <v>-4.9280000000000005E-4</v>
      </c>
      <c r="F5175" s="2" t="s">
        <v>7</v>
      </c>
    </row>
    <row r="5176" spans="1:6" ht="22.5" hidden="1" customHeight="1" x14ac:dyDescent="0.25">
      <c r="A5176" s="3">
        <v>44287</v>
      </c>
      <c r="B5176" s="2" t="s">
        <v>43</v>
      </c>
      <c r="C5176" s="2">
        <v>0.06</v>
      </c>
      <c r="D5176" s="2">
        <v>3.1399999999999997E-2</v>
      </c>
      <c r="E5176" s="2">
        <v>1.8839999999999999E-5</v>
      </c>
      <c r="F5176" s="2" t="s">
        <v>7</v>
      </c>
    </row>
    <row r="5177" spans="1:6" ht="22.5" hidden="1" customHeight="1" x14ac:dyDescent="0.25">
      <c r="A5177" s="3">
        <v>44287</v>
      </c>
      <c r="B5177" s="2" t="s">
        <v>44</v>
      </c>
      <c r="C5177" s="2">
        <v>0.72</v>
      </c>
      <c r="D5177" s="2">
        <v>1.54E-2</v>
      </c>
      <c r="E5177" s="2">
        <v>1.1088E-4</v>
      </c>
      <c r="F5177" s="2" t="s">
        <v>7</v>
      </c>
    </row>
    <row r="5178" spans="1:6" ht="22.5" hidden="1" customHeight="1" x14ac:dyDescent="0.25">
      <c r="A5178" s="3">
        <v>44287</v>
      </c>
      <c r="B5178" s="2" t="s">
        <v>45</v>
      </c>
      <c r="C5178" s="2">
        <v>-5.33</v>
      </c>
      <c r="D5178" s="2">
        <v>1.95E-2</v>
      </c>
      <c r="E5178" s="2">
        <v>-1.0393500000000001E-3</v>
      </c>
      <c r="F5178" s="2" t="s">
        <v>7</v>
      </c>
    </row>
    <row r="5179" spans="1:6" ht="22.5" hidden="1" customHeight="1" x14ac:dyDescent="0.25">
      <c r="A5179" s="3">
        <v>44287</v>
      </c>
      <c r="B5179" s="2" t="s">
        <v>46</v>
      </c>
      <c r="C5179" s="2">
        <v>-2.5499999999999998</v>
      </c>
      <c r="D5179" s="2">
        <v>1E-3</v>
      </c>
      <c r="E5179" s="2">
        <v>-2.55E-5</v>
      </c>
      <c r="F5179" s="2" t="s">
        <v>7</v>
      </c>
    </row>
    <row r="5180" spans="1:6" ht="22.5" hidden="1" customHeight="1" x14ac:dyDescent="0.25">
      <c r="A5180" s="3">
        <v>44287</v>
      </c>
      <c r="B5180" s="2" t="s">
        <v>47</v>
      </c>
      <c r="C5180" s="2">
        <v>-6.81</v>
      </c>
      <c r="D5180" s="2">
        <v>0.1105</v>
      </c>
      <c r="E5180" s="2">
        <v>-7.5250500000000001E-3</v>
      </c>
      <c r="F5180" s="2" t="s">
        <v>7</v>
      </c>
    </row>
    <row r="5181" spans="1:6" ht="22.5" hidden="1" customHeight="1" x14ac:dyDescent="0.25">
      <c r="A5181" s="3">
        <v>44287</v>
      </c>
      <c r="B5181" s="2" t="s">
        <v>48</v>
      </c>
      <c r="C5181" s="2">
        <v>-3.41</v>
      </c>
      <c r="D5181" s="2">
        <v>4.4000000000000003E-3</v>
      </c>
      <c r="E5181" s="2">
        <v>-1.5003999999999999E-4</v>
      </c>
      <c r="F5181" s="2" t="s">
        <v>7</v>
      </c>
    </row>
    <row r="5182" spans="1:6" ht="22.5" hidden="1" customHeight="1" x14ac:dyDescent="0.25">
      <c r="A5182" s="3">
        <v>44287</v>
      </c>
      <c r="B5182" s="2" t="s">
        <v>49</v>
      </c>
      <c r="C5182" s="2">
        <v>-7.9</v>
      </c>
      <c r="D5182" s="2">
        <v>0.18360000000000001</v>
      </c>
      <c r="E5182" s="2">
        <v>-1.4504400000000001E-2</v>
      </c>
      <c r="F5182" s="2" t="s">
        <v>7</v>
      </c>
    </row>
    <row r="5183" spans="1:6" ht="22.5" hidden="1" customHeight="1" x14ac:dyDescent="0.25">
      <c r="A5183" s="3">
        <v>44287</v>
      </c>
      <c r="B5183" s="2" t="s">
        <v>50</v>
      </c>
      <c r="C5183" s="2">
        <v>3.3</v>
      </c>
      <c r="D5183" s="2">
        <v>5.7999999999999996E-3</v>
      </c>
      <c r="E5183" s="2">
        <v>1.9139999999999999E-4</v>
      </c>
      <c r="F5183" s="2" t="s">
        <v>7</v>
      </c>
    </row>
    <row r="5184" spans="1:6" ht="22.5" hidden="1" customHeight="1" x14ac:dyDescent="0.25">
      <c r="A5184" s="3">
        <v>44287</v>
      </c>
      <c r="B5184" s="2" t="s">
        <v>51</v>
      </c>
      <c r="C5184" s="2">
        <v>-11.38</v>
      </c>
      <c r="D5184" s="2">
        <v>6.6E-3</v>
      </c>
      <c r="E5184" s="2">
        <v>-7.5108E-4</v>
      </c>
      <c r="F5184" s="2" t="s">
        <v>7</v>
      </c>
    </row>
    <row r="5185" spans="1:6" ht="22.5" hidden="1" customHeight="1" x14ac:dyDescent="0.25">
      <c r="A5185" s="3">
        <v>44287</v>
      </c>
      <c r="B5185" s="2" t="s">
        <v>52</v>
      </c>
      <c r="C5185" s="2">
        <v>-17.079999999999998</v>
      </c>
      <c r="D5185" s="2">
        <v>3.3000000000000002E-2</v>
      </c>
      <c r="E5185" s="2">
        <v>-5.6363999999999997E-3</v>
      </c>
      <c r="F5185" s="2" t="s">
        <v>7</v>
      </c>
    </row>
    <row r="5186" spans="1:6" ht="22.5" hidden="1" customHeight="1" x14ac:dyDescent="0.25">
      <c r="A5186" s="3">
        <v>44287</v>
      </c>
      <c r="B5186" s="2" t="s">
        <v>53</v>
      </c>
      <c r="C5186" s="2">
        <v>-12.73</v>
      </c>
      <c r="D5186" s="2">
        <v>0.1699</v>
      </c>
      <c r="E5186" s="2">
        <v>-2.1628270000000002E-2</v>
      </c>
      <c r="F5186" s="2" t="s">
        <v>7</v>
      </c>
    </row>
    <row r="5187" spans="1:6" ht="22.5" hidden="1" customHeight="1" x14ac:dyDescent="0.25">
      <c r="A5187" s="3">
        <v>44287</v>
      </c>
      <c r="B5187" s="2" t="s">
        <v>54</v>
      </c>
      <c r="C5187" s="2">
        <v>12.13</v>
      </c>
      <c r="D5187" s="2">
        <v>0.1008</v>
      </c>
      <c r="E5187" s="2">
        <v>1.222704E-2</v>
      </c>
      <c r="F5187" s="2" t="s">
        <v>7</v>
      </c>
    </row>
    <row r="5188" spans="1:6" ht="22.5" hidden="1" customHeight="1" x14ac:dyDescent="0.25">
      <c r="A5188" s="3">
        <v>44287</v>
      </c>
      <c r="B5188" s="2" t="s">
        <v>55</v>
      </c>
      <c r="C5188" s="2">
        <v>19.3</v>
      </c>
      <c r="D5188" s="2">
        <v>7.2700000000000001E-2</v>
      </c>
      <c r="E5188" s="2">
        <v>1.4031099999999999E-2</v>
      </c>
      <c r="F5188" s="2" t="s">
        <v>7</v>
      </c>
    </row>
    <row r="5189" spans="1:6" ht="22.5" hidden="1" customHeight="1" x14ac:dyDescent="0.25">
      <c r="A5189" s="3">
        <v>44287</v>
      </c>
      <c r="B5189" s="2" t="s">
        <v>56</v>
      </c>
      <c r="C5189" s="2">
        <v>-11.83</v>
      </c>
      <c r="D5189" s="2">
        <v>7.7000000000000002E-3</v>
      </c>
      <c r="E5189" s="2">
        <v>-9.1091000000000002E-4</v>
      </c>
      <c r="F5189" s="2" t="s">
        <v>7</v>
      </c>
    </row>
    <row r="5190" spans="1:6" ht="22.5" hidden="1" customHeight="1" x14ac:dyDescent="0.25">
      <c r="A5190" s="3">
        <v>44287</v>
      </c>
      <c r="B5190" s="2" t="s">
        <v>57</v>
      </c>
      <c r="C5190" s="2">
        <v>9.42</v>
      </c>
      <c r="D5190" s="2">
        <v>2.7400000000000001E-2</v>
      </c>
      <c r="E5190" s="2">
        <v>2.5810799999999999E-3</v>
      </c>
      <c r="F5190" s="2" t="s">
        <v>7</v>
      </c>
    </row>
    <row r="5191" spans="1:6" ht="22.5" hidden="1" customHeight="1" x14ac:dyDescent="0.25">
      <c r="A5191" s="3">
        <v>44287</v>
      </c>
      <c r="B5191" s="2" t="s">
        <v>58</v>
      </c>
      <c r="C5191" s="2">
        <v>4.18</v>
      </c>
      <c r="D5191" s="2">
        <v>1.6400000000000001E-2</v>
      </c>
      <c r="E5191" s="2">
        <v>6.8552000000000001E-4</v>
      </c>
      <c r="F5191" s="2" t="s">
        <v>7</v>
      </c>
    </row>
    <row r="5192" spans="1:6" ht="22.5" hidden="1" customHeight="1" x14ac:dyDescent="0.25">
      <c r="A5192" s="3">
        <v>44287</v>
      </c>
      <c r="B5192" s="2" t="s">
        <v>59</v>
      </c>
      <c r="C5192" s="2">
        <v>-8.9600000000000009</v>
      </c>
      <c r="D5192" s="2">
        <v>2.3800000000000002E-2</v>
      </c>
      <c r="E5192" s="2">
        <v>-2.13248E-3</v>
      </c>
      <c r="F5192" s="2" t="s">
        <v>7</v>
      </c>
    </row>
    <row r="5193" spans="1:6" ht="22.5" hidden="1" customHeight="1" x14ac:dyDescent="0.25">
      <c r="A5193" s="3">
        <v>44287</v>
      </c>
      <c r="B5193" s="2" t="s">
        <v>60</v>
      </c>
      <c r="C5193" s="2">
        <v>-3.82</v>
      </c>
      <c r="D5193" s="2">
        <v>3.61E-2</v>
      </c>
      <c r="E5193" s="2">
        <v>-1.3790199999999999E-3</v>
      </c>
      <c r="F5193" s="2" t="s">
        <v>7</v>
      </c>
    </row>
    <row r="5194" spans="1:6" ht="22.5" hidden="1" customHeight="1" x14ac:dyDescent="0.25">
      <c r="A5194" s="3">
        <v>44287</v>
      </c>
      <c r="B5194" s="2" t="s">
        <v>61</v>
      </c>
      <c r="C5194" s="2">
        <v>-4.13</v>
      </c>
      <c r="D5194" s="2">
        <v>7.8E-2</v>
      </c>
      <c r="E5194" s="2">
        <v>-3.2214000000000001E-3</v>
      </c>
      <c r="F5194" s="2" t="s">
        <v>7</v>
      </c>
    </row>
    <row r="5195" spans="1:6" ht="22.5" hidden="1" customHeight="1" x14ac:dyDescent="0.25">
      <c r="A5195" s="3">
        <v>44287</v>
      </c>
      <c r="B5195" s="2" t="s">
        <v>62</v>
      </c>
      <c r="C5195" s="2">
        <v>2.11</v>
      </c>
      <c r="D5195" s="2">
        <v>9.3899999999999997E-2</v>
      </c>
      <c r="E5195" s="2">
        <v>1.9812900000000001E-3</v>
      </c>
      <c r="F5195" s="2" t="s">
        <v>7</v>
      </c>
    </row>
    <row r="5196" spans="1:6" ht="22.5" hidden="1" customHeight="1" x14ac:dyDescent="0.25">
      <c r="A5196" s="3">
        <v>44287</v>
      </c>
      <c r="B5196" s="2" t="s">
        <v>63</v>
      </c>
      <c r="C5196" s="2">
        <v>-27.39</v>
      </c>
      <c r="D5196" s="2">
        <v>1.03E-2</v>
      </c>
      <c r="E5196" s="2">
        <v>-2.82117E-3</v>
      </c>
      <c r="F5196" s="2" t="s">
        <v>7</v>
      </c>
    </row>
    <row r="5197" spans="1:6" ht="22.5" hidden="1" customHeight="1" x14ac:dyDescent="0.25">
      <c r="A5197" s="3">
        <v>44287</v>
      </c>
      <c r="B5197" s="2" t="s">
        <v>64</v>
      </c>
      <c r="C5197" s="2">
        <v>6</v>
      </c>
      <c r="D5197" s="2">
        <v>3.8999999999999998E-3</v>
      </c>
      <c r="E5197" s="2">
        <v>2.34E-4</v>
      </c>
      <c r="F5197" s="2" t="s">
        <v>7</v>
      </c>
    </row>
    <row r="5198" spans="1:6" ht="22.5" hidden="1" customHeight="1" x14ac:dyDescent="0.25">
      <c r="A5198" s="3">
        <v>44287</v>
      </c>
      <c r="B5198" s="2" t="s">
        <v>65</v>
      </c>
      <c r="C5198" s="2">
        <v>-0.69</v>
      </c>
      <c r="D5198" s="2">
        <v>2.0400000000000001E-2</v>
      </c>
      <c r="E5198" s="2">
        <v>-1.4076E-4</v>
      </c>
      <c r="F5198" s="2" t="s">
        <v>7</v>
      </c>
    </row>
    <row r="5199" spans="1:6" ht="22.5" hidden="1" customHeight="1" x14ac:dyDescent="0.25">
      <c r="A5199" s="3">
        <v>44287</v>
      </c>
      <c r="B5199" s="2" t="s">
        <v>66</v>
      </c>
      <c r="C5199" s="2">
        <v>-1.48</v>
      </c>
      <c r="D5199" s="2">
        <v>0.38419999999999999</v>
      </c>
      <c r="E5199" s="2">
        <v>-5.68616E-3</v>
      </c>
      <c r="F5199" s="2" t="s">
        <v>7</v>
      </c>
    </row>
    <row r="5200" spans="1:6" ht="22.5" hidden="1" customHeight="1" x14ac:dyDescent="0.25">
      <c r="A5200" s="3">
        <v>44287</v>
      </c>
      <c r="B5200" s="2" t="s">
        <v>67</v>
      </c>
      <c r="C5200" s="2">
        <v>0.56999999999999995</v>
      </c>
      <c r="D5200" s="2">
        <v>3.7000000000000002E-3</v>
      </c>
      <c r="E5200" s="2">
        <v>2.109E-5</v>
      </c>
      <c r="F5200" s="2" t="s">
        <v>7</v>
      </c>
    </row>
    <row r="5201" spans="1:6" ht="22.5" hidden="1" customHeight="1" x14ac:dyDescent="0.25">
      <c r="A5201" s="3">
        <v>44287</v>
      </c>
      <c r="B5201" s="2" t="s">
        <v>68</v>
      </c>
      <c r="C5201" s="2">
        <v>-1.76</v>
      </c>
      <c r="D5201" s="2">
        <v>1.24E-2</v>
      </c>
      <c r="E5201" s="2">
        <v>-2.1824E-4</v>
      </c>
      <c r="F5201" s="2" t="s">
        <v>7</v>
      </c>
    </row>
    <row r="5202" spans="1:6" ht="22.5" hidden="1" customHeight="1" x14ac:dyDescent="0.25">
      <c r="A5202" s="3">
        <v>44287</v>
      </c>
      <c r="B5202" s="2" t="s">
        <v>69</v>
      </c>
      <c r="C5202" s="2">
        <v>-7.0000000000000007E-2</v>
      </c>
      <c r="D5202" s="2">
        <v>0.49730000000000002</v>
      </c>
      <c r="E5202" s="2">
        <v>-3.4811E-4</v>
      </c>
      <c r="F5202" s="2" t="s">
        <v>7</v>
      </c>
    </row>
    <row r="5203" spans="1:6" ht="22.5" hidden="1" customHeight="1" x14ac:dyDescent="0.25">
      <c r="A5203" s="3">
        <v>44287</v>
      </c>
      <c r="B5203" s="2" t="s">
        <v>70</v>
      </c>
      <c r="C5203" s="2">
        <v>0.04</v>
      </c>
      <c r="D5203" s="2">
        <v>2.6700000000000002E-2</v>
      </c>
      <c r="E5203" s="2">
        <v>1.0679999999999999E-5</v>
      </c>
      <c r="F5203" s="2" t="s">
        <v>7</v>
      </c>
    </row>
    <row r="5204" spans="1:6" ht="22.5" hidden="1" customHeight="1" x14ac:dyDescent="0.25">
      <c r="A5204" s="3">
        <v>44287</v>
      </c>
      <c r="B5204" s="2" t="s">
        <v>71</v>
      </c>
      <c r="C5204" s="2">
        <v>0.55000000000000004</v>
      </c>
      <c r="D5204" s="2">
        <v>0.34350000000000003</v>
      </c>
      <c r="E5204" s="2">
        <v>1.8892500000000001E-3</v>
      </c>
      <c r="F5204" s="2" t="s">
        <v>7</v>
      </c>
    </row>
    <row r="5205" spans="1:6" ht="22.5" hidden="1" customHeight="1" x14ac:dyDescent="0.25">
      <c r="A5205" s="3">
        <v>44287</v>
      </c>
      <c r="B5205" s="2" t="s">
        <v>72</v>
      </c>
      <c r="C5205" s="2">
        <v>1.1599999999999999</v>
      </c>
      <c r="D5205" s="2">
        <v>0.36909999999999998</v>
      </c>
      <c r="E5205" s="2">
        <v>4.2815600000000002E-3</v>
      </c>
      <c r="F5205" s="2" t="s">
        <v>7</v>
      </c>
    </row>
    <row r="5206" spans="1:6" ht="22.5" hidden="1" customHeight="1" x14ac:dyDescent="0.25">
      <c r="A5206" s="3">
        <v>44287</v>
      </c>
      <c r="B5206" s="2" t="s">
        <v>73</v>
      </c>
      <c r="C5206" s="2">
        <v>1.46</v>
      </c>
      <c r="D5206" s="2">
        <v>0.1832</v>
      </c>
      <c r="E5206" s="2">
        <v>2.6747199999999998E-3</v>
      </c>
      <c r="F5206" s="2" t="s">
        <v>7</v>
      </c>
    </row>
    <row r="5207" spans="1:6" ht="22.5" hidden="1" customHeight="1" x14ac:dyDescent="0.25">
      <c r="A5207" s="3">
        <v>44287</v>
      </c>
      <c r="B5207" s="2" t="s">
        <v>74</v>
      </c>
      <c r="C5207" s="2">
        <v>0.53</v>
      </c>
      <c r="D5207" s="2">
        <v>9.7000000000000003E-3</v>
      </c>
      <c r="E5207" s="2">
        <v>5.1409999999999997E-5</v>
      </c>
      <c r="F5207" s="2" t="s">
        <v>7</v>
      </c>
    </row>
    <row r="5208" spans="1:6" ht="22.5" hidden="1" customHeight="1" x14ac:dyDescent="0.25">
      <c r="A5208" s="3">
        <v>44287</v>
      </c>
      <c r="B5208" s="2" t="s">
        <v>75</v>
      </c>
      <c r="C5208" s="2">
        <v>0.9</v>
      </c>
      <c r="D5208" s="2">
        <v>8.0600000000000005E-2</v>
      </c>
      <c r="E5208" s="2">
        <v>7.2539999999999996E-4</v>
      </c>
      <c r="F5208" s="2" t="s">
        <v>7</v>
      </c>
    </row>
    <row r="5209" spans="1:6" ht="22.5" hidden="1" customHeight="1" x14ac:dyDescent="0.25">
      <c r="A5209" s="3">
        <v>44287</v>
      </c>
      <c r="B5209" s="2" t="s">
        <v>76</v>
      </c>
      <c r="C5209" s="2">
        <v>2.4300000000000002</v>
      </c>
      <c r="D5209" s="2">
        <v>0.1681</v>
      </c>
      <c r="E5209" s="2">
        <v>4.0848300000000002E-3</v>
      </c>
      <c r="F5209" s="2" t="s">
        <v>7</v>
      </c>
    </row>
    <row r="5210" spans="1:6" ht="22.5" hidden="1" customHeight="1" x14ac:dyDescent="0.25">
      <c r="A5210" s="3">
        <v>44287</v>
      </c>
      <c r="B5210" s="2" t="s">
        <v>77</v>
      </c>
      <c r="C5210" s="2">
        <v>3.05</v>
      </c>
      <c r="D5210" s="2">
        <v>0.11409999999999999</v>
      </c>
      <c r="E5210" s="2">
        <v>3.4800500000000002E-3</v>
      </c>
      <c r="F5210" s="2" t="s">
        <v>7</v>
      </c>
    </row>
    <row r="5211" spans="1:6" ht="22.5" hidden="1" customHeight="1" x14ac:dyDescent="0.25">
      <c r="A5211" s="3">
        <v>44287</v>
      </c>
      <c r="B5211" s="2" t="s">
        <v>78</v>
      </c>
      <c r="C5211" s="2">
        <v>1.68</v>
      </c>
      <c r="D5211" s="2">
        <v>0.30830000000000002</v>
      </c>
      <c r="E5211" s="2">
        <v>5.1794400000000004E-3</v>
      </c>
      <c r="F5211" s="2" t="s">
        <v>7</v>
      </c>
    </row>
    <row r="5212" spans="1:6" ht="22.5" hidden="1" customHeight="1" x14ac:dyDescent="0.25">
      <c r="A5212" s="3">
        <v>44287</v>
      </c>
      <c r="B5212" s="2" t="s">
        <v>79</v>
      </c>
      <c r="C5212" s="2">
        <v>0.53</v>
      </c>
      <c r="D5212" s="2">
        <v>1.17E-2</v>
      </c>
      <c r="E5212" s="2">
        <v>6.2009999999999998E-5</v>
      </c>
      <c r="F5212" s="2" t="s">
        <v>7</v>
      </c>
    </row>
    <row r="5213" spans="1:6" ht="22.5" hidden="1" customHeight="1" x14ac:dyDescent="0.25">
      <c r="A5213" s="3">
        <v>44287</v>
      </c>
      <c r="B5213" s="2" t="s">
        <v>80</v>
      </c>
      <c r="C5213" s="2">
        <v>-5.12</v>
      </c>
      <c r="D5213" s="2">
        <v>4.24E-2</v>
      </c>
      <c r="E5213" s="2">
        <v>-2.17088E-3</v>
      </c>
      <c r="F5213" s="2" t="s">
        <v>7</v>
      </c>
    </row>
    <row r="5214" spans="1:6" ht="22.5" hidden="1" customHeight="1" x14ac:dyDescent="0.25">
      <c r="A5214" s="3">
        <v>44287</v>
      </c>
      <c r="B5214" s="2" t="s">
        <v>81</v>
      </c>
      <c r="C5214" s="2">
        <v>1.04</v>
      </c>
      <c r="D5214" s="2">
        <v>0.377</v>
      </c>
      <c r="E5214" s="2">
        <v>3.9208000000000003E-3</v>
      </c>
      <c r="F5214" s="2" t="s">
        <v>7</v>
      </c>
    </row>
    <row r="5215" spans="1:6" ht="22.5" hidden="1" customHeight="1" x14ac:dyDescent="0.25">
      <c r="A5215" s="3">
        <v>44287</v>
      </c>
      <c r="B5215" s="2" t="s">
        <v>82</v>
      </c>
      <c r="C5215" s="2">
        <v>0.78</v>
      </c>
      <c r="D5215" s="2">
        <v>4.6399999999999997E-2</v>
      </c>
      <c r="E5215" s="2">
        <v>3.6192E-4</v>
      </c>
      <c r="F5215" s="2" t="s">
        <v>7</v>
      </c>
    </row>
    <row r="5216" spans="1:6" ht="22.5" hidden="1" customHeight="1" x14ac:dyDescent="0.25">
      <c r="A5216" s="3">
        <v>44287</v>
      </c>
      <c r="B5216" s="2" t="s">
        <v>83</v>
      </c>
      <c r="C5216" s="2">
        <v>1.28</v>
      </c>
      <c r="D5216" s="2">
        <v>6.9999999999999999E-4</v>
      </c>
      <c r="E5216" s="2">
        <v>8.9600000000000006E-6</v>
      </c>
      <c r="F5216" s="2" t="s">
        <v>7</v>
      </c>
    </row>
    <row r="5217" spans="1:6" ht="22.5" hidden="1" customHeight="1" x14ac:dyDescent="0.25">
      <c r="A5217" s="3">
        <v>44287</v>
      </c>
      <c r="B5217" s="2" t="s">
        <v>84</v>
      </c>
      <c r="C5217" s="2">
        <v>1.75</v>
      </c>
      <c r="D5217" s="2">
        <v>2.2800000000000001E-2</v>
      </c>
      <c r="E5217" s="2">
        <v>3.9899999999999999E-4</v>
      </c>
      <c r="F5217" s="2" t="s">
        <v>7</v>
      </c>
    </row>
    <row r="5218" spans="1:6" ht="22.5" hidden="1" customHeight="1" x14ac:dyDescent="0.25">
      <c r="A5218" s="3">
        <v>44287</v>
      </c>
      <c r="B5218" s="2" t="s">
        <v>85</v>
      </c>
      <c r="C5218" s="2">
        <v>1.31</v>
      </c>
      <c r="D5218" s="2">
        <v>5.4000000000000003E-3</v>
      </c>
      <c r="E5218" s="2">
        <v>7.0740000000000004E-5</v>
      </c>
      <c r="F5218" s="2" t="s">
        <v>7</v>
      </c>
    </row>
    <row r="5219" spans="1:6" ht="22.5" hidden="1" customHeight="1" x14ac:dyDescent="0.25">
      <c r="A5219" s="3">
        <v>44287</v>
      </c>
      <c r="B5219" s="2" t="s">
        <v>86</v>
      </c>
      <c r="C5219" s="2">
        <v>-0.18</v>
      </c>
      <c r="D5219" s="2">
        <v>2.4799999999999999E-2</v>
      </c>
      <c r="E5219" s="2">
        <v>-4.464E-5</v>
      </c>
      <c r="F5219" s="2" t="s">
        <v>7</v>
      </c>
    </row>
    <row r="5220" spans="1:6" ht="22.5" hidden="1" customHeight="1" x14ac:dyDescent="0.25">
      <c r="A5220" s="3">
        <v>44287</v>
      </c>
      <c r="B5220" s="2" t="s">
        <v>87</v>
      </c>
      <c r="C5220" s="2">
        <v>3.75</v>
      </c>
      <c r="D5220" s="2">
        <v>1E-3</v>
      </c>
      <c r="E5220" s="2">
        <v>3.7499999999999997E-5</v>
      </c>
      <c r="F5220" s="2" t="s">
        <v>7</v>
      </c>
    </row>
    <row r="5221" spans="1:6" ht="22.5" hidden="1" customHeight="1" x14ac:dyDescent="0.25">
      <c r="A5221" s="3">
        <v>44287</v>
      </c>
      <c r="B5221" s="2" t="s">
        <v>88</v>
      </c>
      <c r="C5221" s="2">
        <v>2.92</v>
      </c>
      <c r="D5221" s="2">
        <v>6.7000000000000002E-3</v>
      </c>
      <c r="E5221" s="2">
        <v>1.9563999999999999E-4</v>
      </c>
      <c r="F5221" s="2" t="s">
        <v>7</v>
      </c>
    </row>
    <row r="5222" spans="1:6" ht="22.5" hidden="1" customHeight="1" x14ac:dyDescent="0.25">
      <c r="A5222" s="3">
        <v>44287</v>
      </c>
      <c r="B5222" s="2" t="s">
        <v>89</v>
      </c>
      <c r="C5222" s="2">
        <v>0.62</v>
      </c>
      <c r="D5222" s="2">
        <v>1.77E-2</v>
      </c>
      <c r="E5222" s="2">
        <v>1.0974E-4</v>
      </c>
      <c r="F5222" s="2" t="s">
        <v>7</v>
      </c>
    </row>
    <row r="5223" spans="1:6" ht="22.5" hidden="1" customHeight="1" x14ac:dyDescent="0.25">
      <c r="A5223" s="3">
        <v>44287</v>
      </c>
      <c r="B5223" s="2" t="s">
        <v>90</v>
      </c>
      <c r="C5223" s="2">
        <v>4.17</v>
      </c>
      <c r="D5223" s="2">
        <v>1.6000000000000001E-3</v>
      </c>
      <c r="E5223" s="2">
        <v>6.6719999999999998E-5</v>
      </c>
      <c r="F5223" s="2" t="s">
        <v>7</v>
      </c>
    </row>
    <row r="5224" spans="1:6" ht="22.5" hidden="1" customHeight="1" x14ac:dyDescent="0.25">
      <c r="A5224" s="3">
        <v>44287</v>
      </c>
      <c r="B5224" s="2" t="s">
        <v>91</v>
      </c>
      <c r="C5224" s="2">
        <v>3.12</v>
      </c>
      <c r="D5224" s="2">
        <v>2.4299999999999999E-2</v>
      </c>
      <c r="E5224" s="2">
        <v>7.5816000000000002E-4</v>
      </c>
      <c r="F5224" s="2" t="s">
        <v>7</v>
      </c>
    </row>
    <row r="5225" spans="1:6" ht="22.5" hidden="1" customHeight="1" x14ac:dyDescent="0.25">
      <c r="A5225" s="3">
        <v>44287</v>
      </c>
      <c r="B5225" s="2" t="s">
        <v>92</v>
      </c>
      <c r="C5225" s="2">
        <v>0</v>
      </c>
      <c r="D5225" s="2">
        <v>5.1999999999999998E-3</v>
      </c>
      <c r="E5225" s="2">
        <v>0</v>
      </c>
      <c r="F5225" s="2" t="s">
        <v>7</v>
      </c>
    </row>
    <row r="5226" spans="1:6" ht="22.5" hidden="1" customHeight="1" x14ac:dyDescent="0.25">
      <c r="A5226" s="3">
        <v>44287</v>
      </c>
      <c r="B5226" s="2" t="s">
        <v>93</v>
      </c>
      <c r="C5226" s="2">
        <v>2.4900000000000002</v>
      </c>
      <c r="D5226" s="2">
        <v>1.1000000000000001E-3</v>
      </c>
      <c r="E5226" s="2">
        <v>2.739E-5</v>
      </c>
      <c r="F5226" s="2" t="s">
        <v>7</v>
      </c>
    </row>
    <row r="5227" spans="1:6" ht="22.5" hidden="1" customHeight="1" x14ac:dyDescent="0.25">
      <c r="A5227" s="3">
        <v>44287</v>
      </c>
      <c r="B5227" s="2" t="s">
        <v>94</v>
      </c>
      <c r="C5227" s="2">
        <v>4.8600000000000003</v>
      </c>
      <c r="D5227" s="2">
        <v>8.9999999999999998E-4</v>
      </c>
      <c r="E5227" s="2">
        <v>4.3739999999999998E-5</v>
      </c>
      <c r="F5227" s="2" t="s">
        <v>7</v>
      </c>
    </row>
    <row r="5228" spans="1:6" ht="22.5" hidden="1" customHeight="1" x14ac:dyDescent="0.25">
      <c r="A5228" s="3">
        <v>44287</v>
      </c>
      <c r="B5228" s="2" t="s">
        <v>95</v>
      </c>
      <c r="C5228" s="2">
        <v>-0.74</v>
      </c>
      <c r="D5228" s="2">
        <v>1.6500000000000001E-2</v>
      </c>
      <c r="E5228" s="2">
        <v>-1.2210000000000001E-4</v>
      </c>
      <c r="F5228" s="2" t="s">
        <v>7</v>
      </c>
    </row>
    <row r="5229" spans="1:6" ht="22.5" hidden="1" customHeight="1" x14ac:dyDescent="0.25">
      <c r="A5229" s="3">
        <v>44287</v>
      </c>
      <c r="B5229" s="2" t="s">
        <v>96</v>
      </c>
      <c r="C5229" s="2">
        <v>0.71</v>
      </c>
      <c r="D5229" s="2">
        <v>4.87E-2</v>
      </c>
      <c r="E5229" s="2">
        <v>3.4577000000000002E-4</v>
      </c>
      <c r="F5229" s="2" t="s">
        <v>7</v>
      </c>
    </row>
    <row r="5230" spans="1:6" ht="22.5" hidden="1" customHeight="1" x14ac:dyDescent="0.25">
      <c r="A5230" s="3">
        <v>44287</v>
      </c>
      <c r="B5230" s="2" t="s">
        <v>97</v>
      </c>
      <c r="C5230" s="2">
        <v>1.03</v>
      </c>
      <c r="D5230" s="2">
        <v>1.0500000000000001E-2</v>
      </c>
      <c r="E5230" s="2">
        <v>1.0815E-4</v>
      </c>
      <c r="F5230" s="2" t="s">
        <v>7</v>
      </c>
    </row>
    <row r="5231" spans="1:6" ht="22.5" hidden="1" customHeight="1" x14ac:dyDescent="0.25">
      <c r="A5231" s="3">
        <v>44287</v>
      </c>
      <c r="B5231" s="2" t="s">
        <v>98</v>
      </c>
      <c r="C5231" s="2">
        <v>-3.09</v>
      </c>
      <c r="D5231" s="2">
        <v>6.3E-3</v>
      </c>
      <c r="E5231" s="2">
        <v>-1.9467E-4</v>
      </c>
      <c r="F5231" s="2" t="s">
        <v>7</v>
      </c>
    </row>
    <row r="5232" spans="1:6" ht="22.5" hidden="1" customHeight="1" x14ac:dyDescent="0.25">
      <c r="A5232" s="3">
        <v>44287</v>
      </c>
      <c r="B5232" s="2" t="s">
        <v>99</v>
      </c>
      <c r="C5232" s="2">
        <v>0.68</v>
      </c>
      <c r="D5232" s="2">
        <v>3.5000000000000001E-3</v>
      </c>
      <c r="E5232" s="2">
        <v>2.3799999999999999E-5</v>
      </c>
      <c r="F5232" s="2" t="s">
        <v>7</v>
      </c>
    </row>
    <row r="5233" spans="1:6" ht="22.5" hidden="1" customHeight="1" x14ac:dyDescent="0.25">
      <c r="A5233" s="3">
        <v>44287</v>
      </c>
      <c r="B5233" s="2" t="s">
        <v>100</v>
      </c>
      <c r="C5233" s="2">
        <v>0.31</v>
      </c>
      <c r="D5233" s="2">
        <v>6.9999999999999999E-4</v>
      </c>
      <c r="E5233" s="2">
        <v>2.17E-6</v>
      </c>
      <c r="F5233" s="2" t="s">
        <v>7</v>
      </c>
    </row>
    <row r="5234" spans="1:6" ht="22.5" hidden="1" customHeight="1" x14ac:dyDescent="0.25">
      <c r="A5234" s="3">
        <v>44287</v>
      </c>
      <c r="B5234" s="2" t="s">
        <v>101</v>
      </c>
      <c r="C5234" s="2">
        <v>-7.0000000000000007E-2</v>
      </c>
      <c r="D5234" s="2">
        <v>0.1</v>
      </c>
      <c r="E5234" s="2">
        <v>-6.9999999999999994E-5</v>
      </c>
      <c r="F5234" s="2" t="s">
        <v>7</v>
      </c>
    </row>
    <row r="5235" spans="1:6" ht="22.5" hidden="1" customHeight="1" x14ac:dyDescent="0.25">
      <c r="A5235" s="3">
        <v>44287</v>
      </c>
      <c r="B5235" s="2" t="s">
        <v>102</v>
      </c>
      <c r="C5235" s="2">
        <v>0.82</v>
      </c>
      <c r="D5235" s="2">
        <v>4.6600000000000003E-2</v>
      </c>
      <c r="E5235" s="2">
        <v>3.8212000000000001E-4</v>
      </c>
      <c r="F5235" s="2" t="s">
        <v>7</v>
      </c>
    </row>
    <row r="5236" spans="1:6" ht="22.5" hidden="1" customHeight="1" x14ac:dyDescent="0.25">
      <c r="A5236" s="3">
        <v>44287</v>
      </c>
      <c r="B5236" s="2" t="s">
        <v>103</v>
      </c>
      <c r="C5236" s="2">
        <v>0.54</v>
      </c>
      <c r="D5236" s="2">
        <v>0.3604</v>
      </c>
      <c r="E5236" s="2">
        <v>1.9461599999999999E-3</v>
      </c>
      <c r="F5236" s="2" t="s">
        <v>7</v>
      </c>
    </row>
    <row r="5237" spans="1:6" ht="22.5" hidden="1" customHeight="1" x14ac:dyDescent="0.25">
      <c r="A5237" s="3">
        <v>44287</v>
      </c>
      <c r="B5237" s="2" t="s">
        <v>104</v>
      </c>
      <c r="C5237" s="2">
        <v>1.05</v>
      </c>
      <c r="D5237" s="2">
        <v>5.3800000000000001E-2</v>
      </c>
      <c r="E5237" s="2">
        <v>5.6490000000000002E-4</v>
      </c>
      <c r="F5237" s="2" t="s">
        <v>7</v>
      </c>
    </row>
    <row r="5238" spans="1:6" ht="22.5" hidden="1" customHeight="1" x14ac:dyDescent="0.25">
      <c r="A5238" s="3">
        <v>44287</v>
      </c>
      <c r="B5238" s="2" t="s">
        <v>105</v>
      </c>
      <c r="C5238" s="2">
        <v>-0.37</v>
      </c>
      <c r="D5238" s="2">
        <v>9.4000000000000004E-3</v>
      </c>
      <c r="E5238" s="2">
        <v>-3.4780000000000002E-5</v>
      </c>
      <c r="F5238" s="2" t="s">
        <v>7</v>
      </c>
    </row>
    <row r="5239" spans="1:6" ht="22.5" hidden="1" customHeight="1" x14ac:dyDescent="0.25">
      <c r="A5239" s="3">
        <v>44287</v>
      </c>
      <c r="B5239" s="2" t="s">
        <v>106</v>
      </c>
      <c r="C5239" s="2">
        <v>-2.5499999999999998</v>
      </c>
      <c r="D5239" s="2">
        <v>8.8000000000000005E-3</v>
      </c>
      <c r="E5239" s="2">
        <v>-2.2440000000000001E-4</v>
      </c>
      <c r="F5239" s="2" t="s">
        <v>7</v>
      </c>
    </row>
    <row r="5240" spans="1:6" ht="22.5" hidden="1" customHeight="1" x14ac:dyDescent="0.25">
      <c r="A5240" s="3">
        <v>44287</v>
      </c>
      <c r="B5240" s="2" t="s">
        <v>107</v>
      </c>
      <c r="C5240" s="2">
        <v>1.53</v>
      </c>
      <c r="D5240" s="2">
        <v>0.1171</v>
      </c>
      <c r="E5240" s="2">
        <v>1.79163E-3</v>
      </c>
      <c r="F5240" s="2" t="s">
        <v>7</v>
      </c>
    </row>
    <row r="5241" spans="1:6" ht="22.5" hidden="1" customHeight="1" x14ac:dyDescent="0.25">
      <c r="A5241" s="3">
        <v>44287</v>
      </c>
      <c r="B5241" s="2" t="s">
        <v>108</v>
      </c>
      <c r="C5241" s="2">
        <v>1.1000000000000001</v>
      </c>
      <c r="D5241" s="2">
        <v>7.7000000000000002E-3</v>
      </c>
      <c r="E5241" s="2">
        <v>8.4699999999999999E-5</v>
      </c>
      <c r="F5241" s="2" t="s">
        <v>7</v>
      </c>
    </row>
    <row r="5242" spans="1:6" ht="22.5" hidden="1" customHeight="1" x14ac:dyDescent="0.25">
      <c r="A5242" s="3">
        <v>44287</v>
      </c>
      <c r="B5242" s="2" t="s">
        <v>109</v>
      </c>
      <c r="C5242" s="2">
        <v>0.59</v>
      </c>
      <c r="D5242" s="2">
        <v>0.35260000000000002</v>
      </c>
      <c r="E5242" s="2">
        <v>2.08034E-3</v>
      </c>
      <c r="F5242" s="2" t="s">
        <v>7</v>
      </c>
    </row>
    <row r="5243" spans="1:6" ht="22.5" hidden="1" customHeight="1" x14ac:dyDescent="0.25">
      <c r="A5243" s="3">
        <v>44287</v>
      </c>
      <c r="B5243" s="2" t="s">
        <v>110</v>
      </c>
      <c r="C5243" s="2">
        <v>1.17</v>
      </c>
      <c r="D5243" s="2">
        <v>0.60629999999999995</v>
      </c>
      <c r="E5243" s="2">
        <v>7.0937099999999996E-3</v>
      </c>
      <c r="F5243" s="2" t="s">
        <v>7</v>
      </c>
    </row>
    <row r="5244" spans="1:6" ht="22.5" hidden="1" customHeight="1" x14ac:dyDescent="0.25">
      <c r="A5244" s="3">
        <v>44287</v>
      </c>
      <c r="B5244" s="2" t="s">
        <v>111</v>
      </c>
      <c r="C5244" s="2">
        <v>2.11</v>
      </c>
      <c r="D5244" s="2">
        <v>0.24210000000000001</v>
      </c>
      <c r="E5244" s="2">
        <v>5.1083099999999996E-3</v>
      </c>
      <c r="F5244" s="2" t="s">
        <v>7</v>
      </c>
    </row>
    <row r="5245" spans="1:6" ht="22.5" hidden="1" customHeight="1" x14ac:dyDescent="0.25">
      <c r="A5245" s="3">
        <v>44287</v>
      </c>
      <c r="B5245" s="2" t="s">
        <v>112</v>
      </c>
      <c r="C5245" s="2">
        <v>1.75</v>
      </c>
      <c r="D5245" s="2">
        <v>0.6875</v>
      </c>
      <c r="E5245" s="2">
        <v>1.203125E-2</v>
      </c>
      <c r="F5245" s="2" t="s">
        <v>7</v>
      </c>
    </row>
    <row r="5246" spans="1:6" ht="22.5" hidden="1" customHeight="1" x14ac:dyDescent="0.25">
      <c r="A5246" s="3">
        <v>44287</v>
      </c>
      <c r="B5246" s="2" t="s">
        <v>113</v>
      </c>
      <c r="C5246" s="2">
        <v>-0.38</v>
      </c>
      <c r="D5246" s="2">
        <v>2.1999999999999999E-2</v>
      </c>
      <c r="E5246" s="2">
        <v>-8.3599999999999999E-5</v>
      </c>
      <c r="F5246" s="2" t="s">
        <v>7</v>
      </c>
    </row>
    <row r="5247" spans="1:6" ht="22.5" hidden="1" customHeight="1" x14ac:dyDescent="0.25">
      <c r="A5247" s="3">
        <v>44287</v>
      </c>
      <c r="B5247" s="2" t="s">
        <v>114</v>
      </c>
      <c r="C5247" s="2">
        <v>-0.05</v>
      </c>
      <c r="D5247" s="2">
        <v>0.20100000000000001</v>
      </c>
      <c r="E5247" s="2">
        <v>-1.005E-4</v>
      </c>
      <c r="F5247" s="2" t="s">
        <v>7</v>
      </c>
    </row>
    <row r="5248" spans="1:6" ht="22.5" hidden="1" customHeight="1" x14ac:dyDescent="0.25">
      <c r="A5248" s="3">
        <v>44287</v>
      </c>
      <c r="B5248" s="2" t="s">
        <v>115</v>
      </c>
      <c r="C5248" s="2">
        <v>1.1399999999999999</v>
      </c>
      <c r="D5248" s="2">
        <v>0.53080000000000005</v>
      </c>
      <c r="E5248" s="2">
        <v>6.0511200000000001E-3</v>
      </c>
      <c r="F5248" s="2" t="s">
        <v>7</v>
      </c>
    </row>
    <row r="5249" spans="1:6" ht="22.5" hidden="1" customHeight="1" x14ac:dyDescent="0.25">
      <c r="A5249" s="3">
        <v>44287</v>
      </c>
      <c r="B5249" s="2" t="s">
        <v>116</v>
      </c>
      <c r="C5249" s="2">
        <v>0.7</v>
      </c>
      <c r="D5249" s="2">
        <v>0.1512</v>
      </c>
      <c r="E5249" s="2">
        <v>1.0583999999999999E-3</v>
      </c>
      <c r="F5249" s="2" t="s">
        <v>7</v>
      </c>
    </row>
    <row r="5250" spans="1:6" ht="22.5" hidden="1" customHeight="1" x14ac:dyDescent="0.25">
      <c r="A5250" s="3">
        <v>44287</v>
      </c>
      <c r="B5250" s="2" t="s">
        <v>117</v>
      </c>
      <c r="C5250" s="2">
        <v>0.34</v>
      </c>
      <c r="D5250" s="2">
        <v>5.4399999999999997E-2</v>
      </c>
      <c r="E5250" s="2">
        <v>1.8495999999999999E-4</v>
      </c>
      <c r="F5250" s="2" t="s">
        <v>7</v>
      </c>
    </row>
    <row r="5251" spans="1:6" ht="22.5" hidden="1" customHeight="1" x14ac:dyDescent="0.25">
      <c r="A5251" s="3">
        <v>44287</v>
      </c>
      <c r="B5251" s="2" t="s">
        <v>118</v>
      </c>
      <c r="C5251" s="2">
        <v>0.52</v>
      </c>
      <c r="D5251" s="2">
        <v>6.3E-2</v>
      </c>
      <c r="E5251" s="2">
        <v>3.2759999999999999E-4</v>
      </c>
      <c r="F5251" s="2" t="s">
        <v>7</v>
      </c>
    </row>
    <row r="5252" spans="1:6" ht="22.5" hidden="1" customHeight="1" x14ac:dyDescent="0.25">
      <c r="A5252" s="3">
        <v>44287</v>
      </c>
      <c r="B5252" s="2" t="s">
        <v>119</v>
      </c>
      <c r="C5252" s="2">
        <v>-0.13</v>
      </c>
      <c r="D5252" s="2">
        <v>1.11E-2</v>
      </c>
      <c r="E5252" s="2">
        <v>-1.4430000000000001E-5</v>
      </c>
      <c r="F5252" s="2" t="s">
        <v>7</v>
      </c>
    </row>
    <row r="5253" spans="1:6" ht="22.5" hidden="1" customHeight="1" x14ac:dyDescent="0.25">
      <c r="A5253" s="3">
        <v>44287</v>
      </c>
      <c r="B5253" s="2" t="s">
        <v>120</v>
      </c>
      <c r="C5253" s="2">
        <v>1.87</v>
      </c>
      <c r="D5253" s="2">
        <v>0.44390000000000002</v>
      </c>
      <c r="E5253" s="2">
        <v>8.3009299999999998E-3</v>
      </c>
      <c r="F5253" s="2" t="s">
        <v>7</v>
      </c>
    </row>
    <row r="5254" spans="1:6" ht="22.5" hidden="1" customHeight="1" x14ac:dyDescent="0.25">
      <c r="A5254" s="3">
        <v>44287</v>
      </c>
      <c r="B5254" s="2" t="s">
        <v>121</v>
      </c>
      <c r="C5254" s="2">
        <v>1.73</v>
      </c>
      <c r="D5254" s="2">
        <v>0.78310000000000002</v>
      </c>
      <c r="E5254" s="2">
        <v>1.354763E-2</v>
      </c>
      <c r="F5254" s="2" t="s">
        <v>7</v>
      </c>
    </row>
    <row r="5255" spans="1:6" ht="22.5" hidden="1" customHeight="1" x14ac:dyDescent="0.25">
      <c r="A5255" s="3">
        <v>44287</v>
      </c>
      <c r="B5255" s="2" t="s">
        <v>122</v>
      </c>
      <c r="C5255" s="2">
        <v>0.39</v>
      </c>
      <c r="D5255" s="2">
        <v>8.1900000000000001E-2</v>
      </c>
      <c r="E5255" s="2">
        <v>3.1941000000000001E-4</v>
      </c>
      <c r="F5255" s="2" t="s">
        <v>7</v>
      </c>
    </row>
    <row r="5256" spans="1:6" ht="22.5" hidden="1" customHeight="1" x14ac:dyDescent="0.25">
      <c r="A5256" s="3">
        <v>44287</v>
      </c>
      <c r="B5256" s="2" t="s">
        <v>123</v>
      </c>
      <c r="C5256" s="2">
        <v>0.99</v>
      </c>
      <c r="D5256" s="2">
        <v>9.8299999999999998E-2</v>
      </c>
      <c r="E5256" s="2">
        <v>9.7316999999999998E-4</v>
      </c>
      <c r="F5256" s="2" t="s">
        <v>7</v>
      </c>
    </row>
    <row r="5257" spans="1:6" ht="22.5" hidden="1" customHeight="1" x14ac:dyDescent="0.25">
      <c r="A5257" s="3">
        <v>44287</v>
      </c>
      <c r="B5257" s="2" t="s">
        <v>124</v>
      </c>
      <c r="C5257" s="2">
        <v>-0.51</v>
      </c>
      <c r="D5257" s="2">
        <v>0.1363</v>
      </c>
      <c r="E5257" s="2">
        <v>-6.9512999999999997E-4</v>
      </c>
      <c r="F5257" s="2" t="s">
        <v>7</v>
      </c>
    </row>
    <row r="5258" spans="1:6" ht="22.5" hidden="1" customHeight="1" x14ac:dyDescent="0.25">
      <c r="A5258" s="3">
        <v>44287</v>
      </c>
      <c r="B5258" s="2" t="s">
        <v>125</v>
      </c>
      <c r="C5258" s="2">
        <v>2.82</v>
      </c>
      <c r="D5258" s="2">
        <v>3.2000000000000001E-2</v>
      </c>
      <c r="E5258" s="2">
        <v>9.0240000000000003E-4</v>
      </c>
      <c r="F5258" s="2" t="s">
        <v>7</v>
      </c>
    </row>
    <row r="5259" spans="1:6" ht="22.5" hidden="1" customHeight="1" x14ac:dyDescent="0.25">
      <c r="A5259" s="3">
        <v>44287</v>
      </c>
      <c r="B5259" s="2" t="s">
        <v>126</v>
      </c>
      <c r="C5259" s="2">
        <v>-0.23</v>
      </c>
      <c r="D5259" s="2">
        <v>0.31130000000000002</v>
      </c>
      <c r="E5259" s="2">
        <v>-7.1599000000000001E-4</v>
      </c>
      <c r="F5259" s="2" t="s">
        <v>7</v>
      </c>
    </row>
    <row r="5260" spans="1:6" ht="22.5" hidden="1" customHeight="1" x14ac:dyDescent="0.25">
      <c r="A5260" s="3">
        <v>44287</v>
      </c>
      <c r="B5260" s="2" t="s">
        <v>127</v>
      </c>
      <c r="C5260" s="2">
        <v>-1.86</v>
      </c>
      <c r="D5260" s="2">
        <v>6.8000000000000005E-2</v>
      </c>
      <c r="E5260" s="2">
        <v>-1.2648E-3</v>
      </c>
      <c r="F5260" s="2" t="s">
        <v>7</v>
      </c>
    </row>
    <row r="5261" spans="1:6" ht="22.5" hidden="1" customHeight="1" x14ac:dyDescent="0.25">
      <c r="A5261" s="3">
        <v>44287</v>
      </c>
      <c r="B5261" s="2" t="s">
        <v>128</v>
      </c>
      <c r="C5261" s="2">
        <v>1.25</v>
      </c>
      <c r="D5261" s="2">
        <v>9.9500000000000005E-2</v>
      </c>
      <c r="E5261" s="2">
        <v>1.2437500000000001E-3</v>
      </c>
      <c r="F5261" s="2" t="s">
        <v>7</v>
      </c>
    </row>
    <row r="5262" spans="1:6" ht="22.5" hidden="1" customHeight="1" x14ac:dyDescent="0.25">
      <c r="A5262" s="3">
        <v>44287</v>
      </c>
      <c r="B5262" s="2" t="s">
        <v>129</v>
      </c>
      <c r="C5262" s="2">
        <v>0.56000000000000005</v>
      </c>
      <c r="D5262" s="2">
        <v>0.12820000000000001</v>
      </c>
      <c r="E5262" s="2">
        <v>7.1792000000000004E-4</v>
      </c>
      <c r="F5262" s="2" t="s">
        <v>7</v>
      </c>
    </row>
    <row r="5263" spans="1:6" ht="22.5" hidden="1" customHeight="1" x14ac:dyDescent="0.25">
      <c r="A5263" s="3">
        <v>44287</v>
      </c>
      <c r="B5263" s="2" t="s">
        <v>130</v>
      </c>
      <c r="C5263" s="2">
        <v>0.88</v>
      </c>
      <c r="D5263" s="2">
        <v>1.2800000000000001E-2</v>
      </c>
      <c r="E5263" s="2">
        <v>1.1264000000000001E-4</v>
      </c>
      <c r="F5263" s="2" t="s">
        <v>7</v>
      </c>
    </row>
    <row r="5264" spans="1:6" ht="22.5" hidden="1" customHeight="1" x14ac:dyDescent="0.25">
      <c r="A5264" s="3">
        <v>44287</v>
      </c>
      <c r="B5264" s="2" t="s">
        <v>131</v>
      </c>
      <c r="C5264" s="2">
        <v>-1.63</v>
      </c>
      <c r="D5264" s="2">
        <v>6.8000000000000005E-2</v>
      </c>
      <c r="E5264" s="2">
        <v>-1.1084000000000001E-3</v>
      </c>
      <c r="F5264" s="2" t="s">
        <v>7</v>
      </c>
    </row>
    <row r="5265" spans="1:6" ht="22.5" hidden="1" customHeight="1" x14ac:dyDescent="0.25">
      <c r="A5265" s="3">
        <v>44287</v>
      </c>
      <c r="B5265" s="2" t="s">
        <v>132</v>
      </c>
      <c r="C5265" s="2">
        <v>1.23</v>
      </c>
      <c r="D5265" s="2">
        <v>0.28839999999999999</v>
      </c>
      <c r="E5265" s="2">
        <v>3.5473200000000001E-3</v>
      </c>
      <c r="F5265" s="2" t="s">
        <v>7</v>
      </c>
    </row>
    <row r="5266" spans="1:6" ht="22.5" hidden="1" customHeight="1" x14ac:dyDescent="0.25">
      <c r="A5266" s="3">
        <v>44287</v>
      </c>
      <c r="B5266" s="2" t="s">
        <v>133</v>
      </c>
      <c r="C5266" s="2">
        <v>1.32</v>
      </c>
      <c r="D5266" s="2">
        <v>8.8999999999999999E-3</v>
      </c>
      <c r="E5266" s="2">
        <v>1.1747999999999999E-4</v>
      </c>
      <c r="F5266" s="2" t="s">
        <v>7</v>
      </c>
    </row>
    <row r="5267" spans="1:6" ht="22.5" hidden="1" customHeight="1" x14ac:dyDescent="0.25">
      <c r="A5267" s="3">
        <v>44287</v>
      </c>
      <c r="B5267" s="2" t="s">
        <v>134</v>
      </c>
      <c r="C5267" s="2">
        <v>-0.45</v>
      </c>
      <c r="D5267" s="2">
        <v>0.50009999999999999</v>
      </c>
      <c r="E5267" s="2">
        <v>-2.2504500000000002E-3</v>
      </c>
      <c r="F5267" s="2" t="s">
        <v>7</v>
      </c>
    </row>
    <row r="5268" spans="1:6" ht="22.5" hidden="1" customHeight="1" x14ac:dyDescent="0.25">
      <c r="A5268" s="3">
        <v>44287</v>
      </c>
      <c r="B5268" s="2" t="s">
        <v>135</v>
      </c>
      <c r="C5268" s="2">
        <v>-0.1</v>
      </c>
      <c r="D5268" s="2">
        <v>0.40189999999999998</v>
      </c>
      <c r="E5268" s="2">
        <v>-4.0190000000000001E-4</v>
      </c>
      <c r="F5268" s="2" t="s">
        <v>7</v>
      </c>
    </row>
    <row r="5269" spans="1:6" ht="22.5" hidden="1" customHeight="1" x14ac:dyDescent="0.25">
      <c r="A5269" s="3">
        <v>44287</v>
      </c>
      <c r="B5269" s="2" t="s">
        <v>136</v>
      </c>
      <c r="C5269" s="2">
        <v>-0.28000000000000003</v>
      </c>
      <c r="D5269" s="2">
        <v>3.8300000000000001E-2</v>
      </c>
      <c r="E5269" s="2">
        <v>-1.0724E-4</v>
      </c>
      <c r="F5269" s="2" t="s">
        <v>7</v>
      </c>
    </row>
    <row r="5270" spans="1:6" ht="22.5" hidden="1" customHeight="1" x14ac:dyDescent="0.25">
      <c r="A5270" s="3">
        <v>44287</v>
      </c>
      <c r="B5270" s="2" t="s">
        <v>137</v>
      </c>
      <c r="C5270" s="2">
        <v>-0.44</v>
      </c>
      <c r="D5270" s="2">
        <v>6.9400000000000003E-2</v>
      </c>
      <c r="E5270" s="2">
        <v>-3.0536000000000002E-4</v>
      </c>
      <c r="F5270" s="2" t="s">
        <v>7</v>
      </c>
    </row>
    <row r="5271" spans="1:6" ht="22.5" hidden="1" customHeight="1" x14ac:dyDescent="0.25">
      <c r="A5271" s="3">
        <v>44287</v>
      </c>
      <c r="B5271" s="2" t="s">
        <v>138</v>
      </c>
      <c r="C5271" s="2">
        <v>-0.2</v>
      </c>
      <c r="D5271" s="2">
        <v>4.7500000000000001E-2</v>
      </c>
      <c r="E5271" s="2">
        <v>-9.5000000000000005E-5</v>
      </c>
      <c r="F5271" s="2" t="s">
        <v>7</v>
      </c>
    </row>
    <row r="5272" spans="1:6" ht="22.5" hidden="1" customHeight="1" x14ac:dyDescent="0.25">
      <c r="A5272" s="3">
        <v>44287</v>
      </c>
      <c r="B5272" s="2" t="s">
        <v>139</v>
      </c>
      <c r="C5272" s="2">
        <v>-0.41</v>
      </c>
      <c r="D5272" s="2">
        <v>2.7099999999999999E-2</v>
      </c>
      <c r="E5272" s="2">
        <v>-1.1111E-4</v>
      </c>
      <c r="F5272" s="2" t="s">
        <v>7</v>
      </c>
    </row>
    <row r="5273" spans="1:6" ht="22.5" hidden="1" customHeight="1" x14ac:dyDescent="0.25">
      <c r="A5273" s="3">
        <v>44287</v>
      </c>
      <c r="B5273" s="2" t="s">
        <v>140</v>
      </c>
      <c r="C5273" s="2">
        <v>2.42</v>
      </c>
      <c r="D5273" s="2">
        <v>2.3E-3</v>
      </c>
      <c r="E5273" s="2">
        <v>5.5659999999999999E-5</v>
      </c>
      <c r="F5273" s="2" t="s">
        <v>7</v>
      </c>
    </row>
    <row r="5274" spans="1:6" ht="22.5" hidden="1" customHeight="1" x14ac:dyDescent="0.25">
      <c r="A5274" s="3">
        <v>44287</v>
      </c>
      <c r="B5274" s="2" t="s">
        <v>141</v>
      </c>
      <c r="C5274" s="2">
        <v>0.17</v>
      </c>
      <c r="D5274" s="2">
        <v>0.02</v>
      </c>
      <c r="E5274" s="2">
        <v>3.4E-5</v>
      </c>
      <c r="F5274" s="2" t="s">
        <v>7</v>
      </c>
    </row>
    <row r="5275" spans="1:6" ht="22.5" hidden="1" customHeight="1" x14ac:dyDescent="0.25">
      <c r="A5275" s="3">
        <v>44287</v>
      </c>
      <c r="B5275" s="2" t="s">
        <v>142</v>
      </c>
      <c r="C5275" s="2">
        <v>1</v>
      </c>
      <c r="D5275" s="2">
        <v>4.4000000000000003E-3</v>
      </c>
      <c r="E5275" s="2">
        <v>4.3999999999999999E-5</v>
      </c>
      <c r="F5275" s="2" t="s">
        <v>7</v>
      </c>
    </row>
    <row r="5276" spans="1:6" ht="22.5" hidden="1" customHeight="1" x14ac:dyDescent="0.25">
      <c r="A5276" s="3">
        <v>44287</v>
      </c>
      <c r="B5276" s="2" t="s">
        <v>143</v>
      </c>
      <c r="C5276" s="2">
        <v>-0.5</v>
      </c>
      <c r="D5276" s="2">
        <v>4.2099999999999999E-2</v>
      </c>
      <c r="E5276" s="2">
        <v>-2.1049999999999999E-4</v>
      </c>
      <c r="F5276" s="2" t="s">
        <v>7</v>
      </c>
    </row>
    <row r="5277" spans="1:6" ht="22.5" hidden="1" customHeight="1" x14ac:dyDescent="0.25">
      <c r="A5277" s="3">
        <v>44287</v>
      </c>
      <c r="B5277" s="2" t="s">
        <v>144</v>
      </c>
      <c r="C5277" s="2">
        <v>0.39</v>
      </c>
      <c r="D5277" s="2">
        <v>1.6999999999999999E-3</v>
      </c>
      <c r="E5277" s="2">
        <v>6.63E-6</v>
      </c>
      <c r="F5277" s="2" t="s">
        <v>7</v>
      </c>
    </row>
    <row r="5278" spans="1:6" ht="22.5" hidden="1" customHeight="1" x14ac:dyDescent="0.25">
      <c r="A5278" s="3">
        <v>44287</v>
      </c>
      <c r="B5278" s="2" t="s">
        <v>145</v>
      </c>
      <c r="C5278" s="2">
        <v>-1.78</v>
      </c>
      <c r="D5278" s="2">
        <v>1.6000000000000001E-3</v>
      </c>
      <c r="E5278" s="2">
        <v>-2.8479999999999998E-5</v>
      </c>
      <c r="F5278" s="2" t="s">
        <v>7</v>
      </c>
    </row>
    <row r="5279" spans="1:6" ht="22.5" hidden="1" customHeight="1" x14ac:dyDescent="0.25">
      <c r="A5279" s="3">
        <v>44287</v>
      </c>
      <c r="B5279" s="2" t="s">
        <v>146</v>
      </c>
      <c r="C5279" s="2">
        <v>0.23</v>
      </c>
      <c r="D5279" s="2">
        <v>3.3399999999999999E-2</v>
      </c>
      <c r="E5279" s="2">
        <v>7.682E-5</v>
      </c>
      <c r="F5279" s="2" t="s">
        <v>7</v>
      </c>
    </row>
    <row r="5280" spans="1:6" ht="22.5" hidden="1" customHeight="1" x14ac:dyDescent="0.25">
      <c r="A5280" s="3">
        <v>44287</v>
      </c>
      <c r="B5280" s="2" t="s">
        <v>147</v>
      </c>
      <c r="C5280" s="2">
        <v>-0.14000000000000001</v>
      </c>
      <c r="D5280" s="2">
        <v>2.7099999999999999E-2</v>
      </c>
      <c r="E5280" s="2">
        <v>-3.7939999999999999E-5</v>
      </c>
      <c r="F5280" s="2" t="s">
        <v>7</v>
      </c>
    </row>
    <row r="5281" spans="1:6" ht="22.5" hidden="1" customHeight="1" x14ac:dyDescent="0.25">
      <c r="A5281" s="3">
        <v>44287</v>
      </c>
      <c r="B5281" s="2" t="s">
        <v>148</v>
      </c>
      <c r="C5281" s="2">
        <v>-0.61</v>
      </c>
      <c r="D5281" s="2">
        <v>2.3099999999999999E-2</v>
      </c>
      <c r="E5281" s="2">
        <v>-1.4091E-4</v>
      </c>
      <c r="F5281" s="2" t="s">
        <v>7</v>
      </c>
    </row>
    <row r="5282" spans="1:6" ht="22.5" hidden="1" customHeight="1" x14ac:dyDescent="0.25">
      <c r="A5282" s="3">
        <v>44287</v>
      </c>
      <c r="B5282" s="2" t="s">
        <v>149</v>
      </c>
      <c r="C5282" s="2">
        <v>2.75</v>
      </c>
      <c r="D5282" s="2">
        <v>2.3999999999999998E-3</v>
      </c>
      <c r="E5282" s="2">
        <v>6.6000000000000005E-5</v>
      </c>
      <c r="F5282" s="2" t="s">
        <v>7</v>
      </c>
    </row>
    <row r="5283" spans="1:6" ht="22.5" hidden="1" customHeight="1" x14ac:dyDescent="0.25">
      <c r="A5283" s="3">
        <v>44287</v>
      </c>
      <c r="B5283" s="2" t="s">
        <v>150</v>
      </c>
      <c r="C5283" s="2">
        <v>0.03</v>
      </c>
      <c r="D5283" s="2">
        <v>0.1124</v>
      </c>
      <c r="E5283" s="2">
        <v>3.3720000000000002E-5</v>
      </c>
      <c r="F5283" s="2" t="s">
        <v>7</v>
      </c>
    </row>
    <row r="5284" spans="1:6" ht="22.5" hidden="1" customHeight="1" x14ac:dyDescent="0.25">
      <c r="A5284" s="3">
        <v>44287</v>
      </c>
      <c r="B5284" s="2" t="s">
        <v>151</v>
      </c>
      <c r="C5284" s="2">
        <v>2.9</v>
      </c>
      <c r="D5284" s="2">
        <v>0.1116</v>
      </c>
      <c r="E5284" s="2">
        <v>3.2364E-3</v>
      </c>
      <c r="F5284" s="2" t="s">
        <v>7</v>
      </c>
    </row>
    <row r="5285" spans="1:6" ht="22.5" hidden="1" customHeight="1" x14ac:dyDescent="0.25">
      <c r="A5285" s="3">
        <v>44287</v>
      </c>
      <c r="B5285" s="2" t="s">
        <v>152</v>
      </c>
      <c r="C5285" s="2">
        <v>0.5</v>
      </c>
      <c r="D5285" s="2">
        <v>3.0000000000000001E-3</v>
      </c>
      <c r="E5285" s="2">
        <v>1.5E-5</v>
      </c>
      <c r="F5285" s="2" t="s">
        <v>7</v>
      </c>
    </row>
    <row r="5286" spans="1:6" ht="22.5" hidden="1" customHeight="1" x14ac:dyDescent="0.25">
      <c r="A5286" s="3">
        <v>44287</v>
      </c>
      <c r="B5286" s="2" t="s">
        <v>153</v>
      </c>
      <c r="C5286" s="2">
        <v>3.45</v>
      </c>
      <c r="D5286" s="2">
        <v>8.9999999999999998E-4</v>
      </c>
      <c r="E5286" s="2">
        <v>3.1050000000000003E-5</v>
      </c>
      <c r="F5286" s="2" t="s">
        <v>7</v>
      </c>
    </row>
    <row r="5287" spans="1:6" ht="22.5" hidden="1" customHeight="1" x14ac:dyDescent="0.25">
      <c r="A5287" s="3">
        <v>44287</v>
      </c>
      <c r="B5287" s="2" t="s">
        <v>154</v>
      </c>
      <c r="C5287" s="2">
        <v>2.63</v>
      </c>
      <c r="D5287" s="2">
        <v>1E-3</v>
      </c>
      <c r="E5287" s="2">
        <v>2.6299999999999999E-5</v>
      </c>
      <c r="F5287" s="2" t="s">
        <v>7</v>
      </c>
    </row>
    <row r="5288" spans="1:6" ht="22.5" hidden="1" customHeight="1" x14ac:dyDescent="0.25">
      <c r="A5288" s="3">
        <v>44287</v>
      </c>
      <c r="B5288" s="2" t="s">
        <v>155</v>
      </c>
      <c r="C5288" s="2">
        <v>0.81</v>
      </c>
      <c r="D5288" s="2">
        <v>5.8999999999999999E-3</v>
      </c>
      <c r="E5288" s="2">
        <v>4.7790000000000002E-5</v>
      </c>
      <c r="F5288" s="2" t="s">
        <v>7</v>
      </c>
    </row>
    <row r="5289" spans="1:6" ht="22.5" hidden="1" customHeight="1" x14ac:dyDescent="0.25">
      <c r="A5289" s="3">
        <v>44287</v>
      </c>
      <c r="B5289" s="2" t="s">
        <v>156</v>
      </c>
      <c r="C5289" s="2">
        <v>-0.21</v>
      </c>
      <c r="D5289" s="2">
        <v>4.5400000000000003E-2</v>
      </c>
      <c r="E5289" s="2">
        <v>-9.5340000000000005E-5</v>
      </c>
      <c r="F5289" s="2" t="s">
        <v>7</v>
      </c>
    </row>
    <row r="5290" spans="1:6" ht="22.5" hidden="1" customHeight="1" x14ac:dyDescent="0.25">
      <c r="A5290" s="3">
        <v>44287</v>
      </c>
      <c r="B5290" s="2" t="s">
        <v>157</v>
      </c>
      <c r="C5290" s="2">
        <v>0.6</v>
      </c>
      <c r="D5290" s="2">
        <v>1.7399999999999999E-2</v>
      </c>
      <c r="E5290" s="2">
        <v>1.044E-4</v>
      </c>
      <c r="F5290" s="2" t="s">
        <v>7</v>
      </c>
    </row>
    <row r="5291" spans="1:6" ht="22.5" hidden="1" customHeight="1" x14ac:dyDescent="0.25">
      <c r="A5291" s="3">
        <v>44287</v>
      </c>
      <c r="B5291" s="2" t="s">
        <v>158</v>
      </c>
      <c r="C5291" s="2">
        <v>2.02</v>
      </c>
      <c r="D5291" s="2">
        <v>9.7000000000000003E-3</v>
      </c>
      <c r="E5291" s="2">
        <v>1.9594E-4</v>
      </c>
      <c r="F5291" s="2" t="s">
        <v>7</v>
      </c>
    </row>
    <row r="5292" spans="1:6" ht="22.5" hidden="1" customHeight="1" x14ac:dyDescent="0.25">
      <c r="A5292" s="3">
        <v>44287</v>
      </c>
      <c r="B5292" s="2" t="s">
        <v>159</v>
      </c>
      <c r="C5292" s="2">
        <v>0.2</v>
      </c>
      <c r="D5292" s="2">
        <v>5.3699999999999998E-2</v>
      </c>
      <c r="E5292" s="2">
        <v>1.0739999999999999E-4</v>
      </c>
      <c r="F5292" s="2" t="s">
        <v>7</v>
      </c>
    </row>
    <row r="5293" spans="1:6" ht="22.5" hidden="1" customHeight="1" x14ac:dyDescent="0.25">
      <c r="A5293" s="3">
        <v>44287</v>
      </c>
      <c r="B5293" s="2" t="s">
        <v>160</v>
      </c>
      <c r="C5293" s="2">
        <v>0.56999999999999995</v>
      </c>
      <c r="D5293" s="2">
        <v>3.7168000000000001</v>
      </c>
      <c r="E5293" s="2">
        <v>2.1185760000000001E-2</v>
      </c>
      <c r="F5293" s="2" t="s">
        <v>7</v>
      </c>
    </row>
    <row r="5294" spans="1:6" ht="22.5" hidden="1" customHeight="1" x14ac:dyDescent="0.25">
      <c r="A5294" s="3">
        <v>44287</v>
      </c>
      <c r="B5294" s="2" t="s">
        <v>161</v>
      </c>
      <c r="C5294" s="2">
        <v>1.34</v>
      </c>
      <c r="D5294" s="2">
        <v>1.7245999999999999</v>
      </c>
      <c r="E5294" s="2">
        <v>2.3109640000000001E-2</v>
      </c>
      <c r="F5294" s="2" t="s">
        <v>7</v>
      </c>
    </row>
    <row r="5295" spans="1:6" ht="22.5" hidden="1" customHeight="1" x14ac:dyDescent="0.25">
      <c r="A5295" s="3">
        <v>44287</v>
      </c>
      <c r="B5295" s="2" t="s">
        <v>134</v>
      </c>
      <c r="C5295" s="2">
        <v>0.5</v>
      </c>
      <c r="D5295" s="2">
        <v>0.124</v>
      </c>
      <c r="E5295" s="2">
        <v>6.2E-4</v>
      </c>
      <c r="F5295" s="2" t="s">
        <v>7</v>
      </c>
    </row>
    <row r="5296" spans="1:6" ht="22.5" hidden="1" customHeight="1" x14ac:dyDescent="0.25">
      <c r="A5296" s="3">
        <v>44287</v>
      </c>
      <c r="B5296" s="2" t="s">
        <v>162</v>
      </c>
      <c r="C5296" s="2">
        <v>0.93</v>
      </c>
      <c r="D5296" s="2">
        <v>4.2500000000000003E-2</v>
      </c>
      <c r="E5296" s="2">
        <v>3.9524999999999999E-4</v>
      </c>
      <c r="F5296" s="2" t="s">
        <v>7</v>
      </c>
    </row>
    <row r="5297" spans="1:6" ht="22.5" hidden="1" customHeight="1" x14ac:dyDescent="0.25">
      <c r="A5297" s="3">
        <v>44287</v>
      </c>
      <c r="B5297" s="2" t="s">
        <v>135</v>
      </c>
      <c r="C5297" s="2">
        <v>0.6</v>
      </c>
      <c r="D5297" s="2">
        <v>0.28860000000000002</v>
      </c>
      <c r="E5297" s="2">
        <v>1.7316E-3</v>
      </c>
      <c r="F5297" s="2" t="s">
        <v>7</v>
      </c>
    </row>
    <row r="5298" spans="1:6" ht="22.5" hidden="1" customHeight="1" x14ac:dyDescent="0.25">
      <c r="A5298" s="3">
        <v>44287</v>
      </c>
      <c r="B5298" s="2" t="s">
        <v>136</v>
      </c>
      <c r="C5298" s="2">
        <v>1.78</v>
      </c>
      <c r="D5298" s="2">
        <v>4.1000000000000003E-3</v>
      </c>
      <c r="E5298" s="2">
        <v>7.2979999999999996E-5</v>
      </c>
      <c r="F5298" s="2" t="s">
        <v>7</v>
      </c>
    </row>
    <row r="5299" spans="1:6" ht="22.5" hidden="1" customHeight="1" x14ac:dyDescent="0.25">
      <c r="A5299" s="3">
        <v>44287</v>
      </c>
      <c r="B5299" s="2" t="s">
        <v>137</v>
      </c>
      <c r="C5299" s="2">
        <v>-1.26</v>
      </c>
      <c r="D5299" s="2">
        <v>9.7999999999999997E-3</v>
      </c>
      <c r="E5299" s="2">
        <v>-1.2348E-4</v>
      </c>
      <c r="F5299" s="2" t="s">
        <v>7</v>
      </c>
    </row>
    <row r="5300" spans="1:6" ht="22.5" hidden="1" customHeight="1" x14ac:dyDescent="0.25">
      <c r="A5300" s="3">
        <v>44287</v>
      </c>
      <c r="B5300" s="2" t="s">
        <v>163</v>
      </c>
      <c r="C5300" s="2">
        <v>1.1200000000000001</v>
      </c>
      <c r="D5300" s="2">
        <v>4.3E-3</v>
      </c>
      <c r="E5300" s="2">
        <v>4.816E-5</v>
      </c>
      <c r="F5300" s="2" t="s">
        <v>7</v>
      </c>
    </row>
    <row r="5301" spans="1:6" ht="22.5" hidden="1" customHeight="1" x14ac:dyDescent="0.25">
      <c r="A5301" s="3">
        <v>44287</v>
      </c>
      <c r="B5301" s="2" t="s">
        <v>34</v>
      </c>
      <c r="C5301" s="2">
        <v>-0.17</v>
      </c>
      <c r="D5301" s="2">
        <v>5.28E-2</v>
      </c>
      <c r="E5301" s="2">
        <v>-8.9759999999999994E-5</v>
      </c>
      <c r="F5301" s="2" t="s">
        <v>7</v>
      </c>
    </row>
    <row r="5302" spans="1:6" ht="22.5" hidden="1" customHeight="1" x14ac:dyDescent="0.25">
      <c r="A5302" s="3">
        <v>44287</v>
      </c>
      <c r="B5302" s="2" t="s">
        <v>164</v>
      </c>
      <c r="C5302" s="2">
        <v>0.24</v>
      </c>
      <c r="D5302" s="2">
        <v>3.7639999999999998</v>
      </c>
      <c r="E5302" s="2">
        <v>9.0335999999999993E-3</v>
      </c>
      <c r="F5302" s="2" t="s">
        <v>165</v>
      </c>
    </row>
    <row r="5303" spans="1:6" ht="22.5" hidden="1" customHeight="1" x14ac:dyDescent="0.25">
      <c r="A5303" s="3">
        <v>44287</v>
      </c>
      <c r="B5303" s="2" t="s">
        <v>166</v>
      </c>
      <c r="C5303" s="2">
        <v>0.06</v>
      </c>
      <c r="D5303" s="2">
        <v>2.3157000000000001</v>
      </c>
      <c r="E5303" s="2">
        <v>1.3894199999999999E-3</v>
      </c>
      <c r="F5303" s="2" t="s">
        <v>165</v>
      </c>
    </row>
    <row r="5304" spans="1:6" ht="22.5" hidden="1" customHeight="1" x14ac:dyDescent="0.25">
      <c r="A5304" s="3">
        <v>44044</v>
      </c>
      <c r="B5304" s="2" t="s">
        <v>167</v>
      </c>
      <c r="C5304" s="2">
        <v>0</v>
      </c>
      <c r="D5304" s="2">
        <v>1.8173999999999999</v>
      </c>
      <c r="E5304" s="2">
        <v>0</v>
      </c>
      <c r="F5304" s="2" t="s">
        <v>168</v>
      </c>
    </row>
    <row r="5305" spans="1:6" ht="22.5" hidden="1" customHeight="1" x14ac:dyDescent="0.25">
      <c r="A5305" s="3">
        <v>44287</v>
      </c>
      <c r="B5305" s="2" t="s">
        <v>169</v>
      </c>
      <c r="C5305" s="2">
        <v>-0.31</v>
      </c>
      <c r="D5305" s="2">
        <v>1.09E-2</v>
      </c>
      <c r="E5305" s="2">
        <v>-3.379E-5</v>
      </c>
      <c r="F5305" s="2" t="s">
        <v>170</v>
      </c>
    </row>
    <row r="5306" spans="1:6" ht="22.5" hidden="1" customHeight="1" x14ac:dyDescent="0.25">
      <c r="A5306" s="3">
        <v>44287</v>
      </c>
      <c r="B5306" s="2" t="s">
        <v>171</v>
      </c>
      <c r="C5306" s="2">
        <v>0.09</v>
      </c>
      <c r="D5306" s="2">
        <v>1.47E-2</v>
      </c>
      <c r="E5306" s="2">
        <v>1.323E-5</v>
      </c>
      <c r="F5306" s="2" t="s">
        <v>170</v>
      </c>
    </row>
    <row r="5307" spans="1:6" ht="22.5" hidden="1" customHeight="1" x14ac:dyDescent="0.25">
      <c r="A5307" s="3">
        <v>44287</v>
      </c>
      <c r="B5307" s="2" t="s">
        <v>172</v>
      </c>
      <c r="C5307" s="2">
        <v>-1.1499999999999999</v>
      </c>
      <c r="D5307" s="2">
        <v>3.5000000000000001E-3</v>
      </c>
      <c r="E5307" s="2">
        <v>-4.0250000000000003E-5</v>
      </c>
      <c r="F5307" s="2" t="s">
        <v>170</v>
      </c>
    </row>
    <row r="5308" spans="1:6" ht="22.5" hidden="1" customHeight="1" x14ac:dyDescent="0.25">
      <c r="A5308" s="3">
        <v>44287</v>
      </c>
      <c r="B5308" s="2" t="s">
        <v>173</v>
      </c>
      <c r="C5308" s="2">
        <v>1.17</v>
      </c>
      <c r="D5308" s="2">
        <v>0.2596</v>
      </c>
      <c r="E5308" s="2">
        <v>3.03732E-3</v>
      </c>
      <c r="F5308" s="2" t="s">
        <v>174</v>
      </c>
    </row>
    <row r="5309" spans="1:6" ht="22.5" hidden="1" customHeight="1" x14ac:dyDescent="0.25">
      <c r="A5309" s="3">
        <v>44287</v>
      </c>
      <c r="B5309" s="2" t="s">
        <v>175</v>
      </c>
      <c r="C5309" s="2">
        <v>0.62</v>
      </c>
      <c r="D5309" s="2">
        <v>0.25940000000000002</v>
      </c>
      <c r="E5309" s="2">
        <v>1.6082799999999999E-3</v>
      </c>
      <c r="F5309" s="2" t="s">
        <v>174</v>
      </c>
    </row>
    <row r="5310" spans="1:6" ht="22.5" hidden="1" customHeight="1" x14ac:dyDescent="0.25">
      <c r="A5310" s="3">
        <v>44287</v>
      </c>
      <c r="B5310" s="2" t="s">
        <v>176</v>
      </c>
      <c r="C5310" s="2">
        <v>2.17</v>
      </c>
      <c r="D5310" s="2">
        <v>1.3599999999999999E-2</v>
      </c>
      <c r="E5310" s="2">
        <v>2.9512000000000001E-4</v>
      </c>
      <c r="F5310" s="2" t="s">
        <v>170</v>
      </c>
    </row>
    <row r="5311" spans="1:6" ht="22.5" hidden="1" customHeight="1" x14ac:dyDescent="0.25">
      <c r="A5311" s="3">
        <v>44287</v>
      </c>
      <c r="B5311" s="2" t="s">
        <v>177</v>
      </c>
      <c r="C5311" s="2">
        <v>-0.54</v>
      </c>
      <c r="D5311" s="2">
        <v>2.3900000000000001E-2</v>
      </c>
      <c r="E5311" s="2">
        <v>-1.2905999999999999E-4</v>
      </c>
      <c r="F5311" s="2" t="s">
        <v>170</v>
      </c>
    </row>
    <row r="5312" spans="1:6" ht="22.5" hidden="1" customHeight="1" x14ac:dyDescent="0.25">
      <c r="A5312" s="3">
        <v>44287</v>
      </c>
      <c r="B5312" s="2" t="s">
        <v>178</v>
      </c>
      <c r="C5312" s="2">
        <v>-1.07</v>
      </c>
      <c r="D5312" s="2">
        <v>2.1600000000000001E-2</v>
      </c>
      <c r="E5312" s="2">
        <v>-2.3112E-4</v>
      </c>
      <c r="F5312" s="2" t="s">
        <v>170</v>
      </c>
    </row>
    <row r="5313" spans="1:6" ht="22.5" hidden="1" customHeight="1" x14ac:dyDescent="0.25">
      <c r="A5313" s="3">
        <v>44287</v>
      </c>
      <c r="B5313" s="2" t="s">
        <v>179</v>
      </c>
      <c r="C5313" s="2">
        <v>4.54</v>
      </c>
      <c r="D5313" s="2">
        <v>4.3999999999999997E-2</v>
      </c>
      <c r="E5313" s="2">
        <v>1.9976E-3</v>
      </c>
      <c r="F5313" s="2" t="s">
        <v>170</v>
      </c>
    </row>
    <row r="5314" spans="1:6" ht="22.5" hidden="1" customHeight="1" x14ac:dyDescent="0.25">
      <c r="A5314" s="3">
        <v>44287</v>
      </c>
      <c r="B5314" s="2" t="s">
        <v>180</v>
      </c>
      <c r="C5314" s="2">
        <v>7.0000000000000007E-2</v>
      </c>
      <c r="D5314" s="2">
        <v>0.63200000000000001</v>
      </c>
      <c r="E5314" s="2">
        <v>4.4240000000000002E-4</v>
      </c>
      <c r="F5314" s="2" t="s">
        <v>165</v>
      </c>
    </row>
    <row r="5315" spans="1:6" ht="22.5" hidden="1" customHeight="1" x14ac:dyDescent="0.25">
      <c r="A5315" s="3">
        <v>44287</v>
      </c>
      <c r="B5315" s="2" t="s">
        <v>181</v>
      </c>
      <c r="C5315" s="2">
        <v>2.2799999999999998</v>
      </c>
      <c r="D5315" s="2">
        <v>1.2999999999999999E-2</v>
      </c>
      <c r="E5315" s="2">
        <v>2.9639999999999999E-4</v>
      </c>
      <c r="F5315" s="2" t="s">
        <v>174</v>
      </c>
    </row>
    <row r="5316" spans="1:6" ht="22.5" hidden="1" customHeight="1" x14ac:dyDescent="0.25">
      <c r="A5316" s="3">
        <v>44287</v>
      </c>
      <c r="B5316" s="2" t="s">
        <v>182</v>
      </c>
      <c r="C5316" s="2">
        <v>1.05</v>
      </c>
      <c r="D5316" s="2">
        <v>4.1200000000000001E-2</v>
      </c>
      <c r="E5316" s="2">
        <v>4.326E-4</v>
      </c>
      <c r="F5316" s="2" t="s">
        <v>170</v>
      </c>
    </row>
    <row r="5317" spans="1:6" ht="22.5" hidden="1" customHeight="1" x14ac:dyDescent="0.25">
      <c r="A5317" s="3">
        <v>44287</v>
      </c>
      <c r="B5317" s="2" t="s">
        <v>183</v>
      </c>
      <c r="C5317" s="2">
        <v>-3.81</v>
      </c>
      <c r="D5317" s="2">
        <v>4.1999999999999997E-3</v>
      </c>
      <c r="E5317" s="2">
        <v>-1.6002E-4</v>
      </c>
      <c r="F5317" s="2" t="s">
        <v>174</v>
      </c>
    </row>
    <row r="5318" spans="1:6" ht="22.5" hidden="1" customHeight="1" x14ac:dyDescent="0.25">
      <c r="A5318" s="3">
        <v>44287</v>
      </c>
      <c r="B5318" s="2" t="s">
        <v>184</v>
      </c>
      <c r="C5318" s="2">
        <v>1.5</v>
      </c>
      <c r="D5318" s="2">
        <v>6.3200000000000006E-2</v>
      </c>
      <c r="E5318" s="2">
        <v>9.4799999999999995E-4</v>
      </c>
      <c r="F5318" s="2" t="s">
        <v>174</v>
      </c>
    </row>
    <row r="5319" spans="1:6" ht="22.5" hidden="1" customHeight="1" x14ac:dyDescent="0.25">
      <c r="A5319" s="3">
        <v>44287</v>
      </c>
      <c r="B5319" s="2" t="s">
        <v>185</v>
      </c>
      <c r="C5319" s="2">
        <v>0.19</v>
      </c>
      <c r="D5319" s="2">
        <v>0.153</v>
      </c>
      <c r="E5319" s="2">
        <v>2.9070000000000002E-4</v>
      </c>
      <c r="F5319" s="2" t="s">
        <v>174</v>
      </c>
    </row>
    <row r="5320" spans="1:6" ht="22.5" hidden="1" customHeight="1" x14ac:dyDescent="0.25">
      <c r="A5320" s="3">
        <v>44287</v>
      </c>
      <c r="B5320" s="2" t="s">
        <v>186</v>
      </c>
      <c r="C5320" s="2">
        <v>-0.69</v>
      </c>
      <c r="D5320" s="2">
        <v>0.22040000000000001</v>
      </c>
      <c r="E5320" s="2">
        <v>-1.5207599999999999E-3</v>
      </c>
      <c r="F5320" s="2" t="s">
        <v>174</v>
      </c>
    </row>
    <row r="5321" spans="1:6" ht="22.5" hidden="1" customHeight="1" x14ac:dyDescent="0.25">
      <c r="A5321" s="3">
        <v>44287</v>
      </c>
      <c r="B5321" s="2" t="s">
        <v>187</v>
      </c>
      <c r="C5321" s="2">
        <v>0.37</v>
      </c>
      <c r="D5321" s="2">
        <v>5.8599999999999999E-2</v>
      </c>
      <c r="E5321" s="2">
        <v>2.1682E-4</v>
      </c>
      <c r="F5321" s="2" t="s">
        <v>174</v>
      </c>
    </row>
    <row r="5322" spans="1:6" ht="22.5" hidden="1" customHeight="1" x14ac:dyDescent="0.25">
      <c r="A5322" s="3">
        <v>44287</v>
      </c>
      <c r="B5322" s="2" t="s">
        <v>188</v>
      </c>
      <c r="C5322" s="2">
        <v>0.77</v>
      </c>
      <c r="D5322" s="2">
        <v>2.87E-2</v>
      </c>
      <c r="E5322" s="2">
        <v>2.2099000000000001E-4</v>
      </c>
      <c r="F5322" s="2" t="s">
        <v>174</v>
      </c>
    </row>
    <row r="5323" spans="1:6" ht="22.5" hidden="1" customHeight="1" x14ac:dyDescent="0.25">
      <c r="A5323" s="3">
        <v>44287</v>
      </c>
      <c r="B5323" s="2" t="s">
        <v>189</v>
      </c>
      <c r="C5323" s="2">
        <v>4.1500000000000004</v>
      </c>
      <c r="D5323" s="2">
        <v>3.5999999999999999E-3</v>
      </c>
      <c r="E5323" s="2">
        <v>1.494E-4</v>
      </c>
      <c r="F5323" s="2" t="s">
        <v>174</v>
      </c>
    </row>
    <row r="5324" spans="1:6" ht="22.5" hidden="1" customHeight="1" x14ac:dyDescent="0.25">
      <c r="A5324" s="3">
        <v>44287</v>
      </c>
      <c r="B5324" s="2" t="s">
        <v>190</v>
      </c>
      <c r="C5324" s="2">
        <v>2.7</v>
      </c>
      <c r="D5324" s="2">
        <v>4.7999999999999996E-3</v>
      </c>
      <c r="E5324" s="2">
        <v>1.2960000000000001E-4</v>
      </c>
      <c r="F5324" s="2" t="s">
        <v>174</v>
      </c>
    </row>
    <row r="5325" spans="1:6" ht="22.5" hidden="1" customHeight="1" x14ac:dyDescent="0.25">
      <c r="A5325" s="3">
        <v>44287</v>
      </c>
      <c r="B5325" s="2" t="s">
        <v>191</v>
      </c>
      <c r="C5325" s="2">
        <v>0.52</v>
      </c>
      <c r="D5325" s="2">
        <v>2.7400000000000001E-2</v>
      </c>
      <c r="E5325" s="2">
        <v>1.4248E-4</v>
      </c>
      <c r="F5325" s="2" t="s">
        <v>174</v>
      </c>
    </row>
    <row r="5326" spans="1:6" ht="22.5" hidden="1" customHeight="1" x14ac:dyDescent="0.25">
      <c r="A5326" s="3">
        <v>44287</v>
      </c>
      <c r="B5326" s="2" t="s">
        <v>192</v>
      </c>
      <c r="C5326" s="2">
        <v>2.14</v>
      </c>
      <c r="D5326" s="2">
        <v>5.1999999999999998E-3</v>
      </c>
      <c r="E5326" s="2">
        <v>1.1128000000000001E-4</v>
      </c>
      <c r="F5326" s="2" t="s">
        <v>174</v>
      </c>
    </row>
    <row r="5327" spans="1:6" ht="22.5" hidden="1" customHeight="1" x14ac:dyDescent="0.25">
      <c r="A5327" s="3">
        <v>44287</v>
      </c>
      <c r="B5327" s="2" t="s">
        <v>193</v>
      </c>
      <c r="C5327" s="2">
        <v>0.45</v>
      </c>
      <c r="D5327" s="2">
        <v>0.16389999999999999</v>
      </c>
      <c r="E5327" s="2">
        <v>7.3755000000000001E-4</v>
      </c>
      <c r="F5327" s="2" t="s">
        <v>174</v>
      </c>
    </row>
    <row r="5328" spans="1:6" ht="22.5" hidden="1" customHeight="1" x14ac:dyDescent="0.25">
      <c r="A5328" s="3">
        <v>44287</v>
      </c>
      <c r="B5328" s="2" t="s">
        <v>194</v>
      </c>
      <c r="C5328" s="2">
        <v>0</v>
      </c>
      <c r="D5328" s="2">
        <v>3.3999999999999998E-3</v>
      </c>
      <c r="E5328" s="2">
        <v>0</v>
      </c>
      <c r="F5328" s="2" t="s">
        <v>174</v>
      </c>
    </row>
    <row r="5329" spans="1:6" ht="22.5" hidden="1" customHeight="1" x14ac:dyDescent="0.25">
      <c r="A5329" s="3">
        <v>44044</v>
      </c>
      <c r="B5329" s="2" t="s">
        <v>260</v>
      </c>
      <c r="C5329" s="2">
        <v>0</v>
      </c>
      <c r="D5329" s="2">
        <v>1.3909</v>
      </c>
      <c r="E5329" s="2">
        <v>0</v>
      </c>
      <c r="F5329" s="2" t="s">
        <v>168</v>
      </c>
    </row>
    <row r="5330" spans="1:6" ht="22.5" hidden="1" customHeight="1" x14ac:dyDescent="0.25">
      <c r="A5330" s="3">
        <v>44044</v>
      </c>
      <c r="B5330" s="2" t="s">
        <v>261</v>
      </c>
      <c r="C5330" s="2">
        <v>0</v>
      </c>
      <c r="D5330" s="2">
        <v>0.20050000000000001</v>
      </c>
      <c r="E5330" s="2">
        <v>0</v>
      </c>
      <c r="F5330" s="2" t="s">
        <v>168</v>
      </c>
    </row>
    <row r="5331" spans="1:6" ht="22.5" hidden="1" customHeight="1" x14ac:dyDescent="0.25">
      <c r="A5331" s="3">
        <v>44044</v>
      </c>
      <c r="B5331" s="2" t="s">
        <v>262</v>
      </c>
      <c r="C5331" s="2">
        <v>0</v>
      </c>
      <c r="D5331" s="2">
        <v>3.9899999999999998E-2</v>
      </c>
      <c r="E5331" s="2">
        <v>0</v>
      </c>
      <c r="F5331" s="2" t="s">
        <v>168</v>
      </c>
    </row>
    <row r="5332" spans="1:6" ht="22.5" hidden="1" customHeight="1" x14ac:dyDescent="0.25">
      <c r="A5332" s="3">
        <v>44287</v>
      </c>
      <c r="B5332" s="2" t="s">
        <v>198</v>
      </c>
      <c r="C5332" s="2">
        <v>0.4</v>
      </c>
      <c r="D5332" s="2">
        <v>0.34499999999999997</v>
      </c>
      <c r="E5332" s="2">
        <v>1.3799999999999999E-3</v>
      </c>
      <c r="F5332" s="2" t="s">
        <v>170</v>
      </c>
    </row>
    <row r="5333" spans="1:6" ht="22.5" hidden="1" customHeight="1" x14ac:dyDescent="0.25">
      <c r="A5333" s="3">
        <v>44287</v>
      </c>
      <c r="B5333" s="2" t="s">
        <v>199</v>
      </c>
      <c r="C5333" s="2">
        <v>1.23</v>
      </c>
      <c r="D5333" s="2">
        <v>0.47739999999999999</v>
      </c>
      <c r="E5333" s="2">
        <v>5.8720200000000004E-3</v>
      </c>
      <c r="F5333" s="2" t="s">
        <v>170</v>
      </c>
    </row>
    <row r="5334" spans="1:6" ht="22.5" hidden="1" customHeight="1" x14ac:dyDescent="0.25">
      <c r="A5334" s="3">
        <v>44287</v>
      </c>
      <c r="B5334" s="2" t="s">
        <v>200</v>
      </c>
      <c r="C5334" s="2">
        <v>0.47</v>
      </c>
      <c r="D5334" s="2">
        <v>0.18629999999999999</v>
      </c>
      <c r="E5334" s="2">
        <v>8.7560999999999997E-4</v>
      </c>
      <c r="F5334" s="2" t="s">
        <v>170</v>
      </c>
    </row>
    <row r="5335" spans="1:6" ht="22.5" hidden="1" customHeight="1" x14ac:dyDescent="0.25">
      <c r="A5335" s="3">
        <v>44287</v>
      </c>
      <c r="B5335" s="2" t="s">
        <v>201</v>
      </c>
      <c r="C5335" s="2">
        <v>0</v>
      </c>
      <c r="D5335" s="2">
        <v>2.5700000000000001E-2</v>
      </c>
      <c r="E5335" s="2">
        <v>0</v>
      </c>
      <c r="F5335" s="2" t="s">
        <v>170</v>
      </c>
    </row>
    <row r="5336" spans="1:6" ht="22.5" hidden="1" customHeight="1" x14ac:dyDescent="0.25">
      <c r="A5336" s="3">
        <v>44287</v>
      </c>
      <c r="B5336" s="2" t="s">
        <v>202</v>
      </c>
      <c r="C5336" s="2">
        <v>3.75</v>
      </c>
      <c r="D5336" s="2">
        <v>1.84E-2</v>
      </c>
      <c r="E5336" s="2">
        <v>6.8999999999999997E-4</v>
      </c>
      <c r="F5336" s="2" t="s">
        <v>170</v>
      </c>
    </row>
    <row r="5337" spans="1:6" ht="22.5" hidden="1" customHeight="1" x14ac:dyDescent="0.25">
      <c r="A5337" s="3">
        <v>44287</v>
      </c>
      <c r="B5337" s="2" t="s">
        <v>203</v>
      </c>
      <c r="C5337" s="2">
        <v>0.55000000000000004</v>
      </c>
      <c r="D5337" s="2">
        <v>8.2100000000000006E-2</v>
      </c>
      <c r="E5337" s="2">
        <v>4.5155E-4</v>
      </c>
      <c r="F5337" s="2" t="s">
        <v>170</v>
      </c>
    </row>
    <row r="5338" spans="1:6" ht="22.5" hidden="1" customHeight="1" x14ac:dyDescent="0.25">
      <c r="A5338" s="3">
        <v>44287</v>
      </c>
      <c r="B5338" s="2" t="s">
        <v>204</v>
      </c>
      <c r="C5338" s="2">
        <v>-0.35</v>
      </c>
      <c r="D5338" s="2">
        <v>5.9499999999999997E-2</v>
      </c>
      <c r="E5338" s="2">
        <v>-2.0824999999999999E-4</v>
      </c>
      <c r="F5338" s="2" t="s">
        <v>174</v>
      </c>
    </row>
    <row r="5339" spans="1:6" ht="22.5" hidden="1" customHeight="1" x14ac:dyDescent="0.25">
      <c r="A5339" s="3">
        <v>44287</v>
      </c>
      <c r="B5339" s="2" t="s">
        <v>205</v>
      </c>
      <c r="C5339" s="2">
        <v>0.3</v>
      </c>
      <c r="D5339" s="2">
        <v>9.5399999999999999E-2</v>
      </c>
      <c r="E5339" s="2">
        <v>2.8620000000000002E-4</v>
      </c>
      <c r="F5339" s="2" t="s">
        <v>174</v>
      </c>
    </row>
    <row r="5340" spans="1:6" ht="22.5" hidden="1" customHeight="1" x14ac:dyDescent="0.25">
      <c r="A5340" s="3">
        <v>44287</v>
      </c>
      <c r="B5340" s="2" t="s">
        <v>206</v>
      </c>
      <c r="C5340" s="2">
        <v>0.96</v>
      </c>
      <c r="D5340" s="2">
        <v>0.16020000000000001</v>
      </c>
      <c r="E5340" s="2">
        <v>1.5379199999999999E-3</v>
      </c>
      <c r="F5340" s="2" t="s">
        <v>174</v>
      </c>
    </row>
    <row r="5341" spans="1:6" ht="22.5" hidden="1" customHeight="1" x14ac:dyDescent="0.25">
      <c r="A5341" s="3">
        <v>44287</v>
      </c>
      <c r="B5341" s="2" t="s">
        <v>207</v>
      </c>
      <c r="C5341" s="2">
        <v>-7.0000000000000007E-2</v>
      </c>
      <c r="D5341" s="2">
        <v>4.8399999999999999E-2</v>
      </c>
      <c r="E5341" s="2">
        <v>-3.3880000000000001E-5</v>
      </c>
      <c r="F5341" s="2" t="s">
        <v>174</v>
      </c>
    </row>
    <row r="5342" spans="1:6" ht="22.5" hidden="1" customHeight="1" x14ac:dyDescent="0.25">
      <c r="A5342" s="3">
        <v>44287</v>
      </c>
      <c r="B5342" s="2" t="s">
        <v>208</v>
      </c>
      <c r="C5342" s="2">
        <v>1.99</v>
      </c>
      <c r="D5342" s="2">
        <v>8.8999999999999999E-3</v>
      </c>
      <c r="E5342" s="2">
        <v>1.7710999999999999E-4</v>
      </c>
      <c r="F5342" s="2" t="s">
        <v>174</v>
      </c>
    </row>
    <row r="5343" spans="1:6" ht="22.5" hidden="1" customHeight="1" x14ac:dyDescent="0.25">
      <c r="A5343" s="3">
        <v>44287</v>
      </c>
      <c r="B5343" s="2" t="s">
        <v>209</v>
      </c>
      <c r="C5343" s="2">
        <v>1.64</v>
      </c>
      <c r="D5343" s="2">
        <v>6.1000000000000004E-3</v>
      </c>
      <c r="E5343" s="2">
        <v>1.0004E-4</v>
      </c>
      <c r="F5343" s="2" t="s">
        <v>174</v>
      </c>
    </row>
    <row r="5344" spans="1:6" ht="22.5" hidden="1" customHeight="1" x14ac:dyDescent="0.25">
      <c r="A5344" s="3">
        <v>44287</v>
      </c>
      <c r="B5344" s="2" t="s">
        <v>210</v>
      </c>
      <c r="C5344" s="2">
        <v>1.81</v>
      </c>
      <c r="D5344" s="2">
        <v>1.4200000000000001E-2</v>
      </c>
      <c r="E5344" s="2">
        <v>2.5702E-4</v>
      </c>
      <c r="F5344" s="2" t="s">
        <v>170</v>
      </c>
    </row>
    <row r="5345" spans="1:6" ht="22.5" hidden="1" customHeight="1" x14ac:dyDescent="0.25">
      <c r="A5345" s="3">
        <v>44287</v>
      </c>
      <c r="B5345" s="2" t="s">
        <v>211</v>
      </c>
      <c r="C5345" s="2">
        <v>1.79</v>
      </c>
      <c r="D5345" s="2">
        <v>0.19570000000000001</v>
      </c>
      <c r="E5345" s="2">
        <v>3.5030299999999999E-3</v>
      </c>
      <c r="F5345" s="2" t="s">
        <v>174</v>
      </c>
    </row>
    <row r="5346" spans="1:6" ht="22.5" hidden="1" customHeight="1" x14ac:dyDescent="0.25">
      <c r="A5346" s="3">
        <v>44287</v>
      </c>
      <c r="B5346" s="2" t="s">
        <v>212</v>
      </c>
      <c r="C5346" s="2">
        <v>1.98</v>
      </c>
      <c r="D5346" s="2">
        <v>4.4999999999999997E-3</v>
      </c>
      <c r="E5346" s="2">
        <v>8.9099999999999997E-5</v>
      </c>
      <c r="F5346" s="2" t="s">
        <v>174</v>
      </c>
    </row>
    <row r="5347" spans="1:6" ht="22.5" hidden="1" customHeight="1" x14ac:dyDescent="0.25">
      <c r="A5347" s="3">
        <v>44287</v>
      </c>
      <c r="B5347" s="2" t="s">
        <v>213</v>
      </c>
      <c r="C5347" s="2">
        <v>0.14000000000000001</v>
      </c>
      <c r="D5347" s="2">
        <v>0.3427</v>
      </c>
      <c r="E5347" s="2">
        <v>4.7978000000000002E-4</v>
      </c>
      <c r="F5347" s="2" t="s">
        <v>170</v>
      </c>
    </row>
    <row r="5348" spans="1:6" ht="22.5" hidden="1" customHeight="1" x14ac:dyDescent="0.25">
      <c r="A5348" s="3">
        <v>44287</v>
      </c>
      <c r="B5348" s="2" t="s">
        <v>214</v>
      </c>
      <c r="C5348" s="2">
        <v>-2.06</v>
      </c>
      <c r="D5348" s="2">
        <v>0.1075</v>
      </c>
      <c r="E5348" s="2">
        <v>-2.2144999999999999E-3</v>
      </c>
      <c r="F5348" s="2" t="s">
        <v>170</v>
      </c>
    </row>
    <row r="5349" spans="1:6" ht="22.5" hidden="1" customHeight="1" x14ac:dyDescent="0.25">
      <c r="A5349" s="3">
        <v>44287</v>
      </c>
      <c r="B5349" s="2" t="s">
        <v>215</v>
      </c>
      <c r="C5349" s="2">
        <v>-1.04</v>
      </c>
      <c r="D5349" s="2">
        <v>0.2525</v>
      </c>
      <c r="E5349" s="2">
        <v>-2.6259999999999999E-3</v>
      </c>
      <c r="F5349" s="2" t="s">
        <v>170</v>
      </c>
    </row>
    <row r="5350" spans="1:6" ht="22.5" hidden="1" customHeight="1" x14ac:dyDescent="0.25">
      <c r="A5350" s="3">
        <v>44287</v>
      </c>
      <c r="B5350" s="2" t="s">
        <v>216</v>
      </c>
      <c r="C5350" s="2">
        <v>0.73</v>
      </c>
      <c r="D5350" s="2">
        <v>1.44E-2</v>
      </c>
      <c r="E5350" s="2">
        <v>1.0512E-4</v>
      </c>
      <c r="F5350" s="2" t="s">
        <v>170</v>
      </c>
    </row>
    <row r="5351" spans="1:6" ht="22.5" hidden="1" customHeight="1" x14ac:dyDescent="0.25">
      <c r="A5351" s="3">
        <v>44287</v>
      </c>
      <c r="B5351" s="2" t="s">
        <v>217</v>
      </c>
      <c r="C5351" s="2">
        <v>-1.0900000000000001</v>
      </c>
      <c r="D5351" s="2">
        <v>0.16550000000000001</v>
      </c>
      <c r="E5351" s="2">
        <v>-1.8039499999999999E-3</v>
      </c>
      <c r="F5351" s="2" t="s">
        <v>170</v>
      </c>
    </row>
    <row r="5352" spans="1:6" ht="22.5" hidden="1" customHeight="1" x14ac:dyDescent="0.25">
      <c r="A5352" s="3">
        <v>44287</v>
      </c>
      <c r="B5352" s="2" t="s">
        <v>218</v>
      </c>
      <c r="C5352" s="2">
        <v>0.86</v>
      </c>
      <c r="D5352" s="2">
        <v>7.3000000000000001E-3</v>
      </c>
      <c r="E5352" s="2">
        <v>6.2780000000000005E-5</v>
      </c>
      <c r="F5352" s="2" t="s">
        <v>170</v>
      </c>
    </row>
    <row r="5353" spans="1:6" ht="22.5" hidden="1" customHeight="1" x14ac:dyDescent="0.25">
      <c r="A5353" s="3">
        <v>44287</v>
      </c>
      <c r="B5353" s="2" t="s">
        <v>219</v>
      </c>
      <c r="C5353" s="2">
        <v>1</v>
      </c>
      <c r="D5353" s="2">
        <v>0.49630000000000002</v>
      </c>
      <c r="E5353" s="2">
        <v>4.9630000000000004E-3</v>
      </c>
      <c r="F5353" s="2" t="s">
        <v>170</v>
      </c>
    </row>
    <row r="5354" spans="1:6" ht="22.5" hidden="1" customHeight="1" x14ac:dyDescent="0.25">
      <c r="A5354" s="3">
        <v>44287</v>
      </c>
      <c r="B5354" s="2" t="s">
        <v>220</v>
      </c>
      <c r="C5354" s="2">
        <v>-0.85</v>
      </c>
      <c r="D5354" s="2">
        <v>1.0999999999999999E-2</v>
      </c>
      <c r="E5354" s="2">
        <v>-9.3499999999999996E-5</v>
      </c>
      <c r="F5354" s="2" t="s">
        <v>170</v>
      </c>
    </row>
    <row r="5355" spans="1:6" ht="22.5" hidden="1" customHeight="1" x14ac:dyDescent="0.25">
      <c r="A5355" s="3">
        <v>44287</v>
      </c>
      <c r="B5355" s="2" t="s">
        <v>221</v>
      </c>
      <c r="C5355" s="2">
        <v>1.75</v>
      </c>
      <c r="D5355" s="2">
        <v>3.5999999999999999E-3</v>
      </c>
      <c r="E5355" s="2">
        <v>6.3E-5</v>
      </c>
      <c r="F5355" s="2" t="s">
        <v>170</v>
      </c>
    </row>
    <row r="5356" spans="1:6" ht="22.5" hidden="1" customHeight="1" x14ac:dyDescent="0.25">
      <c r="A5356" s="3">
        <v>44287</v>
      </c>
      <c r="B5356" s="2" t="s">
        <v>222</v>
      </c>
      <c r="C5356" s="2">
        <v>1.33</v>
      </c>
      <c r="D5356" s="2">
        <v>0.34670000000000001</v>
      </c>
      <c r="E5356" s="2">
        <v>4.6111099999999999E-3</v>
      </c>
      <c r="F5356" s="2" t="s">
        <v>170</v>
      </c>
    </row>
    <row r="5357" spans="1:6" ht="22.5" hidden="1" customHeight="1" x14ac:dyDescent="0.25">
      <c r="A5357" s="3">
        <v>44287</v>
      </c>
      <c r="B5357" s="2" t="s">
        <v>223</v>
      </c>
      <c r="C5357" s="2">
        <v>-0.12</v>
      </c>
      <c r="D5357" s="2">
        <v>1.61E-2</v>
      </c>
      <c r="E5357" s="2">
        <v>-1.9320000000000001E-5</v>
      </c>
      <c r="F5357" s="2" t="s">
        <v>165</v>
      </c>
    </row>
    <row r="5358" spans="1:6" ht="22.5" hidden="1" customHeight="1" x14ac:dyDescent="0.25">
      <c r="A5358" s="3">
        <v>44287</v>
      </c>
      <c r="B5358" s="2" t="s">
        <v>224</v>
      </c>
      <c r="C5358" s="2">
        <v>0.54</v>
      </c>
      <c r="D5358" s="2">
        <v>2.2000000000000001E-3</v>
      </c>
      <c r="E5358" s="2">
        <v>1.188E-5</v>
      </c>
      <c r="F5358" s="2" t="s">
        <v>165</v>
      </c>
    </row>
    <row r="5359" spans="1:6" ht="22.5" hidden="1" customHeight="1" x14ac:dyDescent="0.25">
      <c r="A5359" s="3">
        <v>44287</v>
      </c>
      <c r="B5359" s="2" t="s">
        <v>225</v>
      </c>
      <c r="C5359" s="2">
        <v>-0.61</v>
      </c>
      <c r="D5359" s="2">
        <v>4.7999999999999996E-3</v>
      </c>
      <c r="E5359" s="2">
        <v>-2.9280000000000001E-5</v>
      </c>
      <c r="F5359" s="2" t="s">
        <v>165</v>
      </c>
    </row>
    <row r="5360" spans="1:6" ht="22.5" hidden="1" customHeight="1" x14ac:dyDescent="0.25">
      <c r="A5360" s="3">
        <v>44287</v>
      </c>
      <c r="B5360" s="2" t="s">
        <v>226</v>
      </c>
      <c r="C5360" s="2">
        <v>1.94</v>
      </c>
      <c r="D5360" s="2">
        <v>4.6300000000000001E-2</v>
      </c>
      <c r="E5360" s="2">
        <v>8.9822000000000003E-4</v>
      </c>
      <c r="F5360" s="2" t="s">
        <v>165</v>
      </c>
    </row>
    <row r="5361" spans="1:6" ht="22.5" hidden="1" customHeight="1" x14ac:dyDescent="0.25">
      <c r="A5361" s="3">
        <v>44287</v>
      </c>
      <c r="B5361" s="2" t="s">
        <v>227</v>
      </c>
      <c r="C5361" s="2">
        <v>-0.27</v>
      </c>
      <c r="D5361" s="2">
        <v>6.4699999999999994E-2</v>
      </c>
      <c r="E5361" s="2">
        <v>-1.7469E-4</v>
      </c>
      <c r="F5361" s="2" t="s">
        <v>165</v>
      </c>
    </row>
    <row r="5362" spans="1:6" ht="22.5" hidden="1" customHeight="1" x14ac:dyDescent="0.25">
      <c r="A5362" s="3">
        <v>44287</v>
      </c>
      <c r="B5362" s="2" t="s">
        <v>228</v>
      </c>
      <c r="C5362" s="2">
        <v>0.94</v>
      </c>
      <c r="D5362" s="2">
        <v>0.19040000000000001</v>
      </c>
      <c r="E5362" s="2">
        <v>1.78976E-3</v>
      </c>
      <c r="F5362" s="2" t="s">
        <v>165</v>
      </c>
    </row>
    <row r="5363" spans="1:6" ht="22.5" hidden="1" customHeight="1" x14ac:dyDescent="0.25">
      <c r="A5363" s="3">
        <v>44287</v>
      </c>
      <c r="B5363" s="2" t="s">
        <v>229</v>
      </c>
      <c r="C5363" s="2">
        <v>0.16</v>
      </c>
      <c r="D5363" s="2">
        <v>0.27539999999999998</v>
      </c>
      <c r="E5363" s="2">
        <v>4.4064000000000001E-4</v>
      </c>
      <c r="F5363" s="2" t="s">
        <v>174</v>
      </c>
    </row>
    <row r="5364" spans="1:6" ht="22.5" hidden="1" customHeight="1" x14ac:dyDescent="0.25">
      <c r="A5364" s="3">
        <v>44287</v>
      </c>
      <c r="B5364" s="2" t="s">
        <v>230</v>
      </c>
      <c r="C5364" s="2">
        <v>3.02</v>
      </c>
      <c r="D5364" s="2">
        <v>2.1000000000000001E-2</v>
      </c>
      <c r="E5364" s="2">
        <v>6.3420000000000002E-4</v>
      </c>
      <c r="F5364" s="2" t="s">
        <v>174</v>
      </c>
    </row>
    <row r="5365" spans="1:6" ht="22.5" hidden="1" customHeight="1" x14ac:dyDescent="0.25">
      <c r="A5365" s="3">
        <v>44287</v>
      </c>
      <c r="B5365" s="2" t="s">
        <v>231</v>
      </c>
      <c r="C5365" s="2">
        <v>-0.57999999999999996</v>
      </c>
      <c r="D5365" s="2">
        <v>0.16539999999999999</v>
      </c>
      <c r="E5365" s="2">
        <v>-9.5932000000000005E-4</v>
      </c>
      <c r="F5365" s="2" t="s">
        <v>174</v>
      </c>
    </row>
    <row r="5366" spans="1:6" ht="22.5" hidden="1" customHeight="1" x14ac:dyDescent="0.25">
      <c r="A5366" s="3">
        <v>44287</v>
      </c>
      <c r="B5366" s="2" t="s">
        <v>232</v>
      </c>
      <c r="C5366" s="2">
        <v>3.43</v>
      </c>
      <c r="D5366" s="2">
        <v>5.3E-3</v>
      </c>
      <c r="E5366" s="2">
        <v>1.8179000000000001E-4</v>
      </c>
      <c r="F5366" s="2" t="s">
        <v>174</v>
      </c>
    </row>
    <row r="5367" spans="1:6" ht="22.5" hidden="1" customHeight="1" x14ac:dyDescent="0.25">
      <c r="A5367" s="3">
        <v>44287</v>
      </c>
      <c r="B5367" s="2" t="s">
        <v>233</v>
      </c>
      <c r="C5367" s="2">
        <v>0.02</v>
      </c>
      <c r="D5367" s="2">
        <v>0.55359999999999998</v>
      </c>
      <c r="E5367" s="2">
        <v>1.1072E-4</v>
      </c>
      <c r="F5367" s="2" t="s">
        <v>174</v>
      </c>
    </row>
    <row r="5368" spans="1:6" ht="22.5" hidden="1" customHeight="1" x14ac:dyDescent="0.25">
      <c r="A5368" s="3">
        <v>44287</v>
      </c>
      <c r="B5368" s="2" t="s">
        <v>234</v>
      </c>
      <c r="C5368" s="2">
        <v>0.73</v>
      </c>
      <c r="D5368" s="2">
        <v>0.29720000000000002</v>
      </c>
      <c r="E5368" s="2">
        <v>2.1695600000000001E-3</v>
      </c>
      <c r="F5368" s="2" t="s">
        <v>174</v>
      </c>
    </row>
    <row r="5369" spans="1:6" ht="22.5" hidden="1" customHeight="1" x14ac:dyDescent="0.25">
      <c r="A5369" s="3">
        <v>44287</v>
      </c>
      <c r="B5369" s="2" t="s">
        <v>235</v>
      </c>
      <c r="C5369" s="2">
        <v>2.13</v>
      </c>
      <c r="D5369" s="2">
        <v>2.41E-2</v>
      </c>
      <c r="E5369" s="2">
        <v>5.1332999999999999E-4</v>
      </c>
      <c r="F5369" s="2" t="s">
        <v>174</v>
      </c>
    </row>
    <row r="5370" spans="1:6" ht="22.5" hidden="1" customHeight="1" x14ac:dyDescent="0.25">
      <c r="A5370" s="3">
        <v>44287</v>
      </c>
      <c r="B5370" s="2" t="s">
        <v>236</v>
      </c>
      <c r="C5370" s="2">
        <v>-0.64</v>
      </c>
      <c r="D5370" s="2">
        <v>7.0000000000000001E-3</v>
      </c>
      <c r="E5370" s="2">
        <v>-4.4799999999999998E-5</v>
      </c>
      <c r="F5370" s="2" t="s">
        <v>174</v>
      </c>
    </row>
    <row r="5371" spans="1:6" ht="22.5" hidden="1" customHeight="1" x14ac:dyDescent="0.25">
      <c r="A5371" s="3">
        <v>44287</v>
      </c>
      <c r="B5371" s="2" t="s">
        <v>237</v>
      </c>
      <c r="C5371" s="2">
        <v>0.86</v>
      </c>
      <c r="D5371" s="2">
        <v>0.27679999999999999</v>
      </c>
      <c r="E5371" s="2">
        <v>2.3804799999999999E-3</v>
      </c>
      <c r="F5371" s="2" t="s">
        <v>174</v>
      </c>
    </row>
    <row r="5372" spans="1:6" ht="22.5" hidden="1" customHeight="1" x14ac:dyDescent="0.25">
      <c r="A5372" s="3">
        <v>44287</v>
      </c>
      <c r="B5372" s="2" t="s">
        <v>238</v>
      </c>
      <c r="C5372" s="2">
        <v>-0.34</v>
      </c>
      <c r="D5372" s="2">
        <v>0.49480000000000002</v>
      </c>
      <c r="E5372" s="2">
        <v>-1.68232E-3</v>
      </c>
      <c r="F5372" s="2" t="s">
        <v>174</v>
      </c>
    </row>
    <row r="5373" spans="1:6" ht="22.5" hidden="1" customHeight="1" x14ac:dyDescent="0.25">
      <c r="A5373" s="3">
        <v>44287</v>
      </c>
      <c r="B5373" s="2" t="s">
        <v>239</v>
      </c>
      <c r="C5373" s="2">
        <v>0.28000000000000003</v>
      </c>
      <c r="D5373" s="2">
        <v>0.1071</v>
      </c>
      <c r="E5373" s="2">
        <v>2.9987999999999998E-4</v>
      </c>
      <c r="F5373" s="2" t="s">
        <v>174</v>
      </c>
    </row>
    <row r="5374" spans="1:6" ht="22.5" hidden="1" customHeight="1" x14ac:dyDescent="0.25">
      <c r="A5374" s="3">
        <v>44287</v>
      </c>
      <c r="B5374" s="2" t="s">
        <v>240</v>
      </c>
      <c r="C5374" s="2">
        <v>0.59</v>
      </c>
      <c r="D5374" s="2">
        <v>6.2399999999999997E-2</v>
      </c>
      <c r="E5374" s="2">
        <v>3.6816000000000003E-4</v>
      </c>
      <c r="F5374" s="2" t="s">
        <v>174</v>
      </c>
    </row>
    <row r="5375" spans="1:6" ht="22.5" hidden="1" customHeight="1" x14ac:dyDescent="0.25">
      <c r="A5375" s="3">
        <v>44287</v>
      </c>
      <c r="B5375" s="2" t="s">
        <v>241</v>
      </c>
      <c r="C5375" s="2">
        <v>1.31</v>
      </c>
      <c r="D5375" s="2">
        <v>8.5000000000000006E-2</v>
      </c>
      <c r="E5375" s="2">
        <v>1.1134999999999999E-3</v>
      </c>
      <c r="F5375" s="2" t="s">
        <v>174</v>
      </c>
    </row>
    <row r="5376" spans="1:6" ht="22.5" hidden="1" customHeight="1" x14ac:dyDescent="0.25">
      <c r="A5376" s="3">
        <v>44287</v>
      </c>
      <c r="B5376" s="2" t="s">
        <v>242</v>
      </c>
      <c r="C5376" s="2">
        <v>1.41</v>
      </c>
      <c r="D5376" s="2">
        <v>7.1999999999999995E-2</v>
      </c>
      <c r="E5376" s="2">
        <v>1.0152E-3</v>
      </c>
      <c r="F5376" s="2" t="s">
        <v>174</v>
      </c>
    </row>
    <row r="5377" spans="1:6" ht="22.5" hidden="1" customHeight="1" x14ac:dyDescent="0.25">
      <c r="A5377" s="3">
        <v>44287</v>
      </c>
      <c r="B5377" s="2" t="s">
        <v>243</v>
      </c>
      <c r="C5377" s="2">
        <v>3.43</v>
      </c>
      <c r="D5377" s="2">
        <v>7.9000000000000008E-3</v>
      </c>
      <c r="E5377" s="2">
        <v>2.7096999999999999E-4</v>
      </c>
      <c r="F5377" s="2" t="s">
        <v>174</v>
      </c>
    </row>
    <row r="5378" spans="1:6" ht="22.5" hidden="1" customHeight="1" x14ac:dyDescent="0.25">
      <c r="A5378" s="3">
        <v>44287</v>
      </c>
      <c r="B5378" s="2" t="s">
        <v>244</v>
      </c>
      <c r="C5378" s="2">
        <v>0.94</v>
      </c>
      <c r="D5378" s="2">
        <v>4.9799999999999997E-2</v>
      </c>
      <c r="E5378" s="2">
        <v>4.6811999999999998E-4</v>
      </c>
      <c r="F5378" s="2" t="s">
        <v>174</v>
      </c>
    </row>
    <row r="5379" spans="1:6" ht="22.5" hidden="1" customHeight="1" x14ac:dyDescent="0.25">
      <c r="A5379" s="3">
        <v>44287</v>
      </c>
      <c r="B5379" s="2" t="s">
        <v>245</v>
      </c>
      <c r="C5379" s="2">
        <v>0.97</v>
      </c>
      <c r="D5379" s="2">
        <v>5.0099999999999999E-2</v>
      </c>
      <c r="E5379" s="2">
        <v>4.8597000000000001E-4</v>
      </c>
      <c r="F5379" s="2" t="s">
        <v>174</v>
      </c>
    </row>
    <row r="5380" spans="1:6" ht="22.5" hidden="1" customHeight="1" x14ac:dyDescent="0.25">
      <c r="A5380" s="3">
        <v>44287</v>
      </c>
      <c r="B5380" s="2" t="s">
        <v>246</v>
      </c>
      <c r="C5380" s="2">
        <v>0.31</v>
      </c>
      <c r="D5380" s="2">
        <v>0.1855</v>
      </c>
      <c r="E5380" s="2">
        <v>5.7505000000000002E-4</v>
      </c>
      <c r="F5380" s="2" t="s">
        <v>174</v>
      </c>
    </row>
    <row r="5381" spans="1:6" ht="22.5" hidden="1" customHeight="1" x14ac:dyDescent="0.25">
      <c r="A5381" s="3">
        <v>44287</v>
      </c>
      <c r="B5381" s="2" t="s">
        <v>247</v>
      </c>
      <c r="C5381" s="2">
        <v>-0.08</v>
      </c>
      <c r="D5381" s="2">
        <v>0.1303</v>
      </c>
      <c r="E5381" s="2">
        <v>-1.0424E-4</v>
      </c>
      <c r="F5381" s="2" t="s">
        <v>174</v>
      </c>
    </row>
    <row r="5382" spans="1:6" ht="22.5" hidden="1" customHeight="1" x14ac:dyDescent="0.25">
      <c r="A5382" s="3">
        <v>44287</v>
      </c>
      <c r="B5382" s="2" t="s">
        <v>248</v>
      </c>
      <c r="C5382" s="2">
        <v>0.18</v>
      </c>
      <c r="D5382" s="2">
        <v>0.1447</v>
      </c>
      <c r="E5382" s="2">
        <v>2.6046000000000001E-4</v>
      </c>
      <c r="F5382" s="2" t="s">
        <v>174</v>
      </c>
    </row>
    <row r="5383" spans="1:6" ht="22.5" hidden="1" customHeight="1" x14ac:dyDescent="0.25">
      <c r="A5383" s="3">
        <v>44287</v>
      </c>
      <c r="B5383" s="2" t="s">
        <v>249</v>
      </c>
      <c r="C5383" s="2">
        <v>-0.5</v>
      </c>
      <c r="D5383" s="2">
        <v>0.25779999999999997</v>
      </c>
      <c r="E5383" s="2">
        <v>-1.289E-3</v>
      </c>
      <c r="F5383" s="2" t="s">
        <v>174</v>
      </c>
    </row>
    <row r="5384" spans="1:6" ht="22.5" hidden="1" customHeight="1" x14ac:dyDescent="0.25">
      <c r="A5384" s="3">
        <v>44287</v>
      </c>
      <c r="B5384" s="2" t="s">
        <v>250</v>
      </c>
      <c r="C5384" s="2">
        <v>-0.37</v>
      </c>
      <c r="D5384" s="2">
        <v>2.5600000000000001E-2</v>
      </c>
      <c r="E5384" s="2">
        <v>-9.4720000000000001E-5</v>
      </c>
      <c r="F5384" s="2" t="s">
        <v>174</v>
      </c>
    </row>
    <row r="5385" spans="1:6" ht="22.5" hidden="1" customHeight="1" x14ac:dyDescent="0.25">
      <c r="A5385" s="3">
        <v>44287</v>
      </c>
      <c r="B5385" s="2" t="s">
        <v>251</v>
      </c>
      <c r="C5385" s="2">
        <v>0.64</v>
      </c>
      <c r="D5385" s="2">
        <v>6.0100000000000001E-2</v>
      </c>
      <c r="E5385" s="2">
        <v>3.8464E-4</v>
      </c>
      <c r="F5385" s="2" t="s">
        <v>174</v>
      </c>
    </row>
    <row r="5386" spans="1:6" ht="22.5" hidden="1" customHeight="1" x14ac:dyDescent="0.25">
      <c r="A5386" s="3">
        <v>44287</v>
      </c>
      <c r="B5386" s="2" t="s">
        <v>252</v>
      </c>
      <c r="C5386" s="2">
        <v>0.65</v>
      </c>
      <c r="D5386" s="2">
        <v>8.3000000000000001E-3</v>
      </c>
      <c r="E5386" s="2">
        <v>5.3949999999999997E-5</v>
      </c>
      <c r="F5386" s="2" t="s">
        <v>174</v>
      </c>
    </row>
    <row r="5387" spans="1:6" ht="22.5" hidden="1" customHeight="1" x14ac:dyDescent="0.25">
      <c r="A5387" s="3">
        <v>44287</v>
      </c>
      <c r="B5387" s="2" t="s">
        <v>253</v>
      </c>
      <c r="C5387" s="2">
        <v>-0.39</v>
      </c>
      <c r="D5387" s="2">
        <v>0.43430000000000002</v>
      </c>
      <c r="E5387" s="2">
        <v>-1.69377E-3</v>
      </c>
      <c r="F5387" s="2" t="s">
        <v>174</v>
      </c>
    </row>
    <row r="5388" spans="1:6" ht="22.5" hidden="1" customHeight="1" x14ac:dyDescent="0.25">
      <c r="A5388" s="3">
        <v>44287</v>
      </c>
      <c r="B5388" s="2" t="s">
        <v>254</v>
      </c>
      <c r="C5388" s="2">
        <v>7.0000000000000007E-2</v>
      </c>
      <c r="D5388" s="2">
        <v>0.17929999999999999</v>
      </c>
      <c r="E5388" s="2">
        <v>1.2551000000000001E-4</v>
      </c>
      <c r="F5388" s="2" t="s">
        <v>174</v>
      </c>
    </row>
    <row r="5389" spans="1:6" ht="22.5" hidden="1" customHeight="1" x14ac:dyDescent="0.25">
      <c r="A5389" s="3">
        <v>44287</v>
      </c>
      <c r="B5389" s="2" t="s">
        <v>255</v>
      </c>
      <c r="C5389" s="2">
        <v>-0.81</v>
      </c>
      <c r="D5389" s="2">
        <v>1.6400000000000001E-2</v>
      </c>
      <c r="E5389" s="2">
        <v>-1.3284000000000001E-4</v>
      </c>
      <c r="F5389" s="2" t="s">
        <v>170</v>
      </c>
    </row>
    <row r="5390" spans="1:6" ht="22.5" hidden="1" customHeight="1" x14ac:dyDescent="0.25">
      <c r="A5390" s="3">
        <v>44287</v>
      </c>
      <c r="B5390" s="2" t="s">
        <v>256</v>
      </c>
      <c r="C5390" s="2">
        <v>0.77</v>
      </c>
      <c r="D5390" s="2">
        <v>0.14860000000000001</v>
      </c>
      <c r="E5390" s="2">
        <v>1.14422E-3</v>
      </c>
      <c r="F5390" s="2" t="s">
        <v>170</v>
      </c>
    </row>
    <row r="5391" spans="1:6" ht="22.5" hidden="1" customHeight="1" x14ac:dyDescent="0.25">
      <c r="A5391" s="3">
        <v>44287</v>
      </c>
      <c r="B5391" s="2" t="s">
        <v>257</v>
      </c>
      <c r="C5391" s="2">
        <v>0.26</v>
      </c>
      <c r="D5391" s="2">
        <v>5.04E-2</v>
      </c>
      <c r="E5391" s="2">
        <v>1.3103999999999999E-4</v>
      </c>
      <c r="F5391" s="2" t="s">
        <v>170</v>
      </c>
    </row>
    <row r="5392" spans="1:6" ht="22.5" hidden="1" customHeight="1" x14ac:dyDescent="0.25">
      <c r="A5392" s="3">
        <v>44287</v>
      </c>
      <c r="B5392" s="2" t="s">
        <v>258</v>
      </c>
      <c r="C5392" s="2">
        <v>0.05</v>
      </c>
      <c r="D5392" s="2">
        <v>4.65E-2</v>
      </c>
      <c r="E5392" s="2">
        <v>2.3249999999999999E-5</v>
      </c>
      <c r="F5392" s="2" t="s">
        <v>174</v>
      </c>
    </row>
    <row r="5393" spans="1:6" ht="22.5" hidden="1" customHeight="1" x14ac:dyDescent="0.25">
      <c r="A5393" s="3">
        <v>44287</v>
      </c>
      <c r="B5393" s="2" t="s">
        <v>259</v>
      </c>
      <c r="C5393" s="2">
        <v>0.35</v>
      </c>
      <c r="D5393" s="2">
        <v>9.9000000000000008E-3</v>
      </c>
      <c r="E5393" s="2">
        <v>3.4650000000000002E-5</v>
      </c>
      <c r="F5393" s="2" t="s">
        <v>174</v>
      </c>
    </row>
    <row r="5394" spans="1:6" ht="22.5" hidden="1" customHeight="1" x14ac:dyDescent="0.25">
      <c r="A5394" s="3">
        <v>44044</v>
      </c>
      <c r="B5394" s="2" t="s">
        <v>266</v>
      </c>
      <c r="C5394" s="2">
        <v>0</v>
      </c>
      <c r="D5394" s="2">
        <v>7.4999999999999997E-2</v>
      </c>
      <c r="E5394" s="2">
        <v>0</v>
      </c>
      <c r="F5394" s="2" t="s">
        <v>168</v>
      </c>
    </row>
    <row r="5395" spans="1:6" ht="22.5" hidden="1" customHeight="1" x14ac:dyDescent="0.25">
      <c r="A5395" s="3">
        <v>44044</v>
      </c>
      <c r="B5395" s="2" t="s">
        <v>273</v>
      </c>
      <c r="C5395" s="2">
        <v>0</v>
      </c>
      <c r="D5395" s="2">
        <v>0.12620000000000001</v>
      </c>
      <c r="E5395" s="2">
        <v>0</v>
      </c>
      <c r="F5395" s="2" t="s">
        <v>168</v>
      </c>
    </row>
    <row r="5396" spans="1:6" ht="22.5" hidden="1" customHeight="1" x14ac:dyDescent="0.25">
      <c r="A5396" s="3">
        <v>44044</v>
      </c>
      <c r="B5396" s="2" t="s">
        <v>340</v>
      </c>
      <c r="C5396" s="2">
        <v>0</v>
      </c>
      <c r="D5396" s="2">
        <v>0.5292</v>
      </c>
      <c r="E5396" s="2">
        <v>0</v>
      </c>
      <c r="F5396" s="2" t="s">
        <v>168</v>
      </c>
    </row>
    <row r="5397" spans="1:6" ht="22.5" hidden="1" customHeight="1" x14ac:dyDescent="0.25">
      <c r="A5397" s="3">
        <v>44044</v>
      </c>
      <c r="B5397" s="2" t="s">
        <v>365</v>
      </c>
      <c r="C5397" s="2">
        <v>0</v>
      </c>
      <c r="D5397" s="2">
        <v>7.1099999999999997E-2</v>
      </c>
      <c r="E5397" s="2">
        <v>0</v>
      </c>
      <c r="F5397" s="2" t="s">
        <v>168</v>
      </c>
    </row>
    <row r="5398" spans="1:6" ht="22.5" hidden="1" customHeight="1" x14ac:dyDescent="0.25">
      <c r="A5398" s="3">
        <v>44044</v>
      </c>
      <c r="B5398" s="2" t="s">
        <v>367</v>
      </c>
      <c r="C5398" s="2">
        <v>0</v>
      </c>
      <c r="D5398" s="2">
        <v>1.6138999999999999</v>
      </c>
      <c r="E5398" s="2">
        <v>0</v>
      </c>
      <c r="F5398" s="2" t="s">
        <v>168</v>
      </c>
    </row>
    <row r="5399" spans="1:6" ht="22.5" hidden="1" customHeight="1" x14ac:dyDescent="0.25">
      <c r="A5399" s="3">
        <v>44075</v>
      </c>
      <c r="B5399" s="2" t="s">
        <v>260</v>
      </c>
      <c r="C5399" s="2">
        <v>0</v>
      </c>
      <c r="D5399" s="2">
        <v>1.3876999999999999</v>
      </c>
      <c r="E5399" s="2">
        <v>0</v>
      </c>
      <c r="F5399" s="2" t="s">
        <v>168</v>
      </c>
    </row>
    <row r="5400" spans="1:6" ht="22.5" hidden="1" customHeight="1" x14ac:dyDescent="0.25">
      <c r="A5400" s="3">
        <v>44075</v>
      </c>
      <c r="B5400" s="2" t="s">
        <v>261</v>
      </c>
      <c r="C5400" s="2">
        <v>0</v>
      </c>
      <c r="D5400" s="2">
        <v>0.2</v>
      </c>
      <c r="E5400" s="2">
        <v>0</v>
      </c>
      <c r="F5400" s="2" t="s">
        <v>168</v>
      </c>
    </row>
    <row r="5401" spans="1:6" ht="22.5" hidden="1" customHeight="1" x14ac:dyDescent="0.25">
      <c r="A5401" s="3">
        <v>44287</v>
      </c>
      <c r="B5401" s="2" t="s">
        <v>267</v>
      </c>
      <c r="C5401" s="2">
        <v>0</v>
      </c>
      <c r="D5401" s="2">
        <v>0.1293</v>
      </c>
      <c r="E5401" s="2">
        <v>0</v>
      </c>
      <c r="F5401" s="2" t="s">
        <v>165</v>
      </c>
    </row>
    <row r="5402" spans="1:6" ht="22.5" hidden="1" customHeight="1" x14ac:dyDescent="0.25">
      <c r="A5402" s="3">
        <v>44287</v>
      </c>
      <c r="B5402" s="2" t="s">
        <v>268</v>
      </c>
      <c r="C5402" s="2">
        <v>-3.55</v>
      </c>
      <c r="D5402" s="2">
        <v>0.17630000000000001</v>
      </c>
      <c r="E5402" s="2">
        <v>-6.2586500000000002E-3</v>
      </c>
      <c r="F5402" s="2" t="s">
        <v>165</v>
      </c>
    </row>
    <row r="5403" spans="1:6" ht="22.5" hidden="1" customHeight="1" x14ac:dyDescent="0.25">
      <c r="A5403" s="3">
        <v>44287</v>
      </c>
      <c r="B5403" s="2" t="s">
        <v>269</v>
      </c>
      <c r="C5403" s="2">
        <v>0</v>
      </c>
      <c r="D5403" s="2">
        <v>6.6900000000000001E-2</v>
      </c>
      <c r="E5403" s="2">
        <v>0</v>
      </c>
      <c r="F5403" s="2" t="s">
        <v>165</v>
      </c>
    </row>
    <row r="5404" spans="1:6" ht="22.5" hidden="1" customHeight="1" x14ac:dyDescent="0.25">
      <c r="A5404" s="3">
        <v>44287</v>
      </c>
      <c r="B5404" s="2" t="s">
        <v>270</v>
      </c>
      <c r="C5404" s="2">
        <v>0.41</v>
      </c>
      <c r="D5404" s="2">
        <v>2.9603999999999999</v>
      </c>
      <c r="E5404" s="2">
        <v>1.213764E-2</v>
      </c>
      <c r="F5404" s="2" t="s">
        <v>170</v>
      </c>
    </row>
    <row r="5405" spans="1:6" ht="22.5" hidden="1" customHeight="1" x14ac:dyDescent="0.25">
      <c r="A5405" s="3">
        <v>44075</v>
      </c>
      <c r="B5405" s="2" t="s">
        <v>262</v>
      </c>
      <c r="C5405" s="2">
        <v>0</v>
      </c>
      <c r="D5405" s="2">
        <v>3.9800000000000002E-2</v>
      </c>
      <c r="E5405" s="2">
        <v>0</v>
      </c>
      <c r="F5405" s="2" t="s">
        <v>168</v>
      </c>
    </row>
    <row r="5406" spans="1:6" ht="22.5" hidden="1" customHeight="1" x14ac:dyDescent="0.25">
      <c r="A5406" s="3">
        <v>44287</v>
      </c>
      <c r="B5406" s="2" t="s">
        <v>272</v>
      </c>
      <c r="C5406" s="2">
        <v>-3.14</v>
      </c>
      <c r="D5406" s="2">
        <v>0.76690000000000003</v>
      </c>
      <c r="E5406" s="2">
        <v>-2.408066E-2</v>
      </c>
      <c r="F5406" s="2" t="s">
        <v>165</v>
      </c>
    </row>
    <row r="5407" spans="1:6" ht="22.5" hidden="1" customHeight="1" x14ac:dyDescent="0.25">
      <c r="A5407" s="3">
        <v>44075</v>
      </c>
      <c r="B5407" s="2" t="s">
        <v>266</v>
      </c>
      <c r="C5407" s="2">
        <v>0</v>
      </c>
      <c r="D5407" s="2">
        <v>7.4800000000000005E-2</v>
      </c>
      <c r="E5407" s="2">
        <v>0</v>
      </c>
      <c r="F5407" s="2" t="s">
        <v>168</v>
      </c>
    </row>
    <row r="5408" spans="1:6" ht="22.5" hidden="1" customHeight="1" x14ac:dyDescent="0.25">
      <c r="A5408" s="3">
        <v>44287</v>
      </c>
      <c r="B5408" s="2" t="s">
        <v>274</v>
      </c>
      <c r="C5408" s="2">
        <v>1.1399999999999999</v>
      </c>
      <c r="D5408" s="2">
        <v>0.12920000000000001</v>
      </c>
      <c r="E5408" s="2">
        <v>1.47288E-3</v>
      </c>
      <c r="F5408" s="2" t="s">
        <v>170</v>
      </c>
    </row>
    <row r="5409" spans="1:6" ht="22.5" hidden="1" customHeight="1" x14ac:dyDescent="0.25">
      <c r="A5409" s="3">
        <v>44287</v>
      </c>
      <c r="B5409" s="2" t="s">
        <v>275</v>
      </c>
      <c r="C5409" s="2">
        <v>0.11</v>
      </c>
      <c r="D5409" s="2">
        <v>0.1739</v>
      </c>
      <c r="E5409" s="2">
        <v>1.9128999999999999E-4</v>
      </c>
      <c r="F5409" s="2" t="s">
        <v>170</v>
      </c>
    </row>
    <row r="5410" spans="1:6" ht="22.5" hidden="1" customHeight="1" x14ac:dyDescent="0.25">
      <c r="A5410" s="3">
        <v>44287</v>
      </c>
      <c r="B5410" s="2" t="s">
        <v>276</v>
      </c>
      <c r="C5410" s="2">
        <v>2.63</v>
      </c>
      <c r="D5410" s="2">
        <v>0.23050000000000001</v>
      </c>
      <c r="E5410" s="2">
        <v>6.0621499999999997E-3</v>
      </c>
      <c r="F5410" s="2" t="s">
        <v>170</v>
      </c>
    </row>
    <row r="5411" spans="1:6" ht="22.5" hidden="1" customHeight="1" x14ac:dyDescent="0.25">
      <c r="A5411" s="3">
        <v>44287</v>
      </c>
      <c r="B5411" s="2" t="s">
        <v>277</v>
      </c>
      <c r="C5411" s="2">
        <v>0.27</v>
      </c>
      <c r="D5411" s="2">
        <v>1.6519999999999999</v>
      </c>
      <c r="E5411" s="2">
        <v>4.4603999999999998E-3</v>
      </c>
      <c r="F5411" s="2" t="s">
        <v>165</v>
      </c>
    </row>
    <row r="5412" spans="1:6" ht="22.5" hidden="1" customHeight="1" x14ac:dyDescent="0.25">
      <c r="A5412" s="3">
        <v>44287</v>
      </c>
      <c r="B5412" s="2" t="s">
        <v>278</v>
      </c>
      <c r="C5412" s="2">
        <v>0.01</v>
      </c>
      <c r="D5412" s="2">
        <v>6.7299999999999999E-2</v>
      </c>
      <c r="E5412" s="2">
        <v>6.7299999999999999E-6</v>
      </c>
      <c r="F5412" s="2" t="s">
        <v>165</v>
      </c>
    </row>
    <row r="5413" spans="1:6" ht="22.5" hidden="1" customHeight="1" x14ac:dyDescent="0.25">
      <c r="A5413" s="3">
        <v>44075</v>
      </c>
      <c r="B5413" s="2" t="s">
        <v>273</v>
      </c>
      <c r="C5413" s="2">
        <v>0</v>
      </c>
      <c r="D5413" s="2">
        <v>0.12590000000000001</v>
      </c>
      <c r="E5413" s="2">
        <v>0</v>
      </c>
      <c r="F5413" s="2" t="s">
        <v>168</v>
      </c>
    </row>
    <row r="5414" spans="1:6" ht="22.5" hidden="1" customHeight="1" x14ac:dyDescent="0.25">
      <c r="A5414" s="3">
        <v>44287</v>
      </c>
      <c r="B5414" s="2" t="s">
        <v>280</v>
      </c>
      <c r="C5414" s="2">
        <v>0.8</v>
      </c>
      <c r="D5414" s="2">
        <v>1.8642000000000001</v>
      </c>
      <c r="E5414" s="2">
        <v>1.4913600000000001E-2</v>
      </c>
      <c r="F5414" s="2" t="s">
        <v>170</v>
      </c>
    </row>
    <row r="5415" spans="1:6" ht="22.5" hidden="1" customHeight="1" x14ac:dyDescent="0.25">
      <c r="A5415" s="3">
        <v>44287</v>
      </c>
      <c r="B5415" s="2" t="s">
        <v>281</v>
      </c>
      <c r="C5415" s="2">
        <v>1.86</v>
      </c>
      <c r="D5415" s="2">
        <v>1.6299999999999999E-2</v>
      </c>
      <c r="E5415" s="2">
        <v>3.0318000000000001E-4</v>
      </c>
      <c r="F5415" s="2" t="s">
        <v>165</v>
      </c>
    </row>
    <row r="5416" spans="1:6" ht="22.5" hidden="1" customHeight="1" x14ac:dyDescent="0.25">
      <c r="A5416" s="3">
        <v>44287</v>
      </c>
      <c r="B5416" s="2" t="s">
        <v>282</v>
      </c>
      <c r="C5416" s="2">
        <v>-6.04</v>
      </c>
      <c r="D5416" s="2">
        <v>2.29E-2</v>
      </c>
      <c r="E5416" s="2">
        <v>-1.38316E-3</v>
      </c>
      <c r="F5416" s="2" t="s">
        <v>165</v>
      </c>
    </row>
    <row r="5417" spans="1:6" ht="22.5" hidden="1" customHeight="1" x14ac:dyDescent="0.25">
      <c r="A5417" s="3">
        <v>44287</v>
      </c>
      <c r="B5417" s="2" t="s">
        <v>283</v>
      </c>
      <c r="C5417" s="2">
        <v>0.87</v>
      </c>
      <c r="D5417" s="2">
        <v>0.56399999999999995</v>
      </c>
      <c r="E5417" s="2">
        <v>4.9068000000000002E-3</v>
      </c>
      <c r="F5417" s="2" t="s">
        <v>170</v>
      </c>
    </row>
    <row r="5418" spans="1:6" ht="22.5" hidden="1" customHeight="1" x14ac:dyDescent="0.25">
      <c r="A5418" s="3">
        <v>44075</v>
      </c>
      <c r="B5418" s="2" t="s">
        <v>340</v>
      </c>
      <c r="C5418" s="2">
        <v>0</v>
      </c>
      <c r="D5418" s="2">
        <v>0.52800000000000002</v>
      </c>
      <c r="E5418" s="2">
        <v>0</v>
      </c>
      <c r="F5418" s="2" t="s">
        <v>168</v>
      </c>
    </row>
    <row r="5419" spans="1:6" ht="22.5" hidden="1" customHeight="1" x14ac:dyDescent="0.25">
      <c r="A5419" s="3">
        <v>44075</v>
      </c>
      <c r="B5419" s="2" t="s">
        <v>365</v>
      </c>
      <c r="C5419" s="2">
        <v>0</v>
      </c>
      <c r="D5419" s="2">
        <v>7.0900000000000005E-2</v>
      </c>
      <c r="E5419" s="2">
        <v>0</v>
      </c>
      <c r="F5419" s="2" t="s">
        <v>168</v>
      </c>
    </row>
    <row r="5420" spans="1:6" ht="22.5" hidden="1" customHeight="1" x14ac:dyDescent="0.25">
      <c r="A5420" s="3">
        <v>44075</v>
      </c>
      <c r="B5420" s="2" t="s">
        <v>367</v>
      </c>
      <c r="C5420" s="2">
        <v>0</v>
      </c>
      <c r="D5420" s="2">
        <v>1.61</v>
      </c>
      <c r="E5420" s="2">
        <v>0</v>
      </c>
      <c r="F5420" s="2" t="s">
        <v>168</v>
      </c>
    </row>
    <row r="5421" spans="1:6" ht="22.5" hidden="1" customHeight="1" x14ac:dyDescent="0.25">
      <c r="A5421" s="3">
        <v>44105</v>
      </c>
      <c r="B5421" s="2" t="s">
        <v>260</v>
      </c>
      <c r="C5421" s="2">
        <v>0</v>
      </c>
      <c r="D5421" s="2">
        <v>1.3819999999999999</v>
      </c>
      <c r="E5421" s="2">
        <v>0</v>
      </c>
      <c r="F5421" s="2" t="s">
        <v>168</v>
      </c>
    </row>
    <row r="5422" spans="1:6" ht="22.5" hidden="1" customHeight="1" x14ac:dyDescent="0.25">
      <c r="A5422" s="3">
        <v>44105</v>
      </c>
      <c r="B5422" s="2" t="s">
        <v>261</v>
      </c>
      <c r="C5422" s="2">
        <v>0</v>
      </c>
      <c r="D5422" s="2">
        <v>0.1993</v>
      </c>
      <c r="E5422" s="2">
        <v>0</v>
      </c>
      <c r="F5422" s="2" t="s">
        <v>168</v>
      </c>
    </row>
    <row r="5423" spans="1:6" ht="22.5" hidden="1" customHeight="1" x14ac:dyDescent="0.25">
      <c r="A5423" s="3">
        <v>44105</v>
      </c>
      <c r="B5423" s="2" t="s">
        <v>262</v>
      </c>
      <c r="C5423" s="2">
        <v>0</v>
      </c>
      <c r="D5423" s="2">
        <v>3.9699999999999999E-2</v>
      </c>
      <c r="E5423" s="2">
        <v>0</v>
      </c>
      <c r="F5423" s="2" t="s">
        <v>168</v>
      </c>
    </row>
    <row r="5424" spans="1:6" ht="22.5" hidden="1" customHeight="1" x14ac:dyDescent="0.25">
      <c r="A5424" s="3">
        <v>44105</v>
      </c>
      <c r="B5424" s="2" t="s">
        <v>266</v>
      </c>
      <c r="C5424" s="2">
        <v>0</v>
      </c>
      <c r="D5424" s="2">
        <v>7.4499999999999997E-2</v>
      </c>
      <c r="E5424" s="2">
        <v>0</v>
      </c>
      <c r="F5424" s="2" t="s">
        <v>168</v>
      </c>
    </row>
    <row r="5425" spans="1:6" ht="22.5" hidden="1" customHeight="1" x14ac:dyDescent="0.25">
      <c r="A5425" s="3">
        <v>44105</v>
      </c>
      <c r="B5425" s="2" t="s">
        <v>273</v>
      </c>
      <c r="C5425" s="2">
        <v>0</v>
      </c>
      <c r="D5425" s="2">
        <v>0.12529999999999999</v>
      </c>
      <c r="E5425" s="2">
        <v>0</v>
      </c>
      <c r="F5425" s="2" t="s">
        <v>168</v>
      </c>
    </row>
    <row r="5426" spans="1:6" ht="22.5" hidden="1" customHeight="1" x14ac:dyDescent="0.25">
      <c r="A5426" s="3">
        <v>44105</v>
      </c>
      <c r="B5426" s="2" t="s">
        <v>310</v>
      </c>
      <c r="C5426" s="2">
        <v>0</v>
      </c>
      <c r="D5426" s="2">
        <v>4.0982000000000003</v>
      </c>
      <c r="E5426" s="2">
        <v>0</v>
      </c>
      <c r="F5426" s="2" t="s">
        <v>168</v>
      </c>
    </row>
    <row r="5427" spans="1:6" ht="22.5" hidden="1" customHeight="1" x14ac:dyDescent="0.25">
      <c r="A5427" s="3">
        <v>44105</v>
      </c>
      <c r="B5427" s="2" t="s">
        <v>340</v>
      </c>
      <c r="C5427" s="2">
        <v>0</v>
      </c>
      <c r="D5427" s="2">
        <v>0.52559999999999996</v>
      </c>
      <c r="E5427" s="2">
        <v>0</v>
      </c>
      <c r="F5427" s="2" t="s">
        <v>168</v>
      </c>
    </row>
    <row r="5428" spans="1:6" ht="22.5" hidden="1" customHeight="1" x14ac:dyDescent="0.25">
      <c r="A5428" s="3">
        <v>44105</v>
      </c>
      <c r="B5428" s="2" t="s">
        <v>365</v>
      </c>
      <c r="C5428" s="2">
        <v>0</v>
      </c>
      <c r="D5428" s="2">
        <v>7.0599999999999996E-2</v>
      </c>
      <c r="E5428" s="2">
        <v>0</v>
      </c>
      <c r="F5428" s="2" t="s">
        <v>168</v>
      </c>
    </row>
    <row r="5429" spans="1:6" ht="22.5" hidden="1" customHeight="1" x14ac:dyDescent="0.25">
      <c r="A5429" s="3">
        <v>44136</v>
      </c>
      <c r="B5429" s="2" t="s">
        <v>196</v>
      </c>
      <c r="C5429" s="2">
        <v>0</v>
      </c>
      <c r="D5429" s="2">
        <v>0.13200000000000001</v>
      </c>
      <c r="E5429" s="2">
        <v>0</v>
      </c>
      <c r="F5429" s="2" t="s">
        <v>168</v>
      </c>
    </row>
    <row r="5430" spans="1:6" ht="22.5" hidden="1" customHeight="1" x14ac:dyDescent="0.25">
      <c r="A5430" s="3">
        <v>44136</v>
      </c>
      <c r="B5430" s="2" t="s">
        <v>260</v>
      </c>
      <c r="C5430" s="2">
        <v>0</v>
      </c>
      <c r="D5430" s="2">
        <v>1.3694</v>
      </c>
      <c r="E5430" s="2">
        <v>0</v>
      </c>
      <c r="F5430" s="2" t="s">
        <v>168</v>
      </c>
    </row>
    <row r="5431" spans="1:6" ht="22.5" hidden="1" customHeight="1" x14ac:dyDescent="0.25">
      <c r="A5431" s="3">
        <v>44136</v>
      </c>
      <c r="B5431" s="2" t="s">
        <v>261</v>
      </c>
      <c r="C5431" s="2">
        <v>0</v>
      </c>
      <c r="D5431" s="2">
        <v>0.19750000000000001</v>
      </c>
      <c r="E5431" s="2">
        <v>0</v>
      </c>
      <c r="F5431" s="2" t="s">
        <v>168</v>
      </c>
    </row>
    <row r="5432" spans="1:6" ht="22.5" hidden="1" customHeight="1" x14ac:dyDescent="0.25">
      <c r="A5432" s="3">
        <v>44136</v>
      </c>
      <c r="B5432" s="2" t="s">
        <v>262</v>
      </c>
      <c r="C5432" s="2">
        <v>0</v>
      </c>
      <c r="D5432" s="2">
        <v>3.9300000000000002E-2</v>
      </c>
      <c r="E5432" s="2">
        <v>0</v>
      </c>
      <c r="F5432" s="2" t="s">
        <v>168</v>
      </c>
    </row>
    <row r="5433" spans="1:6" ht="22.5" hidden="1" customHeight="1" x14ac:dyDescent="0.25">
      <c r="A5433" s="3">
        <v>44136</v>
      </c>
      <c r="B5433" s="2" t="s">
        <v>266</v>
      </c>
      <c r="C5433" s="2">
        <v>0</v>
      </c>
      <c r="D5433" s="2">
        <v>7.3800000000000004E-2</v>
      </c>
      <c r="E5433" s="2">
        <v>0</v>
      </c>
      <c r="F5433" s="2" t="s">
        <v>168</v>
      </c>
    </row>
    <row r="5434" spans="1:6" ht="22.5" hidden="1" customHeight="1" x14ac:dyDescent="0.25">
      <c r="A5434" s="3">
        <v>44136</v>
      </c>
      <c r="B5434" s="2" t="s">
        <v>273</v>
      </c>
      <c r="C5434" s="2">
        <v>0</v>
      </c>
      <c r="D5434" s="2">
        <v>0.1241</v>
      </c>
      <c r="E5434" s="2">
        <v>0</v>
      </c>
      <c r="F5434" s="2" t="s">
        <v>168</v>
      </c>
    </row>
    <row r="5435" spans="1:6" ht="22.5" hidden="1" customHeight="1" x14ac:dyDescent="0.25">
      <c r="A5435" s="3">
        <v>44136</v>
      </c>
      <c r="B5435" s="2" t="s">
        <v>310</v>
      </c>
      <c r="C5435" s="2">
        <v>0</v>
      </c>
      <c r="D5435" s="2">
        <v>4.0609000000000002</v>
      </c>
      <c r="E5435" s="2">
        <v>0</v>
      </c>
      <c r="F5435" s="2" t="s">
        <v>168</v>
      </c>
    </row>
    <row r="5436" spans="1:6" ht="22.5" hidden="1" customHeight="1" x14ac:dyDescent="0.25">
      <c r="A5436" s="3">
        <v>44287</v>
      </c>
      <c r="B5436" s="2" t="s">
        <v>302</v>
      </c>
      <c r="C5436" s="2">
        <v>2.16</v>
      </c>
      <c r="D5436" s="2">
        <v>0.27950000000000003</v>
      </c>
      <c r="E5436" s="2">
        <v>6.0372000000000004E-3</v>
      </c>
      <c r="F5436" s="2" t="s">
        <v>170</v>
      </c>
    </row>
    <row r="5437" spans="1:6" ht="22.5" hidden="1" customHeight="1" x14ac:dyDescent="0.25">
      <c r="A5437" s="3">
        <v>44287</v>
      </c>
      <c r="B5437" s="2" t="s">
        <v>303</v>
      </c>
      <c r="C5437" s="2">
        <v>0.39</v>
      </c>
      <c r="D5437" s="2">
        <v>0.5393</v>
      </c>
      <c r="E5437" s="2">
        <v>2.10327E-3</v>
      </c>
      <c r="F5437" s="2" t="s">
        <v>165</v>
      </c>
    </row>
    <row r="5438" spans="1:6" ht="22.5" hidden="1" customHeight="1" x14ac:dyDescent="0.25">
      <c r="A5438" s="3">
        <v>44287</v>
      </c>
      <c r="B5438" s="2" t="s">
        <v>304</v>
      </c>
      <c r="C5438" s="2">
        <v>0.38</v>
      </c>
      <c r="D5438" s="2">
        <v>0.52159999999999995</v>
      </c>
      <c r="E5438" s="2">
        <v>1.9820800000000002E-3</v>
      </c>
      <c r="F5438" s="2" t="s">
        <v>165</v>
      </c>
    </row>
    <row r="5439" spans="1:6" ht="22.5" hidden="1" customHeight="1" x14ac:dyDescent="0.25">
      <c r="A5439" s="3">
        <v>44287</v>
      </c>
      <c r="B5439" s="2" t="s">
        <v>305</v>
      </c>
      <c r="C5439" s="2">
        <v>0.01</v>
      </c>
      <c r="D5439" s="2">
        <v>1.8200000000000001E-2</v>
      </c>
      <c r="E5439" s="2">
        <v>1.8199999999999999E-6</v>
      </c>
      <c r="F5439" s="2" t="s">
        <v>170</v>
      </c>
    </row>
    <row r="5440" spans="1:6" ht="22.5" hidden="1" customHeight="1" x14ac:dyDescent="0.25">
      <c r="A5440" s="3">
        <v>44287</v>
      </c>
      <c r="B5440" s="2" t="s">
        <v>306</v>
      </c>
      <c r="C5440" s="2">
        <v>1.55</v>
      </c>
      <c r="D5440" s="2">
        <v>4.7899999999999998E-2</v>
      </c>
      <c r="E5440" s="2">
        <v>7.4244999999999997E-4</v>
      </c>
      <c r="F5440" s="2" t="s">
        <v>165</v>
      </c>
    </row>
    <row r="5441" spans="1:6" ht="22.5" hidden="1" customHeight="1" x14ac:dyDescent="0.25">
      <c r="A5441" s="3">
        <v>44287</v>
      </c>
      <c r="B5441" s="2" t="s">
        <v>307</v>
      </c>
      <c r="C5441" s="2">
        <v>0.56999999999999995</v>
      </c>
      <c r="D5441" s="2">
        <v>0.1072</v>
      </c>
      <c r="E5441" s="2">
        <v>6.1103999999999998E-4</v>
      </c>
      <c r="F5441" s="2" t="s">
        <v>165</v>
      </c>
    </row>
    <row r="5442" spans="1:6" ht="22.5" hidden="1" customHeight="1" x14ac:dyDescent="0.25">
      <c r="A5442" s="3">
        <v>44287</v>
      </c>
      <c r="B5442" s="2" t="s">
        <v>308</v>
      </c>
      <c r="C5442" s="2">
        <v>-0.21</v>
      </c>
      <c r="D5442" s="2">
        <v>0.36940000000000001</v>
      </c>
      <c r="E5442" s="2">
        <v>-7.7574000000000002E-4</v>
      </c>
      <c r="F5442" s="2" t="s">
        <v>165</v>
      </c>
    </row>
    <row r="5443" spans="1:6" ht="22.5" hidden="1" customHeight="1" x14ac:dyDescent="0.25">
      <c r="A5443" s="3">
        <v>44287</v>
      </c>
      <c r="B5443" s="2" t="s">
        <v>309</v>
      </c>
      <c r="C5443" s="2">
        <v>0.25</v>
      </c>
      <c r="D5443" s="2">
        <v>0.12959999999999999</v>
      </c>
      <c r="E5443" s="2">
        <v>3.2400000000000001E-4</v>
      </c>
      <c r="F5443" s="2" t="s">
        <v>165</v>
      </c>
    </row>
    <row r="5444" spans="1:6" ht="22.5" hidden="1" customHeight="1" x14ac:dyDescent="0.25">
      <c r="A5444" s="3">
        <v>44136</v>
      </c>
      <c r="B5444" s="2" t="s">
        <v>340</v>
      </c>
      <c r="C5444" s="2">
        <v>0</v>
      </c>
      <c r="D5444" s="2">
        <v>0.52080000000000004</v>
      </c>
      <c r="E5444" s="2">
        <v>0</v>
      </c>
      <c r="F5444" s="2" t="s">
        <v>168</v>
      </c>
    </row>
    <row r="5445" spans="1:6" ht="22.5" hidden="1" customHeight="1" x14ac:dyDescent="0.25">
      <c r="A5445" s="3">
        <v>44287</v>
      </c>
      <c r="B5445" s="2" t="s">
        <v>311</v>
      </c>
      <c r="C5445" s="2">
        <v>0.95</v>
      </c>
      <c r="D5445" s="2">
        <v>0.60840000000000005</v>
      </c>
      <c r="E5445" s="2">
        <v>5.7797999999999999E-3</v>
      </c>
      <c r="F5445" s="2" t="s">
        <v>174</v>
      </c>
    </row>
    <row r="5446" spans="1:6" ht="22.5" hidden="1" customHeight="1" x14ac:dyDescent="0.25">
      <c r="A5446" s="3">
        <v>44287</v>
      </c>
      <c r="B5446" s="2" t="s">
        <v>312</v>
      </c>
      <c r="C5446" s="2">
        <v>-0.01</v>
      </c>
      <c r="D5446" s="2">
        <v>0.21190000000000001</v>
      </c>
      <c r="E5446" s="2">
        <v>-2.1189999999999999E-5</v>
      </c>
      <c r="F5446" s="2" t="s">
        <v>174</v>
      </c>
    </row>
    <row r="5447" spans="1:6" ht="22.5" hidden="1" customHeight="1" x14ac:dyDescent="0.25">
      <c r="A5447" s="3">
        <v>44287</v>
      </c>
      <c r="B5447" s="2" t="s">
        <v>313</v>
      </c>
      <c r="C5447" s="2">
        <v>0.5</v>
      </c>
      <c r="D5447" s="2">
        <v>0.13</v>
      </c>
      <c r="E5447" s="2">
        <v>6.4999999999999997E-4</v>
      </c>
      <c r="F5447" s="2" t="s">
        <v>174</v>
      </c>
    </row>
    <row r="5448" spans="1:6" ht="22.5" hidden="1" customHeight="1" x14ac:dyDescent="0.25">
      <c r="A5448" s="3">
        <v>44287</v>
      </c>
      <c r="B5448" s="2" t="s">
        <v>314</v>
      </c>
      <c r="C5448" s="2">
        <v>-5.0199999999999996</v>
      </c>
      <c r="D5448" s="2">
        <v>0.39290000000000003</v>
      </c>
      <c r="E5448" s="2">
        <v>-1.9723580000000001E-2</v>
      </c>
      <c r="F5448" s="2" t="s">
        <v>174</v>
      </c>
    </row>
    <row r="5449" spans="1:6" ht="22.5" hidden="1" customHeight="1" x14ac:dyDescent="0.25">
      <c r="A5449" s="3">
        <v>44287</v>
      </c>
      <c r="B5449" s="2" t="s">
        <v>315</v>
      </c>
      <c r="C5449" s="2">
        <v>0.67</v>
      </c>
      <c r="D5449" s="2">
        <v>0.26040000000000002</v>
      </c>
      <c r="E5449" s="2">
        <v>1.74468E-3</v>
      </c>
      <c r="F5449" s="2" t="s">
        <v>174</v>
      </c>
    </row>
    <row r="5450" spans="1:6" ht="22.5" hidden="1" customHeight="1" x14ac:dyDescent="0.25">
      <c r="A5450" s="3">
        <v>44287</v>
      </c>
      <c r="B5450" s="2" t="s">
        <v>316</v>
      </c>
      <c r="C5450" s="2">
        <v>0.5</v>
      </c>
      <c r="D5450" s="2">
        <v>3.7000000000000002E-3</v>
      </c>
      <c r="E5450" s="2">
        <v>1.8499999999999999E-5</v>
      </c>
      <c r="F5450" s="2" t="s">
        <v>174</v>
      </c>
    </row>
    <row r="5451" spans="1:6" ht="22.5" hidden="1" customHeight="1" x14ac:dyDescent="0.25">
      <c r="A5451" s="3">
        <v>44287</v>
      </c>
      <c r="B5451" s="2" t="s">
        <v>317</v>
      </c>
      <c r="C5451" s="2">
        <v>-0.43</v>
      </c>
      <c r="D5451" s="2">
        <v>1.0216000000000001</v>
      </c>
      <c r="E5451" s="2">
        <v>-4.39288E-3</v>
      </c>
      <c r="F5451" s="2" t="s">
        <v>174</v>
      </c>
    </row>
    <row r="5452" spans="1:6" ht="22.5" hidden="1" customHeight="1" x14ac:dyDescent="0.25">
      <c r="A5452" s="3">
        <v>44287</v>
      </c>
      <c r="B5452" s="2" t="s">
        <v>318</v>
      </c>
      <c r="C5452" s="2">
        <v>1.3</v>
      </c>
      <c r="D5452" s="2">
        <v>0.43569999999999998</v>
      </c>
      <c r="E5452" s="2">
        <v>5.6641E-3</v>
      </c>
      <c r="F5452" s="2" t="s">
        <v>174</v>
      </c>
    </row>
    <row r="5453" spans="1:6" ht="22.5" hidden="1" customHeight="1" x14ac:dyDescent="0.25">
      <c r="A5453" s="3">
        <v>44287</v>
      </c>
      <c r="B5453" s="2" t="s">
        <v>319</v>
      </c>
      <c r="C5453" s="2">
        <v>0.93</v>
      </c>
      <c r="D5453" s="2">
        <v>0.1081</v>
      </c>
      <c r="E5453" s="2">
        <v>1.00533E-3</v>
      </c>
      <c r="F5453" s="2" t="s">
        <v>174</v>
      </c>
    </row>
    <row r="5454" spans="1:6" ht="22.5" hidden="1" customHeight="1" x14ac:dyDescent="0.25">
      <c r="A5454" s="3">
        <v>44287</v>
      </c>
      <c r="B5454" s="2" t="s">
        <v>320</v>
      </c>
      <c r="C5454" s="2">
        <v>1.63</v>
      </c>
      <c r="D5454" s="2">
        <v>0.2989</v>
      </c>
      <c r="E5454" s="2">
        <v>4.87207E-3</v>
      </c>
      <c r="F5454" s="2" t="s">
        <v>174</v>
      </c>
    </row>
    <row r="5455" spans="1:6" ht="22.5" hidden="1" customHeight="1" x14ac:dyDescent="0.25">
      <c r="A5455" s="3">
        <v>44287</v>
      </c>
      <c r="B5455" s="2" t="s">
        <v>321</v>
      </c>
      <c r="C5455" s="2">
        <v>1.44</v>
      </c>
      <c r="D5455" s="2">
        <v>0.20169999999999999</v>
      </c>
      <c r="E5455" s="2">
        <v>2.9044800000000001E-3</v>
      </c>
      <c r="F5455" s="2" t="s">
        <v>174</v>
      </c>
    </row>
    <row r="5456" spans="1:6" ht="22.5" hidden="1" customHeight="1" x14ac:dyDescent="0.25">
      <c r="A5456" s="3">
        <v>44287</v>
      </c>
      <c r="B5456" s="2" t="s">
        <v>322</v>
      </c>
      <c r="C5456" s="2">
        <v>2.95</v>
      </c>
      <c r="D5456" s="2">
        <v>0.15709999999999999</v>
      </c>
      <c r="E5456" s="2">
        <v>4.63445E-3</v>
      </c>
      <c r="F5456" s="2" t="s">
        <v>174</v>
      </c>
    </row>
    <row r="5457" spans="1:6" ht="22.5" hidden="1" customHeight="1" x14ac:dyDescent="0.25">
      <c r="A5457" s="3">
        <v>44287</v>
      </c>
      <c r="B5457" s="2" t="s">
        <v>323</v>
      </c>
      <c r="C5457" s="2">
        <v>1.26</v>
      </c>
      <c r="D5457" s="2">
        <v>1.0800000000000001E-2</v>
      </c>
      <c r="E5457" s="2">
        <v>1.3608000000000001E-4</v>
      </c>
      <c r="F5457" s="2" t="s">
        <v>165</v>
      </c>
    </row>
    <row r="5458" spans="1:6" ht="22.5" hidden="1" customHeight="1" x14ac:dyDescent="0.25">
      <c r="A5458" s="3">
        <v>44287</v>
      </c>
      <c r="B5458" s="2" t="s">
        <v>324</v>
      </c>
      <c r="C5458" s="2">
        <v>0.34</v>
      </c>
      <c r="D5458" s="2">
        <v>0.38529999999999998</v>
      </c>
      <c r="E5458" s="2">
        <v>1.3100200000000001E-3</v>
      </c>
      <c r="F5458" s="2" t="s">
        <v>165</v>
      </c>
    </row>
    <row r="5459" spans="1:6" ht="22.5" hidden="1" customHeight="1" x14ac:dyDescent="0.25">
      <c r="A5459" s="3">
        <v>44287</v>
      </c>
      <c r="B5459" s="2" t="s">
        <v>325</v>
      </c>
      <c r="C5459" s="2">
        <v>0.12</v>
      </c>
      <c r="D5459" s="2">
        <v>3.048</v>
      </c>
      <c r="E5459" s="2">
        <v>3.6576E-3</v>
      </c>
      <c r="F5459" s="2" t="s">
        <v>165</v>
      </c>
    </row>
    <row r="5460" spans="1:6" ht="22.5" hidden="1" customHeight="1" x14ac:dyDescent="0.25">
      <c r="A5460" s="3">
        <v>44287</v>
      </c>
      <c r="B5460" s="2" t="s">
        <v>326</v>
      </c>
      <c r="C5460" s="2">
        <v>0.4</v>
      </c>
      <c r="D5460" s="2">
        <v>1.0168999999999999</v>
      </c>
      <c r="E5460" s="2">
        <v>4.0676000000000002E-3</v>
      </c>
      <c r="F5460" s="2" t="s">
        <v>165</v>
      </c>
    </row>
    <row r="5461" spans="1:6" ht="22.5" hidden="1" customHeight="1" x14ac:dyDescent="0.25">
      <c r="A5461" s="3">
        <v>44287</v>
      </c>
      <c r="B5461" s="2" t="s">
        <v>327</v>
      </c>
      <c r="C5461" s="2">
        <v>-0.1</v>
      </c>
      <c r="D5461" s="2">
        <v>6.0199999999999997E-2</v>
      </c>
      <c r="E5461" s="2">
        <v>-6.02E-5</v>
      </c>
      <c r="F5461" s="2" t="s">
        <v>165</v>
      </c>
    </row>
    <row r="5462" spans="1:6" ht="22.5" hidden="1" customHeight="1" x14ac:dyDescent="0.25">
      <c r="A5462" s="3">
        <v>44287</v>
      </c>
      <c r="B5462" s="2" t="s">
        <v>328</v>
      </c>
      <c r="C5462" s="2">
        <v>0</v>
      </c>
      <c r="D5462" s="2">
        <v>1.9300000000000001E-2</v>
      </c>
      <c r="E5462" s="2">
        <v>0</v>
      </c>
      <c r="F5462" s="2" t="s">
        <v>165</v>
      </c>
    </row>
    <row r="5463" spans="1:6" ht="22.5" hidden="1" customHeight="1" x14ac:dyDescent="0.25">
      <c r="A5463" s="3">
        <v>44287</v>
      </c>
      <c r="B5463" s="2" t="s">
        <v>329</v>
      </c>
      <c r="C5463" s="2">
        <v>-0.65</v>
      </c>
      <c r="D5463" s="2">
        <v>9.6600000000000005E-2</v>
      </c>
      <c r="E5463" s="2">
        <v>-6.2790000000000003E-4</v>
      </c>
      <c r="F5463" s="2" t="s">
        <v>165</v>
      </c>
    </row>
    <row r="5464" spans="1:6" ht="22.5" hidden="1" customHeight="1" x14ac:dyDescent="0.25">
      <c r="A5464" s="3">
        <v>44287</v>
      </c>
      <c r="B5464" s="2" t="s">
        <v>330</v>
      </c>
      <c r="C5464" s="2">
        <v>0</v>
      </c>
      <c r="D5464" s="2">
        <v>1.7464999999999999</v>
      </c>
      <c r="E5464" s="2">
        <v>0</v>
      </c>
      <c r="F5464" s="2" t="s">
        <v>165</v>
      </c>
    </row>
    <row r="5465" spans="1:6" ht="22.5" hidden="1" customHeight="1" x14ac:dyDescent="0.25">
      <c r="A5465" s="3">
        <v>44287</v>
      </c>
      <c r="B5465" s="2" t="s">
        <v>331</v>
      </c>
      <c r="C5465" s="2">
        <v>0.06</v>
      </c>
      <c r="D5465" s="2">
        <v>5.6599999999999998E-2</v>
      </c>
      <c r="E5465" s="2">
        <v>3.396E-5</v>
      </c>
      <c r="F5465" s="2" t="s">
        <v>165</v>
      </c>
    </row>
    <row r="5466" spans="1:6" ht="22.5" hidden="1" customHeight="1" x14ac:dyDescent="0.25">
      <c r="A5466" s="3">
        <v>44287</v>
      </c>
      <c r="B5466" s="2" t="s">
        <v>332</v>
      </c>
      <c r="C5466" s="2">
        <v>0.05</v>
      </c>
      <c r="D5466" s="2">
        <v>0.1087</v>
      </c>
      <c r="E5466" s="2">
        <v>5.435E-5</v>
      </c>
      <c r="F5466" s="2" t="s">
        <v>165</v>
      </c>
    </row>
    <row r="5467" spans="1:6" ht="22.5" hidden="1" customHeight="1" x14ac:dyDescent="0.25">
      <c r="A5467" s="3">
        <v>44287</v>
      </c>
      <c r="B5467" s="2" t="s">
        <v>333</v>
      </c>
      <c r="C5467" s="2">
        <v>-0.4</v>
      </c>
      <c r="D5467" s="2">
        <v>8.3199999999999996E-2</v>
      </c>
      <c r="E5467" s="2">
        <v>-3.3280000000000001E-4</v>
      </c>
      <c r="F5467" s="2" t="s">
        <v>165</v>
      </c>
    </row>
    <row r="5468" spans="1:6" ht="22.5" hidden="1" customHeight="1" x14ac:dyDescent="0.25">
      <c r="A5468" s="3">
        <v>44287</v>
      </c>
      <c r="B5468" s="2" t="s">
        <v>334</v>
      </c>
      <c r="C5468" s="2">
        <v>2.4500000000000002</v>
      </c>
      <c r="D5468" s="2">
        <v>2.0799999999999999E-2</v>
      </c>
      <c r="E5468" s="2">
        <v>5.0960000000000003E-4</v>
      </c>
      <c r="F5468" s="2" t="s">
        <v>170</v>
      </c>
    </row>
    <row r="5469" spans="1:6" ht="22.5" hidden="1" customHeight="1" x14ac:dyDescent="0.25">
      <c r="A5469" s="3">
        <v>44287</v>
      </c>
      <c r="B5469" s="2" t="s">
        <v>335</v>
      </c>
      <c r="C5469" s="2">
        <v>1.27</v>
      </c>
      <c r="D5469" s="2">
        <v>0.28749999999999998</v>
      </c>
      <c r="E5469" s="2">
        <v>3.65125E-3</v>
      </c>
      <c r="F5469" s="2" t="s">
        <v>165</v>
      </c>
    </row>
    <row r="5470" spans="1:6" ht="22.5" hidden="1" customHeight="1" x14ac:dyDescent="0.25">
      <c r="A5470" s="3">
        <v>44287</v>
      </c>
      <c r="B5470" s="2" t="s">
        <v>336</v>
      </c>
      <c r="C5470" s="2">
        <v>1.3</v>
      </c>
      <c r="D5470" s="2">
        <v>0.1014</v>
      </c>
      <c r="E5470" s="2">
        <v>1.3182000000000001E-3</v>
      </c>
      <c r="F5470" s="2" t="s">
        <v>170</v>
      </c>
    </row>
    <row r="5471" spans="1:6" ht="22.5" hidden="1" customHeight="1" x14ac:dyDescent="0.25">
      <c r="A5471" s="3">
        <v>44287</v>
      </c>
      <c r="B5471" s="2" t="s">
        <v>337</v>
      </c>
      <c r="C5471" s="2">
        <v>1.4</v>
      </c>
      <c r="D5471" s="2">
        <v>0.34300000000000003</v>
      </c>
      <c r="E5471" s="2">
        <v>4.8019999999999998E-3</v>
      </c>
      <c r="F5471" s="2" t="s">
        <v>174</v>
      </c>
    </row>
    <row r="5472" spans="1:6" ht="22.5" hidden="1" customHeight="1" x14ac:dyDescent="0.25">
      <c r="A5472" s="3">
        <v>44287</v>
      </c>
      <c r="B5472" s="2" t="s">
        <v>338</v>
      </c>
      <c r="C5472" s="2">
        <v>-1.02</v>
      </c>
      <c r="D5472" s="2">
        <v>0.1988</v>
      </c>
      <c r="E5472" s="2">
        <v>-2.02776E-3</v>
      </c>
      <c r="F5472" s="2" t="s">
        <v>174</v>
      </c>
    </row>
    <row r="5473" spans="1:6" ht="22.5" hidden="1" customHeight="1" x14ac:dyDescent="0.25">
      <c r="A5473" s="3">
        <v>44287</v>
      </c>
      <c r="B5473" s="2" t="s">
        <v>339</v>
      </c>
      <c r="C5473" s="2">
        <v>0</v>
      </c>
      <c r="D5473" s="2">
        <v>4.2299999999999997E-2</v>
      </c>
      <c r="E5473" s="2">
        <v>0</v>
      </c>
      <c r="F5473" s="2" t="s">
        <v>165</v>
      </c>
    </row>
    <row r="5474" spans="1:6" ht="22.5" hidden="1" customHeight="1" x14ac:dyDescent="0.25">
      <c r="A5474" s="3">
        <v>44136</v>
      </c>
      <c r="B5474" s="2" t="s">
        <v>365</v>
      </c>
      <c r="C5474" s="2">
        <v>0</v>
      </c>
      <c r="D5474" s="2">
        <v>7.0000000000000007E-2</v>
      </c>
      <c r="E5474" s="2">
        <v>0</v>
      </c>
      <c r="F5474" s="2" t="s">
        <v>168</v>
      </c>
    </row>
    <row r="5475" spans="1:6" ht="22.5" hidden="1" customHeight="1" x14ac:dyDescent="0.25">
      <c r="A5475" s="3">
        <v>44287</v>
      </c>
      <c r="B5475" s="2" t="s">
        <v>341</v>
      </c>
      <c r="C5475" s="2">
        <v>-0.51</v>
      </c>
      <c r="D5475" s="2">
        <v>1.17E-2</v>
      </c>
      <c r="E5475" s="2">
        <v>-5.9670000000000003E-5</v>
      </c>
      <c r="F5475" s="2" t="s">
        <v>174</v>
      </c>
    </row>
    <row r="5476" spans="1:6" ht="22.5" hidden="1" customHeight="1" x14ac:dyDescent="0.25">
      <c r="A5476" s="3">
        <v>44287</v>
      </c>
      <c r="B5476" s="2" t="s">
        <v>342</v>
      </c>
      <c r="C5476" s="2">
        <v>-1.37</v>
      </c>
      <c r="D5476" s="2">
        <v>0.51649999999999996</v>
      </c>
      <c r="E5476" s="2">
        <v>-7.0760500000000004E-3</v>
      </c>
      <c r="F5476" s="2" t="s">
        <v>165</v>
      </c>
    </row>
    <row r="5477" spans="1:6" ht="22.5" hidden="1" customHeight="1" x14ac:dyDescent="0.25">
      <c r="A5477" s="3">
        <v>44287</v>
      </c>
      <c r="B5477" s="2" t="s">
        <v>343</v>
      </c>
      <c r="C5477" s="2">
        <v>-1.9</v>
      </c>
      <c r="D5477" s="2">
        <v>0.4874</v>
      </c>
      <c r="E5477" s="2">
        <v>-9.2606000000000008E-3</v>
      </c>
      <c r="F5477" s="2" t="s">
        <v>165</v>
      </c>
    </row>
    <row r="5478" spans="1:6" ht="22.5" hidden="1" customHeight="1" x14ac:dyDescent="0.25">
      <c r="A5478" s="3">
        <v>44287</v>
      </c>
      <c r="B5478" s="2" t="s">
        <v>344</v>
      </c>
      <c r="C5478" s="2">
        <v>1.1599999999999999</v>
      </c>
      <c r="D5478" s="2">
        <v>0.1431</v>
      </c>
      <c r="E5478" s="2">
        <v>1.65996E-3</v>
      </c>
      <c r="F5478" s="2" t="s">
        <v>165</v>
      </c>
    </row>
    <row r="5479" spans="1:6" ht="22.5" hidden="1" customHeight="1" x14ac:dyDescent="0.25">
      <c r="A5479" s="3">
        <v>44287</v>
      </c>
      <c r="B5479" s="2" t="s">
        <v>345</v>
      </c>
      <c r="C5479" s="2">
        <v>-0.06</v>
      </c>
      <c r="D5479" s="2">
        <v>0.51480000000000004</v>
      </c>
      <c r="E5479" s="2">
        <v>-3.0887999999999998E-4</v>
      </c>
      <c r="F5479" s="2" t="s">
        <v>165</v>
      </c>
    </row>
    <row r="5480" spans="1:6" ht="22.5" hidden="1" customHeight="1" x14ac:dyDescent="0.25">
      <c r="A5480" s="3">
        <v>44287</v>
      </c>
      <c r="B5480" s="2" t="s">
        <v>346</v>
      </c>
      <c r="C5480" s="2">
        <v>0.68</v>
      </c>
      <c r="D5480" s="2">
        <v>0.54379999999999995</v>
      </c>
      <c r="E5480" s="2">
        <v>3.69784E-3</v>
      </c>
      <c r="F5480" s="2" t="s">
        <v>174</v>
      </c>
    </row>
    <row r="5481" spans="1:6" ht="22.5" hidden="1" customHeight="1" x14ac:dyDescent="0.25">
      <c r="A5481" s="3">
        <v>44287</v>
      </c>
      <c r="B5481" s="2" t="s">
        <v>347</v>
      </c>
      <c r="C5481" s="2">
        <v>0</v>
      </c>
      <c r="D5481" s="2">
        <v>0.1958</v>
      </c>
      <c r="E5481" s="2">
        <v>0</v>
      </c>
      <c r="F5481" s="2" t="s">
        <v>165</v>
      </c>
    </row>
    <row r="5482" spans="1:6" ht="22.5" hidden="1" customHeight="1" x14ac:dyDescent="0.25">
      <c r="A5482" s="3">
        <v>44287</v>
      </c>
      <c r="B5482" s="2" t="s">
        <v>348</v>
      </c>
      <c r="C5482" s="2">
        <v>0</v>
      </c>
      <c r="D5482" s="2">
        <v>0.32519999999999999</v>
      </c>
      <c r="E5482" s="2">
        <v>0</v>
      </c>
      <c r="F5482" s="2" t="s">
        <v>165</v>
      </c>
    </row>
    <row r="5483" spans="1:6" ht="22.5" hidden="1" customHeight="1" x14ac:dyDescent="0.25">
      <c r="A5483" s="3">
        <v>44287</v>
      </c>
      <c r="B5483" s="2" t="s">
        <v>349</v>
      </c>
      <c r="C5483" s="2">
        <v>0.04</v>
      </c>
      <c r="D5483" s="2">
        <v>1.5524</v>
      </c>
      <c r="E5483" s="2">
        <v>6.2096000000000004E-4</v>
      </c>
      <c r="F5483" s="2" t="s">
        <v>165</v>
      </c>
    </row>
    <row r="5484" spans="1:6" ht="22.5" hidden="1" customHeight="1" x14ac:dyDescent="0.25">
      <c r="A5484" s="3">
        <v>44287</v>
      </c>
      <c r="B5484" s="2" t="s">
        <v>350</v>
      </c>
      <c r="C5484" s="2">
        <v>0.03</v>
      </c>
      <c r="D5484" s="2">
        <v>0.39219999999999999</v>
      </c>
      <c r="E5484" s="2">
        <v>1.1765999999999999E-4</v>
      </c>
      <c r="F5484" s="2" t="s">
        <v>165</v>
      </c>
    </row>
    <row r="5485" spans="1:6" ht="22.5" hidden="1" customHeight="1" x14ac:dyDescent="0.25">
      <c r="A5485" s="3">
        <v>44287</v>
      </c>
      <c r="B5485" s="2" t="s">
        <v>351</v>
      </c>
      <c r="C5485" s="2">
        <v>0</v>
      </c>
      <c r="D5485" s="2">
        <v>1.7363999999999999</v>
      </c>
      <c r="E5485" s="2">
        <v>0</v>
      </c>
      <c r="F5485" s="2" t="s">
        <v>165</v>
      </c>
    </row>
    <row r="5486" spans="1:6" ht="22.5" hidden="1" customHeight="1" x14ac:dyDescent="0.25">
      <c r="A5486" s="3">
        <v>44287</v>
      </c>
      <c r="B5486" s="2" t="s">
        <v>352</v>
      </c>
      <c r="C5486" s="2">
        <v>0.06</v>
      </c>
      <c r="D5486" s="2">
        <v>0.28249999999999997</v>
      </c>
      <c r="E5486" s="2">
        <v>1.695E-4</v>
      </c>
      <c r="F5486" s="2" t="s">
        <v>165</v>
      </c>
    </row>
    <row r="5487" spans="1:6" ht="22.5" hidden="1" customHeight="1" x14ac:dyDescent="0.25">
      <c r="A5487" s="3">
        <v>44287</v>
      </c>
      <c r="B5487" s="2" t="s">
        <v>353</v>
      </c>
      <c r="C5487" s="2">
        <v>0</v>
      </c>
      <c r="D5487" s="2">
        <v>4.2200000000000001E-2</v>
      </c>
      <c r="E5487" s="2">
        <v>0</v>
      </c>
      <c r="F5487" s="2" t="s">
        <v>165</v>
      </c>
    </row>
    <row r="5488" spans="1:6" ht="22.5" hidden="1" customHeight="1" x14ac:dyDescent="0.25">
      <c r="A5488" s="3">
        <v>44287</v>
      </c>
      <c r="B5488" s="2" t="s">
        <v>354</v>
      </c>
      <c r="C5488" s="2">
        <v>0</v>
      </c>
      <c r="D5488" s="2">
        <v>3.09E-2</v>
      </c>
      <c r="E5488" s="2">
        <v>0</v>
      </c>
      <c r="F5488" s="2" t="s">
        <v>165</v>
      </c>
    </row>
    <row r="5489" spans="1:6" ht="22.5" hidden="1" customHeight="1" x14ac:dyDescent="0.25">
      <c r="A5489" s="3">
        <v>44287</v>
      </c>
      <c r="B5489" s="2" t="s">
        <v>355</v>
      </c>
      <c r="C5489" s="2">
        <v>0</v>
      </c>
      <c r="D5489" s="2">
        <v>2.9000000000000001E-2</v>
      </c>
      <c r="E5489" s="2">
        <v>0</v>
      </c>
      <c r="F5489" s="2" t="s">
        <v>174</v>
      </c>
    </row>
    <row r="5490" spans="1:6" ht="22.5" hidden="1" customHeight="1" x14ac:dyDescent="0.25">
      <c r="A5490" s="3">
        <v>44287</v>
      </c>
      <c r="B5490" s="2" t="s">
        <v>356</v>
      </c>
      <c r="C5490" s="2">
        <v>0</v>
      </c>
      <c r="D5490" s="2">
        <v>2.9100000000000001E-2</v>
      </c>
      <c r="E5490" s="2">
        <v>0</v>
      </c>
      <c r="F5490" s="2" t="s">
        <v>174</v>
      </c>
    </row>
    <row r="5491" spans="1:6" ht="22.5" hidden="1" customHeight="1" x14ac:dyDescent="0.25">
      <c r="A5491" s="3">
        <v>44287</v>
      </c>
      <c r="B5491" s="2" t="s">
        <v>357</v>
      </c>
      <c r="C5491" s="2">
        <v>-0.27</v>
      </c>
      <c r="D5491" s="2">
        <v>0.3705</v>
      </c>
      <c r="E5491" s="2">
        <v>-1.0003499999999999E-3</v>
      </c>
      <c r="F5491" s="2" t="s">
        <v>174</v>
      </c>
    </row>
    <row r="5492" spans="1:6" ht="22.5" hidden="1" customHeight="1" x14ac:dyDescent="0.25">
      <c r="A5492" s="3">
        <v>44287</v>
      </c>
      <c r="B5492" s="2" t="s">
        <v>358</v>
      </c>
      <c r="C5492" s="2">
        <v>-0.52</v>
      </c>
      <c r="D5492" s="2">
        <v>9.2799999999999994E-2</v>
      </c>
      <c r="E5492" s="2">
        <v>-4.8255999999999999E-4</v>
      </c>
      <c r="F5492" s="2" t="s">
        <v>174</v>
      </c>
    </row>
    <row r="5493" spans="1:6" ht="22.5" hidden="1" customHeight="1" x14ac:dyDescent="0.25">
      <c r="A5493" s="3">
        <v>44287</v>
      </c>
      <c r="B5493" s="2" t="s">
        <v>359</v>
      </c>
      <c r="C5493" s="2">
        <v>-0.27</v>
      </c>
      <c r="D5493" s="2">
        <v>4.7699999999999999E-2</v>
      </c>
      <c r="E5493" s="2">
        <v>-1.2878999999999999E-4</v>
      </c>
      <c r="F5493" s="2" t="s">
        <v>174</v>
      </c>
    </row>
    <row r="5494" spans="1:6" ht="22.5" hidden="1" customHeight="1" x14ac:dyDescent="0.25">
      <c r="A5494" s="3">
        <v>44287</v>
      </c>
      <c r="B5494" s="2" t="s">
        <v>360</v>
      </c>
      <c r="C5494" s="2">
        <v>1.47</v>
      </c>
      <c r="D5494" s="2">
        <v>8.77E-2</v>
      </c>
      <c r="E5494" s="2">
        <v>1.28919E-3</v>
      </c>
      <c r="F5494" s="2" t="s">
        <v>174</v>
      </c>
    </row>
    <row r="5495" spans="1:6" ht="22.5" hidden="1" customHeight="1" x14ac:dyDescent="0.25">
      <c r="A5495" s="3">
        <v>44287</v>
      </c>
      <c r="B5495" s="2" t="s">
        <v>361</v>
      </c>
      <c r="C5495" s="2">
        <v>0</v>
      </c>
      <c r="D5495" s="2">
        <v>7.6200000000000004E-2</v>
      </c>
      <c r="E5495" s="2">
        <v>0</v>
      </c>
      <c r="F5495" s="2" t="s">
        <v>165</v>
      </c>
    </row>
    <row r="5496" spans="1:6" ht="22.5" hidden="1" customHeight="1" x14ac:dyDescent="0.25">
      <c r="A5496" s="3">
        <v>44287</v>
      </c>
      <c r="B5496" s="2" t="s">
        <v>362</v>
      </c>
      <c r="C5496" s="2">
        <v>0</v>
      </c>
      <c r="D5496" s="2">
        <v>0.30530000000000002</v>
      </c>
      <c r="E5496" s="2">
        <v>0</v>
      </c>
      <c r="F5496" s="2" t="s">
        <v>165</v>
      </c>
    </row>
    <row r="5497" spans="1:6" ht="22.5" hidden="1" customHeight="1" x14ac:dyDescent="0.25">
      <c r="A5497" s="3">
        <v>44287</v>
      </c>
      <c r="B5497" s="2" t="s">
        <v>363</v>
      </c>
      <c r="C5497" s="2">
        <v>-0.21</v>
      </c>
      <c r="D5497" s="2">
        <v>4.9299999999999997E-2</v>
      </c>
      <c r="E5497" s="2">
        <v>-1.0353000000000001E-4</v>
      </c>
      <c r="F5497" s="2" t="s">
        <v>165</v>
      </c>
    </row>
    <row r="5498" spans="1:6" ht="22.5" hidden="1" customHeight="1" x14ac:dyDescent="0.25">
      <c r="A5498" s="3">
        <v>44287</v>
      </c>
      <c r="B5498" s="2" t="s">
        <v>364</v>
      </c>
      <c r="C5498" s="2">
        <v>-0.08</v>
      </c>
      <c r="D5498" s="2">
        <v>0.4022</v>
      </c>
      <c r="E5498" s="2">
        <v>-3.2175999999999998E-4</v>
      </c>
      <c r="F5498" s="2" t="s">
        <v>165</v>
      </c>
    </row>
    <row r="5499" spans="1:6" ht="22.5" hidden="1" customHeight="1" x14ac:dyDescent="0.25">
      <c r="A5499" s="3">
        <v>44166</v>
      </c>
      <c r="B5499" s="2" t="s">
        <v>261</v>
      </c>
      <c r="C5499" s="2">
        <v>0</v>
      </c>
      <c r="D5499" s="2">
        <v>0.1961</v>
      </c>
      <c r="E5499" s="2">
        <v>0</v>
      </c>
      <c r="F5499" s="2" t="s">
        <v>168</v>
      </c>
    </row>
    <row r="5500" spans="1:6" ht="22.5" hidden="1" customHeight="1" x14ac:dyDescent="0.25">
      <c r="A5500" s="3">
        <v>44166</v>
      </c>
      <c r="B5500" s="2" t="s">
        <v>262</v>
      </c>
      <c r="C5500" s="2">
        <v>0</v>
      </c>
      <c r="D5500" s="2">
        <v>3.9E-2</v>
      </c>
      <c r="E5500" s="2">
        <v>0</v>
      </c>
      <c r="F5500" s="2" t="s">
        <v>168</v>
      </c>
    </row>
    <row r="5501" spans="1:6" ht="22.5" hidden="1" customHeight="1" x14ac:dyDescent="0.25">
      <c r="A5501" s="3">
        <v>44166</v>
      </c>
      <c r="B5501" s="2" t="s">
        <v>266</v>
      </c>
      <c r="C5501" s="2">
        <v>0</v>
      </c>
      <c r="D5501" s="2">
        <v>7.3300000000000004E-2</v>
      </c>
      <c r="E5501" s="2">
        <v>0</v>
      </c>
      <c r="F5501" s="2" t="s">
        <v>168</v>
      </c>
    </row>
    <row r="5502" spans="1:6" ht="22.5" hidden="1" customHeight="1" x14ac:dyDescent="0.25">
      <c r="A5502" s="3">
        <v>44287</v>
      </c>
      <c r="B5502" s="2" t="s">
        <v>368</v>
      </c>
      <c r="C5502" s="2">
        <v>0</v>
      </c>
      <c r="D5502" s="2">
        <v>0.38529999999999998</v>
      </c>
      <c r="E5502" s="2">
        <v>0</v>
      </c>
      <c r="F5502" s="2" t="s">
        <v>165</v>
      </c>
    </row>
    <row r="5503" spans="1:6" ht="22.5" hidden="1" customHeight="1" x14ac:dyDescent="0.25">
      <c r="A5503" s="3">
        <v>44287</v>
      </c>
      <c r="B5503" s="2" t="s">
        <v>369</v>
      </c>
      <c r="C5503" s="2">
        <v>0</v>
      </c>
      <c r="D5503" s="2">
        <v>0.55740000000000001</v>
      </c>
      <c r="E5503" s="2">
        <v>0</v>
      </c>
      <c r="F5503" s="2" t="s">
        <v>165</v>
      </c>
    </row>
    <row r="5504" spans="1:6" ht="22.5" hidden="1" customHeight="1" x14ac:dyDescent="0.25">
      <c r="A5504" s="3">
        <v>44287</v>
      </c>
      <c r="B5504" s="2" t="s">
        <v>370</v>
      </c>
      <c r="C5504" s="2">
        <v>-0.24</v>
      </c>
      <c r="D5504" s="2">
        <v>0.99909999999999999</v>
      </c>
      <c r="E5504" s="2">
        <v>-2.39784E-3</v>
      </c>
      <c r="F5504" s="2" t="s">
        <v>170</v>
      </c>
    </row>
    <row r="5505" spans="1:6" ht="22.5" hidden="1" customHeight="1" x14ac:dyDescent="0.25">
      <c r="A5505" s="3">
        <v>44287</v>
      </c>
      <c r="B5505" s="2" t="s">
        <v>371</v>
      </c>
      <c r="C5505" s="2">
        <v>0</v>
      </c>
      <c r="D5505" s="2">
        <v>6.6000000000000003E-2</v>
      </c>
      <c r="E5505" s="2">
        <v>0</v>
      </c>
      <c r="F5505" s="2" t="s">
        <v>165</v>
      </c>
    </row>
    <row r="5506" spans="1:6" ht="22.5" hidden="1" customHeight="1" x14ac:dyDescent="0.25">
      <c r="A5506" s="3">
        <v>44287</v>
      </c>
      <c r="B5506" s="2" t="s">
        <v>372</v>
      </c>
      <c r="C5506" s="2">
        <v>0</v>
      </c>
      <c r="D5506" s="2">
        <v>1.6859999999999999</v>
      </c>
      <c r="E5506" s="2">
        <v>0</v>
      </c>
      <c r="F5506" s="2" t="s">
        <v>165</v>
      </c>
    </row>
    <row r="5507" spans="1:6" ht="22.5" hidden="1" customHeight="1" x14ac:dyDescent="0.25">
      <c r="A5507" s="3">
        <v>44317</v>
      </c>
      <c r="B5507" s="2" t="s">
        <v>6</v>
      </c>
      <c r="C5507" s="2">
        <v>-0.26</v>
      </c>
      <c r="D5507" s="2">
        <v>0.71299999999999997</v>
      </c>
      <c r="E5507" s="2">
        <v>-1.8538000000000001E-3</v>
      </c>
      <c r="F5507" s="2" t="s">
        <v>7</v>
      </c>
    </row>
    <row r="5508" spans="1:6" ht="22.5" hidden="1" customHeight="1" x14ac:dyDescent="0.25">
      <c r="A5508" s="3">
        <v>44317</v>
      </c>
      <c r="B5508" s="2" t="s">
        <v>8</v>
      </c>
      <c r="C5508" s="2">
        <v>-1.8</v>
      </c>
      <c r="D5508" s="2">
        <v>1.41E-2</v>
      </c>
      <c r="E5508" s="2">
        <v>-2.5379999999999999E-4</v>
      </c>
      <c r="F5508" s="2" t="s">
        <v>7</v>
      </c>
    </row>
    <row r="5509" spans="1:6" ht="22.5" hidden="1" customHeight="1" x14ac:dyDescent="0.25">
      <c r="A5509" s="3">
        <v>44317</v>
      </c>
      <c r="B5509" s="2" t="s">
        <v>9</v>
      </c>
      <c r="C5509" s="2">
        <v>0.84</v>
      </c>
      <c r="D5509" s="2">
        <v>7.1199999999999999E-2</v>
      </c>
      <c r="E5509" s="2">
        <v>5.9807999999999997E-4</v>
      </c>
      <c r="F5509" s="2" t="s">
        <v>7</v>
      </c>
    </row>
    <row r="5510" spans="1:6" ht="22.5" hidden="1" customHeight="1" x14ac:dyDescent="0.25">
      <c r="A5510" s="3">
        <v>44317</v>
      </c>
      <c r="B5510" s="2" t="s">
        <v>10</v>
      </c>
      <c r="C5510" s="2">
        <v>3.17</v>
      </c>
      <c r="D5510" s="2">
        <v>2.2700000000000001E-2</v>
      </c>
      <c r="E5510" s="2">
        <v>7.1958999999999999E-4</v>
      </c>
      <c r="F5510" s="2" t="s">
        <v>7</v>
      </c>
    </row>
    <row r="5511" spans="1:6" ht="22.5" hidden="1" customHeight="1" x14ac:dyDescent="0.25">
      <c r="A5511" s="3">
        <v>44317</v>
      </c>
      <c r="B5511" s="2" t="s">
        <v>11</v>
      </c>
      <c r="C5511" s="2">
        <v>-1.1200000000000001</v>
      </c>
      <c r="D5511" s="2">
        <v>0.14860000000000001</v>
      </c>
      <c r="E5511" s="2">
        <v>-1.6643199999999999E-3</v>
      </c>
      <c r="F5511" s="2" t="s">
        <v>7</v>
      </c>
    </row>
    <row r="5512" spans="1:6" ht="22.5" hidden="1" customHeight="1" x14ac:dyDescent="0.25">
      <c r="A5512" s="3">
        <v>44317</v>
      </c>
      <c r="B5512" s="2" t="s">
        <v>12</v>
      </c>
      <c r="C5512" s="2">
        <v>1.77</v>
      </c>
      <c r="D5512" s="2">
        <v>1.06E-2</v>
      </c>
      <c r="E5512" s="2">
        <v>1.8762E-4</v>
      </c>
      <c r="F5512" s="2" t="s">
        <v>7</v>
      </c>
    </row>
    <row r="5513" spans="1:6" ht="22.5" hidden="1" customHeight="1" x14ac:dyDescent="0.25">
      <c r="A5513" s="3">
        <v>44317</v>
      </c>
      <c r="B5513" s="2" t="s">
        <v>13</v>
      </c>
      <c r="C5513" s="2">
        <v>-1.74</v>
      </c>
      <c r="D5513" s="2">
        <v>2.8999999999999998E-3</v>
      </c>
      <c r="E5513" s="2">
        <v>-5.0460000000000001E-5</v>
      </c>
      <c r="F5513" s="2" t="s">
        <v>7</v>
      </c>
    </row>
    <row r="5514" spans="1:6" ht="22.5" hidden="1" customHeight="1" x14ac:dyDescent="0.25">
      <c r="A5514" s="3">
        <v>44317</v>
      </c>
      <c r="B5514" s="2" t="s">
        <v>14</v>
      </c>
      <c r="C5514" s="2">
        <v>1.1100000000000001</v>
      </c>
      <c r="D5514" s="2">
        <v>0.1489</v>
      </c>
      <c r="E5514" s="2">
        <v>1.6527899999999999E-3</v>
      </c>
      <c r="F5514" s="2" t="s">
        <v>7</v>
      </c>
    </row>
    <row r="5515" spans="1:6" ht="22.5" hidden="1" customHeight="1" x14ac:dyDescent="0.25">
      <c r="A5515" s="3">
        <v>44317</v>
      </c>
      <c r="B5515" s="2" t="s">
        <v>15</v>
      </c>
      <c r="C5515" s="2">
        <v>5.96</v>
      </c>
      <c r="D5515" s="2">
        <v>7.4000000000000003E-3</v>
      </c>
      <c r="E5515" s="2">
        <v>4.4104000000000002E-4</v>
      </c>
      <c r="F5515" s="2" t="s">
        <v>7</v>
      </c>
    </row>
    <row r="5516" spans="1:6" ht="22.5" hidden="1" customHeight="1" x14ac:dyDescent="0.25">
      <c r="A5516" s="3">
        <v>44317</v>
      </c>
      <c r="B5516" s="2" t="s">
        <v>16</v>
      </c>
      <c r="C5516" s="2">
        <v>-0.41</v>
      </c>
      <c r="D5516" s="2">
        <v>9.1000000000000004E-3</v>
      </c>
      <c r="E5516" s="2">
        <v>-3.731E-5</v>
      </c>
      <c r="F5516" s="2" t="s">
        <v>7</v>
      </c>
    </row>
    <row r="5517" spans="1:6" ht="22.5" hidden="1" customHeight="1" x14ac:dyDescent="0.25">
      <c r="A5517" s="3">
        <v>44317</v>
      </c>
      <c r="B5517" s="2" t="s">
        <v>17</v>
      </c>
      <c r="C5517" s="2">
        <v>1.8</v>
      </c>
      <c r="D5517" s="2">
        <v>5.1299999999999998E-2</v>
      </c>
      <c r="E5517" s="2">
        <v>9.234E-4</v>
      </c>
      <c r="F5517" s="2" t="s">
        <v>7</v>
      </c>
    </row>
    <row r="5518" spans="1:6" ht="22.5" hidden="1" customHeight="1" x14ac:dyDescent="0.25">
      <c r="A5518" s="3">
        <v>44317</v>
      </c>
      <c r="B5518" s="2" t="s">
        <v>18</v>
      </c>
      <c r="C5518" s="2">
        <v>-0.31</v>
      </c>
      <c r="D5518" s="2">
        <v>9.7799999999999998E-2</v>
      </c>
      <c r="E5518" s="2">
        <v>-3.0318000000000001E-4</v>
      </c>
      <c r="F5518" s="2" t="s">
        <v>7</v>
      </c>
    </row>
    <row r="5519" spans="1:6" ht="22.5" hidden="1" customHeight="1" x14ac:dyDescent="0.25">
      <c r="A5519" s="3">
        <v>44317</v>
      </c>
      <c r="B5519" s="2" t="s">
        <v>19</v>
      </c>
      <c r="C5519" s="2">
        <v>1.5</v>
      </c>
      <c r="D5519" s="2">
        <v>0.11890000000000001</v>
      </c>
      <c r="E5519" s="2">
        <v>1.7834999999999999E-3</v>
      </c>
      <c r="F5519" s="2" t="s">
        <v>7</v>
      </c>
    </row>
    <row r="5520" spans="1:6" ht="22.5" hidden="1" customHeight="1" x14ac:dyDescent="0.25">
      <c r="A5520" s="3">
        <v>44317</v>
      </c>
      <c r="B5520" s="2" t="s">
        <v>20</v>
      </c>
      <c r="C5520" s="2">
        <v>0.98</v>
      </c>
      <c r="D5520" s="2">
        <v>2.5399999999999999E-2</v>
      </c>
      <c r="E5520" s="2">
        <v>2.4892000000000002E-4</v>
      </c>
      <c r="F5520" s="2" t="s">
        <v>7</v>
      </c>
    </row>
    <row r="5521" spans="1:6" ht="22.5" hidden="1" customHeight="1" x14ac:dyDescent="0.25">
      <c r="A5521" s="3">
        <v>44317</v>
      </c>
      <c r="B5521" s="2" t="s">
        <v>21</v>
      </c>
      <c r="C5521" s="2">
        <v>-4.63</v>
      </c>
      <c r="D5521" s="2">
        <v>3.3500000000000002E-2</v>
      </c>
      <c r="E5521" s="2">
        <v>-1.55105E-3</v>
      </c>
      <c r="F5521" s="2" t="s">
        <v>7</v>
      </c>
    </row>
    <row r="5522" spans="1:6" ht="22.5" hidden="1" customHeight="1" x14ac:dyDescent="0.25">
      <c r="A5522" s="3">
        <v>44317</v>
      </c>
      <c r="B5522" s="2" t="s">
        <v>22</v>
      </c>
      <c r="C5522" s="2">
        <v>-1.69</v>
      </c>
      <c r="D5522" s="2">
        <v>0.18090000000000001</v>
      </c>
      <c r="E5522" s="2">
        <v>-3.0572099999999999E-3</v>
      </c>
      <c r="F5522" s="2" t="s">
        <v>7</v>
      </c>
    </row>
    <row r="5523" spans="1:6" ht="22.5" hidden="1" customHeight="1" x14ac:dyDescent="0.25">
      <c r="A5523" s="3">
        <v>44317</v>
      </c>
      <c r="B5523" s="2" t="s">
        <v>23</v>
      </c>
      <c r="C5523" s="2">
        <v>-3</v>
      </c>
      <c r="D5523" s="2">
        <v>1.7100000000000001E-2</v>
      </c>
      <c r="E5523" s="2">
        <v>-5.13E-4</v>
      </c>
      <c r="F5523" s="2" t="s">
        <v>7</v>
      </c>
    </row>
    <row r="5524" spans="1:6" ht="22.5" hidden="1" customHeight="1" x14ac:dyDescent="0.25">
      <c r="A5524" s="3">
        <v>44317</v>
      </c>
      <c r="B5524" s="2" t="s">
        <v>24</v>
      </c>
      <c r="C5524" s="2">
        <v>-3.35</v>
      </c>
      <c r="D5524" s="2">
        <v>8.3999999999999995E-3</v>
      </c>
      <c r="E5524" s="2">
        <v>-2.8140000000000001E-4</v>
      </c>
      <c r="F5524" s="2" t="s">
        <v>7</v>
      </c>
    </row>
    <row r="5525" spans="1:6" ht="22.5" hidden="1" customHeight="1" x14ac:dyDescent="0.25">
      <c r="A5525" s="3">
        <v>44317</v>
      </c>
      <c r="B5525" s="2" t="s">
        <v>25</v>
      </c>
      <c r="C5525" s="2">
        <v>-11.91</v>
      </c>
      <c r="D5525" s="2">
        <v>3.2000000000000002E-3</v>
      </c>
      <c r="E5525" s="2">
        <v>-3.8111999999999998E-4</v>
      </c>
      <c r="F5525" s="2" t="s">
        <v>7</v>
      </c>
    </row>
    <row r="5526" spans="1:6" ht="22.5" hidden="1" customHeight="1" x14ac:dyDescent="0.25">
      <c r="A5526" s="3">
        <v>44317</v>
      </c>
      <c r="B5526" s="2" t="s">
        <v>26</v>
      </c>
      <c r="C5526" s="2">
        <v>5.0199999999999996</v>
      </c>
      <c r="D5526" s="2">
        <v>1.5900000000000001E-2</v>
      </c>
      <c r="E5526" s="2">
        <v>7.9818E-4</v>
      </c>
      <c r="F5526" s="2" t="s">
        <v>7</v>
      </c>
    </row>
    <row r="5527" spans="1:6" ht="22.5" hidden="1" customHeight="1" x14ac:dyDescent="0.25">
      <c r="A5527" s="3">
        <v>44317</v>
      </c>
      <c r="B5527" s="2" t="s">
        <v>27</v>
      </c>
      <c r="C5527" s="2">
        <v>7.24</v>
      </c>
      <c r="D5527" s="2">
        <v>0.2021</v>
      </c>
      <c r="E5527" s="2">
        <v>1.4632040000000001E-2</v>
      </c>
      <c r="F5527" s="2" t="s">
        <v>7</v>
      </c>
    </row>
    <row r="5528" spans="1:6" ht="22.5" hidden="1" customHeight="1" x14ac:dyDescent="0.25">
      <c r="A5528" s="3">
        <v>44317</v>
      </c>
      <c r="B5528" s="2" t="s">
        <v>28</v>
      </c>
      <c r="C5528" s="2">
        <v>-0.84</v>
      </c>
      <c r="D5528" s="2">
        <v>0.14660000000000001</v>
      </c>
      <c r="E5528" s="2">
        <v>-1.2314400000000001E-3</v>
      </c>
      <c r="F5528" s="2" t="s">
        <v>7</v>
      </c>
    </row>
    <row r="5529" spans="1:6" ht="22.5" hidden="1" customHeight="1" x14ac:dyDescent="0.25">
      <c r="A5529" s="3">
        <v>44317</v>
      </c>
      <c r="B5529" s="2" t="s">
        <v>29</v>
      </c>
      <c r="C5529" s="2">
        <v>0.37</v>
      </c>
      <c r="D5529" s="2">
        <v>4.9799999999999997E-2</v>
      </c>
      <c r="E5529" s="2">
        <v>1.8426E-4</v>
      </c>
      <c r="F5529" s="2" t="s">
        <v>7</v>
      </c>
    </row>
    <row r="5530" spans="1:6" ht="22.5" hidden="1" customHeight="1" x14ac:dyDescent="0.25">
      <c r="A5530" s="3">
        <v>44317</v>
      </c>
      <c r="B5530" s="2" t="s">
        <v>30</v>
      </c>
      <c r="C5530" s="2">
        <v>0.12</v>
      </c>
      <c r="D5530" s="2">
        <v>0.10299999999999999</v>
      </c>
      <c r="E5530" s="2">
        <v>1.236E-4</v>
      </c>
      <c r="F5530" s="2" t="s">
        <v>7</v>
      </c>
    </row>
    <row r="5531" spans="1:6" ht="22.5" hidden="1" customHeight="1" x14ac:dyDescent="0.25">
      <c r="A5531" s="3">
        <v>44317</v>
      </c>
      <c r="B5531" s="2" t="s">
        <v>31</v>
      </c>
      <c r="C5531" s="2">
        <v>2.13</v>
      </c>
      <c r="D5531" s="2">
        <v>0.11</v>
      </c>
      <c r="E5531" s="2">
        <v>2.343E-3</v>
      </c>
      <c r="F5531" s="2" t="s">
        <v>7</v>
      </c>
    </row>
    <row r="5532" spans="1:6" ht="22.5" hidden="1" customHeight="1" x14ac:dyDescent="0.25">
      <c r="A5532" s="3">
        <v>44317</v>
      </c>
      <c r="B5532" s="2" t="s">
        <v>32</v>
      </c>
      <c r="C5532" s="2">
        <v>1.1399999999999999</v>
      </c>
      <c r="D5532" s="2">
        <v>1.52E-2</v>
      </c>
      <c r="E5532" s="2">
        <v>1.7327999999999999E-4</v>
      </c>
      <c r="F5532" s="2" t="s">
        <v>7</v>
      </c>
    </row>
    <row r="5533" spans="1:6" ht="22.5" hidden="1" customHeight="1" x14ac:dyDescent="0.25">
      <c r="A5533" s="3">
        <v>44317</v>
      </c>
      <c r="B5533" s="2" t="s">
        <v>33</v>
      </c>
      <c r="C5533" s="2">
        <v>2.13</v>
      </c>
      <c r="D5533" s="2">
        <v>0.18529999999999999</v>
      </c>
      <c r="E5533" s="2">
        <v>3.9468899999999998E-3</v>
      </c>
      <c r="F5533" s="2" t="s">
        <v>7</v>
      </c>
    </row>
    <row r="5534" spans="1:6" ht="22.5" hidden="1" customHeight="1" x14ac:dyDescent="0.25">
      <c r="A5534" s="3">
        <v>44317</v>
      </c>
      <c r="B5534" s="2" t="s">
        <v>34</v>
      </c>
      <c r="C5534" s="2">
        <v>4.29</v>
      </c>
      <c r="D5534" s="2">
        <v>0.1447</v>
      </c>
      <c r="E5534" s="2">
        <v>6.2076299999999996E-3</v>
      </c>
      <c r="F5534" s="2" t="s">
        <v>7</v>
      </c>
    </row>
    <row r="5535" spans="1:6" ht="22.5" hidden="1" customHeight="1" x14ac:dyDescent="0.25">
      <c r="A5535" s="3">
        <v>44317</v>
      </c>
      <c r="B5535" s="2" t="s">
        <v>35</v>
      </c>
      <c r="C5535" s="2">
        <v>1.69</v>
      </c>
      <c r="D5535" s="2">
        <v>0.108</v>
      </c>
      <c r="E5535" s="2">
        <v>1.8251999999999999E-3</v>
      </c>
      <c r="F5535" s="2" t="s">
        <v>7</v>
      </c>
    </row>
    <row r="5536" spans="1:6" ht="22.5" hidden="1" customHeight="1" x14ac:dyDescent="0.25">
      <c r="A5536" s="3">
        <v>44317</v>
      </c>
      <c r="B5536" s="2" t="s">
        <v>36</v>
      </c>
      <c r="C5536" s="2">
        <v>2.58</v>
      </c>
      <c r="D5536" s="2">
        <v>1.6999999999999999E-3</v>
      </c>
      <c r="E5536" s="2">
        <v>4.3859999999999997E-5</v>
      </c>
      <c r="F5536" s="2" t="s">
        <v>7</v>
      </c>
    </row>
    <row r="5537" spans="1:6" ht="22.5" hidden="1" customHeight="1" x14ac:dyDescent="0.25">
      <c r="A5537" s="3">
        <v>44317</v>
      </c>
      <c r="B5537" s="2" t="s">
        <v>37</v>
      </c>
      <c r="C5537" s="2">
        <v>1.21</v>
      </c>
      <c r="D5537" s="2">
        <v>9.1800000000000007E-2</v>
      </c>
      <c r="E5537" s="2">
        <v>1.11078E-3</v>
      </c>
      <c r="F5537" s="2" t="s">
        <v>7</v>
      </c>
    </row>
    <row r="5538" spans="1:6" ht="22.5" hidden="1" customHeight="1" x14ac:dyDescent="0.25">
      <c r="A5538" s="3">
        <v>44317</v>
      </c>
      <c r="B5538" s="2" t="s">
        <v>38</v>
      </c>
      <c r="C5538" s="2">
        <v>-1.94</v>
      </c>
      <c r="D5538" s="2">
        <v>1.0500000000000001E-2</v>
      </c>
      <c r="E5538" s="2">
        <v>-2.0369999999999999E-4</v>
      </c>
      <c r="F5538" s="2" t="s">
        <v>7</v>
      </c>
    </row>
    <row r="5539" spans="1:6" ht="22.5" hidden="1" customHeight="1" x14ac:dyDescent="0.25">
      <c r="A5539" s="3">
        <v>44317</v>
      </c>
      <c r="B5539" s="2" t="s">
        <v>39</v>
      </c>
      <c r="C5539" s="2">
        <v>0.05</v>
      </c>
      <c r="D5539" s="2">
        <v>1.5800000000000002E-2</v>
      </c>
      <c r="E5539" s="2">
        <v>7.9000000000000006E-6</v>
      </c>
      <c r="F5539" s="2" t="s">
        <v>7</v>
      </c>
    </row>
    <row r="5540" spans="1:6" ht="22.5" hidden="1" customHeight="1" x14ac:dyDescent="0.25">
      <c r="A5540" s="3">
        <v>44317</v>
      </c>
      <c r="B5540" s="2" t="s">
        <v>40</v>
      </c>
      <c r="C5540" s="2">
        <v>2.48</v>
      </c>
      <c r="D5540" s="2">
        <v>3.0000000000000001E-3</v>
      </c>
      <c r="E5540" s="2">
        <v>7.4400000000000006E-5</v>
      </c>
      <c r="F5540" s="2" t="s">
        <v>7</v>
      </c>
    </row>
    <row r="5541" spans="1:6" ht="22.5" hidden="1" customHeight="1" x14ac:dyDescent="0.25">
      <c r="A5541" s="3">
        <v>44317</v>
      </c>
      <c r="B5541" s="2" t="s">
        <v>41</v>
      </c>
      <c r="C5541" s="2">
        <v>9.1199999999999992</v>
      </c>
      <c r="D5541" s="2">
        <v>2.1000000000000001E-2</v>
      </c>
      <c r="E5541" s="2">
        <v>1.9151999999999999E-3</v>
      </c>
      <c r="F5541" s="2" t="s">
        <v>7</v>
      </c>
    </row>
    <row r="5542" spans="1:6" ht="22.5" hidden="1" customHeight="1" x14ac:dyDescent="0.25">
      <c r="A5542" s="3">
        <v>44317</v>
      </c>
      <c r="B5542" s="2" t="s">
        <v>42</v>
      </c>
      <c r="C5542" s="2">
        <v>-0.26</v>
      </c>
      <c r="D5542" s="2">
        <v>4.41E-2</v>
      </c>
      <c r="E5542" s="2">
        <v>-1.1466E-4</v>
      </c>
      <c r="F5542" s="2" t="s">
        <v>7</v>
      </c>
    </row>
    <row r="5543" spans="1:6" ht="22.5" hidden="1" customHeight="1" x14ac:dyDescent="0.25">
      <c r="A5543" s="3">
        <v>44317</v>
      </c>
      <c r="B5543" s="2" t="s">
        <v>43</v>
      </c>
      <c r="C5543" s="2">
        <v>-1.26</v>
      </c>
      <c r="D5543" s="2">
        <v>3.1300000000000001E-2</v>
      </c>
      <c r="E5543" s="2">
        <v>-3.9438E-4</v>
      </c>
      <c r="F5543" s="2" t="s">
        <v>7</v>
      </c>
    </row>
    <row r="5544" spans="1:6" ht="22.5" hidden="1" customHeight="1" x14ac:dyDescent="0.25">
      <c r="A5544" s="3">
        <v>44317</v>
      </c>
      <c r="B5544" s="2" t="s">
        <v>44</v>
      </c>
      <c r="C5544" s="2">
        <v>0.14000000000000001</v>
      </c>
      <c r="D5544" s="2">
        <v>1.55E-2</v>
      </c>
      <c r="E5544" s="2">
        <v>2.1699999999999999E-5</v>
      </c>
      <c r="F5544" s="2" t="s">
        <v>7</v>
      </c>
    </row>
    <row r="5545" spans="1:6" ht="22.5" hidden="1" customHeight="1" x14ac:dyDescent="0.25">
      <c r="A5545" s="3">
        <v>44317</v>
      </c>
      <c r="B5545" s="2" t="s">
        <v>45</v>
      </c>
      <c r="C5545" s="2">
        <v>-2.67</v>
      </c>
      <c r="D5545" s="2">
        <v>1.83E-2</v>
      </c>
      <c r="E5545" s="2">
        <v>-4.8861E-4</v>
      </c>
      <c r="F5545" s="2" t="s">
        <v>7</v>
      </c>
    </row>
    <row r="5546" spans="1:6" ht="22.5" hidden="1" customHeight="1" x14ac:dyDescent="0.25">
      <c r="A5546" s="3">
        <v>44317</v>
      </c>
      <c r="B5546" s="2" t="s">
        <v>46</v>
      </c>
      <c r="C5546" s="2">
        <v>-2.0299999999999998</v>
      </c>
      <c r="D5546" s="2">
        <v>8.9999999999999998E-4</v>
      </c>
      <c r="E5546" s="2">
        <v>-1.827E-5</v>
      </c>
      <c r="F5546" s="2" t="s">
        <v>7</v>
      </c>
    </row>
    <row r="5547" spans="1:6" ht="22.5" hidden="1" customHeight="1" x14ac:dyDescent="0.25">
      <c r="A5547" s="3">
        <v>44317</v>
      </c>
      <c r="B5547" s="2" t="s">
        <v>47</v>
      </c>
      <c r="C5547" s="2">
        <v>-12.96</v>
      </c>
      <c r="D5547" s="2">
        <v>0.1023</v>
      </c>
      <c r="E5547" s="2">
        <v>-1.325808E-2</v>
      </c>
      <c r="F5547" s="2" t="s">
        <v>7</v>
      </c>
    </row>
    <row r="5548" spans="1:6" ht="22.5" hidden="1" customHeight="1" x14ac:dyDescent="0.25">
      <c r="A5548" s="3">
        <v>44317</v>
      </c>
      <c r="B5548" s="2" t="s">
        <v>48</v>
      </c>
      <c r="C5548" s="2">
        <v>-5.03</v>
      </c>
      <c r="D5548" s="2">
        <v>4.1999999999999997E-3</v>
      </c>
      <c r="E5548" s="2">
        <v>-2.1126000000000001E-4</v>
      </c>
      <c r="F5548" s="2" t="s">
        <v>7</v>
      </c>
    </row>
    <row r="5549" spans="1:6" ht="22.5" hidden="1" customHeight="1" x14ac:dyDescent="0.25">
      <c r="A5549" s="3">
        <v>44317</v>
      </c>
      <c r="B5549" s="2" t="s">
        <v>49</v>
      </c>
      <c r="C5549" s="2">
        <v>-3.98</v>
      </c>
      <c r="D5549" s="2">
        <v>0.1681</v>
      </c>
      <c r="E5549" s="2">
        <v>-6.6903800000000001E-3</v>
      </c>
      <c r="F5549" s="2" t="s">
        <v>7</v>
      </c>
    </row>
    <row r="5550" spans="1:6" ht="22.5" hidden="1" customHeight="1" x14ac:dyDescent="0.25">
      <c r="A5550" s="3">
        <v>44317</v>
      </c>
      <c r="B5550" s="2" t="s">
        <v>50</v>
      </c>
      <c r="C5550" s="2">
        <v>-3.11</v>
      </c>
      <c r="D5550" s="2">
        <v>5.8999999999999999E-3</v>
      </c>
      <c r="E5550" s="2">
        <v>-1.8348999999999999E-4</v>
      </c>
      <c r="F5550" s="2" t="s">
        <v>7</v>
      </c>
    </row>
    <row r="5551" spans="1:6" ht="22.5" hidden="1" customHeight="1" x14ac:dyDescent="0.25">
      <c r="A5551" s="3">
        <v>44317</v>
      </c>
      <c r="B5551" s="2" t="s">
        <v>51</v>
      </c>
      <c r="C5551" s="2">
        <v>-22.24</v>
      </c>
      <c r="D5551" s="2">
        <v>5.7999999999999996E-3</v>
      </c>
      <c r="E5551" s="2">
        <v>-1.28992E-3</v>
      </c>
      <c r="F5551" s="2" t="s">
        <v>7</v>
      </c>
    </row>
    <row r="5552" spans="1:6" ht="22.5" hidden="1" customHeight="1" x14ac:dyDescent="0.25">
      <c r="A5552" s="3">
        <v>44317</v>
      </c>
      <c r="B5552" s="2" t="s">
        <v>52</v>
      </c>
      <c r="C5552" s="2">
        <v>-1.43</v>
      </c>
      <c r="D5552" s="2">
        <v>2.7199999999999998E-2</v>
      </c>
      <c r="E5552" s="2">
        <v>-3.8895999999999999E-4</v>
      </c>
      <c r="F5552" s="2" t="s">
        <v>7</v>
      </c>
    </row>
    <row r="5553" spans="1:6" ht="22.5" hidden="1" customHeight="1" x14ac:dyDescent="0.25">
      <c r="A5553" s="3">
        <v>44317</v>
      </c>
      <c r="B5553" s="2" t="s">
        <v>53</v>
      </c>
      <c r="C5553" s="2">
        <v>-4.4800000000000004</v>
      </c>
      <c r="D5553" s="2">
        <v>0.1474</v>
      </c>
      <c r="E5553" s="2">
        <v>-6.6035199999999999E-3</v>
      </c>
      <c r="F5553" s="2" t="s">
        <v>7</v>
      </c>
    </row>
    <row r="5554" spans="1:6" ht="22.5" hidden="1" customHeight="1" x14ac:dyDescent="0.25">
      <c r="A5554" s="3">
        <v>44317</v>
      </c>
      <c r="B5554" s="2" t="s">
        <v>54</v>
      </c>
      <c r="C5554" s="2">
        <v>-15.94</v>
      </c>
      <c r="D5554" s="2">
        <v>0.1124</v>
      </c>
      <c r="E5554" s="2">
        <v>-1.7916560000000002E-2</v>
      </c>
      <c r="F5554" s="2" t="s">
        <v>7</v>
      </c>
    </row>
    <row r="5555" spans="1:6" ht="22.5" hidden="1" customHeight="1" x14ac:dyDescent="0.25">
      <c r="A5555" s="3">
        <v>44317</v>
      </c>
      <c r="B5555" s="2" t="s">
        <v>55</v>
      </c>
      <c r="C5555" s="2">
        <v>-17.41</v>
      </c>
      <c r="D5555" s="2">
        <v>8.6199999999999999E-2</v>
      </c>
      <c r="E5555" s="2">
        <v>-1.500742E-2</v>
      </c>
      <c r="F5555" s="2" t="s">
        <v>7</v>
      </c>
    </row>
    <row r="5556" spans="1:6" ht="22.5" hidden="1" customHeight="1" x14ac:dyDescent="0.25">
      <c r="A5556" s="3">
        <v>44317</v>
      </c>
      <c r="B5556" s="2" t="s">
        <v>56</v>
      </c>
      <c r="C5556" s="2">
        <v>2.41</v>
      </c>
      <c r="D5556" s="2">
        <v>6.7999999999999996E-3</v>
      </c>
      <c r="E5556" s="2">
        <v>1.6388000000000001E-4</v>
      </c>
      <c r="F5556" s="2" t="s">
        <v>7</v>
      </c>
    </row>
    <row r="5557" spans="1:6" ht="22.5" hidden="1" customHeight="1" x14ac:dyDescent="0.25">
      <c r="A5557" s="3">
        <v>44317</v>
      </c>
      <c r="B5557" s="2" t="s">
        <v>57</v>
      </c>
      <c r="C5557" s="2">
        <v>4.58</v>
      </c>
      <c r="D5557" s="2">
        <v>2.98E-2</v>
      </c>
      <c r="E5557" s="2">
        <v>1.36484E-3</v>
      </c>
      <c r="F5557" s="2" t="s">
        <v>7</v>
      </c>
    </row>
    <row r="5558" spans="1:6" ht="22.5" hidden="1" customHeight="1" x14ac:dyDescent="0.25">
      <c r="A5558" s="3">
        <v>44317</v>
      </c>
      <c r="B5558" s="2" t="s">
        <v>58</v>
      </c>
      <c r="C5558" s="2">
        <v>-2.36</v>
      </c>
      <c r="D5558" s="2">
        <v>1.6899999999999998E-2</v>
      </c>
      <c r="E5558" s="2">
        <v>-3.9884000000000002E-4</v>
      </c>
      <c r="F5558" s="2" t="s">
        <v>7</v>
      </c>
    </row>
    <row r="5559" spans="1:6" ht="22.5" hidden="1" customHeight="1" x14ac:dyDescent="0.25">
      <c r="A5559" s="3">
        <v>44317</v>
      </c>
      <c r="B5559" s="2" t="s">
        <v>59</v>
      </c>
      <c r="C5559" s="2">
        <v>-0.2</v>
      </c>
      <c r="D5559" s="2">
        <v>2.1499999999999998E-2</v>
      </c>
      <c r="E5559" s="2">
        <v>-4.3000000000000002E-5</v>
      </c>
      <c r="F5559" s="2" t="s">
        <v>7</v>
      </c>
    </row>
    <row r="5560" spans="1:6" ht="22.5" hidden="1" customHeight="1" x14ac:dyDescent="0.25">
      <c r="A5560" s="3">
        <v>44317</v>
      </c>
      <c r="B5560" s="2" t="s">
        <v>60</v>
      </c>
      <c r="C5560" s="2">
        <v>-7.3</v>
      </c>
      <c r="D5560" s="2">
        <v>3.4500000000000003E-2</v>
      </c>
      <c r="E5560" s="2">
        <v>-2.5184999999999999E-3</v>
      </c>
      <c r="F5560" s="2" t="s">
        <v>7</v>
      </c>
    </row>
    <row r="5561" spans="1:6" ht="22.5" hidden="1" customHeight="1" x14ac:dyDescent="0.25">
      <c r="A5561" s="3">
        <v>44317</v>
      </c>
      <c r="B5561" s="2" t="s">
        <v>61</v>
      </c>
      <c r="C5561" s="2">
        <v>-2.29</v>
      </c>
      <c r="D5561" s="2">
        <v>7.4300000000000005E-2</v>
      </c>
      <c r="E5561" s="2">
        <v>-1.7014700000000001E-3</v>
      </c>
      <c r="F5561" s="2" t="s">
        <v>7</v>
      </c>
    </row>
    <row r="5562" spans="1:6" ht="22.5" hidden="1" customHeight="1" x14ac:dyDescent="0.25">
      <c r="A5562" s="3">
        <v>44317</v>
      </c>
      <c r="B5562" s="2" t="s">
        <v>62</v>
      </c>
      <c r="C5562" s="2">
        <v>1.27</v>
      </c>
      <c r="D5562" s="2">
        <v>9.5399999999999999E-2</v>
      </c>
      <c r="E5562" s="2">
        <v>1.2115800000000001E-3</v>
      </c>
      <c r="F5562" s="2" t="s">
        <v>7</v>
      </c>
    </row>
    <row r="5563" spans="1:6" ht="22.5" hidden="1" customHeight="1" x14ac:dyDescent="0.25">
      <c r="A5563" s="3">
        <v>44317</v>
      </c>
      <c r="B5563" s="2" t="s">
        <v>63</v>
      </c>
      <c r="C5563" s="2">
        <v>4.99</v>
      </c>
      <c r="D5563" s="2">
        <v>7.4999999999999997E-3</v>
      </c>
      <c r="E5563" s="2">
        <v>3.7425000000000002E-4</v>
      </c>
      <c r="F5563" s="2" t="s">
        <v>7</v>
      </c>
    </row>
    <row r="5564" spans="1:6" ht="22.5" hidden="1" customHeight="1" x14ac:dyDescent="0.25">
      <c r="A5564" s="3">
        <v>44317</v>
      </c>
      <c r="B5564" s="2" t="s">
        <v>64</v>
      </c>
      <c r="C5564" s="2">
        <v>1.52</v>
      </c>
      <c r="D5564" s="2">
        <v>4.1000000000000003E-3</v>
      </c>
      <c r="E5564" s="2">
        <v>6.232E-5</v>
      </c>
      <c r="F5564" s="2" t="s">
        <v>7</v>
      </c>
    </row>
    <row r="5565" spans="1:6" ht="22.5" hidden="1" customHeight="1" x14ac:dyDescent="0.25">
      <c r="A5565" s="3">
        <v>44317</v>
      </c>
      <c r="B5565" s="2" t="s">
        <v>65</v>
      </c>
      <c r="C5565" s="2">
        <v>3.87</v>
      </c>
      <c r="D5565" s="2">
        <v>2.0199999999999999E-2</v>
      </c>
      <c r="E5565" s="2">
        <v>7.8173999999999995E-4</v>
      </c>
      <c r="F5565" s="2" t="s">
        <v>7</v>
      </c>
    </row>
    <row r="5566" spans="1:6" ht="22.5" hidden="1" customHeight="1" x14ac:dyDescent="0.25">
      <c r="A5566" s="3">
        <v>44317</v>
      </c>
      <c r="B5566" s="2" t="s">
        <v>66</v>
      </c>
      <c r="C5566" s="2">
        <v>0.73</v>
      </c>
      <c r="D5566" s="2">
        <v>0.37619999999999998</v>
      </c>
      <c r="E5566" s="2">
        <v>2.7462599999999999E-3</v>
      </c>
      <c r="F5566" s="2" t="s">
        <v>7</v>
      </c>
    </row>
    <row r="5567" spans="1:6" ht="22.5" hidden="1" customHeight="1" x14ac:dyDescent="0.25">
      <c r="A5567" s="3">
        <v>44317</v>
      </c>
      <c r="B5567" s="2" t="s">
        <v>67</v>
      </c>
      <c r="C5567" s="2">
        <v>2.83</v>
      </c>
      <c r="D5567" s="2">
        <v>3.7000000000000002E-3</v>
      </c>
      <c r="E5567" s="2">
        <v>1.0471000000000001E-4</v>
      </c>
      <c r="F5567" s="2" t="s">
        <v>7</v>
      </c>
    </row>
    <row r="5568" spans="1:6" ht="22.5" hidden="1" customHeight="1" x14ac:dyDescent="0.25">
      <c r="A5568" s="3">
        <v>44317</v>
      </c>
      <c r="B5568" s="2" t="s">
        <v>68</v>
      </c>
      <c r="C5568" s="2">
        <v>4.68</v>
      </c>
      <c r="D5568" s="2">
        <v>1.21E-2</v>
      </c>
      <c r="E5568" s="2">
        <v>5.6627999999999995E-4</v>
      </c>
      <c r="F5568" s="2" t="s">
        <v>7</v>
      </c>
    </row>
    <row r="5569" spans="1:6" ht="22.5" hidden="1" customHeight="1" x14ac:dyDescent="0.25">
      <c r="A5569" s="3">
        <v>44317</v>
      </c>
      <c r="B5569" s="2" t="s">
        <v>69</v>
      </c>
      <c r="C5569" s="2">
        <v>0.25</v>
      </c>
      <c r="D5569" s="2">
        <v>0.49419999999999997</v>
      </c>
      <c r="E5569" s="2">
        <v>1.2355000000000001E-3</v>
      </c>
      <c r="F5569" s="2" t="s">
        <v>7</v>
      </c>
    </row>
    <row r="5570" spans="1:6" ht="22.5" hidden="1" customHeight="1" x14ac:dyDescent="0.25">
      <c r="A5570" s="3">
        <v>44317</v>
      </c>
      <c r="B5570" s="2" t="s">
        <v>70</v>
      </c>
      <c r="C5570" s="2">
        <v>1.39</v>
      </c>
      <c r="D5570" s="2">
        <v>2.6499999999999999E-2</v>
      </c>
      <c r="E5570" s="2">
        <v>3.6834999999999998E-4</v>
      </c>
      <c r="F5570" s="2" t="s">
        <v>7</v>
      </c>
    </row>
    <row r="5571" spans="1:6" ht="22.5" hidden="1" customHeight="1" x14ac:dyDescent="0.25">
      <c r="A5571" s="3">
        <v>44317</v>
      </c>
      <c r="B5571" s="2" t="s">
        <v>71</v>
      </c>
      <c r="C5571" s="2">
        <v>3.15</v>
      </c>
      <c r="D5571" s="2">
        <v>0.34339999999999998</v>
      </c>
      <c r="E5571" s="2">
        <v>1.08171E-2</v>
      </c>
      <c r="F5571" s="2" t="s">
        <v>7</v>
      </c>
    </row>
    <row r="5572" spans="1:6" ht="22.5" hidden="1" customHeight="1" x14ac:dyDescent="0.25">
      <c r="A5572" s="3">
        <v>44317</v>
      </c>
      <c r="B5572" s="2" t="s">
        <v>72</v>
      </c>
      <c r="C5572" s="2">
        <v>0.55000000000000004</v>
      </c>
      <c r="D5572" s="2">
        <v>0.37109999999999999</v>
      </c>
      <c r="E5572" s="2">
        <v>2.04105E-3</v>
      </c>
      <c r="F5572" s="2" t="s">
        <v>7</v>
      </c>
    </row>
    <row r="5573" spans="1:6" ht="22.5" hidden="1" customHeight="1" x14ac:dyDescent="0.25">
      <c r="A5573" s="3">
        <v>44317</v>
      </c>
      <c r="B5573" s="2" t="s">
        <v>73</v>
      </c>
      <c r="C5573" s="2">
        <v>3.08</v>
      </c>
      <c r="D5573" s="2">
        <v>0.18479999999999999</v>
      </c>
      <c r="E5573" s="2">
        <v>5.6918400000000001E-3</v>
      </c>
      <c r="F5573" s="2" t="s">
        <v>7</v>
      </c>
    </row>
    <row r="5574" spans="1:6" ht="22.5" hidden="1" customHeight="1" x14ac:dyDescent="0.25">
      <c r="A5574" s="3">
        <v>44317</v>
      </c>
      <c r="B5574" s="2" t="s">
        <v>74</v>
      </c>
      <c r="C5574" s="2">
        <v>1.73</v>
      </c>
      <c r="D5574" s="2">
        <v>9.7000000000000003E-3</v>
      </c>
      <c r="E5574" s="2">
        <v>1.6781000000000001E-4</v>
      </c>
      <c r="F5574" s="2" t="s">
        <v>7</v>
      </c>
    </row>
    <row r="5575" spans="1:6" ht="22.5" hidden="1" customHeight="1" x14ac:dyDescent="0.25">
      <c r="A5575" s="3">
        <v>44317</v>
      </c>
      <c r="B5575" s="2" t="s">
        <v>75</v>
      </c>
      <c r="C5575" s="2">
        <v>2.37</v>
      </c>
      <c r="D5575" s="2">
        <v>8.09E-2</v>
      </c>
      <c r="E5575" s="2">
        <v>1.9173300000000001E-3</v>
      </c>
      <c r="F5575" s="2" t="s">
        <v>7</v>
      </c>
    </row>
    <row r="5576" spans="1:6" ht="22.5" hidden="1" customHeight="1" x14ac:dyDescent="0.25">
      <c r="A5576" s="3">
        <v>44317</v>
      </c>
      <c r="B5576" s="2" t="s">
        <v>76</v>
      </c>
      <c r="C5576" s="2">
        <v>2.59</v>
      </c>
      <c r="D5576" s="2">
        <v>0.17119999999999999</v>
      </c>
      <c r="E5576" s="2">
        <v>4.43408E-3</v>
      </c>
      <c r="F5576" s="2" t="s">
        <v>7</v>
      </c>
    </row>
    <row r="5577" spans="1:6" ht="22.5" hidden="1" customHeight="1" x14ac:dyDescent="0.25">
      <c r="A5577" s="3">
        <v>44317</v>
      </c>
      <c r="B5577" s="2" t="s">
        <v>77</v>
      </c>
      <c r="C5577" s="2">
        <v>1.86</v>
      </c>
      <c r="D5577" s="2">
        <v>0.11700000000000001</v>
      </c>
      <c r="E5577" s="2">
        <v>2.1762000000000001E-3</v>
      </c>
      <c r="F5577" s="2" t="s">
        <v>7</v>
      </c>
    </row>
    <row r="5578" spans="1:6" ht="22.5" hidden="1" customHeight="1" x14ac:dyDescent="0.25">
      <c r="A5578" s="3">
        <v>44317</v>
      </c>
      <c r="B5578" s="2" t="s">
        <v>78</v>
      </c>
      <c r="C5578" s="2">
        <v>2.66</v>
      </c>
      <c r="D5578" s="2">
        <v>0.31159999999999999</v>
      </c>
      <c r="E5578" s="2">
        <v>8.2885600000000004E-3</v>
      </c>
      <c r="F5578" s="2" t="s">
        <v>7</v>
      </c>
    </row>
    <row r="5579" spans="1:6" ht="22.5" hidden="1" customHeight="1" x14ac:dyDescent="0.25">
      <c r="A5579" s="3">
        <v>44317</v>
      </c>
      <c r="B5579" s="2" t="s">
        <v>79</v>
      </c>
      <c r="C5579" s="2">
        <v>1.73</v>
      </c>
      <c r="D5579" s="2">
        <v>1.17E-2</v>
      </c>
      <c r="E5579" s="2">
        <v>2.0241000000000001E-4</v>
      </c>
      <c r="F5579" s="2" t="s">
        <v>7</v>
      </c>
    </row>
    <row r="5580" spans="1:6" ht="22.5" hidden="1" customHeight="1" x14ac:dyDescent="0.25">
      <c r="A5580" s="3">
        <v>44317</v>
      </c>
      <c r="B5580" s="2" t="s">
        <v>80</v>
      </c>
      <c r="C5580" s="2">
        <v>-0.03</v>
      </c>
      <c r="D5580" s="2">
        <v>0.04</v>
      </c>
      <c r="E5580" s="2">
        <v>-1.2E-5</v>
      </c>
      <c r="F5580" s="2" t="s">
        <v>7</v>
      </c>
    </row>
    <row r="5581" spans="1:6" ht="22.5" hidden="1" customHeight="1" x14ac:dyDescent="0.25">
      <c r="A5581" s="3">
        <v>44317</v>
      </c>
      <c r="B5581" s="2" t="s">
        <v>81</v>
      </c>
      <c r="C5581" s="2">
        <v>2.9</v>
      </c>
      <c r="D5581" s="2">
        <v>0.37869999999999998</v>
      </c>
      <c r="E5581" s="2">
        <v>1.09823E-2</v>
      </c>
      <c r="F5581" s="2" t="s">
        <v>7</v>
      </c>
    </row>
    <row r="5582" spans="1:6" ht="22.5" hidden="1" customHeight="1" x14ac:dyDescent="0.25">
      <c r="A5582" s="3">
        <v>44317</v>
      </c>
      <c r="B5582" s="2" t="s">
        <v>82</v>
      </c>
      <c r="C5582" s="2">
        <v>1.05</v>
      </c>
      <c r="D5582" s="2">
        <v>4.6399999999999997E-2</v>
      </c>
      <c r="E5582" s="2">
        <v>4.8720000000000002E-4</v>
      </c>
      <c r="F5582" s="2" t="s">
        <v>7</v>
      </c>
    </row>
    <row r="5583" spans="1:6" ht="22.5" hidden="1" customHeight="1" x14ac:dyDescent="0.25">
      <c r="A5583" s="3">
        <v>44317</v>
      </c>
      <c r="B5583" s="2" t="s">
        <v>83</v>
      </c>
      <c r="C5583" s="2">
        <v>0.21</v>
      </c>
      <c r="D5583" s="2">
        <v>6.9999999999999999E-4</v>
      </c>
      <c r="E5583" s="2">
        <v>1.4699999999999999E-6</v>
      </c>
      <c r="F5583" s="2" t="s">
        <v>7</v>
      </c>
    </row>
    <row r="5584" spans="1:6" ht="22.5" hidden="1" customHeight="1" x14ac:dyDescent="0.25">
      <c r="A5584" s="3">
        <v>44317</v>
      </c>
      <c r="B5584" s="2" t="s">
        <v>84</v>
      </c>
      <c r="C5584" s="2">
        <v>-2</v>
      </c>
      <c r="D5584" s="2">
        <v>2.3E-2</v>
      </c>
      <c r="E5584" s="2">
        <v>-4.6000000000000001E-4</v>
      </c>
      <c r="F5584" s="2" t="s">
        <v>7</v>
      </c>
    </row>
    <row r="5585" spans="1:6" ht="22.5" hidden="1" customHeight="1" x14ac:dyDescent="0.25">
      <c r="A5585" s="3">
        <v>44317</v>
      </c>
      <c r="B5585" s="2" t="s">
        <v>85</v>
      </c>
      <c r="C5585" s="2">
        <v>-1.28</v>
      </c>
      <c r="D5585" s="2">
        <v>5.4999999999999997E-3</v>
      </c>
      <c r="E5585" s="2">
        <v>-7.0400000000000004E-5</v>
      </c>
      <c r="F5585" s="2" t="s">
        <v>7</v>
      </c>
    </row>
    <row r="5586" spans="1:6" ht="22.5" hidden="1" customHeight="1" x14ac:dyDescent="0.25">
      <c r="A5586" s="3">
        <v>44317</v>
      </c>
      <c r="B5586" s="2" t="s">
        <v>86</v>
      </c>
      <c r="C5586" s="2">
        <v>-1.39</v>
      </c>
      <c r="D5586" s="2">
        <v>2.46E-2</v>
      </c>
      <c r="E5586" s="2">
        <v>-3.4194E-4</v>
      </c>
      <c r="F5586" s="2" t="s">
        <v>7</v>
      </c>
    </row>
    <row r="5587" spans="1:6" ht="22.5" hidden="1" customHeight="1" x14ac:dyDescent="0.25">
      <c r="A5587" s="3">
        <v>44317</v>
      </c>
      <c r="B5587" s="2" t="s">
        <v>87</v>
      </c>
      <c r="C5587" s="2">
        <v>-0.62</v>
      </c>
      <c r="D5587" s="2">
        <v>1.1000000000000001E-3</v>
      </c>
      <c r="E5587" s="2">
        <v>-6.8199999999999999E-6</v>
      </c>
      <c r="F5587" s="2" t="s">
        <v>7</v>
      </c>
    </row>
    <row r="5588" spans="1:6" ht="22.5" hidden="1" customHeight="1" x14ac:dyDescent="0.25">
      <c r="A5588" s="3">
        <v>44317</v>
      </c>
      <c r="B5588" s="2" t="s">
        <v>88</v>
      </c>
      <c r="C5588" s="2">
        <v>-0.44</v>
      </c>
      <c r="D5588" s="2">
        <v>6.7999999999999996E-3</v>
      </c>
      <c r="E5588" s="2">
        <v>-2.9920000000000002E-5</v>
      </c>
      <c r="F5588" s="2" t="s">
        <v>7</v>
      </c>
    </row>
    <row r="5589" spans="1:6" ht="22.5" hidden="1" customHeight="1" x14ac:dyDescent="0.25">
      <c r="A5589" s="3">
        <v>44317</v>
      </c>
      <c r="B5589" s="2" t="s">
        <v>89</v>
      </c>
      <c r="C5589" s="2">
        <v>-0.87</v>
      </c>
      <c r="D5589" s="2">
        <v>1.77E-2</v>
      </c>
      <c r="E5589" s="2">
        <v>-1.5399000000000001E-4</v>
      </c>
      <c r="F5589" s="2" t="s">
        <v>7</v>
      </c>
    </row>
    <row r="5590" spans="1:6" ht="22.5" hidden="1" customHeight="1" x14ac:dyDescent="0.25">
      <c r="A5590" s="3">
        <v>44317</v>
      </c>
      <c r="B5590" s="2" t="s">
        <v>90</v>
      </c>
      <c r="C5590" s="2">
        <v>-1.93</v>
      </c>
      <c r="D5590" s="2">
        <v>1.6999999999999999E-3</v>
      </c>
      <c r="E5590" s="2">
        <v>-3.2809999999999999E-5</v>
      </c>
      <c r="F5590" s="2" t="s">
        <v>7</v>
      </c>
    </row>
    <row r="5591" spans="1:6" ht="22.5" hidden="1" customHeight="1" x14ac:dyDescent="0.25">
      <c r="A5591" s="3">
        <v>44317</v>
      </c>
      <c r="B5591" s="2" t="s">
        <v>91</v>
      </c>
      <c r="C5591" s="2">
        <v>-0.03</v>
      </c>
      <c r="D5591" s="2">
        <v>2.5000000000000001E-2</v>
      </c>
      <c r="E5591" s="2">
        <v>-7.5000000000000002E-6</v>
      </c>
      <c r="F5591" s="2" t="s">
        <v>7</v>
      </c>
    </row>
    <row r="5592" spans="1:6" ht="22.5" hidden="1" customHeight="1" x14ac:dyDescent="0.25">
      <c r="A5592" s="3">
        <v>44317</v>
      </c>
      <c r="B5592" s="2" t="s">
        <v>92</v>
      </c>
      <c r="C5592" s="2">
        <v>0</v>
      </c>
      <c r="D5592" s="2">
        <v>5.1999999999999998E-3</v>
      </c>
      <c r="E5592" s="2">
        <v>0</v>
      </c>
      <c r="F5592" s="2" t="s">
        <v>7</v>
      </c>
    </row>
    <row r="5593" spans="1:6" ht="22.5" hidden="1" customHeight="1" x14ac:dyDescent="0.25">
      <c r="A5593" s="3">
        <v>44317</v>
      </c>
      <c r="B5593" s="2" t="s">
        <v>93</v>
      </c>
      <c r="C5593" s="2">
        <v>0.21</v>
      </c>
      <c r="D5593" s="2">
        <v>1.1000000000000001E-3</v>
      </c>
      <c r="E5593" s="2">
        <v>2.3099999999999999E-6</v>
      </c>
      <c r="F5593" s="2" t="s">
        <v>7</v>
      </c>
    </row>
    <row r="5594" spans="1:6" ht="22.5" hidden="1" customHeight="1" x14ac:dyDescent="0.25">
      <c r="A5594" s="3">
        <v>44317</v>
      </c>
      <c r="B5594" s="2" t="s">
        <v>94</v>
      </c>
      <c r="C5594" s="2">
        <v>0.26</v>
      </c>
      <c r="D5594" s="2">
        <v>1E-3</v>
      </c>
      <c r="E5594" s="2">
        <v>2.6000000000000001E-6</v>
      </c>
      <c r="F5594" s="2" t="s">
        <v>7</v>
      </c>
    </row>
    <row r="5595" spans="1:6" ht="22.5" hidden="1" customHeight="1" x14ac:dyDescent="0.25">
      <c r="A5595" s="3">
        <v>44317</v>
      </c>
      <c r="B5595" s="2" t="s">
        <v>95</v>
      </c>
      <c r="C5595" s="2">
        <v>-0.05</v>
      </c>
      <c r="D5595" s="2">
        <v>1.6299999999999999E-2</v>
      </c>
      <c r="E5595" s="2">
        <v>-8.1499999999999999E-6</v>
      </c>
      <c r="F5595" s="2" t="s">
        <v>7</v>
      </c>
    </row>
    <row r="5596" spans="1:6" ht="22.5" hidden="1" customHeight="1" x14ac:dyDescent="0.25">
      <c r="A5596" s="3">
        <v>44317</v>
      </c>
      <c r="B5596" s="2" t="s">
        <v>96</v>
      </c>
      <c r="C5596" s="2">
        <v>0.5</v>
      </c>
      <c r="D5596" s="2">
        <v>4.87E-2</v>
      </c>
      <c r="E5596" s="2">
        <v>2.4350000000000001E-4</v>
      </c>
      <c r="F5596" s="2" t="s">
        <v>7</v>
      </c>
    </row>
    <row r="5597" spans="1:6" ht="22.5" hidden="1" customHeight="1" x14ac:dyDescent="0.25">
      <c r="A5597" s="3">
        <v>44317</v>
      </c>
      <c r="B5597" s="2" t="s">
        <v>97</v>
      </c>
      <c r="C5597" s="2">
        <v>-0.37</v>
      </c>
      <c r="D5597" s="2">
        <v>1.06E-2</v>
      </c>
      <c r="E5597" s="2">
        <v>-3.9220000000000001E-5</v>
      </c>
      <c r="F5597" s="2" t="s">
        <v>7</v>
      </c>
    </row>
    <row r="5598" spans="1:6" ht="22.5" hidden="1" customHeight="1" x14ac:dyDescent="0.25">
      <c r="A5598" s="3">
        <v>44317</v>
      </c>
      <c r="B5598" s="2" t="s">
        <v>98</v>
      </c>
      <c r="C5598" s="2">
        <v>0.6</v>
      </c>
      <c r="D5598" s="2">
        <v>6.1000000000000004E-3</v>
      </c>
      <c r="E5598" s="2">
        <v>3.6600000000000002E-5</v>
      </c>
      <c r="F5598" s="2" t="s">
        <v>7</v>
      </c>
    </row>
    <row r="5599" spans="1:6" ht="22.5" hidden="1" customHeight="1" x14ac:dyDescent="0.25">
      <c r="A5599" s="3">
        <v>44317</v>
      </c>
      <c r="B5599" s="2" t="s">
        <v>99</v>
      </c>
      <c r="C5599" s="2">
        <v>-0.39</v>
      </c>
      <c r="D5599" s="2">
        <v>3.5000000000000001E-3</v>
      </c>
      <c r="E5599" s="2">
        <v>-1.365E-5</v>
      </c>
      <c r="F5599" s="2" t="s">
        <v>7</v>
      </c>
    </row>
    <row r="5600" spans="1:6" ht="22.5" hidden="1" customHeight="1" x14ac:dyDescent="0.25">
      <c r="A5600" s="3">
        <v>44317</v>
      </c>
      <c r="B5600" s="2" t="s">
        <v>100</v>
      </c>
      <c r="C5600" s="2">
        <v>0.24</v>
      </c>
      <c r="D5600" s="2">
        <v>6.9999999999999999E-4</v>
      </c>
      <c r="E5600" s="2">
        <v>1.68E-6</v>
      </c>
      <c r="F5600" s="2" t="s">
        <v>7</v>
      </c>
    </row>
    <row r="5601" spans="1:6" ht="22.5" hidden="1" customHeight="1" x14ac:dyDescent="0.25">
      <c r="A5601" s="3">
        <v>44317</v>
      </c>
      <c r="B5601" s="2" t="s">
        <v>101</v>
      </c>
      <c r="C5601" s="2">
        <v>1.37</v>
      </c>
      <c r="D5601" s="2">
        <v>9.9299999999999999E-2</v>
      </c>
      <c r="E5601" s="2">
        <v>1.36041E-3</v>
      </c>
      <c r="F5601" s="2" t="s">
        <v>7</v>
      </c>
    </row>
    <row r="5602" spans="1:6" ht="22.5" hidden="1" customHeight="1" x14ac:dyDescent="0.25">
      <c r="A5602" s="3">
        <v>44317</v>
      </c>
      <c r="B5602" s="2" t="s">
        <v>102</v>
      </c>
      <c r="C5602" s="2">
        <v>-0.37</v>
      </c>
      <c r="D5602" s="2">
        <v>4.6699999999999998E-2</v>
      </c>
      <c r="E5602" s="2">
        <v>-1.7279E-4</v>
      </c>
      <c r="F5602" s="2" t="s">
        <v>7</v>
      </c>
    </row>
    <row r="5603" spans="1:6" ht="22.5" hidden="1" customHeight="1" x14ac:dyDescent="0.25">
      <c r="A5603" s="3">
        <v>44317</v>
      </c>
      <c r="B5603" s="2" t="s">
        <v>103</v>
      </c>
      <c r="C5603" s="2">
        <v>0.34</v>
      </c>
      <c r="D5603" s="2">
        <v>0.36020000000000002</v>
      </c>
      <c r="E5603" s="2">
        <v>1.2246799999999999E-3</v>
      </c>
      <c r="F5603" s="2" t="s">
        <v>7</v>
      </c>
    </row>
    <row r="5604" spans="1:6" ht="22.5" hidden="1" customHeight="1" x14ac:dyDescent="0.25">
      <c r="A5604" s="3">
        <v>44317</v>
      </c>
      <c r="B5604" s="2" t="s">
        <v>104</v>
      </c>
      <c r="C5604" s="2">
        <v>0.37</v>
      </c>
      <c r="D5604" s="2">
        <v>5.4100000000000002E-2</v>
      </c>
      <c r="E5604" s="2">
        <v>2.0017E-4</v>
      </c>
      <c r="F5604" s="2" t="s">
        <v>7</v>
      </c>
    </row>
    <row r="5605" spans="1:6" ht="22.5" hidden="1" customHeight="1" x14ac:dyDescent="0.25">
      <c r="A5605" s="3">
        <v>44317</v>
      </c>
      <c r="B5605" s="2" t="s">
        <v>105</v>
      </c>
      <c r="C5605" s="2">
        <v>-2.99</v>
      </c>
      <c r="D5605" s="2">
        <v>9.2999999999999992E-3</v>
      </c>
      <c r="E5605" s="2">
        <v>-2.7807E-4</v>
      </c>
      <c r="F5605" s="2" t="s">
        <v>7</v>
      </c>
    </row>
    <row r="5606" spans="1:6" ht="22.5" hidden="1" customHeight="1" x14ac:dyDescent="0.25">
      <c r="A5606" s="3">
        <v>44317</v>
      </c>
      <c r="B5606" s="2" t="s">
        <v>106</v>
      </c>
      <c r="C5606" s="2">
        <v>-0.78</v>
      </c>
      <c r="D5606" s="2">
        <v>8.5000000000000006E-3</v>
      </c>
      <c r="E5606" s="2">
        <v>-6.6299999999999999E-5</v>
      </c>
      <c r="F5606" s="2" t="s">
        <v>7</v>
      </c>
    </row>
    <row r="5607" spans="1:6" ht="22.5" hidden="1" customHeight="1" x14ac:dyDescent="0.25">
      <c r="A5607" s="3">
        <v>44317</v>
      </c>
      <c r="B5607" s="2" t="s">
        <v>107</v>
      </c>
      <c r="C5607" s="2">
        <v>0.84</v>
      </c>
      <c r="D5607" s="2">
        <v>0.1182</v>
      </c>
      <c r="E5607" s="2">
        <v>9.9288000000000002E-4</v>
      </c>
      <c r="F5607" s="2" t="s">
        <v>7</v>
      </c>
    </row>
    <row r="5608" spans="1:6" ht="22.5" hidden="1" customHeight="1" x14ac:dyDescent="0.25">
      <c r="A5608" s="3">
        <v>44317</v>
      </c>
      <c r="B5608" s="2" t="s">
        <v>108</v>
      </c>
      <c r="C5608" s="2">
        <v>1.73</v>
      </c>
      <c r="D5608" s="2">
        <v>7.7000000000000002E-3</v>
      </c>
      <c r="E5608" s="2">
        <v>1.3321000000000001E-4</v>
      </c>
      <c r="F5608" s="2" t="s">
        <v>7</v>
      </c>
    </row>
    <row r="5609" spans="1:6" ht="22.5" hidden="1" customHeight="1" x14ac:dyDescent="0.25">
      <c r="A5609" s="3">
        <v>44317</v>
      </c>
      <c r="B5609" s="2" t="s">
        <v>109</v>
      </c>
      <c r="C5609" s="2">
        <v>1.49</v>
      </c>
      <c r="D5609" s="2">
        <v>0.35270000000000001</v>
      </c>
      <c r="E5609" s="2">
        <v>5.2552299999999996E-3</v>
      </c>
      <c r="F5609" s="2" t="s">
        <v>7</v>
      </c>
    </row>
    <row r="5610" spans="1:6" ht="22.5" hidden="1" customHeight="1" x14ac:dyDescent="0.25">
      <c r="A5610" s="3">
        <v>44317</v>
      </c>
      <c r="B5610" s="2" t="s">
        <v>110</v>
      </c>
      <c r="C5610" s="2">
        <v>1.22</v>
      </c>
      <c r="D5610" s="2">
        <v>0.60970000000000002</v>
      </c>
      <c r="E5610" s="2">
        <v>7.4383399999999999E-3</v>
      </c>
      <c r="F5610" s="2" t="s">
        <v>7</v>
      </c>
    </row>
    <row r="5611" spans="1:6" ht="22.5" hidden="1" customHeight="1" x14ac:dyDescent="0.25">
      <c r="A5611" s="3">
        <v>44317</v>
      </c>
      <c r="B5611" s="2" t="s">
        <v>111</v>
      </c>
      <c r="C5611" s="2">
        <v>1.5</v>
      </c>
      <c r="D5611" s="2">
        <v>0.24579999999999999</v>
      </c>
      <c r="E5611" s="2">
        <v>3.6870000000000002E-3</v>
      </c>
      <c r="F5611" s="2" t="s">
        <v>7</v>
      </c>
    </row>
    <row r="5612" spans="1:6" ht="22.5" hidden="1" customHeight="1" x14ac:dyDescent="0.25">
      <c r="A5612" s="3">
        <v>44317</v>
      </c>
      <c r="B5612" s="2" t="s">
        <v>112</v>
      </c>
      <c r="C5612" s="2">
        <v>-0.05</v>
      </c>
      <c r="D5612" s="2">
        <v>0.69540000000000002</v>
      </c>
      <c r="E5612" s="2">
        <v>-3.4769999999999999E-4</v>
      </c>
      <c r="F5612" s="2" t="s">
        <v>7</v>
      </c>
    </row>
    <row r="5613" spans="1:6" ht="22.5" hidden="1" customHeight="1" x14ac:dyDescent="0.25">
      <c r="A5613" s="3">
        <v>44317</v>
      </c>
      <c r="B5613" s="2" t="s">
        <v>113</v>
      </c>
      <c r="C5613" s="2">
        <v>0.53</v>
      </c>
      <c r="D5613" s="2">
        <v>2.18E-2</v>
      </c>
      <c r="E5613" s="2">
        <v>1.1553999999999999E-4</v>
      </c>
      <c r="F5613" s="2" t="s">
        <v>7</v>
      </c>
    </row>
    <row r="5614" spans="1:6" ht="22.5" hidden="1" customHeight="1" x14ac:dyDescent="0.25">
      <c r="A5614" s="3">
        <v>44317</v>
      </c>
      <c r="B5614" s="2" t="s">
        <v>114</v>
      </c>
      <c r="C5614" s="2">
        <v>1.81</v>
      </c>
      <c r="D5614" s="2">
        <v>0.19980000000000001</v>
      </c>
      <c r="E5614" s="2">
        <v>3.6163800000000002E-3</v>
      </c>
      <c r="F5614" s="2" t="s">
        <v>7</v>
      </c>
    </row>
    <row r="5615" spans="1:6" ht="22.5" hidden="1" customHeight="1" x14ac:dyDescent="0.25">
      <c r="A5615" s="3">
        <v>44317</v>
      </c>
      <c r="B5615" s="2" t="s">
        <v>115</v>
      </c>
      <c r="C5615" s="2">
        <v>-0.89</v>
      </c>
      <c r="D5615" s="2">
        <v>0.53369999999999995</v>
      </c>
      <c r="E5615" s="2">
        <v>-4.7499300000000003E-3</v>
      </c>
      <c r="F5615" s="2" t="s">
        <v>7</v>
      </c>
    </row>
    <row r="5616" spans="1:6" ht="22.5" hidden="1" customHeight="1" x14ac:dyDescent="0.25">
      <c r="A5616" s="3">
        <v>44317</v>
      </c>
      <c r="B5616" s="2" t="s">
        <v>116</v>
      </c>
      <c r="C5616" s="2">
        <v>0.45</v>
      </c>
      <c r="D5616" s="2">
        <v>0.15129999999999999</v>
      </c>
      <c r="E5616" s="2">
        <v>6.8084999999999999E-4</v>
      </c>
      <c r="F5616" s="2" t="s">
        <v>7</v>
      </c>
    </row>
    <row r="5617" spans="1:6" ht="22.5" hidden="1" customHeight="1" x14ac:dyDescent="0.25">
      <c r="A5617" s="3">
        <v>44317</v>
      </c>
      <c r="B5617" s="2" t="s">
        <v>117</v>
      </c>
      <c r="C5617" s="2">
        <v>2.66</v>
      </c>
      <c r="D5617" s="2">
        <v>5.4199999999999998E-2</v>
      </c>
      <c r="E5617" s="2">
        <v>1.4417200000000001E-3</v>
      </c>
      <c r="F5617" s="2" t="s">
        <v>7</v>
      </c>
    </row>
    <row r="5618" spans="1:6" ht="22.5" hidden="1" customHeight="1" x14ac:dyDescent="0.25">
      <c r="A5618" s="3">
        <v>44317</v>
      </c>
      <c r="B5618" s="2" t="s">
        <v>118</v>
      </c>
      <c r="C5618" s="2">
        <v>0.46</v>
      </c>
      <c r="D5618" s="2">
        <v>6.2899999999999998E-2</v>
      </c>
      <c r="E5618" s="2">
        <v>2.8934000000000002E-4</v>
      </c>
      <c r="F5618" s="2" t="s">
        <v>7</v>
      </c>
    </row>
    <row r="5619" spans="1:6" ht="22.5" hidden="1" customHeight="1" x14ac:dyDescent="0.25">
      <c r="A5619" s="3">
        <v>44317</v>
      </c>
      <c r="B5619" s="2" t="s">
        <v>119</v>
      </c>
      <c r="C5619" s="2">
        <v>1.1299999999999999</v>
      </c>
      <c r="D5619" s="2">
        <v>1.0999999999999999E-2</v>
      </c>
      <c r="E5619" s="2">
        <v>1.2430000000000001E-4</v>
      </c>
      <c r="F5619" s="2" t="s">
        <v>7</v>
      </c>
    </row>
    <row r="5620" spans="1:6" ht="22.5" hidden="1" customHeight="1" x14ac:dyDescent="0.25">
      <c r="A5620" s="3">
        <v>44317</v>
      </c>
      <c r="B5620" s="2" t="s">
        <v>120</v>
      </c>
      <c r="C5620" s="2">
        <v>1.48</v>
      </c>
      <c r="D5620" s="2">
        <v>0.44950000000000001</v>
      </c>
      <c r="E5620" s="2">
        <v>6.6525999999999998E-3</v>
      </c>
      <c r="F5620" s="2" t="s">
        <v>7</v>
      </c>
    </row>
    <row r="5621" spans="1:6" ht="22.5" hidden="1" customHeight="1" x14ac:dyDescent="0.25">
      <c r="A5621" s="3">
        <v>44317</v>
      </c>
      <c r="B5621" s="2" t="s">
        <v>121</v>
      </c>
      <c r="C5621" s="2">
        <v>7.0000000000000007E-2</v>
      </c>
      <c r="D5621" s="2">
        <v>0.79210000000000003</v>
      </c>
      <c r="E5621" s="2">
        <v>5.5447000000000005E-4</v>
      </c>
      <c r="F5621" s="2" t="s">
        <v>7</v>
      </c>
    </row>
    <row r="5622" spans="1:6" ht="22.5" hidden="1" customHeight="1" x14ac:dyDescent="0.25">
      <c r="A5622" s="3">
        <v>44317</v>
      </c>
      <c r="B5622" s="2" t="s">
        <v>122</v>
      </c>
      <c r="C5622" s="2">
        <v>0</v>
      </c>
      <c r="D5622" s="2">
        <v>8.1699999999999995E-2</v>
      </c>
      <c r="E5622" s="2">
        <v>0</v>
      </c>
      <c r="F5622" s="2" t="s">
        <v>7</v>
      </c>
    </row>
    <row r="5623" spans="1:6" ht="22.5" hidden="1" customHeight="1" x14ac:dyDescent="0.25">
      <c r="A5623" s="3">
        <v>44317</v>
      </c>
      <c r="B5623" s="2" t="s">
        <v>123</v>
      </c>
      <c r="C5623" s="2">
        <v>-0.4</v>
      </c>
      <c r="D5623" s="2">
        <v>9.8599999999999993E-2</v>
      </c>
      <c r="E5623" s="2">
        <v>-3.9439999999999999E-4</v>
      </c>
      <c r="F5623" s="2" t="s">
        <v>7</v>
      </c>
    </row>
    <row r="5624" spans="1:6" ht="22.5" hidden="1" customHeight="1" x14ac:dyDescent="0.25">
      <c r="A5624" s="3">
        <v>44317</v>
      </c>
      <c r="B5624" s="2" t="s">
        <v>124</v>
      </c>
      <c r="C5624" s="2">
        <v>-1.07</v>
      </c>
      <c r="D5624" s="2">
        <v>0.1348</v>
      </c>
      <c r="E5624" s="2">
        <v>-1.44236E-3</v>
      </c>
      <c r="F5624" s="2" t="s">
        <v>7</v>
      </c>
    </row>
    <row r="5625" spans="1:6" ht="22.5" hidden="1" customHeight="1" x14ac:dyDescent="0.25">
      <c r="A5625" s="3">
        <v>44317</v>
      </c>
      <c r="B5625" s="2" t="s">
        <v>125</v>
      </c>
      <c r="C5625" s="2">
        <v>0.69</v>
      </c>
      <c r="D5625" s="2">
        <v>3.27E-2</v>
      </c>
      <c r="E5625" s="2">
        <v>2.2562999999999999E-4</v>
      </c>
      <c r="F5625" s="2" t="s">
        <v>7</v>
      </c>
    </row>
    <row r="5626" spans="1:6" ht="22.5" hidden="1" customHeight="1" x14ac:dyDescent="0.25">
      <c r="A5626" s="3">
        <v>44317</v>
      </c>
      <c r="B5626" s="2" t="s">
        <v>126</v>
      </c>
      <c r="C5626" s="2">
        <v>1.84</v>
      </c>
      <c r="D5626" s="2">
        <v>0.30880000000000002</v>
      </c>
      <c r="E5626" s="2">
        <v>5.68192E-3</v>
      </c>
      <c r="F5626" s="2" t="s">
        <v>7</v>
      </c>
    </row>
    <row r="5627" spans="1:6" ht="22.5" hidden="1" customHeight="1" x14ac:dyDescent="0.25">
      <c r="A5627" s="3">
        <v>44317</v>
      </c>
      <c r="B5627" s="2" t="s">
        <v>127</v>
      </c>
      <c r="C5627" s="2">
        <v>2.94</v>
      </c>
      <c r="D5627" s="2">
        <v>6.6299999999999998E-2</v>
      </c>
      <c r="E5627" s="2">
        <v>1.94922E-3</v>
      </c>
      <c r="F5627" s="2" t="s">
        <v>7</v>
      </c>
    </row>
    <row r="5628" spans="1:6" ht="22.5" hidden="1" customHeight="1" x14ac:dyDescent="0.25">
      <c r="A5628" s="3">
        <v>44317</v>
      </c>
      <c r="B5628" s="2" t="s">
        <v>128</v>
      </c>
      <c r="C5628" s="2">
        <v>1.08</v>
      </c>
      <c r="D5628" s="2">
        <v>0.1002</v>
      </c>
      <c r="E5628" s="2">
        <v>1.08216E-3</v>
      </c>
      <c r="F5628" s="2" t="s">
        <v>7</v>
      </c>
    </row>
    <row r="5629" spans="1:6" ht="22.5" hidden="1" customHeight="1" x14ac:dyDescent="0.25">
      <c r="A5629" s="3">
        <v>44317</v>
      </c>
      <c r="B5629" s="2" t="s">
        <v>129</v>
      </c>
      <c r="C5629" s="2">
        <v>-0.11</v>
      </c>
      <c r="D5629" s="2">
        <v>0.12809999999999999</v>
      </c>
      <c r="E5629" s="2">
        <v>-1.4091E-4</v>
      </c>
      <c r="F5629" s="2" t="s">
        <v>7</v>
      </c>
    </row>
    <row r="5630" spans="1:6" ht="22.5" hidden="1" customHeight="1" x14ac:dyDescent="0.25">
      <c r="A5630" s="3">
        <v>44317</v>
      </c>
      <c r="B5630" s="2" t="s">
        <v>130</v>
      </c>
      <c r="C5630" s="2">
        <v>0.5</v>
      </c>
      <c r="D5630" s="2">
        <v>1.29E-2</v>
      </c>
      <c r="E5630" s="2">
        <v>6.4499999999999996E-5</v>
      </c>
      <c r="F5630" s="2" t="s">
        <v>7</v>
      </c>
    </row>
    <row r="5631" spans="1:6" ht="22.5" hidden="1" customHeight="1" x14ac:dyDescent="0.25">
      <c r="A5631" s="3">
        <v>44317</v>
      </c>
      <c r="B5631" s="2" t="s">
        <v>131</v>
      </c>
      <c r="C5631" s="2">
        <v>4.99</v>
      </c>
      <c r="D5631" s="2">
        <v>6.6600000000000006E-2</v>
      </c>
      <c r="E5631" s="2">
        <v>3.3233400000000001E-3</v>
      </c>
      <c r="F5631" s="2" t="s">
        <v>7</v>
      </c>
    </row>
    <row r="5632" spans="1:6" ht="22.5" hidden="1" customHeight="1" x14ac:dyDescent="0.25">
      <c r="A5632" s="3">
        <v>44317</v>
      </c>
      <c r="B5632" s="2" t="s">
        <v>132</v>
      </c>
      <c r="C5632" s="2">
        <v>0.97</v>
      </c>
      <c r="D5632" s="2">
        <v>0.29020000000000001</v>
      </c>
      <c r="E5632" s="2">
        <v>2.8149400000000002E-3</v>
      </c>
      <c r="F5632" s="2" t="s">
        <v>7</v>
      </c>
    </row>
    <row r="5633" spans="1:6" ht="22.5" hidden="1" customHeight="1" x14ac:dyDescent="0.25">
      <c r="A5633" s="3">
        <v>44317</v>
      </c>
      <c r="B5633" s="2" t="s">
        <v>133</v>
      </c>
      <c r="C5633" s="2">
        <v>0.86</v>
      </c>
      <c r="D5633" s="2">
        <v>8.8999999999999999E-3</v>
      </c>
      <c r="E5633" s="2">
        <v>7.6539999999999996E-5</v>
      </c>
      <c r="F5633" s="2" t="s">
        <v>7</v>
      </c>
    </row>
    <row r="5634" spans="1:6" ht="22.5" hidden="1" customHeight="1" x14ac:dyDescent="0.25">
      <c r="A5634" s="3">
        <v>44317</v>
      </c>
      <c r="B5634" s="2" t="s">
        <v>134</v>
      </c>
      <c r="C5634" s="2">
        <v>0.86</v>
      </c>
      <c r="D5634" s="2">
        <v>0.49490000000000001</v>
      </c>
      <c r="E5634" s="2">
        <v>4.2561400000000003E-3</v>
      </c>
      <c r="F5634" s="2" t="s">
        <v>7</v>
      </c>
    </row>
    <row r="5635" spans="1:6" ht="22.5" hidden="1" customHeight="1" x14ac:dyDescent="0.25">
      <c r="A5635" s="3">
        <v>44317</v>
      </c>
      <c r="B5635" s="2" t="s">
        <v>135</v>
      </c>
      <c r="C5635" s="2">
        <v>0.47</v>
      </c>
      <c r="D5635" s="2">
        <v>0.39910000000000001</v>
      </c>
      <c r="E5635" s="2">
        <v>1.8757699999999999E-3</v>
      </c>
      <c r="F5635" s="2" t="s">
        <v>7</v>
      </c>
    </row>
    <row r="5636" spans="1:6" ht="22.5" hidden="1" customHeight="1" x14ac:dyDescent="0.25">
      <c r="A5636" s="3">
        <v>44317</v>
      </c>
      <c r="B5636" s="2" t="s">
        <v>136</v>
      </c>
      <c r="C5636" s="2">
        <v>3.07</v>
      </c>
      <c r="D5636" s="2">
        <v>3.7999999999999999E-2</v>
      </c>
      <c r="E5636" s="2">
        <v>1.1666000000000001E-3</v>
      </c>
      <c r="F5636" s="2" t="s">
        <v>7</v>
      </c>
    </row>
    <row r="5637" spans="1:6" ht="22.5" hidden="1" customHeight="1" x14ac:dyDescent="0.25">
      <c r="A5637" s="3">
        <v>44317</v>
      </c>
      <c r="B5637" s="2" t="s">
        <v>137</v>
      </c>
      <c r="C5637" s="2">
        <v>0.76</v>
      </c>
      <c r="D5637" s="2">
        <v>6.8699999999999997E-2</v>
      </c>
      <c r="E5637" s="2">
        <v>5.2212000000000005E-4</v>
      </c>
      <c r="F5637" s="2" t="s">
        <v>7</v>
      </c>
    </row>
    <row r="5638" spans="1:6" ht="22.5" hidden="1" customHeight="1" x14ac:dyDescent="0.25">
      <c r="A5638" s="3">
        <v>44317</v>
      </c>
      <c r="B5638" s="2" t="s">
        <v>138</v>
      </c>
      <c r="C5638" s="2">
        <v>-0.4</v>
      </c>
      <c r="D5638" s="2">
        <v>4.7100000000000003E-2</v>
      </c>
      <c r="E5638" s="2">
        <v>-1.884E-4</v>
      </c>
      <c r="F5638" s="2" t="s">
        <v>7</v>
      </c>
    </row>
    <row r="5639" spans="1:6" ht="22.5" hidden="1" customHeight="1" x14ac:dyDescent="0.25">
      <c r="A5639" s="3">
        <v>44317</v>
      </c>
      <c r="B5639" s="2" t="s">
        <v>139</v>
      </c>
      <c r="C5639" s="2">
        <v>1.52</v>
      </c>
      <c r="D5639" s="2">
        <v>2.6800000000000001E-2</v>
      </c>
      <c r="E5639" s="2">
        <v>4.0736E-4</v>
      </c>
      <c r="F5639" s="2" t="s">
        <v>7</v>
      </c>
    </row>
    <row r="5640" spans="1:6" ht="22.5" hidden="1" customHeight="1" x14ac:dyDescent="0.25">
      <c r="A5640" s="3">
        <v>44317</v>
      </c>
      <c r="B5640" s="2" t="s">
        <v>140</v>
      </c>
      <c r="C5640" s="2">
        <v>4.38</v>
      </c>
      <c r="D5640" s="2">
        <v>2.3E-3</v>
      </c>
      <c r="E5640" s="2">
        <v>1.0074E-4</v>
      </c>
      <c r="F5640" s="2" t="s">
        <v>7</v>
      </c>
    </row>
    <row r="5641" spans="1:6" ht="22.5" hidden="1" customHeight="1" x14ac:dyDescent="0.25">
      <c r="A5641" s="3">
        <v>44317</v>
      </c>
      <c r="B5641" s="2" t="s">
        <v>141</v>
      </c>
      <c r="C5641" s="2">
        <v>0.21</v>
      </c>
      <c r="D5641" s="2">
        <v>0.02</v>
      </c>
      <c r="E5641" s="2">
        <v>4.1999999999999998E-5</v>
      </c>
      <c r="F5641" s="2" t="s">
        <v>7</v>
      </c>
    </row>
    <row r="5642" spans="1:6" ht="22.5" hidden="1" customHeight="1" x14ac:dyDescent="0.25">
      <c r="A5642" s="3">
        <v>44317</v>
      </c>
      <c r="B5642" s="2" t="s">
        <v>142</v>
      </c>
      <c r="C5642" s="2">
        <v>-0.18</v>
      </c>
      <c r="D5642" s="2">
        <v>4.4000000000000003E-3</v>
      </c>
      <c r="E5642" s="2">
        <v>-7.9200000000000004E-6</v>
      </c>
      <c r="F5642" s="2" t="s">
        <v>7</v>
      </c>
    </row>
    <row r="5643" spans="1:6" ht="22.5" hidden="1" customHeight="1" x14ac:dyDescent="0.25">
      <c r="A5643" s="3">
        <v>44317</v>
      </c>
      <c r="B5643" s="2" t="s">
        <v>143</v>
      </c>
      <c r="C5643" s="2">
        <v>1.95</v>
      </c>
      <c r="D5643" s="2">
        <v>4.1700000000000001E-2</v>
      </c>
      <c r="E5643" s="2">
        <v>8.1315000000000001E-4</v>
      </c>
      <c r="F5643" s="2" t="s">
        <v>7</v>
      </c>
    </row>
    <row r="5644" spans="1:6" ht="22.5" hidden="1" customHeight="1" x14ac:dyDescent="0.25">
      <c r="A5644" s="3">
        <v>44317</v>
      </c>
      <c r="B5644" s="2" t="s">
        <v>144</v>
      </c>
      <c r="C5644" s="2">
        <v>1.25</v>
      </c>
      <c r="D5644" s="2">
        <v>1.6999999999999999E-3</v>
      </c>
      <c r="E5644" s="2">
        <v>2.1250000000000002E-5</v>
      </c>
      <c r="F5644" s="2" t="s">
        <v>7</v>
      </c>
    </row>
    <row r="5645" spans="1:6" ht="22.5" hidden="1" customHeight="1" x14ac:dyDescent="0.25">
      <c r="A5645" s="3">
        <v>44317</v>
      </c>
      <c r="B5645" s="2" t="s">
        <v>145</v>
      </c>
      <c r="C5645" s="2">
        <v>0.32</v>
      </c>
      <c r="D5645" s="2">
        <v>1.5E-3</v>
      </c>
      <c r="E5645" s="2">
        <v>4.7999999999999998E-6</v>
      </c>
      <c r="F5645" s="2" t="s">
        <v>7</v>
      </c>
    </row>
    <row r="5646" spans="1:6" ht="22.5" hidden="1" customHeight="1" x14ac:dyDescent="0.25">
      <c r="A5646" s="3">
        <v>44317</v>
      </c>
      <c r="B5646" s="2" t="s">
        <v>146</v>
      </c>
      <c r="C5646" s="2">
        <v>1.07</v>
      </c>
      <c r="D5646" s="2">
        <v>3.3300000000000003E-2</v>
      </c>
      <c r="E5646" s="2">
        <v>3.5630999999999998E-4</v>
      </c>
      <c r="F5646" s="2" t="s">
        <v>7</v>
      </c>
    </row>
    <row r="5647" spans="1:6" ht="22.5" hidden="1" customHeight="1" x14ac:dyDescent="0.25">
      <c r="A5647" s="3">
        <v>44317</v>
      </c>
      <c r="B5647" s="2" t="s">
        <v>147</v>
      </c>
      <c r="C5647" s="2">
        <v>1.65</v>
      </c>
      <c r="D5647" s="2">
        <v>2.69E-2</v>
      </c>
      <c r="E5647" s="2">
        <v>4.4384999999999997E-4</v>
      </c>
      <c r="F5647" s="2" t="s">
        <v>7</v>
      </c>
    </row>
    <row r="5648" spans="1:6" ht="22.5" hidden="1" customHeight="1" x14ac:dyDescent="0.25">
      <c r="A5648" s="3">
        <v>44317</v>
      </c>
      <c r="B5648" s="2" t="s">
        <v>148</v>
      </c>
      <c r="C5648" s="2">
        <v>2.39</v>
      </c>
      <c r="D5648" s="2">
        <v>2.2800000000000001E-2</v>
      </c>
      <c r="E5648" s="2">
        <v>5.4491999999999995E-4</v>
      </c>
      <c r="F5648" s="2" t="s">
        <v>7</v>
      </c>
    </row>
    <row r="5649" spans="1:6" ht="22.5" hidden="1" customHeight="1" x14ac:dyDescent="0.25">
      <c r="A5649" s="3">
        <v>44317</v>
      </c>
      <c r="B5649" s="2" t="s">
        <v>149</v>
      </c>
      <c r="C5649" s="2">
        <v>2.85</v>
      </c>
      <c r="D5649" s="2">
        <v>2.5000000000000001E-3</v>
      </c>
      <c r="E5649" s="2">
        <v>7.1249999999999997E-5</v>
      </c>
      <c r="F5649" s="2" t="s">
        <v>7</v>
      </c>
    </row>
    <row r="5650" spans="1:6" ht="22.5" hidden="1" customHeight="1" x14ac:dyDescent="0.25">
      <c r="A5650" s="3">
        <v>44317</v>
      </c>
      <c r="B5650" s="2" t="s">
        <v>150</v>
      </c>
      <c r="C5650" s="2">
        <v>0.64</v>
      </c>
      <c r="D5650" s="2">
        <v>0.11169999999999999</v>
      </c>
      <c r="E5650" s="2">
        <v>7.1487999999999999E-4</v>
      </c>
      <c r="F5650" s="2" t="s">
        <v>7</v>
      </c>
    </row>
    <row r="5651" spans="1:6" ht="22.5" hidden="1" customHeight="1" x14ac:dyDescent="0.25">
      <c r="A5651" s="3">
        <v>44317</v>
      </c>
      <c r="B5651" s="2" t="s">
        <v>151</v>
      </c>
      <c r="C5651" s="2">
        <v>3.14</v>
      </c>
      <c r="D5651" s="2">
        <v>0.11409999999999999</v>
      </c>
      <c r="E5651" s="2">
        <v>3.5827400000000001E-3</v>
      </c>
      <c r="F5651" s="2" t="s">
        <v>7</v>
      </c>
    </row>
    <row r="5652" spans="1:6" ht="22.5" hidden="1" customHeight="1" x14ac:dyDescent="0.25">
      <c r="A5652" s="3">
        <v>44317</v>
      </c>
      <c r="B5652" s="2" t="s">
        <v>152</v>
      </c>
      <c r="C5652" s="2">
        <v>1.1599999999999999</v>
      </c>
      <c r="D5652" s="2">
        <v>3.0000000000000001E-3</v>
      </c>
      <c r="E5652" s="2">
        <v>3.4799999999999999E-5</v>
      </c>
      <c r="F5652" s="2" t="s">
        <v>7</v>
      </c>
    </row>
    <row r="5653" spans="1:6" ht="22.5" hidden="1" customHeight="1" x14ac:dyDescent="0.25">
      <c r="A5653" s="3">
        <v>44317</v>
      </c>
      <c r="B5653" s="2" t="s">
        <v>153</v>
      </c>
      <c r="C5653" s="2">
        <v>0.19</v>
      </c>
      <c r="D5653" s="2">
        <v>8.9999999999999998E-4</v>
      </c>
      <c r="E5653" s="2">
        <v>1.7099999999999999E-6</v>
      </c>
      <c r="F5653" s="2" t="s">
        <v>7</v>
      </c>
    </row>
    <row r="5654" spans="1:6" ht="22.5" hidden="1" customHeight="1" x14ac:dyDescent="0.25">
      <c r="A5654" s="3">
        <v>44317</v>
      </c>
      <c r="B5654" s="2" t="s">
        <v>154</v>
      </c>
      <c r="C5654" s="2">
        <v>1.66</v>
      </c>
      <c r="D5654" s="2">
        <v>1E-3</v>
      </c>
      <c r="E5654" s="2">
        <v>1.66E-5</v>
      </c>
      <c r="F5654" s="2" t="s">
        <v>7</v>
      </c>
    </row>
    <row r="5655" spans="1:6" ht="22.5" hidden="1" customHeight="1" x14ac:dyDescent="0.25">
      <c r="A5655" s="3">
        <v>44317</v>
      </c>
      <c r="B5655" s="2" t="s">
        <v>155</v>
      </c>
      <c r="C5655" s="2">
        <v>-0.02</v>
      </c>
      <c r="D5655" s="2">
        <v>5.8999999999999999E-3</v>
      </c>
      <c r="E5655" s="2">
        <v>-1.1799999999999999E-6</v>
      </c>
      <c r="F5655" s="2" t="s">
        <v>7</v>
      </c>
    </row>
    <row r="5656" spans="1:6" ht="22.5" hidden="1" customHeight="1" x14ac:dyDescent="0.25">
      <c r="A5656" s="3">
        <v>44317</v>
      </c>
      <c r="B5656" s="2" t="s">
        <v>156</v>
      </c>
      <c r="C5656" s="2">
        <v>1.1599999999999999</v>
      </c>
      <c r="D5656" s="2">
        <v>4.4999999999999998E-2</v>
      </c>
      <c r="E5656" s="2">
        <v>5.22E-4</v>
      </c>
      <c r="F5656" s="2" t="s">
        <v>7</v>
      </c>
    </row>
    <row r="5657" spans="1:6" ht="22.5" hidden="1" customHeight="1" x14ac:dyDescent="0.25">
      <c r="A5657" s="3">
        <v>44317</v>
      </c>
      <c r="B5657" s="2" t="s">
        <v>157</v>
      </c>
      <c r="C5657" s="2">
        <v>2.16</v>
      </c>
      <c r="D5657" s="2">
        <v>1.7399999999999999E-2</v>
      </c>
      <c r="E5657" s="2">
        <v>3.7584000000000001E-4</v>
      </c>
      <c r="F5657" s="2" t="s">
        <v>7</v>
      </c>
    </row>
    <row r="5658" spans="1:6" ht="22.5" hidden="1" customHeight="1" x14ac:dyDescent="0.25">
      <c r="A5658" s="3">
        <v>44317</v>
      </c>
      <c r="B5658" s="2" t="s">
        <v>158</v>
      </c>
      <c r="C5658" s="2">
        <v>1.77</v>
      </c>
      <c r="D5658" s="2">
        <v>9.7999999999999997E-3</v>
      </c>
      <c r="E5658" s="2">
        <v>1.7346000000000001E-4</v>
      </c>
      <c r="F5658" s="2" t="s">
        <v>7</v>
      </c>
    </row>
    <row r="5659" spans="1:6" ht="22.5" hidden="1" customHeight="1" x14ac:dyDescent="0.25">
      <c r="A5659" s="3">
        <v>44317</v>
      </c>
      <c r="B5659" s="2" t="s">
        <v>159</v>
      </c>
      <c r="C5659" s="2">
        <v>2.1</v>
      </c>
      <c r="D5659" s="2">
        <v>5.3499999999999999E-2</v>
      </c>
      <c r="E5659" s="2">
        <v>1.1234999999999999E-3</v>
      </c>
      <c r="F5659" s="2" t="s">
        <v>7</v>
      </c>
    </row>
    <row r="5660" spans="1:6" ht="22.5" hidden="1" customHeight="1" x14ac:dyDescent="0.25">
      <c r="A5660" s="3">
        <v>44317</v>
      </c>
      <c r="B5660" s="2" t="s">
        <v>160</v>
      </c>
      <c r="C5660" s="2">
        <v>0.16</v>
      </c>
      <c r="D5660" s="2">
        <v>3.7157</v>
      </c>
      <c r="E5660" s="2">
        <v>5.9451199999999999E-3</v>
      </c>
      <c r="F5660" s="2" t="s">
        <v>7</v>
      </c>
    </row>
    <row r="5661" spans="1:6" ht="22.5" hidden="1" customHeight="1" x14ac:dyDescent="0.25">
      <c r="A5661" s="3">
        <v>44317</v>
      </c>
      <c r="B5661" s="2" t="s">
        <v>161</v>
      </c>
      <c r="C5661" s="2">
        <v>0.72</v>
      </c>
      <c r="D5661" s="2">
        <v>1.7374000000000001</v>
      </c>
      <c r="E5661" s="2">
        <v>1.2509279999999999E-2</v>
      </c>
      <c r="F5661" s="2" t="s">
        <v>7</v>
      </c>
    </row>
    <row r="5662" spans="1:6" ht="22.5" hidden="1" customHeight="1" x14ac:dyDescent="0.25">
      <c r="A5662" s="3">
        <v>44317</v>
      </c>
      <c r="B5662" s="2" t="s">
        <v>134</v>
      </c>
      <c r="C5662" s="2">
        <v>1.73</v>
      </c>
      <c r="D5662" s="2">
        <v>0.1239</v>
      </c>
      <c r="E5662" s="2">
        <v>2.1434700000000002E-3</v>
      </c>
      <c r="F5662" s="2" t="s">
        <v>7</v>
      </c>
    </row>
    <row r="5663" spans="1:6" ht="22.5" hidden="1" customHeight="1" x14ac:dyDescent="0.25">
      <c r="A5663" s="3">
        <v>44317</v>
      </c>
      <c r="B5663" s="2" t="s">
        <v>162</v>
      </c>
      <c r="C5663" s="2">
        <v>1.34</v>
      </c>
      <c r="D5663" s="2">
        <v>4.2599999999999999E-2</v>
      </c>
      <c r="E5663" s="2">
        <v>5.7083999999999998E-4</v>
      </c>
      <c r="F5663" s="2" t="s">
        <v>7</v>
      </c>
    </row>
    <row r="5664" spans="1:6" ht="22.5" hidden="1" customHeight="1" x14ac:dyDescent="0.25">
      <c r="A5664" s="3">
        <v>44317</v>
      </c>
      <c r="B5664" s="2" t="s">
        <v>135</v>
      </c>
      <c r="C5664" s="2">
        <v>1.0900000000000001</v>
      </c>
      <c r="D5664" s="2">
        <v>0.28870000000000001</v>
      </c>
      <c r="E5664" s="2">
        <v>3.1468300000000002E-3</v>
      </c>
      <c r="F5664" s="2" t="s">
        <v>7</v>
      </c>
    </row>
    <row r="5665" spans="1:6" ht="22.5" hidden="1" customHeight="1" x14ac:dyDescent="0.25">
      <c r="A5665" s="3">
        <v>44317</v>
      </c>
      <c r="B5665" s="2" t="s">
        <v>136</v>
      </c>
      <c r="C5665" s="2">
        <v>0.47</v>
      </c>
      <c r="D5665" s="2">
        <v>4.1999999999999997E-3</v>
      </c>
      <c r="E5665" s="2">
        <v>1.9740000000000001E-5</v>
      </c>
      <c r="F5665" s="2" t="s">
        <v>7</v>
      </c>
    </row>
    <row r="5666" spans="1:6" ht="22.5" hidden="1" customHeight="1" x14ac:dyDescent="0.25">
      <c r="A5666" s="3">
        <v>44317</v>
      </c>
      <c r="B5666" s="2" t="s">
        <v>137</v>
      </c>
      <c r="C5666" s="2">
        <v>6.28</v>
      </c>
      <c r="D5666" s="2">
        <v>9.5999999999999992E-3</v>
      </c>
      <c r="E5666" s="2">
        <v>6.0287999999999997E-4</v>
      </c>
      <c r="F5666" s="2" t="s">
        <v>7</v>
      </c>
    </row>
    <row r="5667" spans="1:6" ht="22.5" hidden="1" customHeight="1" x14ac:dyDescent="0.25">
      <c r="A5667" s="3">
        <v>44317</v>
      </c>
      <c r="B5667" s="2" t="s">
        <v>163</v>
      </c>
      <c r="C5667" s="2">
        <v>1.02</v>
      </c>
      <c r="D5667" s="2">
        <v>4.4000000000000003E-3</v>
      </c>
      <c r="E5667" s="2">
        <v>4.4879999999999997E-5</v>
      </c>
      <c r="F5667" s="2" t="s">
        <v>7</v>
      </c>
    </row>
    <row r="5668" spans="1:6" ht="22.5" hidden="1" customHeight="1" x14ac:dyDescent="0.25">
      <c r="A5668" s="3">
        <v>44317</v>
      </c>
      <c r="B5668" s="2" t="s">
        <v>34</v>
      </c>
      <c r="C5668" s="2">
        <v>1.23</v>
      </c>
      <c r="D5668" s="2">
        <v>5.2400000000000002E-2</v>
      </c>
      <c r="E5668" s="2">
        <v>6.4451999999999999E-4</v>
      </c>
      <c r="F5668" s="2" t="s">
        <v>7</v>
      </c>
    </row>
    <row r="5669" spans="1:6" ht="22.5" hidden="1" customHeight="1" x14ac:dyDescent="0.25">
      <c r="A5669" s="3">
        <v>44317</v>
      </c>
      <c r="B5669" s="2" t="s">
        <v>164</v>
      </c>
      <c r="C5669" s="2">
        <v>-0.18</v>
      </c>
      <c r="D5669" s="2">
        <v>3.7507999999999999</v>
      </c>
      <c r="E5669" s="2">
        <v>-6.75144E-3</v>
      </c>
      <c r="F5669" s="2" t="s">
        <v>165</v>
      </c>
    </row>
    <row r="5670" spans="1:6" ht="22.5" hidden="1" customHeight="1" x14ac:dyDescent="0.25">
      <c r="A5670" s="3">
        <v>44317</v>
      </c>
      <c r="B5670" s="2" t="s">
        <v>166</v>
      </c>
      <c r="C5670" s="2">
        <v>-0.24</v>
      </c>
      <c r="D5670" s="2">
        <v>2.3033000000000001</v>
      </c>
      <c r="E5670" s="2">
        <v>-5.5279200000000004E-3</v>
      </c>
      <c r="F5670" s="2" t="s">
        <v>165</v>
      </c>
    </row>
    <row r="5671" spans="1:6" ht="22.5" hidden="1" customHeight="1" x14ac:dyDescent="0.25">
      <c r="A5671" s="3">
        <v>44166</v>
      </c>
      <c r="B5671" s="2" t="s">
        <v>273</v>
      </c>
      <c r="C5671" s="2">
        <v>0</v>
      </c>
      <c r="D5671" s="2">
        <v>0.123</v>
      </c>
      <c r="E5671" s="2">
        <v>0</v>
      </c>
      <c r="F5671" s="2" t="s">
        <v>168</v>
      </c>
    </row>
    <row r="5672" spans="1:6" ht="22.5" hidden="1" customHeight="1" x14ac:dyDescent="0.25">
      <c r="A5672" s="3">
        <v>44317</v>
      </c>
      <c r="B5672" s="2" t="s">
        <v>169</v>
      </c>
      <c r="C5672" s="2">
        <v>0.75</v>
      </c>
      <c r="D5672" s="2">
        <v>1.0800000000000001E-2</v>
      </c>
      <c r="E5672" s="2">
        <v>8.1000000000000004E-5</v>
      </c>
      <c r="F5672" s="2" t="s">
        <v>170</v>
      </c>
    </row>
    <row r="5673" spans="1:6" ht="22.5" hidden="1" customHeight="1" x14ac:dyDescent="0.25">
      <c r="A5673" s="3">
        <v>44317</v>
      </c>
      <c r="B5673" s="2" t="s">
        <v>171</v>
      </c>
      <c r="C5673" s="2">
        <v>-2.84</v>
      </c>
      <c r="D5673" s="2">
        <v>1.46E-2</v>
      </c>
      <c r="E5673" s="2">
        <v>-4.1463999999999997E-4</v>
      </c>
      <c r="F5673" s="2" t="s">
        <v>170</v>
      </c>
    </row>
    <row r="5674" spans="1:6" ht="22.5" hidden="1" customHeight="1" x14ac:dyDescent="0.25">
      <c r="A5674" s="3">
        <v>44317</v>
      </c>
      <c r="B5674" s="2" t="s">
        <v>172</v>
      </c>
      <c r="C5674" s="2">
        <v>-1.08</v>
      </c>
      <c r="D5674" s="2">
        <v>3.3999999999999998E-3</v>
      </c>
      <c r="E5674" s="2">
        <v>-3.6720000000000001E-5</v>
      </c>
      <c r="F5674" s="2" t="s">
        <v>170</v>
      </c>
    </row>
    <row r="5675" spans="1:6" ht="22.5" hidden="1" customHeight="1" x14ac:dyDescent="0.25">
      <c r="A5675" s="3">
        <v>44317</v>
      </c>
      <c r="B5675" s="2" t="s">
        <v>173</v>
      </c>
      <c r="C5675" s="2">
        <v>0.7</v>
      </c>
      <c r="D5675" s="2">
        <v>0.2611</v>
      </c>
      <c r="E5675" s="2">
        <v>1.8277E-3</v>
      </c>
      <c r="F5675" s="2" t="s">
        <v>174</v>
      </c>
    </row>
    <row r="5676" spans="1:6" ht="22.5" hidden="1" customHeight="1" x14ac:dyDescent="0.25">
      <c r="A5676" s="3">
        <v>44317</v>
      </c>
      <c r="B5676" s="2" t="s">
        <v>175</v>
      </c>
      <c r="C5676" s="2">
        <v>1.69</v>
      </c>
      <c r="D5676" s="2">
        <v>0.2596</v>
      </c>
      <c r="E5676" s="2">
        <v>4.3872399999999997E-3</v>
      </c>
      <c r="F5676" s="2" t="s">
        <v>174</v>
      </c>
    </row>
    <row r="5677" spans="1:6" ht="22.5" hidden="1" customHeight="1" x14ac:dyDescent="0.25">
      <c r="A5677" s="3">
        <v>44317</v>
      </c>
      <c r="B5677" s="2" t="s">
        <v>176</v>
      </c>
      <c r="C5677" s="2">
        <v>-1.39</v>
      </c>
      <c r="D5677" s="2">
        <v>1.38E-2</v>
      </c>
      <c r="E5677" s="2">
        <v>-1.9181999999999999E-4</v>
      </c>
      <c r="F5677" s="2" t="s">
        <v>170</v>
      </c>
    </row>
    <row r="5678" spans="1:6" ht="22.5" hidden="1" customHeight="1" x14ac:dyDescent="0.25">
      <c r="A5678" s="3">
        <v>44317</v>
      </c>
      <c r="B5678" s="2" t="s">
        <v>177</v>
      </c>
      <c r="C5678" s="2">
        <v>0.02</v>
      </c>
      <c r="D5678" s="2">
        <v>2.3699999999999999E-2</v>
      </c>
      <c r="E5678" s="2">
        <v>4.7400000000000004E-6</v>
      </c>
      <c r="F5678" s="2" t="s">
        <v>170</v>
      </c>
    </row>
    <row r="5679" spans="1:6" ht="22.5" hidden="1" customHeight="1" x14ac:dyDescent="0.25">
      <c r="A5679" s="3">
        <v>44317</v>
      </c>
      <c r="B5679" s="2" t="s">
        <v>178</v>
      </c>
      <c r="C5679" s="2">
        <v>-0.71</v>
      </c>
      <c r="D5679" s="2">
        <v>2.1299999999999999E-2</v>
      </c>
      <c r="E5679" s="2">
        <v>-1.5123E-4</v>
      </c>
      <c r="F5679" s="2" t="s">
        <v>170</v>
      </c>
    </row>
    <row r="5680" spans="1:6" ht="22.5" hidden="1" customHeight="1" x14ac:dyDescent="0.25">
      <c r="A5680" s="3">
        <v>44317</v>
      </c>
      <c r="B5680" s="2" t="s">
        <v>179</v>
      </c>
      <c r="C5680" s="2">
        <v>0.59</v>
      </c>
      <c r="D5680" s="2">
        <v>4.58E-2</v>
      </c>
      <c r="E5680" s="2">
        <v>2.7022E-4</v>
      </c>
      <c r="F5680" s="2" t="s">
        <v>170</v>
      </c>
    </row>
    <row r="5681" spans="1:6" ht="22.5" hidden="1" customHeight="1" x14ac:dyDescent="0.25">
      <c r="A5681" s="3">
        <v>44317</v>
      </c>
      <c r="B5681" s="2" t="s">
        <v>180</v>
      </c>
      <c r="C5681" s="2">
        <v>0.06</v>
      </c>
      <c r="D5681" s="2">
        <v>0.62880000000000003</v>
      </c>
      <c r="E5681" s="2">
        <v>3.7728000000000002E-4</v>
      </c>
      <c r="F5681" s="2" t="s">
        <v>165</v>
      </c>
    </row>
    <row r="5682" spans="1:6" ht="22.5" hidden="1" customHeight="1" x14ac:dyDescent="0.25">
      <c r="A5682" s="3">
        <v>44317</v>
      </c>
      <c r="B5682" s="2" t="s">
        <v>181</v>
      </c>
      <c r="C5682" s="2">
        <v>-1.92</v>
      </c>
      <c r="D5682" s="2">
        <v>1.32E-2</v>
      </c>
      <c r="E5682" s="2">
        <v>-2.5344000000000001E-4</v>
      </c>
      <c r="F5682" s="2" t="s">
        <v>174</v>
      </c>
    </row>
    <row r="5683" spans="1:6" ht="22.5" hidden="1" customHeight="1" x14ac:dyDescent="0.25">
      <c r="A5683" s="3">
        <v>44317</v>
      </c>
      <c r="B5683" s="2" t="s">
        <v>182</v>
      </c>
      <c r="C5683" s="2">
        <v>1.27</v>
      </c>
      <c r="D5683" s="2">
        <v>4.1399999999999999E-2</v>
      </c>
      <c r="E5683" s="2">
        <v>5.2578E-4</v>
      </c>
      <c r="F5683" s="2" t="s">
        <v>170</v>
      </c>
    </row>
    <row r="5684" spans="1:6" ht="22.5" hidden="1" customHeight="1" x14ac:dyDescent="0.25">
      <c r="A5684" s="3">
        <v>44317</v>
      </c>
      <c r="B5684" s="2" t="s">
        <v>183</v>
      </c>
      <c r="C5684" s="2">
        <v>3.78</v>
      </c>
      <c r="D5684" s="2">
        <v>4.0000000000000001E-3</v>
      </c>
      <c r="E5684" s="2">
        <v>1.5119999999999999E-4</v>
      </c>
      <c r="F5684" s="2" t="s">
        <v>174</v>
      </c>
    </row>
    <row r="5685" spans="1:6" ht="22.5" hidden="1" customHeight="1" x14ac:dyDescent="0.25">
      <c r="A5685" s="3">
        <v>44317</v>
      </c>
      <c r="B5685" s="2" t="s">
        <v>184</v>
      </c>
      <c r="C5685" s="2">
        <v>1.58</v>
      </c>
      <c r="D5685" s="2">
        <v>6.3799999999999996E-2</v>
      </c>
      <c r="E5685" s="2">
        <v>1.00804E-3</v>
      </c>
      <c r="F5685" s="2" t="s">
        <v>174</v>
      </c>
    </row>
    <row r="5686" spans="1:6" ht="22.5" hidden="1" customHeight="1" x14ac:dyDescent="0.25">
      <c r="A5686" s="3">
        <v>44317</v>
      </c>
      <c r="B5686" s="2" t="s">
        <v>185</v>
      </c>
      <c r="C5686" s="2">
        <v>1.48</v>
      </c>
      <c r="D5686" s="2">
        <v>0.1525</v>
      </c>
      <c r="E5686" s="2">
        <v>2.2569999999999999E-3</v>
      </c>
      <c r="F5686" s="2" t="s">
        <v>174</v>
      </c>
    </row>
    <row r="5687" spans="1:6" ht="22.5" hidden="1" customHeight="1" x14ac:dyDescent="0.25">
      <c r="A5687" s="3">
        <v>44317</v>
      </c>
      <c r="B5687" s="2" t="s">
        <v>186</v>
      </c>
      <c r="C5687" s="2">
        <v>0.47</v>
      </c>
      <c r="D5687" s="2">
        <v>0.21759999999999999</v>
      </c>
      <c r="E5687" s="2">
        <v>1.02272E-3</v>
      </c>
      <c r="F5687" s="2" t="s">
        <v>174</v>
      </c>
    </row>
    <row r="5688" spans="1:6" ht="22.5" hidden="1" customHeight="1" x14ac:dyDescent="0.25">
      <c r="A5688" s="3">
        <v>44317</v>
      </c>
      <c r="B5688" s="2" t="s">
        <v>187</v>
      </c>
      <c r="C5688" s="2">
        <v>0.54</v>
      </c>
      <c r="D5688" s="2">
        <v>5.8500000000000003E-2</v>
      </c>
      <c r="E5688" s="2">
        <v>3.1589999999999998E-4</v>
      </c>
      <c r="F5688" s="2" t="s">
        <v>174</v>
      </c>
    </row>
    <row r="5689" spans="1:6" ht="22.5" hidden="1" customHeight="1" x14ac:dyDescent="0.25">
      <c r="A5689" s="3">
        <v>44317</v>
      </c>
      <c r="B5689" s="2" t="s">
        <v>188</v>
      </c>
      <c r="C5689" s="2">
        <v>0.36</v>
      </c>
      <c r="D5689" s="2">
        <v>2.8799999999999999E-2</v>
      </c>
      <c r="E5689" s="2">
        <v>1.0368E-4</v>
      </c>
      <c r="F5689" s="2" t="s">
        <v>174</v>
      </c>
    </row>
    <row r="5690" spans="1:6" ht="22.5" hidden="1" customHeight="1" x14ac:dyDescent="0.25">
      <c r="A5690" s="3">
        <v>44317</v>
      </c>
      <c r="B5690" s="2" t="s">
        <v>189</v>
      </c>
      <c r="C5690" s="2">
        <v>2.66</v>
      </c>
      <c r="D5690" s="2">
        <v>3.7000000000000002E-3</v>
      </c>
      <c r="E5690" s="2">
        <v>9.8419999999999996E-5</v>
      </c>
      <c r="F5690" s="2" t="s">
        <v>174</v>
      </c>
    </row>
    <row r="5691" spans="1:6" ht="22.5" hidden="1" customHeight="1" x14ac:dyDescent="0.25">
      <c r="A5691" s="3">
        <v>44317</v>
      </c>
      <c r="B5691" s="2" t="s">
        <v>190</v>
      </c>
      <c r="C5691" s="2">
        <v>-0.83</v>
      </c>
      <c r="D5691" s="2">
        <v>4.7999999999999996E-3</v>
      </c>
      <c r="E5691" s="2">
        <v>-3.9839999999999998E-5</v>
      </c>
      <c r="F5691" s="2" t="s">
        <v>174</v>
      </c>
    </row>
    <row r="5692" spans="1:6" ht="22.5" hidden="1" customHeight="1" x14ac:dyDescent="0.25">
      <c r="A5692" s="3">
        <v>44317</v>
      </c>
      <c r="B5692" s="2" t="s">
        <v>191</v>
      </c>
      <c r="C5692" s="2">
        <v>-0.63</v>
      </c>
      <c r="D5692" s="2">
        <v>2.7400000000000001E-2</v>
      </c>
      <c r="E5692" s="2">
        <v>-1.7262000000000001E-4</v>
      </c>
      <c r="F5692" s="2" t="s">
        <v>174</v>
      </c>
    </row>
    <row r="5693" spans="1:6" ht="22.5" hidden="1" customHeight="1" x14ac:dyDescent="0.25">
      <c r="A5693" s="3">
        <v>44317</v>
      </c>
      <c r="B5693" s="2" t="s">
        <v>192</v>
      </c>
      <c r="C5693" s="2">
        <v>1.51</v>
      </c>
      <c r="D5693" s="2">
        <v>5.1999999999999998E-3</v>
      </c>
      <c r="E5693" s="2">
        <v>7.852E-5</v>
      </c>
      <c r="F5693" s="2" t="s">
        <v>174</v>
      </c>
    </row>
    <row r="5694" spans="1:6" ht="22.5" hidden="1" customHeight="1" x14ac:dyDescent="0.25">
      <c r="A5694" s="3">
        <v>44317</v>
      </c>
      <c r="B5694" s="2" t="s">
        <v>193</v>
      </c>
      <c r="C5694" s="2">
        <v>-0.26</v>
      </c>
      <c r="D5694" s="2">
        <v>0.16370000000000001</v>
      </c>
      <c r="E5694" s="2">
        <v>-4.2561999999999998E-4</v>
      </c>
      <c r="F5694" s="2" t="s">
        <v>174</v>
      </c>
    </row>
    <row r="5695" spans="1:6" ht="22.5" hidden="1" customHeight="1" x14ac:dyDescent="0.25">
      <c r="A5695" s="3">
        <v>44317</v>
      </c>
      <c r="B5695" s="2" t="s">
        <v>194</v>
      </c>
      <c r="C5695" s="2">
        <v>-0.57999999999999996</v>
      </c>
      <c r="D5695" s="2">
        <v>3.3999999999999998E-3</v>
      </c>
      <c r="E5695" s="2">
        <v>-1.9720000000000001E-5</v>
      </c>
      <c r="F5695" s="2" t="s">
        <v>174</v>
      </c>
    </row>
    <row r="5696" spans="1:6" ht="22.5" hidden="1" customHeight="1" x14ac:dyDescent="0.25">
      <c r="A5696" s="3">
        <v>44166</v>
      </c>
      <c r="B5696" s="2" t="s">
        <v>310</v>
      </c>
      <c r="C5696" s="2">
        <v>0</v>
      </c>
      <c r="D5696" s="2">
        <v>4.0289000000000001</v>
      </c>
      <c r="E5696" s="2">
        <v>0</v>
      </c>
      <c r="F5696" s="2" t="s">
        <v>168</v>
      </c>
    </row>
    <row r="5697" spans="1:6" ht="22.5" hidden="1" customHeight="1" x14ac:dyDescent="0.25">
      <c r="A5697" s="3">
        <v>44166</v>
      </c>
      <c r="B5697" s="2" t="s">
        <v>340</v>
      </c>
      <c r="C5697" s="2">
        <v>0</v>
      </c>
      <c r="D5697" s="2">
        <v>0.51659999999999995</v>
      </c>
      <c r="E5697" s="2">
        <v>0</v>
      </c>
      <c r="F5697" s="2" t="s">
        <v>168</v>
      </c>
    </row>
    <row r="5698" spans="1:6" ht="22.5" hidden="1" customHeight="1" x14ac:dyDescent="0.25">
      <c r="A5698" s="3">
        <v>44166</v>
      </c>
      <c r="B5698" s="2" t="s">
        <v>365</v>
      </c>
      <c r="C5698" s="2">
        <v>0</v>
      </c>
      <c r="D5698" s="2">
        <v>6.93E-2</v>
      </c>
      <c r="E5698" s="2">
        <v>0</v>
      </c>
      <c r="F5698" s="2" t="s">
        <v>168</v>
      </c>
    </row>
    <row r="5699" spans="1:6" ht="22.5" hidden="1" customHeight="1" x14ac:dyDescent="0.25">
      <c r="A5699" s="3">
        <v>44317</v>
      </c>
      <c r="B5699" s="2" t="s">
        <v>198</v>
      </c>
      <c r="C5699" s="2">
        <v>-0.15</v>
      </c>
      <c r="D5699" s="2">
        <v>0.34439999999999998</v>
      </c>
      <c r="E5699" s="2">
        <v>-5.1659999999999998E-4</v>
      </c>
      <c r="F5699" s="2" t="s">
        <v>170</v>
      </c>
    </row>
    <row r="5700" spans="1:6" ht="22.5" hidden="1" customHeight="1" x14ac:dyDescent="0.25">
      <c r="A5700" s="3">
        <v>44317</v>
      </c>
      <c r="B5700" s="2" t="s">
        <v>199</v>
      </c>
      <c r="C5700" s="2">
        <v>2.27</v>
      </c>
      <c r="D5700" s="2">
        <v>0.48039999999999999</v>
      </c>
      <c r="E5700" s="2">
        <v>1.0905079999999999E-2</v>
      </c>
      <c r="F5700" s="2" t="s">
        <v>170</v>
      </c>
    </row>
    <row r="5701" spans="1:6" ht="22.5" hidden="1" customHeight="1" x14ac:dyDescent="0.25">
      <c r="A5701" s="3">
        <v>44317</v>
      </c>
      <c r="B5701" s="2" t="s">
        <v>200</v>
      </c>
      <c r="C5701" s="2">
        <v>1.05</v>
      </c>
      <c r="D5701" s="2">
        <v>0.186</v>
      </c>
      <c r="E5701" s="2">
        <v>1.9530000000000001E-3</v>
      </c>
      <c r="F5701" s="2" t="s">
        <v>170</v>
      </c>
    </row>
    <row r="5702" spans="1:6" ht="22.5" hidden="1" customHeight="1" x14ac:dyDescent="0.25">
      <c r="A5702" s="3">
        <v>44317</v>
      </c>
      <c r="B5702" s="2" t="s">
        <v>201</v>
      </c>
      <c r="C5702" s="2">
        <v>2.5099999999999998</v>
      </c>
      <c r="D5702" s="2">
        <v>2.5499999999999998E-2</v>
      </c>
      <c r="E5702" s="2">
        <v>6.4004999999999997E-4</v>
      </c>
      <c r="F5702" s="2" t="s">
        <v>170</v>
      </c>
    </row>
    <row r="5703" spans="1:6" ht="22.5" hidden="1" customHeight="1" x14ac:dyDescent="0.25">
      <c r="A5703" s="3">
        <v>44317</v>
      </c>
      <c r="B5703" s="2" t="s">
        <v>202</v>
      </c>
      <c r="C5703" s="2">
        <v>0.66</v>
      </c>
      <c r="D5703" s="2">
        <v>1.9E-2</v>
      </c>
      <c r="E5703" s="2">
        <v>1.2540000000000001E-4</v>
      </c>
      <c r="F5703" s="2" t="s">
        <v>170</v>
      </c>
    </row>
    <row r="5704" spans="1:6" ht="22.5" hidden="1" customHeight="1" x14ac:dyDescent="0.25">
      <c r="A5704" s="3">
        <v>44317</v>
      </c>
      <c r="B5704" s="2" t="s">
        <v>203</v>
      </c>
      <c r="C5704" s="2">
        <v>0.06</v>
      </c>
      <c r="D5704" s="2">
        <v>8.2100000000000006E-2</v>
      </c>
      <c r="E5704" s="2">
        <v>4.9259999999999999E-5</v>
      </c>
      <c r="F5704" s="2" t="s">
        <v>170</v>
      </c>
    </row>
    <row r="5705" spans="1:6" ht="22.5" hidden="1" customHeight="1" x14ac:dyDescent="0.25">
      <c r="A5705" s="3">
        <v>44317</v>
      </c>
      <c r="B5705" s="2" t="s">
        <v>204</v>
      </c>
      <c r="C5705" s="2">
        <v>1.1100000000000001</v>
      </c>
      <c r="D5705" s="2">
        <v>5.8900000000000001E-2</v>
      </c>
      <c r="E5705" s="2">
        <v>6.5379000000000001E-4</v>
      </c>
      <c r="F5705" s="2" t="s">
        <v>174</v>
      </c>
    </row>
    <row r="5706" spans="1:6" ht="22.5" hidden="1" customHeight="1" x14ac:dyDescent="0.25">
      <c r="A5706" s="3">
        <v>44317</v>
      </c>
      <c r="B5706" s="2" t="s">
        <v>205</v>
      </c>
      <c r="C5706" s="2">
        <v>0.74</v>
      </c>
      <c r="D5706" s="2">
        <v>9.5100000000000004E-2</v>
      </c>
      <c r="E5706" s="2">
        <v>7.0374000000000001E-4</v>
      </c>
      <c r="F5706" s="2" t="s">
        <v>174</v>
      </c>
    </row>
    <row r="5707" spans="1:6" ht="22.5" hidden="1" customHeight="1" x14ac:dyDescent="0.25">
      <c r="A5707" s="3">
        <v>44317</v>
      </c>
      <c r="B5707" s="2" t="s">
        <v>206</v>
      </c>
      <c r="C5707" s="2">
        <v>-0.16</v>
      </c>
      <c r="D5707" s="2">
        <v>0.16070000000000001</v>
      </c>
      <c r="E5707" s="2">
        <v>-2.5712E-4</v>
      </c>
      <c r="F5707" s="2" t="s">
        <v>174</v>
      </c>
    </row>
    <row r="5708" spans="1:6" ht="22.5" hidden="1" customHeight="1" x14ac:dyDescent="0.25">
      <c r="A5708" s="3">
        <v>44317</v>
      </c>
      <c r="B5708" s="2" t="s">
        <v>207</v>
      </c>
      <c r="C5708" s="2">
        <v>1.1299999999999999</v>
      </c>
      <c r="D5708" s="2">
        <v>4.8099999999999997E-2</v>
      </c>
      <c r="E5708" s="2">
        <v>5.4352999999999997E-4</v>
      </c>
      <c r="F5708" s="2" t="s">
        <v>174</v>
      </c>
    </row>
    <row r="5709" spans="1:6" ht="22.5" hidden="1" customHeight="1" x14ac:dyDescent="0.25">
      <c r="A5709" s="3">
        <v>44317</v>
      </c>
      <c r="B5709" s="2" t="s">
        <v>208</v>
      </c>
      <c r="C5709" s="2">
        <v>-0.37</v>
      </c>
      <c r="D5709" s="2">
        <v>8.9999999999999993E-3</v>
      </c>
      <c r="E5709" s="2">
        <v>-3.3300000000000003E-5</v>
      </c>
      <c r="F5709" s="2" t="s">
        <v>174</v>
      </c>
    </row>
    <row r="5710" spans="1:6" ht="22.5" hidden="1" customHeight="1" x14ac:dyDescent="0.25">
      <c r="A5710" s="3">
        <v>44317</v>
      </c>
      <c r="B5710" s="2" t="s">
        <v>209</v>
      </c>
      <c r="C5710" s="2">
        <v>0.19</v>
      </c>
      <c r="D5710" s="2">
        <v>6.1000000000000004E-3</v>
      </c>
      <c r="E5710" s="2">
        <v>1.1590000000000001E-5</v>
      </c>
      <c r="F5710" s="2" t="s">
        <v>174</v>
      </c>
    </row>
    <row r="5711" spans="1:6" ht="22.5" hidden="1" customHeight="1" x14ac:dyDescent="0.25">
      <c r="A5711" s="3">
        <v>44317</v>
      </c>
      <c r="B5711" s="2" t="s">
        <v>210</v>
      </c>
      <c r="C5711" s="2">
        <v>0.49</v>
      </c>
      <c r="D5711" s="2">
        <v>1.44E-2</v>
      </c>
      <c r="E5711" s="2">
        <v>7.0560000000000002E-5</v>
      </c>
      <c r="F5711" s="2" t="s">
        <v>170</v>
      </c>
    </row>
    <row r="5712" spans="1:6" ht="22.5" hidden="1" customHeight="1" x14ac:dyDescent="0.25">
      <c r="A5712" s="3">
        <v>44317</v>
      </c>
      <c r="B5712" s="2" t="s">
        <v>211</v>
      </c>
      <c r="C5712" s="2">
        <v>0.34</v>
      </c>
      <c r="D5712" s="2">
        <v>0.19800000000000001</v>
      </c>
      <c r="E5712" s="2">
        <v>6.7319999999999999E-4</v>
      </c>
      <c r="F5712" s="2" t="s">
        <v>174</v>
      </c>
    </row>
    <row r="5713" spans="1:6" ht="22.5" hidden="1" customHeight="1" x14ac:dyDescent="0.25">
      <c r="A5713" s="3">
        <v>44317</v>
      </c>
      <c r="B5713" s="2" t="s">
        <v>212</v>
      </c>
      <c r="C5713" s="2">
        <v>-1.23</v>
      </c>
      <c r="D5713" s="2">
        <v>4.5999999999999999E-3</v>
      </c>
      <c r="E5713" s="2">
        <v>-5.6579999999999997E-5</v>
      </c>
      <c r="F5713" s="2" t="s">
        <v>174</v>
      </c>
    </row>
    <row r="5714" spans="1:6" ht="22.5" hidden="1" customHeight="1" x14ac:dyDescent="0.25">
      <c r="A5714" s="3">
        <v>44317</v>
      </c>
      <c r="B5714" s="2" t="s">
        <v>213</v>
      </c>
      <c r="C5714" s="2">
        <v>0.8</v>
      </c>
      <c r="D5714" s="2">
        <v>0.34110000000000001</v>
      </c>
      <c r="E5714" s="2">
        <v>2.7288E-3</v>
      </c>
      <c r="F5714" s="2" t="s">
        <v>170</v>
      </c>
    </row>
    <row r="5715" spans="1:6" ht="22.5" hidden="1" customHeight="1" x14ac:dyDescent="0.25">
      <c r="A5715" s="3">
        <v>44317</v>
      </c>
      <c r="B5715" s="2" t="s">
        <v>214</v>
      </c>
      <c r="C5715" s="2">
        <v>-0.28999999999999998</v>
      </c>
      <c r="D5715" s="2">
        <v>0.1047</v>
      </c>
      <c r="E5715" s="2">
        <v>-3.0362999999999999E-4</v>
      </c>
      <c r="F5715" s="2" t="s">
        <v>170</v>
      </c>
    </row>
    <row r="5716" spans="1:6" ht="22.5" hidden="1" customHeight="1" x14ac:dyDescent="0.25">
      <c r="A5716" s="3">
        <v>44317</v>
      </c>
      <c r="B5716" s="2" t="s">
        <v>215</v>
      </c>
      <c r="C5716" s="2">
        <v>0.91</v>
      </c>
      <c r="D5716" s="2">
        <v>0.24840000000000001</v>
      </c>
      <c r="E5716" s="2">
        <v>2.2604399999999998E-3</v>
      </c>
      <c r="F5716" s="2" t="s">
        <v>170</v>
      </c>
    </row>
    <row r="5717" spans="1:6" ht="22.5" hidden="1" customHeight="1" x14ac:dyDescent="0.25">
      <c r="A5717" s="3">
        <v>44317</v>
      </c>
      <c r="B5717" s="2" t="s">
        <v>216</v>
      </c>
      <c r="C5717" s="2">
        <v>1.63</v>
      </c>
      <c r="D5717" s="2">
        <v>1.44E-2</v>
      </c>
      <c r="E5717" s="2">
        <v>2.3472E-4</v>
      </c>
      <c r="F5717" s="2" t="s">
        <v>170</v>
      </c>
    </row>
    <row r="5718" spans="1:6" ht="22.5" hidden="1" customHeight="1" x14ac:dyDescent="0.25">
      <c r="A5718" s="3">
        <v>44317</v>
      </c>
      <c r="B5718" s="2" t="s">
        <v>217</v>
      </c>
      <c r="C5718" s="2">
        <v>7.0000000000000007E-2</v>
      </c>
      <c r="D5718" s="2">
        <v>0.1628</v>
      </c>
      <c r="E5718" s="2">
        <v>1.1396E-4</v>
      </c>
      <c r="F5718" s="2" t="s">
        <v>170</v>
      </c>
    </row>
    <row r="5719" spans="1:6" ht="22.5" hidden="1" customHeight="1" x14ac:dyDescent="0.25">
      <c r="A5719" s="3">
        <v>44317</v>
      </c>
      <c r="B5719" s="2" t="s">
        <v>218</v>
      </c>
      <c r="C5719" s="2">
        <v>3.06</v>
      </c>
      <c r="D5719" s="2">
        <v>7.3000000000000001E-3</v>
      </c>
      <c r="E5719" s="2">
        <v>2.2337999999999999E-4</v>
      </c>
      <c r="F5719" s="2" t="s">
        <v>170</v>
      </c>
    </row>
    <row r="5720" spans="1:6" ht="22.5" hidden="1" customHeight="1" x14ac:dyDescent="0.25">
      <c r="A5720" s="3">
        <v>44317</v>
      </c>
      <c r="B5720" s="2" t="s">
        <v>219</v>
      </c>
      <c r="C5720" s="2">
        <v>2.93</v>
      </c>
      <c r="D5720" s="2">
        <v>0.49840000000000001</v>
      </c>
      <c r="E5720" s="2">
        <v>1.4603120000000001E-2</v>
      </c>
      <c r="F5720" s="2" t="s">
        <v>170</v>
      </c>
    </row>
    <row r="5721" spans="1:6" ht="22.5" hidden="1" customHeight="1" x14ac:dyDescent="0.25">
      <c r="A5721" s="3">
        <v>44317</v>
      </c>
      <c r="B5721" s="2" t="s">
        <v>220</v>
      </c>
      <c r="C5721" s="2">
        <v>-1.57</v>
      </c>
      <c r="D5721" s="2">
        <v>1.0800000000000001E-2</v>
      </c>
      <c r="E5721" s="2">
        <v>-1.6956E-4</v>
      </c>
      <c r="F5721" s="2" t="s">
        <v>170</v>
      </c>
    </row>
    <row r="5722" spans="1:6" ht="22.5" hidden="1" customHeight="1" x14ac:dyDescent="0.25">
      <c r="A5722" s="3">
        <v>44317</v>
      </c>
      <c r="B5722" s="2" t="s">
        <v>221</v>
      </c>
      <c r="C5722" s="2">
        <v>1.1499999999999999</v>
      </c>
      <c r="D5722" s="2">
        <v>3.5999999999999999E-3</v>
      </c>
      <c r="E5722" s="2">
        <v>4.1399999999999997E-5</v>
      </c>
      <c r="F5722" s="2" t="s">
        <v>170</v>
      </c>
    </row>
    <row r="5723" spans="1:6" ht="22.5" hidden="1" customHeight="1" x14ac:dyDescent="0.25">
      <c r="A5723" s="3">
        <v>44317</v>
      </c>
      <c r="B5723" s="2" t="s">
        <v>222</v>
      </c>
      <c r="C5723" s="2">
        <v>-0.84</v>
      </c>
      <c r="D5723" s="2">
        <v>0.34920000000000001</v>
      </c>
      <c r="E5723" s="2">
        <v>-2.9332799999999999E-3</v>
      </c>
      <c r="F5723" s="2" t="s">
        <v>170</v>
      </c>
    </row>
    <row r="5724" spans="1:6" ht="22.5" hidden="1" customHeight="1" x14ac:dyDescent="0.25">
      <c r="A5724" s="3">
        <v>44317</v>
      </c>
      <c r="B5724" s="2" t="s">
        <v>223</v>
      </c>
      <c r="C5724" s="2">
        <v>1.07</v>
      </c>
      <c r="D5724" s="2">
        <v>1.6E-2</v>
      </c>
      <c r="E5724" s="2">
        <v>1.7119999999999999E-4</v>
      </c>
      <c r="F5724" s="2" t="s">
        <v>165</v>
      </c>
    </row>
    <row r="5725" spans="1:6" ht="22.5" hidden="1" customHeight="1" x14ac:dyDescent="0.25">
      <c r="A5725" s="3">
        <v>44317</v>
      </c>
      <c r="B5725" s="2" t="s">
        <v>224</v>
      </c>
      <c r="C5725" s="2">
        <v>0</v>
      </c>
      <c r="D5725" s="2">
        <v>2.2000000000000001E-3</v>
      </c>
      <c r="E5725" s="2">
        <v>0</v>
      </c>
      <c r="F5725" s="2" t="s">
        <v>165</v>
      </c>
    </row>
    <row r="5726" spans="1:6" ht="22.5" hidden="1" customHeight="1" x14ac:dyDescent="0.25">
      <c r="A5726" s="3">
        <v>44317</v>
      </c>
      <c r="B5726" s="2" t="s">
        <v>225</v>
      </c>
      <c r="C5726" s="2">
        <v>1.1499999999999999</v>
      </c>
      <c r="D5726" s="2">
        <v>4.7999999999999996E-3</v>
      </c>
      <c r="E5726" s="2">
        <v>5.52E-5</v>
      </c>
      <c r="F5726" s="2" t="s">
        <v>165</v>
      </c>
    </row>
    <row r="5727" spans="1:6" ht="22.5" hidden="1" customHeight="1" x14ac:dyDescent="0.25">
      <c r="A5727" s="3">
        <v>44317</v>
      </c>
      <c r="B5727" s="2" t="s">
        <v>226</v>
      </c>
      <c r="C5727" s="2">
        <v>0.57999999999999996</v>
      </c>
      <c r="D5727" s="2">
        <v>4.6899999999999997E-2</v>
      </c>
      <c r="E5727" s="2">
        <v>2.7201999999999999E-4</v>
      </c>
      <c r="F5727" s="2" t="s">
        <v>165</v>
      </c>
    </row>
    <row r="5728" spans="1:6" ht="22.5" hidden="1" customHeight="1" x14ac:dyDescent="0.25">
      <c r="A5728" s="3">
        <v>44317</v>
      </c>
      <c r="B5728" s="2" t="s">
        <v>227</v>
      </c>
      <c r="C5728" s="2">
        <v>0.12</v>
      </c>
      <c r="D5728" s="2">
        <v>6.4100000000000004E-2</v>
      </c>
      <c r="E5728" s="2">
        <v>7.6920000000000002E-5</v>
      </c>
      <c r="F5728" s="2" t="s">
        <v>165</v>
      </c>
    </row>
    <row r="5729" spans="1:6" ht="22.5" hidden="1" customHeight="1" x14ac:dyDescent="0.25">
      <c r="A5729" s="3">
        <v>44317</v>
      </c>
      <c r="B5729" s="2" t="s">
        <v>228</v>
      </c>
      <c r="C5729" s="2">
        <v>0.45</v>
      </c>
      <c r="D5729" s="2">
        <v>0.19109999999999999</v>
      </c>
      <c r="E5729" s="2">
        <v>8.5994999999999995E-4</v>
      </c>
      <c r="F5729" s="2" t="s">
        <v>165</v>
      </c>
    </row>
    <row r="5730" spans="1:6" ht="22.5" hidden="1" customHeight="1" x14ac:dyDescent="0.25">
      <c r="A5730" s="3">
        <v>44317</v>
      </c>
      <c r="B5730" s="2" t="s">
        <v>229</v>
      </c>
      <c r="C5730" s="2">
        <v>1.26</v>
      </c>
      <c r="D5730" s="2">
        <v>0.27429999999999999</v>
      </c>
      <c r="E5730" s="2">
        <v>3.4561800000000001E-3</v>
      </c>
      <c r="F5730" s="2" t="s">
        <v>174</v>
      </c>
    </row>
    <row r="5731" spans="1:6" ht="22.5" hidden="1" customHeight="1" x14ac:dyDescent="0.25">
      <c r="A5731" s="3">
        <v>44317</v>
      </c>
      <c r="B5731" s="2" t="s">
        <v>230</v>
      </c>
      <c r="C5731" s="2">
        <v>1.02</v>
      </c>
      <c r="D5731" s="2">
        <v>2.1399999999999999E-2</v>
      </c>
      <c r="E5731" s="2">
        <v>2.1828E-4</v>
      </c>
      <c r="F5731" s="2" t="s">
        <v>174</v>
      </c>
    </row>
    <row r="5732" spans="1:6" ht="22.5" hidden="1" customHeight="1" x14ac:dyDescent="0.25">
      <c r="A5732" s="3">
        <v>44317</v>
      </c>
      <c r="B5732" s="2" t="s">
        <v>231</v>
      </c>
      <c r="C5732" s="2">
        <v>0.94</v>
      </c>
      <c r="D5732" s="2">
        <v>0.16350000000000001</v>
      </c>
      <c r="E5732" s="2">
        <v>1.5368999999999999E-3</v>
      </c>
      <c r="F5732" s="2" t="s">
        <v>174</v>
      </c>
    </row>
    <row r="5733" spans="1:6" ht="22.5" hidden="1" customHeight="1" x14ac:dyDescent="0.25">
      <c r="A5733" s="3">
        <v>44317</v>
      </c>
      <c r="B5733" s="2" t="s">
        <v>232</v>
      </c>
      <c r="C5733" s="2">
        <v>2.62</v>
      </c>
      <c r="D5733" s="2">
        <v>5.4000000000000003E-3</v>
      </c>
      <c r="E5733" s="2">
        <v>1.4148000000000001E-4</v>
      </c>
      <c r="F5733" s="2" t="s">
        <v>174</v>
      </c>
    </row>
    <row r="5734" spans="1:6" ht="22.5" hidden="1" customHeight="1" x14ac:dyDescent="0.25">
      <c r="A5734" s="3">
        <v>44317</v>
      </c>
      <c r="B5734" s="2" t="s">
        <v>233</v>
      </c>
      <c r="C5734" s="2">
        <v>1.31</v>
      </c>
      <c r="D5734" s="2">
        <v>0.5504</v>
      </c>
      <c r="E5734" s="2">
        <v>7.2102399999999997E-3</v>
      </c>
      <c r="F5734" s="2" t="s">
        <v>174</v>
      </c>
    </row>
    <row r="5735" spans="1:6" ht="22.5" hidden="1" customHeight="1" x14ac:dyDescent="0.25">
      <c r="A5735" s="3">
        <v>44317</v>
      </c>
      <c r="B5735" s="2" t="s">
        <v>234</v>
      </c>
      <c r="C5735" s="2">
        <v>1.57</v>
      </c>
      <c r="D5735" s="2">
        <v>0.29759999999999998</v>
      </c>
      <c r="E5735" s="2">
        <v>4.6723199999999998E-3</v>
      </c>
      <c r="F5735" s="2" t="s">
        <v>174</v>
      </c>
    </row>
    <row r="5736" spans="1:6" ht="22.5" hidden="1" customHeight="1" x14ac:dyDescent="0.25">
      <c r="A5736" s="3">
        <v>44317</v>
      </c>
      <c r="B5736" s="2" t="s">
        <v>235</v>
      </c>
      <c r="C5736" s="2">
        <v>3.55</v>
      </c>
      <c r="D5736" s="2">
        <v>2.4400000000000002E-2</v>
      </c>
      <c r="E5736" s="2">
        <v>8.6620000000000002E-4</v>
      </c>
      <c r="F5736" s="2" t="s">
        <v>174</v>
      </c>
    </row>
    <row r="5737" spans="1:6" ht="22.5" hidden="1" customHeight="1" x14ac:dyDescent="0.25">
      <c r="A5737" s="3">
        <v>44317</v>
      </c>
      <c r="B5737" s="2" t="s">
        <v>236</v>
      </c>
      <c r="C5737" s="2">
        <v>1.65</v>
      </c>
      <c r="D5737" s="2">
        <v>6.8999999999999999E-3</v>
      </c>
      <c r="E5737" s="2">
        <v>1.1385E-4</v>
      </c>
      <c r="F5737" s="2" t="s">
        <v>174</v>
      </c>
    </row>
    <row r="5738" spans="1:6" ht="22.5" hidden="1" customHeight="1" x14ac:dyDescent="0.25">
      <c r="A5738" s="3">
        <v>44317</v>
      </c>
      <c r="B5738" s="2" t="s">
        <v>237</v>
      </c>
      <c r="C5738" s="2">
        <v>1.19</v>
      </c>
      <c r="D5738" s="2">
        <v>0.27760000000000001</v>
      </c>
      <c r="E5738" s="2">
        <v>3.3034399999999999E-3</v>
      </c>
      <c r="F5738" s="2" t="s">
        <v>174</v>
      </c>
    </row>
    <row r="5739" spans="1:6" ht="22.5" hidden="1" customHeight="1" x14ac:dyDescent="0.25">
      <c r="A5739" s="3">
        <v>44317</v>
      </c>
      <c r="B5739" s="2" t="s">
        <v>238</v>
      </c>
      <c r="C5739" s="2">
        <v>2.78</v>
      </c>
      <c r="D5739" s="2">
        <v>0.49020000000000002</v>
      </c>
      <c r="E5739" s="2">
        <v>1.362756E-2</v>
      </c>
      <c r="F5739" s="2" t="s">
        <v>174</v>
      </c>
    </row>
    <row r="5740" spans="1:6" ht="22.5" hidden="1" customHeight="1" x14ac:dyDescent="0.25">
      <c r="A5740" s="3">
        <v>44317</v>
      </c>
      <c r="B5740" s="2" t="s">
        <v>239</v>
      </c>
      <c r="C5740" s="2">
        <v>1.79</v>
      </c>
      <c r="D5740" s="2">
        <v>0.10680000000000001</v>
      </c>
      <c r="E5740" s="2">
        <v>1.91172E-3</v>
      </c>
      <c r="F5740" s="2" t="s">
        <v>174</v>
      </c>
    </row>
    <row r="5741" spans="1:6" ht="22.5" hidden="1" customHeight="1" x14ac:dyDescent="0.25">
      <c r="A5741" s="3">
        <v>44317</v>
      </c>
      <c r="B5741" s="2" t="s">
        <v>240</v>
      </c>
      <c r="C5741" s="2">
        <v>1.34</v>
      </c>
      <c r="D5741" s="2">
        <v>6.2399999999999997E-2</v>
      </c>
      <c r="E5741" s="2">
        <v>8.3615999999999996E-4</v>
      </c>
      <c r="F5741" s="2" t="s">
        <v>174</v>
      </c>
    </row>
    <row r="5742" spans="1:6" ht="22.5" hidden="1" customHeight="1" x14ac:dyDescent="0.25">
      <c r="A5742" s="3">
        <v>44317</v>
      </c>
      <c r="B5742" s="2" t="s">
        <v>241</v>
      </c>
      <c r="C5742" s="2">
        <v>-0.26</v>
      </c>
      <c r="D5742" s="2">
        <v>8.5599999999999996E-2</v>
      </c>
      <c r="E5742" s="2">
        <v>-2.2256000000000001E-4</v>
      </c>
      <c r="F5742" s="2" t="s">
        <v>174</v>
      </c>
    </row>
    <row r="5743" spans="1:6" ht="22.5" hidden="1" customHeight="1" x14ac:dyDescent="0.25">
      <c r="A5743" s="3">
        <v>44317</v>
      </c>
      <c r="B5743" s="2" t="s">
        <v>242</v>
      </c>
      <c r="C5743" s="2">
        <v>2.41</v>
      </c>
      <c r="D5743" s="2">
        <v>7.2599999999999998E-2</v>
      </c>
      <c r="E5743" s="2">
        <v>1.7496600000000001E-3</v>
      </c>
      <c r="F5743" s="2" t="s">
        <v>174</v>
      </c>
    </row>
    <row r="5744" spans="1:6" ht="22.5" hidden="1" customHeight="1" x14ac:dyDescent="0.25">
      <c r="A5744" s="3">
        <v>44317</v>
      </c>
      <c r="B5744" s="2" t="s">
        <v>243</v>
      </c>
      <c r="C5744" s="2">
        <v>-0.28999999999999998</v>
      </c>
      <c r="D5744" s="2">
        <v>8.0999999999999996E-3</v>
      </c>
      <c r="E5744" s="2">
        <v>-2.349E-5</v>
      </c>
      <c r="F5744" s="2" t="s">
        <v>174</v>
      </c>
    </row>
    <row r="5745" spans="1:6" ht="22.5" hidden="1" customHeight="1" x14ac:dyDescent="0.25">
      <c r="A5745" s="3">
        <v>44317</v>
      </c>
      <c r="B5745" s="2" t="s">
        <v>244</v>
      </c>
      <c r="C5745" s="2">
        <v>0.85</v>
      </c>
      <c r="D5745" s="2">
        <v>0.05</v>
      </c>
      <c r="E5745" s="2">
        <v>4.2499999999999998E-4</v>
      </c>
      <c r="F5745" s="2" t="s">
        <v>174</v>
      </c>
    </row>
    <row r="5746" spans="1:6" ht="22.5" hidden="1" customHeight="1" x14ac:dyDescent="0.25">
      <c r="A5746" s="3">
        <v>44317</v>
      </c>
      <c r="B5746" s="2" t="s">
        <v>245</v>
      </c>
      <c r="C5746" s="2">
        <v>0.77</v>
      </c>
      <c r="D5746" s="2">
        <v>5.0299999999999997E-2</v>
      </c>
      <c r="E5746" s="2">
        <v>3.8730999999999998E-4</v>
      </c>
      <c r="F5746" s="2" t="s">
        <v>174</v>
      </c>
    </row>
    <row r="5747" spans="1:6" ht="22.5" hidden="1" customHeight="1" x14ac:dyDescent="0.25">
      <c r="A5747" s="3">
        <v>44317</v>
      </c>
      <c r="B5747" s="2" t="s">
        <v>246</v>
      </c>
      <c r="C5747" s="2">
        <v>1.1100000000000001</v>
      </c>
      <c r="D5747" s="2">
        <v>0.185</v>
      </c>
      <c r="E5747" s="2">
        <v>2.0535000000000002E-3</v>
      </c>
      <c r="F5747" s="2" t="s">
        <v>174</v>
      </c>
    </row>
    <row r="5748" spans="1:6" ht="22.5" hidden="1" customHeight="1" x14ac:dyDescent="0.25">
      <c r="A5748" s="3">
        <v>44317</v>
      </c>
      <c r="B5748" s="2" t="s">
        <v>247</v>
      </c>
      <c r="C5748" s="2">
        <v>0.94</v>
      </c>
      <c r="D5748" s="2">
        <v>0.12939999999999999</v>
      </c>
      <c r="E5748" s="2">
        <v>1.2163600000000001E-3</v>
      </c>
      <c r="F5748" s="2" t="s">
        <v>174</v>
      </c>
    </row>
    <row r="5749" spans="1:6" ht="22.5" hidden="1" customHeight="1" x14ac:dyDescent="0.25">
      <c r="A5749" s="3">
        <v>44317</v>
      </c>
      <c r="B5749" s="2" t="s">
        <v>248</v>
      </c>
      <c r="C5749" s="2">
        <v>-0.02</v>
      </c>
      <c r="D5749" s="2">
        <v>0.14419999999999999</v>
      </c>
      <c r="E5749" s="2">
        <v>-2.8839999999999998E-5</v>
      </c>
      <c r="F5749" s="2" t="s">
        <v>174</v>
      </c>
    </row>
    <row r="5750" spans="1:6" ht="22.5" hidden="1" customHeight="1" x14ac:dyDescent="0.25">
      <c r="A5750" s="3">
        <v>44317</v>
      </c>
      <c r="B5750" s="2" t="s">
        <v>249</v>
      </c>
      <c r="C5750" s="2">
        <v>0.73</v>
      </c>
      <c r="D5750" s="2">
        <v>0.255</v>
      </c>
      <c r="E5750" s="2">
        <v>1.8615000000000001E-3</v>
      </c>
      <c r="F5750" s="2" t="s">
        <v>174</v>
      </c>
    </row>
    <row r="5751" spans="1:6" ht="22.5" hidden="1" customHeight="1" x14ac:dyDescent="0.25">
      <c r="A5751" s="3">
        <v>44317</v>
      </c>
      <c r="B5751" s="2" t="s">
        <v>250</v>
      </c>
      <c r="C5751" s="2">
        <v>0.98</v>
      </c>
      <c r="D5751" s="2">
        <v>2.53E-2</v>
      </c>
      <c r="E5751" s="2">
        <v>2.4793999999999999E-4</v>
      </c>
      <c r="F5751" s="2" t="s">
        <v>174</v>
      </c>
    </row>
    <row r="5752" spans="1:6" ht="22.5" hidden="1" customHeight="1" x14ac:dyDescent="0.25">
      <c r="A5752" s="3">
        <v>44317</v>
      </c>
      <c r="B5752" s="2" t="s">
        <v>251</v>
      </c>
      <c r="C5752" s="2">
        <v>0.39</v>
      </c>
      <c r="D5752" s="2">
        <v>6.0100000000000001E-2</v>
      </c>
      <c r="E5752" s="2">
        <v>2.3439000000000001E-4</v>
      </c>
      <c r="F5752" s="2" t="s">
        <v>174</v>
      </c>
    </row>
    <row r="5753" spans="1:6" ht="22.5" hidden="1" customHeight="1" x14ac:dyDescent="0.25">
      <c r="A5753" s="3">
        <v>44317</v>
      </c>
      <c r="B5753" s="2" t="s">
        <v>252</v>
      </c>
      <c r="C5753" s="2">
        <v>-0.16</v>
      </c>
      <c r="D5753" s="2">
        <v>8.3000000000000001E-3</v>
      </c>
      <c r="E5753" s="2">
        <v>-1.328E-5</v>
      </c>
      <c r="F5753" s="2" t="s">
        <v>174</v>
      </c>
    </row>
    <row r="5754" spans="1:6" ht="22.5" hidden="1" customHeight="1" x14ac:dyDescent="0.25">
      <c r="A5754" s="3">
        <v>44317</v>
      </c>
      <c r="B5754" s="2" t="s">
        <v>253</v>
      </c>
      <c r="C5754" s="2">
        <v>1.71</v>
      </c>
      <c r="D5754" s="2">
        <v>0.43</v>
      </c>
      <c r="E5754" s="2">
        <v>7.3530000000000002E-3</v>
      </c>
      <c r="F5754" s="2" t="s">
        <v>174</v>
      </c>
    </row>
    <row r="5755" spans="1:6" ht="22.5" hidden="1" customHeight="1" x14ac:dyDescent="0.25">
      <c r="A5755" s="3">
        <v>44317</v>
      </c>
      <c r="B5755" s="2" t="s">
        <v>254</v>
      </c>
      <c r="C5755" s="2">
        <v>0.99</v>
      </c>
      <c r="D5755" s="2">
        <v>0.1784</v>
      </c>
      <c r="E5755" s="2">
        <v>1.7661599999999999E-3</v>
      </c>
      <c r="F5755" s="2" t="s">
        <v>174</v>
      </c>
    </row>
    <row r="5756" spans="1:6" ht="22.5" hidden="1" customHeight="1" x14ac:dyDescent="0.25">
      <c r="A5756" s="3">
        <v>44317</v>
      </c>
      <c r="B5756" s="2" t="s">
        <v>255</v>
      </c>
      <c r="C5756" s="2">
        <v>1.46</v>
      </c>
      <c r="D5756" s="2">
        <v>1.6199999999999999E-2</v>
      </c>
      <c r="E5756" s="2">
        <v>2.3651999999999999E-4</v>
      </c>
      <c r="F5756" s="2" t="s">
        <v>170</v>
      </c>
    </row>
    <row r="5757" spans="1:6" ht="22.5" hidden="1" customHeight="1" x14ac:dyDescent="0.25">
      <c r="A5757" s="3">
        <v>44317</v>
      </c>
      <c r="B5757" s="2" t="s">
        <v>256</v>
      </c>
      <c r="C5757" s="2">
        <v>2.44</v>
      </c>
      <c r="D5757" s="2">
        <v>0.1489</v>
      </c>
      <c r="E5757" s="2">
        <v>3.6331599999999999E-3</v>
      </c>
      <c r="F5757" s="2" t="s">
        <v>170</v>
      </c>
    </row>
    <row r="5758" spans="1:6" ht="22.5" hidden="1" customHeight="1" x14ac:dyDescent="0.25">
      <c r="A5758" s="3">
        <v>44317</v>
      </c>
      <c r="B5758" s="2" t="s">
        <v>257</v>
      </c>
      <c r="C5758" s="2">
        <v>2.39</v>
      </c>
      <c r="D5758" s="2">
        <v>5.0299999999999997E-2</v>
      </c>
      <c r="E5758" s="2">
        <v>1.20217E-3</v>
      </c>
      <c r="F5758" s="2" t="s">
        <v>170</v>
      </c>
    </row>
    <row r="5759" spans="1:6" ht="22.5" hidden="1" customHeight="1" x14ac:dyDescent="0.25">
      <c r="A5759" s="3">
        <v>44317</v>
      </c>
      <c r="B5759" s="2" t="s">
        <v>258</v>
      </c>
      <c r="C5759" s="2">
        <v>0.08</v>
      </c>
      <c r="D5759" s="2">
        <v>4.6199999999999998E-2</v>
      </c>
      <c r="E5759" s="2">
        <v>3.6959999999999998E-5</v>
      </c>
      <c r="F5759" s="2" t="s">
        <v>174</v>
      </c>
    </row>
    <row r="5760" spans="1:6" ht="22.5" hidden="1" customHeight="1" x14ac:dyDescent="0.25">
      <c r="A5760" s="3">
        <v>44317</v>
      </c>
      <c r="B5760" s="2" t="s">
        <v>259</v>
      </c>
      <c r="C5760" s="2">
        <v>0.23</v>
      </c>
      <c r="D5760" s="2">
        <v>9.9000000000000008E-3</v>
      </c>
      <c r="E5760" s="2">
        <v>2.2770000000000001E-5</v>
      </c>
      <c r="F5760" s="2" t="s">
        <v>174</v>
      </c>
    </row>
    <row r="5761" spans="1:6" ht="22.5" hidden="1" customHeight="1" x14ac:dyDescent="0.25">
      <c r="A5761" s="3">
        <v>44166</v>
      </c>
      <c r="B5761" s="2" t="s">
        <v>366</v>
      </c>
      <c r="C5761" s="2">
        <v>0</v>
      </c>
      <c r="D5761" s="2">
        <v>0.26729999999999998</v>
      </c>
      <c r="E5761" s="2">
        <v>0</v>
      </c>
      <c r="F5761" s="2" t="s">
        <v>168</v>
      </c>
    </row>
    <row r="5762" spans="1:6" ht="22.5" hidden="1" customHeight="1" x14ac:dyDescent="0.25">
      <c r="A5762" s="3">
        <v>44197</v>
      </c>
      <c r="B5762" s="2" t="s">
        <v>196</v>
      </c>
      <c r="C5762" s="2">
        <v>0</v>
      </c>
      <c r="D5762" s="2">
        <v>0.13200000000000001</v>
      </c>
      <c r="E5762" s="2">
        <v>0</v>
      </c>
      <c r="F5762" s="2" t="s">
        <v>168</v>
      </c>
    </row>
    <row r="5763" spans="1:6" ht="22.5" hidden="1" customHeight="1" x14ac:dyDescent="0.25">
      <c r="A5763" s="3">
        <v>44197</v>
      </c>
      <c r="B5763" s="2" t="s">
        <v>260</v>
      </c>
      <c r="C5763" s="2">
        <v>0</v>
      </c>
      <c r="D5763" s="2">
        <v>1.3411999999999999</v>
      </c>
      <c r="E5763" s="2">
        <v>0</v>
      </c>
      <c r="F5763" s="2" t="s">
        <v>168</v>
      </c>
    </row>
    <row r="5764" spans="1:6" ht="22.5" hidden="1" customHeight="1" x14ac:dyDescent="0.25">
      <c r="A5764" s="3">
        <v>44197</v>
      </c>
      <c r="B5764" s="2" t="s">
        <v>261</v>
      </c>
      <c r="C5764" s="2">
        <v>0</v>
      </c>
      <c r="D5764" s="2">
        <v>0.19400000000000001</v>
      </c>
      <c r="E5764" s="2">
        <v>0</v>
      </c>
      <c r="F5764" s="2" t="s">
        <v>168</v>
      </c>
    </row>
    <row r="5765" spans="1:6" ht="22.5" hidden="1" customHeight="1" x14ac:dyDescent="0.25">
      <c r="A5765" s="3">
        <v>44197</v>
      </c>
      <c r="B5765" s="2" t="s">
        <v>262</v>
      </c>
      <c r="C5765" s="2">
        <v>0</v>
      </c>
      <c r="D5765" s="2">
        <v>3.8600000000000002E-2</v>
      </c>
      <c r="E5765" s="2">
        <v>0</v>
      </c>
      <c r="F5765" s="2" t="s">
        <v>168</v>
      </c>
    </row>
    <row r="5766" spans="1:6" ht="22.5" hidden="1" customHeight="1" x14ac:dyDescent="0.25">
      <c r="A5766" s="3">
        <v>44197</v>
      </c>
      <c r="B5766" s="2" t="s">
        <v>266</v>
      </c>
      <c r="C5766" s="2">
        <v>0</v>
      </c>
      <c r="D5766" s="2">
        <v>7.2599999999999998E-2</v>
      </c>
      <c r="E5766" s="2">
        <v>0</v>
      </c>
      <c r="F5766" s="2" t="s">
        <v>168</v>
      </c>
    </row>
    <row r="5767" spans="1:6" ht="22.5" hidden="1" customHeight="1" x14ac:dyDescent="0.25">
      <c r="A5767" s="3">
        <v>44197</v>
      </c>
      <c r="B5767" s="2" t="s">
        <v>273</v>
      </c>
      <c r="C5767" s="2">
        <v>0</v>
      </c>
      <c r="D5767" s="2">
        <v>0.12180000000000001</v>
      </c>
      <c r="E5767" s="2">
        <v>0</v>
      </c>
      <c r="F5767" s="2" t="s">
        <v>168</v>
      </c>
    </row>
    <row r="5768" spans="1:6" ht="22.5" hidden="1" customHeight="1" x14ac:dyDescent="0.25">
      <c r="A5768" s="3">
        <v>44317</v>
      </c>
      <c r="B5768" s="2" t="s">
        <v>267</v>
      </c>
      <c r="C5768" s="2">
        <v>0</v>
      </c>
      <c r="D5768" s="2">
        <v>0.12859999999999999</v>
      </c>
      <c r="E5768" s="2">
        <v>0</v>
      </c>
      <c r="F5768" s="2" t="s">
        <v>165</v>
      </c>
    </row>
    <row r="5769" spans="1:6" ht="22.5" hidden="1" customHeight="1" x14ac:dyDescent="0.25">
      <c r="A5769" s="3">
        <v>44317</v>
      </c>
      <c r="B5769" s="2" t="s">
        <v>268</v>
      </c>
      <c r="C5769" s="2">
        <v>-9.11</v>
      </c>
      <c r="D5769" s="2">
        <v>0.16900000000000001</v>
      </c>
      <c r="E5769" s="2">
        <v>-1.5395900000000001E-2</v>
      </c>
      <c r="F5769" s="2" t="s">
        <v>165</v>
      </c>
    </row>
    <row r="5770" spans="1:6" ht="22.5" hidden="1" customHeight="1" x14ac:dyDescent="0.25">
      <c r="A5770" s="3">
        <v>44317</v>
      </c>
      <c r="B5770" s="2" t="s">
        <v>269</v>
      </c>
      <c r="C5770" s="2">
        <v>0</v>
      </c>
      <c r="D5770" s="2">
        <v>6.6600000000000006E-2</v>
      </c>
      <c r="E5770" s="2">
        <v>0</v>
      </c>
      <c r="F5770" s="2" t="s">
        <v>165</v>
      </c>
    </row>
    <row r="5771" spans="1:6" ht="22.5" hidden="1" customHeight="1" x14ac:dyDescent="0.25">
      <c r="A5771" s="3">
        <v>44317</v>
      </c>
      <c r="B5771" s="2" t="s">
        <v>270</v>
      </c>
      <c r="C5771" s="2">
        <v>1.1599999999999999</v>
      </c>
      <c r="D5771" s="2">
        <v>2.9544000000000001</v>
      </c>
      <c r="E5771" s="2">
        <v>3.4271040000000003E-2</v>
      </c>
      <c r="F5771" s="2" t="s">
        <v>170</v>
      </c>
    </row>
    <row r="5772" spans="1:6" ht="22.5" hidden="1" customHeight="1" x14ac:dyDescent="0.25">
      <c r="A5772" s="3">
        <v>44197</v>
      </c>
      <c r="B5772" s="2" t="s">
        <v>340</v>
      </c>
      <c r="C5772" s="2">
        <v>0</v>
      </c>
      <c r="D5772" s="2">
        <v>0.5111</v>
      </c>
      <c r="E5772" s="2">
        <v>0</v>
      </c>
      <c r="F5772" s="2" t="s">
        <v>168</v>
      </c>
    </row>
    <row r="5773" spans="1:6" ht="22.5" hidden="1" customHeight="1" x14ac:dyDescent="0.25">
      <c r="A5773" s="3">
        <v>44317</v>
      </c>
      <c r="B5773" s="2" t="s">
        <v>272</v>
      </c>
      <c r="C5773" s="2">
        <v>-3.18</v>
      </c>
      <c r="D5773" s="2">
        <v>0.73829999999999996</v>
      </c>
      <c r="E5773" s="2">
        <v>-2.3477939999999999E-2</v>
      </c>
      <c r="F5773" s="2" t="s">
        <v>165</v>
      </c>
    </row>
    <row r="5774" spans="1:6" ht="22.5" hidden="1" customHeight="1" x14ac:dyDescent="0.25">
      <c r="A5774" s="3">
        <v>44197</v>
      </c>
      <c r="B5774" s="2" t="s">
        <v>365</v>
      </c>
      <c r="C5774" s="2">
        <v>0</v>
      </c>
      <c r="D5774" s="2">
        <v>6.8699999999999997E-2</v>
      </c>
      <c r="E5774" s="2">
        <v>0</v>
      </c>
      <c r="F5774" s="2" t="s">
        <v>168</v>
      </c>
    </row>
    <row r="5775" spans="1:6" ht="22.5" hidden="1" customHeight="1" x14ac:dyDescent="0.25">
      <c r="A5775" s="3">
        <v>44317</v>
      </c>
      <c r="B5775" s="2" t="s">
        <v>274</v>
      </c>
      <c r="C5775" s="2">
        <v>0.93</v>
      </c>
      <c r="D5775" s="2">
        <v>0.12989999999999999</v>
      </c>
      <c r="E5775" s="2">
        <v>1.2080700000000001E-3</v>
      </c>
      <c r="F5775" s="2" t="s">
        <v>170</v>
      </c>
    </row>
    <row r="5776" spans="1:6" ht="22.5" hidden="1" customHeight="1" x14ac:dyDescent="0.25">
      <c r="A5776" s="3">
        <v>44317</v>
      </c>
      <c r="B5776" s="2" t="s">
        <v>275</v>
      </c>
      <c r="C5776" s="2">
        <v>0.73</v>
      </c>
      <c r="D5776" s="2">
        <v>0.1731</v>
      </c>
      <c r="E5776" s="2">
        <v>1.26363E-3</v>
      </c>
      <c r="F5776" s="2" t="s">
        <v>170</v>
      </c>
    </row>
    <row r="5777" spans="1:6" ht="22.5" hidden="1" customHeight="1" x14ac:dyDescent="0.25">
      <c r="A5777" s="3">
        <v>44317</v>
      </c>
      <c r="B5777" s="2" t="s">
        <v>276</v>
      </c>
      <c r="C5777" s="2">
        <v>3.08</v>
      </c>
      <c r="D5777" s="2">
        <v>0.23519999999999999</v>
      </c>
      <c r="E5777" s="2">
        <v>7.2441600000000004E-3</v>
      </c>
      <c r="F5777" s="2" t="s">
        <v>170</v>
      </c>
    </row>
    <row r="5778" spans="1:6" ht="22.5" hidden="1" customHeight="1" x14ac:dyDescent="0.25">
      <c r="A5778" s="3">
        <v>44317</v>
      </c>
      <c r="B5778" s="2" t="s">
        <v>277</v>
      </c>
      <c r="C5778" s="2">
        <v>1.05</v>
      </c>
      <c r="D5778" s="2">
        <v>1.6466000000000001</v>
      </c>
      <c r="E5778" s="2">
        <v>1.7289300000000001E-2</v>
      </c>
      <c r="F5778" s="2" t="s">
        <v>165</v>
      </c>
    </row>
    <row r="5779" spans="1:6" ht="22.5" hidden="1" customHeight="1" x14ac:dyDescent="0.25">
      <c r="A5779" s="3">
        <v>44317</v>
      </c>
      <c r="B5779" s="2" t="s">
        <v>278</v>
      </c>
      <c r="C5779" s="2">
        <v>0.95</v>
      </c>
      <c r="D5779" s="2">
        <v>6.6900000000000001E-2</v>
      </c>
      <c r="E5779" s="2">
        <v>6.3555000000000003E-4</v>
      </c>
      <c r="F5779" s="2" t="s">
        <v>165</v>
      </c>
    </row>
    <row r="5780" spans="1:6" ht="22.5" hidden="1" customHeight="1" x14ac:dyDescent="0.25">
      <c r="A5780" s="3">
        <v>44197</v>
      </c>
      <c r="B5780" s="2" t="s">
        <v>366</v>
      </c>
      <c r="C5780" s="2">
        <v>0</v>
      </c>
      <c r="D5780" s="2">
        <v>0.26450000000000001</v>
      </c>
      <c r="E5780" s="2">
        <v>0</v>
      </c>
      <c r="F5780" s="2" t="s">
        <v>168</v>
      </c>
    </row>
    <row r="5781" spans="1:6" ht="22.5" hidden="1" customHeight="1" x14ac:dyDescent="0.25">
      <c r="A5781" s="3">
        <v>44317</v>
      </c>
      <c r="B5781" s="2" t="s">
        <v>280</v>
      </c>
      <c r="C5781" s="2">
        <v>0.77</v>
      </c>
      <c r="D5781" s="2">
        <v>1.8676999999999999</v>
      </c>
      <c r="E5781" s="2">
        <v>1.438129E-2</v>
      </c>
      <c r="F5781" s="2" t="s">
        <v>170</v>
      </c>
    </row>
    <row r="5782" spans="1:6" ht="22.5" hidden="1" customHeight="1" x14ac:dyDescent="0.25">
      <c r="A5782" s="3">
        <v>44317</v>
      </c>
      <c r="B5782" s="2" t="s">
        <v>281</v>
      </c>
      <c r="C5782" s="2">
        <v>0.6</v>
      </c>
      <c r="D5782" s="2">
        <v>1.6500000000000001E-2</v>
      </c>
      <c r="E5782" s="2">
        <v>9.8999999999999994E-5</v>
      </c>
      <c r="F5782" s="2" t="s">
        <v>165</v>
      </c>
    </row>
    <row r="5783" spans="1:6" ht="22.5" hidden="1" customHeight="1" x14ac:dyDescent="0.25">
      <c r="A5783" s="3">
        <v>44317</v>
      </c>
      <c r="B5783" s="2" t="s">
        <v>282</v>
      </c>
      <c r="C5783" s="2">
        <v>1.75</v>
      </c>
      <c r="D5783" s="2">
        <v>2.1399999999999999E-2</v>
      </c>
      <c r="E5783" s="2">
        <v>3.745E-4</v>
      </c>
      <c r="F5783" s="2" t="s">
        <v>165</v>
      </c>
    </row>
    <row r="5784" spans="1:6" ht="22.5" hidden="1" customHeight="1" x14ac:dyDescent="0.25">
      <c r="A5784" s="3">
        <v>44317</v>
      </c>
      <c r="B5784" s="2" t="s">
        <v>283</v>
      </c>
      <c r="C5784" s="2">
        <v>0.71</v>
      </c>
      <c r="D5784" s="2">
        <v>0.56569999999999998</v>
      </c>
      <c r="E5784" s="2">
        <v>4.0164700000000003E-3</v>
      </c>
      <c r="F5784" s="2" t="s">
        <v>170</v>
      </c>
    </row>
    <row r="5785" spans="1:6" ht="22.5" hidden="1" customHeight="1" x14ac:dyDescent="0.25">
      <c r="A5785" s="3">
        <v>44197</v>
      </c>
      <c r="B5785" s="2" t="s">
        <v>367</v>
      </c>
      <c r="C5785" s="2">
        <v>0</v>
      </c>
      <c r="D5785" s="2">
        <v>1.5589</v>
      </c>
      <c r="E5785" s="2">
        <v>0</v>
      </c>
      <c r="F5785" s="2" t="s">
        <v>168</v>
      </c>
    </row>
    <row r="5786" spans="1:6" ht="22.5" hidden="1" customHeight="1" x14ac:dyDescent="0.25">
      <c r="A5786" s="3">
        <v>44228</v>
      </c>
      <c r="B5786" s="2" t="s">
        <v>261</v>
      </c>
      <c r="C5786" s="2">
        <v>0</v>
      </c>
      <c r="D5786" s="2">
        <v>0.19239999999999999</v>
      </c>
      <c r="E5786" s="2">
        <v>0</v>
      </c>
      <c r="F5786" s="2" t="s">
        <v>168</v>
      </c>
    </row>
    <row r="5787" spans="1:6" ht="22.5" hidden="1" customHeight="1" x14ac:dyDescent="0.25">
      <c r="A5787" s="3">
        <v>44228</v>
      </c>
      <c r="B5787" s="2" t="s">
        <v>262</v>
      </c>
      <c r="C5787" s="2">
        <v>0</v>
      </c>
      <c r="D5787" s="2">
        <v>3.8399999999999997E-2</v>
      </c>
      <c r="E5787" s="2">
        <v>0</v>
      </c>
      <c r="F5787" s="2" t="s">
        <v>168</v>
      </c>
    </row>
    <row r="5788" spans="1:6" ht="22.5" hidden="1" customHeight="1" x14ac:dyDescent="0.25">
      <c r="A5788" s="3">
        <v>44228</v>
      </c>
      <c r="B5788" s="2" t="s">
        <v>266</v>
      </c>
      <c r="C5788" s="2">
        <v>0</v>
      </c>
      <c r="D5788" s="2">
        <v>7.2099999999999997E-2</v>
      </c>
      <c r="E5788" s="2">
        <v>0</v>
      </c>
      <c r="F5788" s="2" t="s">
        <v>168</v>
      </c>
    </row>
    <row r="5789" spans="1:6" ht="22.5" hidden="1" customHeight="1" x14ac:dyDescent="0.25">
      <c r="A5789" s="3">
        <v>44228</v>
      </c>
      <c r="B5789" s="2" t="s">
        <v>273</v>
      </c>
      <c r="C5789" s="2">
        <v>0</v>
      </c>
      <c r="D5789" s="2">
        <v>0.12089999999999999</v>
      </c>
      <c r="E5789" s="2">
        <v>0</v>
      </c>
      <c r="F5789" s="2" t="s">
        <v>168</v>
      </c>
    </row>
    <row r="5790" spans="1:6" ht="22.5" hidden="1" customHeight="1" x14ac:dyDescent="0.25">
      <c r="A5790" s="3">
        <v>44228</v>
      </c>
      <c r="B5790" s="2" t="s">
        <v>340</v>
      </c>
      <c r="C5790" s="2">
        <v>0</v>
      </c>
      <c r="D5790" s="2">
        <v>0.50719999999999998</v>
      </c>
      <c r="E5790" s="2">
        <v>0</v>
      </c>
      <c r="F5790" s="2" t="s">
        <v>168</v>
      </c>
    </row>
    <row r="5791" spans="1:6" ht="22.5" hidden="1" customHeight="1" x14ac:dyDescent="0.25">
      <c r="A5791" s="3">
        <v>44228</v>
      </c>
      <c r="B5791" s="2" t="s">
        <v>365</v>
      </c>
      <c r="C5791" s="2">
        <v>0</v>
      </c>
      <c r="D5791" s="2">
        <v>6.8199999999999997E-2</v>
      </c>
      <c r="E5791" s="2">
        <v>0</v>
      </c>
      <c r="F5791" s="2" t="s">
        <v>168</v>
      </c>
    </row>
    <row r="5792" spans="1:6" ht="22.5" hidden="1" customHeight="1" x14ac:dyDescent="0.25">
      <c r="A5792" s="3">
        <v>44228</v>
      </c>
      <c r="B5792" s="2" t="s">
        <v>366</v>
      </c>
      <c r="C5792" s="2">
        <v>0</v>
      </c>
      <c r="D5792" s="2">
        <v>0.26240000000000002</v>
      </c>
      <c r="E5792" s="2">
        <v>0</v>
      </c>
      <c r="F5792" s="2" t="s">
        <v>168</v>
      </c>
    </row>
    <row r="5793" spans="1:6" ht="22.5" hidden="1" customHeight="1" x14ac:dyDescent="0.25">
      <c r="A5793" s="3">
        <v>44228</v>
      </c>
      <c r="B5793" s="2" t="s">
        <v>367</v>
      </c>
      <c r="C5793" s="2">
        <v>0</v>
      </c>
      <c r="D5793" s="2">
        <v>1.5468</v>
      </c>
      <c r="E5793" s="2">
        <v>0</v>
      </c>
      <c r="F5793" s="2" t="s">
        <v>168</v>
      </c>
    </row>
    <row r="5794" spans="1:6" ht="22.5" hidden="1" customHeight="1" x14ac:dyDescent="0.25">
      <c r="A5794" s="3">
        <v>44256</v>
      </c>
      <c r="B5794" s="2" t="s">
        <v>261</v>
      </c>
      <c r="C5794" s="2">
        <v>0</v>
      </c>
      <c r="D5794" s="2">
        <v>0.1915</v>
      </c>
      <c r="E5794" s="2">
        <v>0</v>
      </c>
      <c r="F5794" s="2" t="s">
        <v>168</v>
      </c>
    </row>
    <row r="5795" spans="1:6" ht="22.5" hidden="1" customHeight="1" x14ac:dyDescent="0.25">
      <c r="A5795" s="3">
        <v>44256</v>
      </c>
      <c r="B5795" s="2" t="s">
        <v>266</v>
      </c>
      <c r="C5795" s="2">
        <v>0</v>
      </c>
      <c r="D5795" s="2">
        <v>7.1800000000000003E-2</v>
      </c>
      <c r="E5795" s="2">
        <v>0</v>
      </c>
      <c r="F5795" s="2" t="s">
        <v>168</v>
      </c>
    </row>
    <row r="5796" spans="1:6" ht="22.5" hidden="1" customHeight="1" x14ac:dyDescent="0.25">
      <c r="A5796" s="3">
        <v>44256</v>
      </c>
      <c r="B5796" s="2" t="s">
        <v>273</v>
      </c>
      <c r="C5796" s="2">
        <v>0</v>
      </c>
      <c r="D5796" s="2">
        <v>0.12039999999999999</v>
      </c>
      <c r="E5796" s="2">
        <v>0</v>
      </c>
      <c r="F5796" s="2" t="s">
        <v>168</v>
      </c>
    </row>
    <row r="5797" spans="1:6" ht="22.5" hidden="1" customHeight="1" x14ac:dyDescent="0.25">
      <c r="A5797" s="3">
        <v>44256</v>
      </c>
      <c r="B5797" s="2" t="s">
        <v>340</v>
      </c>
      <c r="C5797" s="2">
        <v>0</v>
      </c>
      <c r="D5797" s="2">
        <v>0.50470000000000004</v>
      </c>
      <c r="E5797" s="2">
        <v>0</v>
      </c>
      <c r="F5797" s="2" t="s">
        <v>168</v>
      </c>
    </row>
    <row r="5798" spans="1:6" ht="22.5" hidden="1" customHeight="1" x14ac:dyDescent="0.25">
      <c r="A5798" s="3">
        <v>44256</v>
      </c>
      <c r="B5798" s="2" t="s">
        <v>365</v>
      </c>
      <c r="C5798" s="2">
        <v>0</v>
      </c>
      <c r="D5798" s="2">
        <v>6.7799999999999999E-2</v>
      </c>
      <c r="E5798" s="2">
        <v>0</v>
      </c>
      <c r="F5798" s="2" t="s">
        <v>168</v>
      </c>
    </row>
    <row r="5799" spans="1:6" ht="22.5" hidden="1" customHeight="1" x14ac:dyDescent="0.25">
      <c r="A5799" s="3">
        <v>44256</v>
      </c>
      <c r="B5799" s="2" t="s">
        <v>366</v>
      </c>
      <c r="C5799" s="2">
        <v>0</v>
      </c>
      <c r="D5799" s="2">
        <v>0.26129999999999998</v>
      </c>
      <c r="E5799" s="2">
        <v>0</v>
      </c>
      <c r="F5799" s="2" t="s">
        <v>168</v>
      </c>
    </row>
    <row r="5800" spans="1:6" ht="22.5" hidden="1" customHeight="1" x14ac:dyDescent="0.25">
      <c r="A5800" s="3">
        <v>44256</v>
      </c>
      <c r="B5800" s="2" t="s">
        <v>367</v>
      </c>
      <c r="C5800" s="2">
        <v>0</v>
      </c>
      <c r="D5800" s="2">
        <v>1.5397000000000001</v>
      </c>
      <c r="E5800" s="2">
        <v>0</v>
      </c>
      <c r="F5800" s="2" t="s">
        <v>168</v>
      </c>
    </row>
    <row r="5801" spans="1:6" ht="22.5" hidden="1" customHeight="1" x14ac:dyDescent="0.25">
      <c r="A5801" s="3">
        <v>44287</v>
      </c>
      <c r="B5801" s="2" t="s">
        <v>167</v>
      </c>
      <c r="C5801" s="2">
        <v>0</v>
      </c>
      <c r="D5801" s="2">
        <v>1.7662</v>
      </c>
      <c r="E5801" s="2">
        <v>0</v>
      </c>
      <c r="F5801" s="2" t="s">
        <v>168</v>
      </c>
    </row>
    <row r="5802" spans="1:6" ht="22.5" hidden="1" customHeight="1" x14ac:dyDescent="0.25">
      <c r="A5802" s="3">
        <v>44287</v>
      </c>
      <c r="B5802" s="2" t="s">
        <v>260</v>
      </c>
      <c r="C5802" s="2">
        <v>0</v>
      </c>
      <c r="D5802" s="2">
        <v>1.3192999999999999</v>
      </c>
      <c r="E5802" s="2">
        <v>0</v>
      </c>
      <c r="F5802" s="2" t="s">
        <v>168</v>
      </c>
    </row>
    <row r="5803" spans="1:6" ht="22.5" hidden="1" customHeight="1" x14ac:dyDescent="0.25">
      <c r="A5803" s="3">
        <v>44317</v>
      </c>
      <c r="B5803" s="2" t="s">
        <v>302</v>
      </c>
      <c r="C5803" s="2">
        <v>-1.22</v>
      </c>
      <c r="D5803" s="2">
        <v>0.28389999999999999</v>
      </c>
      <c r="E5803" s="2">
        <v>-3.46358E-3</v>
      </c>
      <c r="F5803" s="2" t="s">
        <v>170</v>
      </c>
    </row>
    <row r="5804" spans="1:6" ht="22.5" hidden="1" customHeight="1" x14ac:dyDescent="0.25">
      <c r="A5804" s="3">
        <v>44317</v>
      </c>
      <c r="B5804" s="2" t="s">
        <v>303</v>
      </c>
      <c r="C5804" s="2">
        <v>0.04</v>
      </c>
      <c r="D5804" s="2">
        <v>0.53820000000000001</v>
      </c>
      <c r="E5804" s="2">
        <v>2.1528000000000001E-4</v>
      </c>
      <c r="F5804" s="2" t="s">
        <v>165</v>
      </c>
    </row>
    <row r="5805" spans="1:6" ht="22.5" hidden="1" customHeight="1" x14ac:dyDescent="0.25">
      <c r="A5805" s="3">
        <v>44317</v>
      </c>
      <c r="B5805" s="2" t="s">
        <v>304</v>
      </c>
      <c r="C5805" s="2">
        <v>0.14000000000000001</v>
      </c>
      <c r="D5805" s="2">
        <v>0.52039999999999997</v>
      </c>
      <c r="E5805" s="2">
        <v>7.2855999999999995E-4</v>
      </c>
      <c r="F5805" s="2" t="s">
        <v>165</v>
      </c>
    </row>
    <row r="5806" spans="1:6" ht="22.5" hidden="1" customHeight="1" x14ac:dyDescent="0.25">
      <c r="A5806" s="3">
        <v>44317</v>
      </c>
      <c r="B5806" s="2" t="s">
        <v>305</v>
      </c>
      <c r="C5806" s="2">
        <v>0.03</v>
      </c>
      <c r="D5806" s="2">
        <v>1.8100000000000002E-2</v>
      </c>
      <c r="E5806" s="2">
        <v>5.4299999999999997E-6</v>
      </c>
      <c r="F5806" s="2" t="s">
        <v>170</v>
      </c>
    </row>
    <row r="5807" spans="1:6" ht="22.5" hidden="1" customHeight="1" x14ac:dyDescent="0.25">
      <c r="A5807" s="3">
        <v>44317</v>
      </c>
      <c r="B5807" s="2" t="s">
        <v>306</v>
      </c>
      <c r="C5807" s="2">
        <v>0.38</v>
      </c>
      <c r="D5807" s="2">
        <v>4.8399999999999999E-2</v>
      </c>
      <c r="E5807" s="2">
        <v>1.8391999999999999E-4</v>
      </c>
      <c r="F5807" s="2" t="s">
        <v>165</v>
      </c>
    </row>
    <row r="5808" spans="1:6" ht="22.5" hidden="1" customHeight="1" x14ac:dyDescent="0.25">
      <c r="A5808" s="3">
        <v>44317</v>
      </c>
      <c r="B5808" s="2" t="s">
        <v>307</v>
      </c>
      <c r="C5808" s="2">
        <v>0.66</v>
      </c>
      <c r="D5808" s="2">
        <v>0.1072</v>
      </c>
      <c r="E5808" s="2">
        <v>7.0752E-4</v>
      </c>
      <c r="F5808" s="2" t="s">
        <v>165</v>
      </c>
    </row>
    <row r="5809" spans="1:6" ht="22.5" hidden="1" customHeight="1" x14ac:dyDescent="0.25">
      <c r="A5809" s="3">
        <v>44317</v>
      </c>
      <c r="B5809" s="2" t="s">
        <v>308</v>
      </c>
      <c r="C5809" s="2">
        <v>0.46</v>
      </c>
      <c r="D5809" s="2">
        <v>0.36630000000000001</v>
      </c>
      <c r="E5809" s="2">
        <v>1.68498E-3</v>
      </c>
      <c r="F5809" s="2" t="s">
        <v>165</v>
      </c>
    </row>
    <row r="5810" spans="1:6" ht="22.5" hidden="1" customHeight="1" x14ac:dyDescent="0.25">
      <c r="A5810" s="3">
        <v>44317</v>
      </c>
      <c r="B5810" s="2" t="s">
        <v>309</v>
      </c>
      <c r="C5810" s="2">
        <v>0.24</v>
      </c>
      <c r="D5810" s="2">
        <v>0.12920000000000001</v>
      </c>
      <c r="E5810" s="2">
        <v>3.1008000000000001E-4</v>
      </c>
      <c r="F5810" s="2" t="s">
        <v>165</v>
      </c>
    </row>
    <row r="5811" spans="1:6" ht="22.5" hidden="1" customHeight="1" x14ac:dyDescent="0.25">
      <c r="A5811" s="3">
        <v>44287</v>
      </c>
      <c r="B5811" s="2" t="s">
        <v>261</v>
      </c>
      <c r="C5811" s="2">
        <v>0</v>
      </c>
      <c r="D5811" s="2">
        <v>0.18990000000000001</v>
      </c>
      <c r="E5811" s="2">
        <v>0</v>
      </c>
      <c r="F5811" s="2" t="s">
        <v>168</v>
      </c>
    </row>
    <row r="5812" spans="1:6" ht="22.5" hidden="1" customHeight="1" x14ac:dyDescent="0.25">
      <c r="A5812" s="3">
        <v>44317</v>
      </c>
      <c r="B5812" s="2" t="s">
        <v>311</v>
      </c>
      <c r="C5812" s="2">
        <v>0.12</v>
      </c>
      <c r="D5812" s="2">
        <v>0.61060000000000003</v>
      </c>
      <c r="E5812" s="2">
        <v>7.3271999999999996E-4</v>
      </c>
      <c r="F5812" s="2" t="s">
        <v>174</v>
      </c>
    </row>
    <row r="5813" spans="1:6" ht="22.5" hidden="1" customHeight="1" x14ac:dyDescent="0.25">
      <c r="A5813" s="3">
        <v>44317</v>
      </c>
      <c r="B5813" s="2" t="s">
        <v>312</v>
      </c>
      <c r="C5813" s="2">
        <v>0.88</v>
      </c>
      <c r="D5813" s="2">
        <v>0.21060000000000001</v>
      </c>
      <c r="E5813" s="2">
        <v>1.8532799999999999E-3</v>
      </c>
      <c r="F5813" s="2" t="s">
        <v>174</v>
      </c>
    </row>
    <row r="5814" spans="1:6" ht="22.5" hidden="1" customHeight="1" x14ac:dyDescent="0.25">
      <c r="A5814" s="3">
        <v>44317</v>
      </c>
      <c r="B5814" s="2" t="s">
        <v>313</v>
      </c>
      <c r="C5814" s="2">
        <v>-0.18</v>
      </c>
      <c r="D5814" s="2">
        <v>0.12989999999999999</v>
      </c>
      <c r="E5814" s="2">
        <v>-2.3382000000000001E-4</v>
      </c>
      <c r="F5814" s="2" t="s">
        <v>174</v>
      </c>
    </row>
    <row r="5815" spans="1:6" ht="22.5" hidden="1" customHeight="1" x14ac:dyDescent="0.25">
      <c r="A5815" s="3">
        <v>44317</v>
      </c>
      <c r="B5815" s="2" t="s">
        <v>314</v>
      </c>
      <c r="C5815" s="2">
        <v>1.98</v>
      </c>
      <c r="D5815" s="2">
        <v>0.37109999999999999</v>
      </c>
      <c r="E5815" s="2">
        <v>7.3477799999999999E-3</v>
      </c>
      <c r="F5815" s="2" t="s">
        <v>174</v>
      </c>
    </row>
    <row r="5816" spans="1:6" ht="22.5" hidden="1" customHeight="1" x14ac:dyDescent="0.25">
      <c r="A5816" s="3">
        <v>44317</v>
      </c>
      <c r="B5816" s="2" t="s">
        <v>315</v>
      </c>
      <c r="C5816" s="2">
        <v>1</v>
      </c>
      <c r="D5816" s="2">
        <v>0.2606</v>
      </c>
      <c r="E5816" s="2">
        <v>2.6059999999999998E-3</v>
      </c>
      <c r="F5816" s="2" t="s">
        <v>174</v>
      </c>
    </row>
    <row r="5817" spans="1:6" ht="22.5" hidden="1" customHeight="1" x14ac:dyDescent="0.25">
      <c r="A5817" s="3">
        <v>44317</v>
      </c>
      <c r="B5817" s="2" t="s">
        <v>316</v>
      </c>
      <c r="C5817" s="2">
        <v>1.67</v>
      </c>
      <c r="D5817" s="2">
        <v>3.7000000000000002E-3</v>
      </c>
      <c r="E5817" s="2">
        <v>6.1790000000000003E-5</v>
      </c>
      <c r="F5817" s="2" t="s">
        <v>174</v>
      </c>
    </row>
    <row r="5818" spans="1:6" ht="22.5" hidden="1" customHeight="1" x14ac:dyDescent="0.25">
      <c r="A5818" s="3">
        <v>44317</v>
      </c>
      <c r="B5818" s="2" t="s">
        <v>317</v>
      </c>
      <c r="C5818" s="2">
        <v>2.4</v>
      </c>
      <c r="D5818" s="2">
        <v>1.0115000000000001</v>
      </c>
      <c r="E5818" s="2">
        <v>2.4275999999999999E-2</v>
      </c>
      <c r="F5818" s="2" t="s">
        <v>174</v>
      </c>
    </row>
    <row r="5819" spans="1:6" ht="22.5" hidden="1" customHeight="1" x14ac:dyDescent="0.25">
      <c r="A5819" s="3">
        <v>44317</v>
      </c>
      <c r="B5819" s="2" t="s">
        <v>318</v>
      </c>
      <c r="C5819" s="2">
        <v>-0.71</v>
      </c>
      <c r="D5819" s="2">
        <v>0.43890000000000001</v>
      </c>
      <c r="E5819" s="2">
        <v>-3.11619E-3</v>
      </c>
      <c r="F5819" s="2" t="s">
        <v>174</v>
      </c>
    </row>
    <row r="5820" spans="1:6" ht="22.5" hidden="1" customHeight="1" x14ac:dyDescent="0.25">
      <c r="A5820" s="3">
        <v>44317</v>
      </c>
      <c r="B5820" s="2" t="s">
        <v>319</v>
      </c>
      <c r="C5820" s="2">
        <v>-0.13</v>
      </c>
      <c r="D5820" s="2">
        <v>0.1085</v>
      </c>
      <c r="E5820" s="2">
        <v>-1.4105000000000001E-4</v>
      </c>
      <c r="F5820" s="2" t="s">
        <v>174</v>
      </c>
    </row>
    <row r="5821" spans="1:6" ht="22.5" hidden="1" customHeight="1" x14ac:dyDescent="0.25">
      <c r="A5821" s="3">
        <v>44317</v>
      </c>
      <c r="B5821" s="2" t="s">
        <v>320</v>
      </c>
      <c r="C5821" s="2">
        <v>1.39</v>
      </c>
      <c r="D5821" s="2">
        <v>0.30199999999999999</v>
      </c>
      <c r="E5821" s="2">
        <v>4.1977999999999998E-3</v>
      </c>
      <c r="F5821" s="2" t="s">
        <v>174</v>
      </c>
    </row>
    <row r="5822" spans="1:6" ht="22.5" hidden="1" customHeight="1" x14ac:dyDescent="0.25">
      <c r="A5822" s="3">
        <v>44317</v>
      </c>
      <c r="B5822" s="2" t="s">
        <v>321</v>
      </c>
      <c r="C5822" s="2">
        <v>1.95</v>
      </c>
      <c r="D5822" s="2">
        <v>0.2034</v>
      </c>
      <c r="E5822" s="2">
        <v>3.9662999999999999E-3</v>
      </c>
      <c r="F5822" s="2" t="s">
        <v>174</v>
      </c>
    </row>
    <row r="5823" spans="1:6" ht="22.5" hidden="1" customHeight="1" x14ac:dyDescent="0.25">
      <c r="A5823" s="3">
        <v>44317</v>
      </c>
      <c r="B5823" s="2" t="s">
        <v>322</v>
      </c>
      <c r="C5823" s="2">
        <v>-2.46</v>
      </c>
      <c r="D5823" s="2">
        <v>0.1608</v>
      </c>
      <c r="E5823" s="2">
        <v>-3.9556799999999996E-3</v>
      </c>
      <c r="F5823" s="2" t="s">
        <v>174</v>
      </c>
    </row>
    <row r="5824" spans="1:6" ht="22.5" hidden="1" customHeight="1" x14ac:dyDescent="0.25">
      <c r="A5824" s="3">
        <v>44317</v>
      </c>
      <c r="B5824" s="2" t="s">
        <v>323</v>
      </c>
      <c r="C5824" s="2">
        <v>0.61</v>
      </c>
      <c r="D5824" s="2">
        <v>1.09E-2</v>
      </c>
      <c r="E5824" s="2">
        <v>6.6489999999999995E-5</v>
      </c>
      <c r="F5824" s="2" t="s">
        <v>165</v>
      </c>
    </row>
    <row r="5825" spans="1:6" ht="22.5" hidden="1" customHeight="1" x14ac:dyDescent="0.25">
      <c r="A5825" s="3">
        <v>44317</v>
      </c>
      <c r="B5825" s="2" t="s">
        <v>324</v>
      </c>
      <c r="C5825" s="2">
        <v>-0.15</v>
      </c>
      <c r="D5825" s="2">
        <v>0.38429999999999997</v>
      </c>
      <c r="E5825" s="2">
        <v>-5.7645000000000005E-4</v>
      </c>
      <c r="F5825" s="2" t="s">
        <v>165</v>
      </c>
    </row>
    <row r="5826" spans="1:6" ht="22.5" hidden="1" customHeight="1" x14ac:dyDescent="0.25">
      <c r="A5826" s="3">
        <v>44317</v>
      </c>
      <c r="B5826" s="2" t="s">
        <v>325</v>
      </c>
      <c r="C5826" s="2">
        <v>0.1</v>
      </c>
      <c r="D5826" s="2">
        <v>3.0333999999999999</v>
      </c>
      <c r="E5826" s="2">
        <v>3.0333999999999999E-3</v>
      </c>
      <c r="F5826" s="2" t="s">
        <v>165</v>
      </c>
    </row>
    <row r="5827" spans="1:6" ht="22.5" hidden="1" customHeight="1" x14ac:dyDescent="0.25">
      <c r="A5827" s="3">
        <v>44317</v>
      </c>
      <c r="B5827" s="2" t="s">
        <v>326</v>
      </c>
      <c r="C5827" s="2">
        <v>0.31</v>
      </c>
      <c r="D5827" s="2">
        <v>1.0148999999999999</v>
      </c>
      <c r="E5827" s="2">
        <v>3.1461900000000001E-3</v>
      </c>
      <c r="F5827" s="2" t="s">
        <v>165</v>
      </c>
    </row>
    <row r="5828" spans="1:6" ht="22.5" hidden="1" customHeight="1" x14ac:dyDescent="0.25">
      <c r="A5828" s="3">
        <v>44317</v>
      </c>
      <c r="B5828" s="2" t="s">
        <v>327</v>
      </c>
      <c r="C5828" s="2">
        <v>0.52</v>
      </c>
      <c r="D5828" s="2">
        <v>5.9799999999999999E-2</v>
      </c>
      <c r="E5828" s="2">
        <v>3.1095999999999999E-4</v>
      </c>
      <c r="F5828" s="2" t="s">
        <v>165</v>
      </c>
    </row>
    <row r="5829" spans="1:6" ht="22.5" hidden="1" customHeight="1" x14ac:dyDescent="0.25">
      <c r="A5829" s="3">
        <v>44317</v>
      </c>
      <c r="B5829" s="2" t="s">
        <v>328</v>
      </c>
      <c r="C5829" s="2">
        <v>0</v>
      </c>
      <c r="D5829" s="2">
        <v>1.9099999999999999E-2</v>
      </c>
      <c r="E5829" s="2">
        <v>0</v>
      </c>
      <c r="F5829" s="2" t="s">
        <v>165</v>
      </c>
    </row>
    <row r="5830" spans="1:6" ht="22.5" hidden="1" customHeight="1" x14ac:dyDescent="0.25">
      <c r="A5830" s="3">
        <v>44317</v>
      </c>
      <c r="B5830" s="2" t="s">
        <v>329</v>
      </c>
      <c r="C5830" s="2">
        <v>0.47</v>
      </c>
      <c r="D5830" s="2">
        <v>9.5399999999999999E-2</v>
      </c>
      <c r="E5830" s="2">
        <v>4.4838000000000001E-4</v>
      </c>
      <c r="F5830" s="2" t="s">
        <v>165</v>
      </c>
    </row>
    <row r="5831" spans="1:6" ht="22.5" hidden="1" customHeight="1" x14ac:dyDescent="0.25">
      <c r="A5831" s="3">
        <v>44317</v>
      </c>
      <c r="B5831" s="2" t="s">
        <v>330</v>
      </c>
      <c r="C5831" s="2">
        <v>0.17</v>
      </c>
      <c r="D5831" s="2">
        <v>1.7362</v>
      </c>
      <c r="E5831" s="2">
        <v>2.9515399999999999E-3</v>
      </c>
      <c r="F5831" s="2" t="s">
        <v>165</v>
      </c>
    </row>
    <row r="5832" spans="1:6" ht="22.5" hidden="1" customHeight="1" x14ac:dyDescent="0.25">
      <c r="A5832" s="3">
        <v>44317</v>
      </c>
      <c r="B5832" s="2" t="s">
        <v>331</v>
      </c>
      <c r="C5832" s="2">
        <v>0.06</v>
      </c>
      <c r="D5832" s="2">
        <v>5.6300000000000003E-2</v>
      </c>
      <c r="E5832" s="2">
        <v>3.3779999999999998E-5</v>
      </c>
      <c r="F5832" s="2" t="s">
        <v>165</v>
      </c>
    </row>
    <row r="5833" spans="1:6" ht="22.5" hidden="1" customHeight="1" x14ac:dyDescent="0.25">
      <c r="A5833" s="3">
        <v>44317</v>
      </c>
      <c r="B5833" s="2" t="s">
        <v>332</v>
      </c>
      <c r="C5833" s="2">
        <v>0.05</v>
      </c>
      <c r="D5833" s="2">
        <v>0.1081</v>
      </c>
      <c r="E5833" s="2">
        <v>5.4049999999999999E-5</v>
      </c>
      <c r="F5833" s="2" t="s">
        <v>165</v>
      </c>
    </row>
    <row r="5834" spans="1:6" ht="22.5" hidden="1" customHeight="1" x14ac:dyDescent="0.25">
      <c r="A5834" s="3">
        <v>44317</v>
      </c>
      <c r="B5834" s="2" t="s">
        <v>333</v>
      </c>
      <c r="C5834" s="2">
        <v>0.02</v>
      </c>
      <c r="D5834" s="2">
        <v>8.2400000000000001E-2</v>
      </c>
      <c r="E5834" s="2">
        <v>1.6480000000000001E-5</v>
      </c>
      <c r="F5834" s="2" t="s">
        <v>165</v>
      </c>
    </row>
    <row r="5835" spans="1:6" ht="22.5" hidden="1" customHeight="1" x14ac:dyDescent="0.25">
      <c r="A5835" s="3">
        <v>44317</v>
      </c>
      <c r="B5835" s="2" t="s">
        <v>334</v>
      </c>
      <c r="C5835" s="2">
        <v>-0.15</v>
      </c>
      <c r="D5835" s="2">
        <v>2.12E-2</v>
      </c>
      <c r="E5835" s="2">
        <v>-3.18E-5</v>
      </c>
      <c r="F5835" s="2" t="s">
        <v>170</v>
      </c>
    </row>
    <row r="5836" spans="1:6" ht="22.5" hidden="1" customHeight="1" x14ac:dyDescent="0.25">
      <c r="A5836" s="3">
        <v>44317</v>
      </c>
      <c r="B5836" s="2" t="s">
        <v>335</v>
      </c>
      <c r="C5836" s="2">
        <v>-1.38</v>
      </c>
      <c r="D5836" s="2">
        <v>0.28939999999999999</v>
      </c>
      <c r="E5836" s="2">
        <v>-3.9937200000000001E-3</v>
      </c>
      <c r="F5836" s="2" t="s">
        <v>165</v>
      </c>
    </row>
    <row r="5837" spans="1:6" ht="22.5" hidden="1" customHeight="1" x14ac:dyDescent="0.25">
      <c r="A5837" s="3">
        <v>44317</v>
      </c>
      <c r="B5837" s="2" t="s">
        <v>336</v>
      </c>
      <c r="C5837" s="2">
        <v>1.33</v>
      </c>
      <c r="D5837" s="2">
        <v>0.1021</v>
      </c>
      <c r="E5837" s="2">
        <v>1.35793E-3</v>
      </c>
      <c r="F5837" s="2" t="s">
        <v>170</v>
      </c>
    </row>
    <row r="5838" spans="1:6" ht="22.5" hidden="1" customHeight="1" x14ac:dyDescent="0.25">
      <c r="A5838" s="3">
        <v>44317</v>
      </c>
      <c r="B5838" s="2" t="s">
        <v>337</v>
      </c>
      <c r="C5838" s="2">
        <v>2.58</v>
      </c>
      <c r="D5838" s="2">
        <v>0.3458</v>
      </c>
      <c r="E5838" s="2">
        <v>8.9216399999999998E-3</v>
      </c>
      <c r="F5838" s="2" t="s">
        <v>174</v>
      </c>
    </row>
    <row r="5839" spans="1:6" ht="22.5" hidden="1" customHeight="1" x14ac:dyDescent="0.25">
      <c r="A5839" s="3">
        <v>44317</v>
      </c>
      <c r="B5839" s="2" t="s">
        <v>338</v>
      </c>
      <c r="C5839" s="2">
        <v>1.54</v>
      </c>
      <c r="D5839" s="2">
        <v>0.1956</v>
      </c>
      <c r="E5839" s="2">
        <v>3.0122399999999998E-3</v>
      </c>
      <c r="F5839" s="2" t="s">
        <v>174</v>
      </c>
    </row>
    <row r="5840" spans="1:6" ht="22.5" hidden="1" customHeight="1" x14ac:dyDescent="0.25">
      <c r="A5840" s="3">
        <v>44317</v>
      </c>
      <c r="B5840" s="2" t="s">
        <v>339</v>
      </c>
      <c r="C5840" s="2">
        <v>-0.14000000000000001</v>
      </c>
      <c r="D5840" s="2">
        <v>4.2099999999999999E-2</v>
      </c>
      <c r="E5840" s="2">
        <v>-5.8940000000000002E-5</v>
      </c>
      <c r="F5840" s="2" t="s">
        <v>165</v>
      </c>
    </row>
    <row r="5841" spans="1:6" ht="22.5" hidden="1" customHeight="1" x14ac:dyDescent="0.25">
      <c r="A5841" s="3">
        <v>44287</v>
      </c>
      <c r="B5841" s="2" t="s">
        <v>266</v>
      </c>
      <c r="C5841" s="2">
        <v>0</v>
      </c>
      <c r="D5841" s="2">
        <v>7.1300000000000002E-2</v>
      </c>
      <c r="E5841" s="2">
        <v>0</v>
      </c>
      <c r="F5841" s="2" t="s">
        <v>168</v>
      </c>
    </row>
    <row r="5842" spans="1:6" ht="22.5" hidden="1" customHeight="1" x14ac:dyDescent="0.25">
      <c r="A5842" s="3">
        <v>44317</v>
      </c>
      <c r="B5842" s="2" t="s">
        <v>341</v>
      </c>
      <c r="C5842" s="2">
        <v>0.86</v>
      </c>
      <c r="D5842" s="2">
        <v>1.15E-2</v>
      </c>
      <c r="E5842" s="2">
        <v>9.8900000000000005E-5</v>
      </c>
      <c r="F5842" s="2" t="s">
        <v>174</v>
      </c>
    </row>
    <row r="5843" spans="1:6" ht="22.5" hidden="1" customHeight="1" x14ac:dyDescent="0.25">
      <c r="A5843" s="3">
        <v>44317</v>
      </c>
      <c r="B5843" s="2" t="s">
        <v>342</v>
      </c>
      <c r="C5843" s="2">
        <v>0.17</v>
      </c>
      <c r="D5843" s="2">
        <v>0.50619999999999998</v>
      </c>
      <c r="E5843" s="2">
        <v>8.6054000000000002E-4</v>
      </c>
      <c r="F5843" s="2" t="s">
        <v>165</v>
      </c>
    </row>
    <row r="5844" spans="1:6" ht="22.5" hidden="1" customHeight="1" x14ac:dyDescent="0.25">
      <c r="A5844" s="3">
        <v>44317</v>
      </c>
      <c r="B5844" s="2" t="s">
        <v>343</v>
      </c>
      <c r="C5844" s="2">
        <v>-2.33</v>
      </c>
      <c r="D5844" s="2">
        <v>0.4753</v>
      </c>
      <c r="E5844" s="2">
        <v>-1.1074489999999999E-2</v>
      </c>
      <c r="F5844" s="2" t="s">
        <v>165</v>
      </c>
    </row>
    <row r="5845" spans="1:6" ht="22.5" hidden="1" customHeight="1" x14ac:dyDescent="0.25">
      <c r="A5845" s="3">
        <v>44317</v>
      </c>
      <c r="B5845" s="2" t="s">
        <v>344</v>
      </c>
      <c r="C5845" s="2">
        <v>0.2</v>
      </c>
      <c r="D5845" s="2">
        <v>0.1439</v>
      </c>
      <c r="E5845" s="2">
        <v>2.878E-4</v>
      </c>
      <c r="F5845" s="2" t="s">
        <v>165</v>
      </c>
    </row>
    <row r="5846" spans="1:6" ht="22.5" hidden="1" customHeight="1" x14ac:dyDescent="0.25">
      <c r="A5846" s="3">
        <v>44317</v>
      </c>
      <c r="B5846" s="2" t="s">
        <v>345</v>
      </c>
      <c r="C5846" s="2">
        <v>0.02</v>
      </c>
      <c r="D5846" s="2">
        <v>0.51139999999999997</v>
      </c>
      <c r="E5846" s="2">
        <v>1.0228E-4</v>
      </c>
      <c r="F5846" s="2" t="s">
        <v>165</v>
      </c>
    </row>
    <row r="5847" spans="1:6" ht="22.5" hidden="1" customHeight="1" x14ac:dyDescent="0.25">
      <c r="A5847" s="3">
        <v>44317</v>
      </c>
      <c r="B5847" s="2" t="s">
        <v>346</v>
      </c>
      <c r="C5847" s="2">
        <v>7.0000000000000007E-2</v>
      </c>
      <c r="D5847" s="2">
        <v>0.54430000000000001</v>
      </c>
      <c r="E5847" s="2">
        <v>3.8100999999999999E-4</v>
      </c>
      <c r="F5847" s="2" t="s">
        <v>174</v>
      </c>
    </row>
    <row r="5848" spans="1:6" ht="22.5" hidden="1" customHeight="1" x14ac:dyDescent="0.25">
      <c r="A5848" s="3">
        <v>44317</v>
      </c>
      <c r="B5848" s="2" t="s">
        <v>347</v>
      </c>
      <c r="C5848" s="2">
        <v>0</v>
      </c>
      <c r="D5848" s="2">
        <v>0.1946</v>
      </c>
      <c r="E5848" s="2">
        <v>0</v>
      </c>
      <c r="F5848" s="2" t="s">
        <v>165</v>
      </c>
    </row>
    <row r="5849" spans="1:6" ht="22.5" hidden="1" customHeight="1" x14ac:dyDescent="0.25">
      <c r="A5849" s="3">
        <v>44317</v>
      </c>
      <c r="B5849" s="2" t="s">
        <v>348</v>
      </c>
      <c r="C5849" s="2">
        <v>0</v>
      </c>
      <c r="D5849" s="2">
        <v>0.32329999999999998</v>
      </c>
      <c r="E5849" s="2">
        <v>0</v>
      </c>
      <c r="F5849" s="2" t="s">
        <v>165</v>
      </c>
    </row>
    <row r="5850" spans="1:6" ht="22.5" hidden="1" customHeight="1" x14ac:dyDescent="0.25">
      <c r="A5850" s="3">
        <v>44317</v>
      </c>
      <c r="B5850" s="2" t="s">
        <v>349</v>
      </c>
      <c r="C5850" s="2">
        <v>0</v>
      </c>
      <c r="D5850" s="2">
        <v>1.5439000000000001</v>
      </c>
      <c r="E5850" s="2">
        <v>0</v>
      </c>
      <c r="F5850" s="2" t="s">
        <v>165</v>
      </c>
    </row>
    <row r="5851" spans="1:6" ht="22.5" hidden="1" customHeight="1" x14ac:dyDescent="0.25">
      <c r="A5851" s="3">
        <v>44317</v>
      </c>
      <c r="B5851" s="2" t="s">
        <v>350</v>
      </c>
      <c r="C5851" s="2">
        <v>0</v>
      </c>
      <c r="D5851" s="2">
        <v>0.3901</v>
      </c>
      <c r="E5851" s="2">
        <v>0</v>
      </c>
      <c r="F5851" s="2" t="s">
        <v>165</v>
      </c>
    </row>
    <row r="5852" spans="1:6" ht="22.5" hidden="1" customHeight="1" x14ac:dyDescent="0.25">
      <c r="A5852" s="3">
        <v>44317</v>
      </c>
      <c r="B5852" s="2" t="s">
        <v>351</v>
      </c>
      <c r="C5852" s="2">
        <v>0</v>
      </c>
      <c r="D5852" s="2">
        <v>1.7263999999999999</v>
      </c>
      <c r="E5852" s="2">
        <v>0</v>
      </c>
      <c r="F5852" s="2" t="s">
        <v>165</v>
      </c>
    </row>
    <row r="5853" spans="1:6" ht="22.5" hidden="1" customHeight="1" x14ac:dyDescent="0.25">
      <c r="A5853" s="3">
        <v>44317</v>
      </c>
      <c r="B5853" s="2" t="s">
        <v>352</v>
      </c>
      <c r="C5853" s="2">
        <v>0</v>
      </c>
      <c r="D5853" s="2">
        <v>0.28110000000000002</v>
      </c>
      <c r="E5853" s="2">
        <v>0</v>
      </c>
      <c r="F5853" s="2" t="s">
        <v>165</v>
      </c>
    </row>
    <row r="5854" spans="1:6" ht="22.5" hidden="1" customHeight="1" x14ac:dyDescent="0.25">
      <c r="A5854" s="3">
        <v>44317</v>
      </c>
      <c r="B5854" s="2" t="s">
        <v>353</v>
      </c>
      <c r="C5854" s="2">
        <v>0</v>
      </c>
      <c r="D5854" s="2">
        <v>4.1799999999999997E-2</v>
      </c>
      <c r="E5854" s="2">
        <v>0</v>
      </c>
      <c r="F5854" s="2" t="s">
        <v>165</v>
      </c>
    </row>
    <row r="5855" spans="1:6" ht="22.5" hidden="1" customHeight="1" x14ac:dyDescent="0.25">
      <c r="A5855" s="3">
        <v>44317</v>
      </c>
      <c r="B5855" s="2" t="s">
        <v>354</v>
      </c>
      <c r="C5855" s="2">
        <v>0</v>
      </c>
      <c r="D5855" s="2">
        <v>3.0700000000000002E-2</v>
      </c>
      <c r="E5855" s="2">
        <v>0</v>
      </c>
      <c r="F5855" s="2" t="s">
        <v>165</v>
      </c>
    </row>
    <row r="5856" spans="1:6" ht="22.5" hidden="1" customHeight="1" x14ac:dyDescent="0.25">
      <c r="A5856" s="3">
        <v>44317</v>
      </c>
      <c r="B5856" s="2" t="s">
        <v>355</v>
      </c>
      <c r="C5856" s="2">
        <v>0</v>
      </c>
      <c r="D5856" s="2">
        <v>2.8799999999999999E-2</v>
      </c>
      <c r="E5856" s="2">
        <v>0</v>
      </c>
      <c r="F5856" s="2" t="s">
        <v>174</v>
      </c>
    </row>
    <row r="5857" spans="1:6" ht="22.5" hidden="1" customHeight="1" x14ac:dyDescent="0.25">
      <c r="A5857" s="3">
        <v>44317</v>
      </c>
      <c r="B5857" s="2" t="s">
        <v>356</v>
      </c>
      <c r="C5857" s="2">
        <v>0</v>
      </c>
      <c r="D5857" s="2">
        <v>2.9000000000000001E-2</v>
      </c>
      <c r="E5857" s="2">
        <v>0</v>
      </c>
      <c r="F5857" s="2" t="s">
        <v>174</v>
      </c>
    </row>
    <row r="5858" spans="1:6" ht="22.5" hidden="1" customHeight="1" x14ac:dyDescent="0.25">
      <c r="A5858" s="3">
        <v>44317</v>
      </c>
      <c r="B5858" s="2" t="s">
        <v>357</v>
      </c>
      <c r="C5858" s="2">
        <v>0</v>
      </c>
      <c r="D5858" s="2">
        <v>0.36730000000000002</v>
      </c>
      <c r="E5858" s="2">
        <v>0</v>
      </c>
      <c r="F5858" s="2" t="s">
        <v>174</v>
      </c>
    </row>
    <row r="5859" spans="1:6" ht="22.5" hidden="1" customHeight="1" x14ac:dyDescent="0.25">
      <c r="A5859" s="3">
        <v>44317</v>
      </c>
      <c r="B5859" s="2" t="s">
        <v>358</v>
      </c>
      <c r="C5859" s="2">
        <v>1.55</v>
      </c>
      <c r="D5859" s="2">
        <v>9.1700000000000004E-2</v>
      </c>
      <c r="E5859" s="2">
        <v>1.42135E-3</v>
      </c>
      <c r="F5859" s="2" t="s">
        <v>174</v>
      </c>
    </row>
    <row r="5860" spans="1:6" ht="22.5" hidden="1" customHeight="1" x14ac:dyDescent="0.25">
      <c r="A5860" s="3">
        <v>44317</v>
      </c>
      <c r="B5860" s="2" t="s">
        <v>359</v>
      </c>
      <c r="C5860" s="2">
        <v>1.38</v>
      </c>
      <c r="D5860" s="2">
        <v>4.7300000000000002E-2</v>
      </c>
      <c r="E5860" s="2">
        <v>6.5273999999999996E-4</v>
      </c>
      <c r="F5860" s="2" t="s">
        <v>174</v>
      </c>
    </row>
    <row r="5861" spans="1:6" ht="22.5" hidden="1" customHeight="1" x14ac:dyDescent="0.25">
      <c r="A5861" s="3">
        <v>44317</v>
      </c>
      <c r="B5861" s="2" t="s">
        <v>360</v>
      </c>
      <c r="C5861" s="2">
        <v>0.59</v>
      </c>
      <c r="D5861" s="2">
        <v>8.8400000000000006E-2</v>
      </c>
      <c r="E5861" s="2">
        <v>5.2156000000000001E-4</v>
      </c>
      <c r="F5861" s="2" t="s">
        <v>174</v>
      </c>
    </row>
    <row r="5862" spans="1:6" ht="22.5" hidden="1" customHeight="1" x14ac:dyDescent="0.25">
      <c r="A5862" s="3">
        <v>44317</v>
      </c>
      <c r="B5862" s="2" t="s">
        <v>361</v>
      </c>
      <c r="C5862" s="2">
        <v>0</v>
      </c>
      <c r="D5862" s="2">
        <v>7.5700000000000003E-2</v>
      </c>
      <c r="E5862" s="2">
        <v>0</v>
      </c>
      <c r="F5862" s="2" t="s">
        <v>165</v>
      </c>
    </row>
    <row r="5863" spans="1:6" ht="22.5" hidden="1" customHeight="1" x14ac:dyDescent="0.25">
      <c r="A5863" s="3">
        <v>44317</v>
      </c>
      <c r="B5863" s="2" t="s">
        <v>362</v>
      </c>
      <c r="C5863" s="2">
        <v>0</v>
      </c>
      <c r="D5863" s="2">
        <v>0.30349999999999999</v>
      </c>
      <c r="E5863" s="2">
        <v>0</v>
      </c>
      <c r="F5863" s="2" t="s">
        <v>165</v>
      </c>
    </row>
    <row r="5864" spans="1:6" ht="22.5" hidden="1" customHeight="1" x14ac:dyDescent="0.25">
      <c r="A5864" s="3">
        <v>44317</v>
      </c>
      <c r="B5864" s="2" t="s">
        <v>363</v>
      </c>
      <c r="C5864" s="2">
        <v>1.07</v>
      </c>
      <c r="D5864" s="2">
        <v>4.8899999999999999E-2</v>
      </c>
      <c r="E5864" s="2">
        <v>5.2322999999999996E-4</v>
      </c>
      <c r="F5864" s="2" t="s">
        <v>165</v>
      </c>
    </row>
    <row r="5865" spans="1:6" ht="22.5" hidden="1" customHeight="1" x14ac:dyDescent="0.25">
      <c r="A5865" s="3">
        <v>44317</v>
      </c>
      <c r="B5865" s="2" t="s">
        <v>364</v>
      </c>
      <c r="C5865" s="2">
        <v>0.4</v>
      </c>
      <c r="D5865" s="2">
        <v>0.39950000000000002</v>
      </c>
      <c r="E5865" s="2">
        <v>1.598E-3</v>
      </c>
      <c r="F5865" s="2" t="s">
        <v>165</v>
      </c>
    </row>
    <row r="5866" spans="1:6" ht="22.5" hidden="1" customHeight="1" x14ac:dyDescent="0.25">
      <c r="A5866" s="3">
        <v>44287</v>
      </c>
      <c r="B5866" s="2" t="s">
        <v>273</v>
      </c>
      <c r="C5866" s="2">
        <v>0</v>
      </c>
      <c r="D5866" s="2">
        <v>0.1192</v>
      </c>
      <c r="E5866" s="2">
        <v>0</v>
      </c>
      <c r="F5866" s="2" t="s">
        <v>168</v>
      </c>
    </row>
    <row r="5867" spans="1:6" ht="22.5" hidden="1" customHeight="1" x14ac:dyDescent="0.25">
      <c r="A5867" s="3">
        <v>44287</v>
      </c>
      <c r="B5867" s="2" t="s">
        <v>340</v>
      </c>
      <c r="C5867" s="2">
        <v>0</v>
      </c>
      <c r="D5867" s="2">
        <v>0.49980000000000002</v>
      </c>
      <c r="E5867" s="2">
        <v>0</v>
      </c>
      <c r="F5867" s="2" t="s">
        <v>168</v>
      </c>
    </row>
    <row r="5868" spans="1:6" ht="22.5" hidden="1" customHeight="1" x14ac:dyDescent="0.25">
      <c r="A5868" s="3">
        <v>44287</v>
      </c>
      <c r="B5868" s="2" t="s">
        <v>365</v>
      </c>
      <c r="C5868" s="2">
        <v>0</v>
      </c>
      <c r="D5868" s="2">
        <v>6.7199999999999996E-2</v>
      </c>
      <c r="E5868" s="2">
        <v>0</v>
      </c>
      <c r="F5868" s="2" t="s">
        <v>168</v>
      </c>
    </row>
    <row r="5869" spans="1:6" ht="22.5" hidden="1" customHeight="1" x14ac:dyDescent="0.25">
      <c r="A5869" s="3">
        <v>44317</v>
      </c>
      <c r="B5869" s="2" t="s">
        <v>368</v>
      </c>
      <c r="C5869" s="2">
        <v>0</v>
      </c>
      <c r="D5869" s="2">
        <v>0.3831</v>
      </c>
      <c r="E5869" s="2">
        <v>0</v>
      </c>
      <c r="F5869" s="2" t="s">
        <v>165</v>
      </c>
    </row>
    <row r="5870" spans="1:6" ht="22.5" hidden="1" customHeight="1" x14ac:dyDescent="0.25">
      <c r="A5870" s="3">
        <v>44317</v>
      </c>
      <c r="B5870" s="2" t="s">
        <v>369</v>
      </c>
      <c r="C5870" s="2">
        <v>0</v>
      </c>
      <c r="D5870" s="2">
        <v>0.55410000000000004</v>
      </c>
      <c r="E5870" s="2">
        <v>0</v>
      </c>
      <c r="F5870" s="2" t="s">
        <v>165</v>
      </c>
    </row>
    <row r="5871" spans="1:6" ht="22.5" hidden="1" customHeight="1" x14ac:dyDescent="0.25">
      <c r="A5871" s="3">
        <v>44317</v>
      </c>
      <c r="B5871" s="2" t="s">
        <v>370</v>
      </c>
      <c r="C5871" s="2">
        <v>-0.15</v>
      </c>
      <c r="D5871" s="2">
        <v>0.99060000000000004</v>
      </c>
      <c r="E5871" s="2">
        <v>-1.4859000000000001E-3</v>
      </c>
      <c r="F5871" s="2" t="s">
        <v>170</v>
      </c>
    </row>
    <row r="5872" spans="1:6" ht="22.5" hidden="1" customHeight="1" x14ac:dyDescent="0.25">
      <c r="A5872" s="3">
        <v>44317</v>
      </c>
      <c r="B5872" s="2" t="s">
        <v>371</v>
      </c>
      <c r="C5872" s="2">
        <v>4.82</v>
      </c>
      <c r="D5872" s="2">
        <v>6.5699999999999995E-2</v>
      </c>
      <c r="E5872" s="2">
        <v>3.1667399999999999E-3</v>
      </c>
      <c r="F5872" s="2" t="s">
        <v>165</v>
      </c>
    </row>
    <row r="5873" spans="1:6" ht="22.5" hidden="1" customHeight="1" x14ac:dyDescent="0.25">
      <c r="A5873" s="3">
        <v>44317</v>
      </c>
      <c r="B5873" s="2" t="s">
        <v>372</v>
      </c>
      <c r="C5873" s="2">
        <v>0</v>
      </c>
      <c r="D5873" s="2">
        <v>1.6757</v>
      </c>
      <c r="E5873" s="2">
        <v>0</v>
      </c>
      <c r="F5873" s="2" t="s">
        <v>165</v>
      </c>
    </row>
    <row r="5874" spans="1:6" ht="22.5" hidden="1" customHeight="1" x14ac:dyDescent="0.25">
      <c r="A5874" s="3">
        <v>44348</v>
      </c>
      <c r="B5874" s="2" t="s">
        <v>6</v>
      </c>
      <c r="C5874" s="2">
        <v>-1.91</v>
      </c>
      <c r="D5874" s="2">
        <v>0.70760000000000001</v>
      </c>
      <c r="E5874" s="2">
        <v>-1.351516E-2</v>
      </c>
      <c r="F5874" s="2" t="s">
        <v>7</v>
      </c>
    </row>
    <row r="5875" spans="1:6" ht="22.5" hidden="1" customHeight="1" x14ac:dyDescent="0.25">
      <c r="A5875" s="3">
        <v>44348</v>
      </c>
      <c r="B5875" s="2" t="s">
        <v>8</v>
      </c>
      <c r="C5875" s="2">
        <v>4.28</v>
      </c>
      <c r="D5875" s="2">
        <v>1.37E-2</v>
      </c>
      <c r="E5875" s="2">
        <v>5.8635999999999996E-4</v>
      </c>
      <c r="F5875" s="2" t="s">
        <v>7</v>
      </c>
    </row>
    <row r="5876" spans="1:6" ht="22.5" hidden="1" customHeight="1" x14ac:dyDescent="0.25">
      <c r="A5876" s="3">
        <v>44348</v>
      </c>
      <c r="B5876" s="2" t="s">
        <v>9</v>
      </c>
      <c r="C5876" s="2">
        <v>-0.39</v>
      </c>
      <c r="D5876" s="2">
        <v>7.1499999999999994E-2</v>
      </c>
      <c r="E5876" s="2">
        <v>-2.7884999999999997E-4</v>
      </c>
      <c r="F5876" s="2" t="s">
        <v>7</v>
      </c>
    </row>
    <row r="5877" spans="1:6" ht="22.5" hidden="1" customHeight="1" x14ac:dyDescent="0.25">
      <c r="A5877" s="3">
        <v>44348</v>
      </c>
      <c r="B5877" s="2" t="s">
        <v>10</v>
      </c>
      <c r="C5877" s="2">
        <v>-0.11</v>
      </c>
      <c r="D5877" s="2">
        <v>2.3199999999999998E-2</v>
      </c>
      <c r="E5877" s="2">
        <v>-2.552E-5</v>
      </c>
      <c r="F5877" s="2" t="s">
        <v>7</v>
      </c>
    </row>
    <row r="5878" spans="1:6" ht="22.5" hidden="1" customHeight="1" x14ac:dyDescent="0.25">
      <c r="A5878" s="3">
        <v>44348</v>
      </c>
      <c r="B5878" s="2" t="s">
        <v>11</v>
      </c>
      <c r="C5878" s="2">
        <v>-0.15</v>
      </c>
      <c r="D5878" s="2">
        <v>0.14630000000000001</v>
      </c>
      <c r="E5878" s="2">
        <v>-2.1944999999999999E-4</v>
      </c>
      <c r="F5878" s="2" t="s">
        <v>7</v>
      </c>
    </row>
    <row r="5879" spans="1:6" ht="22.5" hidden="1" customHeight="1" x14ac:dyDescent="0.25">
      <c r="A5879" s="3">
        <v>44348</v>
      </c>
      <c r="B5879" s="2" t="s">
        <v>12</v>
      </c>
      <c r="C5879" s="2">
        <v>0.34</v>
      </c>
      <c r="D5879" s="2">
        <v>1.0800000000000001E-2</v>
      </c>
      <c r="E5879" s="2">
        <v>3.6720000000000001E-5</v>
      </c>
      <c r="F5879" s="2" t="s">
        <v>7</v>
      </c>
    </row>
    <row r="5880" spans="1:6" ht="22.5" hidden="1" customHeight="1" x14ac:dyDescent="0.25">
      <c r="A5880" s="3">
        <v>44348</v>
      </c>
      <c r="B5880" s="2" t="s">
        <v>13</v>
      </c>
      <c r="C5880" s="2">
        <v>0.33</v>
      </c>
      <c r="D5880" s="2">
        <v>2.8999999999999998E-3</v>
      </c>
      <c r="E5880" s="2">
        <v>9.5699999999999999E-6</v>
      </c>
      <c r="F5880" s="2" t="s">
        <v>7</v>
      </c>
    </row>
    <row r="5881" spans="1:6" ht="22.5" hidden="1" customHeight="1" x14ac:dyDescent="0.25">
      <c r="A5881" s="3">
        <v>44348</v>
      </c>
      <c r="B5881" s="2" t="s">
        <v>14</v>
      </c>
      <c r="C5881" s="2">
        <v>1.35</v>
      </c>
      <c r="D5881" s="2">
        <v>0.14979999999999999</v>
      </c>
      <c r="E5881" s="2">
        <v>2.0222999999999999E-3</v>
      </c>
      <c r="F5881" s="2" t="s">
        <v>7</v>
      </c>
    </row>
    <row r="5882" spans="1:6" ht="22.5" hidden="1" customHeight="1" x14ac:dyDescent="0.25">
      <c r="A5882" s="3">
        <v>44348</v>
      </c>
      <c r="B5882" s="2" t="s">
        <v>15</v>
      </c>
      <c r="C5882" s="2">
        <v>5.68</v>
      </c>
      <c r="D5882" s="2">
        <v>7.7999999999999996E-3</v>
      </c>
      <c r="E5882" s="2">
        <v>4.4304000000000001E-4</v>
      </c>
      <c r="F5882" s="2" t="s">
        <v>7</v>
      </c>
    </row>
    <row r="5883" spans="1:6" ht="22.5" hidden="1" customHeight="1" x14ac:dyDescent="0.25">
      <c r="A5883" s="3">
        <v>44348</v>
      </c>
      <c r="B5883" s="2" t="s">
        <v>16</v>
      </c>
      <c r="C5883" s="2">
        <v>1.21</v>
      </c>
      <c r="D5883" s="2">
        <v>9.1000000000000004E-3</v>
      </c>
      <c r="E5883" s="2">
        <v>1.1011E-4</v>
      </c>
      <c r="F5883" s="2" t="s">
        <v>7</v>
      </c>
    </row>
    <row r="5884" spans="1:6" ht="22.5" hidden="1" customHeight="1" x14ac:dyDescent="0.25">
      <c r="A5884" s="3">
        <v>44348</v>
      </c>
      <c r="B5884" s="2" t="s">
        <v>17</v>
      </c>
      <c r="C5884" s="2">
        <v>0.99</v>
      </c>
      <c r="D5884" s="2">
        <v>5.1999999999999998E-2</v>
      </c>
      <c r="E5884" s="2">
        <v>5.1480000000000004E-4</v>
      </c>
      <c r="F5884" s="2" t="s">
        <v>7</v>
      </c>
    </row>
    <row r="5885" spans="1:6" ht="22.5" hidden="1" customHeight="1" x14ac:dyDescent="0.25">
      <c r="A5885" s="3">
        <v>44348</v>
      </c>
      <c r="B5885" s="2" t="s">
        <v>18</v>
      </c>
      <c r="C5885" s="2">
        <v>0.48</v>
      </c>
      <c r="D5885" s="2">
        <v>9.69E-2</v>
      </c>
      <c r="E5885" s="2">
        <v>4.6512000000000002E-4</v>
      </c>
      <c r="F5885" s="2" t="s">
        <v>7</v>
      </c>
    </row>
    <row r="5886" spans="1:6" ht="22.5" hidden="1" customHeight="1" x14ac:dyDescent="0.25">
      <c r="A5886" s="3">
        <v>44348</v>
      </c>
      <c r="B5886" s="2" t="s">
        <v>19</v>
      </c>
      <c r="C5886" s="2">
        <v>0.08</v>
      </c>
      <c r="D5886" s="2">
        <v>0.1202</v>
      </c>
      <c r="E5886" s="2">
        <v>9.6160000000000001E-5</v>
      </c>
      <c r="F5886" s="2" t="s">
        <v>7</v>
      </c>
    </row>
    <row r="5887" spans="1:6" ht="22.5" hidden="1" customHeight="1" x14ac:dyDescent="0.25">
      <c r="A5887" s="3">
        <v>44348</v>
      </c>
      <c r="B5887" s="2" t="s">
        <v>20</v>
      </c>
      <c r="C5887" s="2">
        <v>2.3199999999999998</v>
      </c>
      <c r="D5887" s="2">
        <v>2.5499999999999998E-2</v>
      </c>
      <c r="E5887" s="2">
        <v>5.9159999999999996E-4</v>
      </c>
      <c r="F5887" s="2" t="s">
        <v>7</v>
      </c>
    </row>
    <row r="5888" spans="1:6" ht="22.5" hidden="1" customHeight="1" x14ac:dyDescent="0.25">
      <c r="A5888" s="3">
        <v>44348</v>
      </c>
      <c r="B5888" s="2" t="s">
        <v>21</v>
      </c>
      <c r="C5888" s="2">
        <v>-1.89</v>
      </c>
      <c r="D5888" s="2">
        <v>3.1800000000000002E-2</v>
      </c>
      <c r="E5888" s="2">
        <v>-6.0101999999999996E-4</v>
      </c>
      <c r="F5888" s="2" t="s">
        <v>7</v>
      </c>
    </row>
    <row r="5889" spans="1:6" ht="22.5" hidden="1" customHeight="1" x14ac:dyDescent="0.25">
      <c r="A5889" s="3">
        <v>44348</v>
      </c>
      <c r="B5889" s="2" t="s">
        <v>22</v>
      </c>
      <c r="C5889" s="2">
        <v>-9.41</v>
      </c>
      <c r="D5889" s="2">
        <v>0.17699999999999999</v>
      </c>
      <c r="E5889" s="2">
        <v>-1.6655699999999999E-2</v>
      </c>
      <c r="F5889" s="2" t="s">
        <v>7</v>
      </c>
    </row>
    <row r="5890" spans="1:6" ht="22.5" hidden="1" customHeight="1" x14ac:dyDescent="0.25">
      <c r="A5890" s="3">
        <v>44348</v>
      </c>
      <c r="B5890" s="2" t="s">
        <v>23</v>
      </c>
      <c r="C5890" s="2">
        <v>-1.91</v>
      </c>
      <c r="D5890" s="2">
        <v>1.6500000000000001E-2</v>
      </c>
      <c r="E5890" s="2">
        <v>-3.1514999999999999E-4</v>
      </c>
      <c r="F5890" s="2" t="s">
        <v>7</v>
      </c>
    </row>
    <row r="5891" spans="1:6" ht="22.5" hidden="1" customHeight="1" x14ac:dyDescent="0.25">
      <c r="A5891" s="3">
        <v>44348</v>
      </c>
      <c r="B5891" s="2" t="s">
        <v>24</v>
      </c>
      <c r="C5891" s="2">
        <v>-4.45</v>
      </c>
      <c r="D5891" s="2">
        <v>8.0999999999999996E-3</v>
      </c>
      <c r="E5891" s="2">
        <v>-3.6045000000000001E-4</v>
      </c>
      <c r="F5891" s="2" t="s">
        <v>7</v>
      </c>
    </row>
    <row r="5892" spans="1:6" ht="22.5" hidden="1" customHeight="1" x14ac:dyDescent="0.25">
      <c r="A5892" s="3">
        <v>44348</v>
      </c>
      <c r="B5892" s="2" t="s">
        <v>25</v>
      </c>
      <c r="C5892" s="2">
        <v>-7.19</v>
      </c>
      <c r="D5892" s="2">
        <v>2.8E-3</v>
      </c>
      <c r="E5892" s="2">
        <v>-2.0132E-4</v>
      </c>
      <c r="F5892" s="2" t="s">
        <v>7</v>
      </c>
    </row>
    <row r="5893" spans="1:6" ht="22.5" hidden="1" customHeight="1" x14ac:dyDescent="0.25">
      <c r="A5893" s="3">
        <v>44348</v>
      </c>
      <c r="B5893" s="2" t="s">
        <v>26</v>
      </c>
      <c r="C5893" s="2">
        <v>2.68</v>
      </c>
      <c r="D5893" s="2">
        <v>1.67E-2</v>
      </c>
      <c r="E5893" s="2">
        <v>4.4756E-4</v>
      </c>
      <c r="F5893" s="2" t="s">
        <v>7</v>
      </c>
    </row>
    <row r="5894" spans="1:6" ht="22.5" hidden="1" customHeight="1" x14ac:dyDescent="0.25">
      <c r="A5894" s="3">
        <v>44348</v>
      </c>
      <c r="B5894" s="2" t="s">
        <v>27</v>
      </c>
      <c r="C5894" s="2">
        <v>-4.62</v>
      </c>
      <c r="D5894" s="2">
        <v>0.21579999999999999</v>
      </c>
      <c r="E5894" s="2">
        <v>-9.9699599999999999E-3</v>
      </c>
      <c r="F5894" s="2" t="s">
        <v>7</v>
      </c>
    </row>
    <row r="5895" spans="1:6" ht="22.5" hidden="1" customHeight="1" x14ac:dyDescent="0.25">
      <c r="A5895" s="3">
        <v>44348</v>
      </c>
      <c r="B5895" s="2" t="s">
        <v>28</v>
      </c>
      <c r="C5895" s="2">
        <v>-10.32</v>
      </c>
      <c r="D5895" s="2">
        <v>0.1447</v>
      </c>
      <c r="E5895" s="2">
        <v>-1.493304E-2</v>
      </c>
      <c r="F5895" s="2" t="s">
        <v>7</v>
      </c>
    </row>
    <row r="5896" spans="1:6" ht="22.5" hidden="1" customHeight="1" x14ac:dyDescent="0.25">
      <c r="A5896" s="3">
        <v>44348</v>
      </c>
      <c r="B5896" s="2" t="s">
        <v>29</v>
      </c>
      <c r="C5896" s="2">
        <v>-10.54</v>
      </c>
      <c r="D5896" s="2">
        <v>4.9700000000000001E-2</v>
      </c>
      <c r="E5896" s="2">
        <v>-5.2383799999999999E-3</v>
      </c>
      <c r="F5896" s="2" t="s">
        <v>7</v>
      </c>
    </row>
    <row r="5897" spans="1:6" ht="22.5" hidden="1" customHeight="1" x14ac:dyDescent="0.25">
      <c r="A5897" s="3">
        <v>44348</v>
      </c>
      <c r="B5897" s="2" t="s">
        <v>30</v>
      </c>
      <c r="C5897" s="2">
        <v>3.95</v>
      </c>
      <c r="D5897" s="2">
        <v>0.1027</v>
      </c>
      <c r="E5897" s="2">
        <v>4.0566500000000002E-3</v>
      </c>
      <c r="F5897" s="2" t="s">
        <v>7</v>
      </c>
    </row>
    <row r="5898" spans="1:6" ht="22.5" hidden="1" customHeight="1" x14ac:dyDescent="0.25">
      <c r="A5898" s="3">
        <v>44348</v>
      </c>
      <c r="B5898" s="2" t="s">
        <v>31</v>
      </c>
      <c r="C5898" s="2">
        <v>3.58</v>
      </c>
      <c r="D5898" s="2">
        <v>0.11169999999999999</v>
      </c>
      <c r="E5898" s="2">
        <v>3.9988599999999999E-3</v>
      </c>
      <c r="F5898" s="2" t="s">
        <v>7</v>
      </c>
    </row>
    <row r="5899" spans="1:6" ht="22.5" hidden="1" customHeight="1" x14ac:dyDescent="0.25">
      <c r="A5899" s="3">
        <v>44348</v>
      </c>
      <c r="B5899" s="2" t="s">
        <v>32</v>
      </c>
      <c r="C5899" s="2">
        <v>0.41</v>
      </c>
      <c r="D5899" s="2">
        <v>1.5299999999999999E-2</v>
      </c>
      <c r="E5899" s="2">
        <v>6.2730000000000004E-5</v>
      </c>
      <c r="F5899" s="2" t="s">
        <v>7</v>
      </c>
    </row>
    <row r="5900" spans="1:6" ht="22.5" hidden="1" customHeight="1" x14ac:dyDescent="0.25">
      <c r="A5900" s="3">
        <v>44348</v>
      </c>
      <c r="B5900" s="2" t="s">
        <v>33</v>
      </c>
      <c r="C5900" s="2">
        <v>1.33</v>
      </c>
      <c r="D5900" s="2">
        <v>0.1885</v>
      </c>
      <c r="E5900" s="2">
        <v>2.5070499999999998E-3</v>
      </c>
      <c r="F5900" s="2" t="s">
        <v>7</v>
      </c>
    </row>
    <row r="5901" spans="1:6" ht="22.5" hidden="1" customHeight="1" x14ac:dyDescent="0.25">
      <c r="A5901" s="3">
        <v>44348</v>
      </c>
      <c r="B5901" s="2" t="s">
        <v>34</v>
      </c>
      <c r="C5901" s="2">
        <v>-1.43</v>
      </c>
      <c r="D5901" s="2">
        <v>0.1502</v>
      </c>
      <c r="E5901" s="2">
        <v>-2.1478600000000001E-3</v>
      </c>
      <c r="F5901" s="2" t="s">
        <v>7</v>
      </c>
    </row>
    <row r="5902" spans="1:6" ht="22.5" hidden="1" customHeight="1" x14ac:dyDescent="0.25">
      <c r="A5902" s="3">
        <v>44348</v>
      </c>
      <c r="B5902" s="2" t="s">
        <v>35</v>
      </c>
      <c r="C5902" s="2">
        <v>0.83</v>
      </c>
      <c r="D5902" s="2">
        <v>0.10929999999999999</v>
      </c>
      <c r="E5902" s="2">
        <v>9.0718999999999999E-4</v>
      </c>
      <c r="F5902" s="2" t="s">
        <v>7</v>
      </c>
    </row>
    <row r="5903" spans="1:6" ht="22.5" hidden="1" customHeight="1" x14ac:dyDescent="0.25">
      <c r="A5903" s="3">
        <v>44348</v>
      </c>
      <c r="B5903" s="2" t="s">
        <v>36</v>
      </c>
      <c r="C5903" s="2">
        <v>-0.9</v>
      </c>
      <c r="D5903" s="2">
        <v>1.8E-3</v>
      </c>
      <c r="E5903" s="2">
        <v>-1.6200000000000001E-5</v>
      </c>
      <c r="F5903" s="2" t="s">
        <v>7</v>
      </c>
    </row>
    <row r="5904" spans="1:6" ht="22.5" hidden="1" customHeight="1" x14ac:dyDescent="0.25">
      <c r="A5904" s="3">
        <v>44348</v>
      </c>
      <c r="B5904" s="2" t="s">
        <v>37</v>
      </c>
      <c r="C5904" s="2">
        <v>0.97</v>
      </c>
      <c r="D5904" s="2">
        <v>9.2600000000000002E-2</v>
      </c>
      <c r="E5904" s="2">
        <v>8.9822000000000003E-4</v>
      </c>
      <c r="F5904" s="2" t="s">
        <v>7</v>
      </c>
    </row>
    <row r="5905" spans="1:6" ht="22.5" hidden="1" customHeight="1" x14ac:dyDescent="0.25">
      <c r="A5905" s="3">
        <v>44348</v>
      </c>
      <c r="B5905" s="2" t="s">
        <v>38</v>
      </c>
      <c r="C5905" s="2">
        <v>0.48</v>
      </c>
      <c r="D5905" s="2">
        <v>1.0200000000000001E-2</v>
      </c>
      <c r="E5905" s="2">
        <v>4.8959999999999999E-5</v>
      </c>
      <c r="F5905" s="2" t="s">
        <v>7</v>
      </c>
    </row>
    <row r="5906" spans="1:6" ht="22.5" hidden="1" customHeight="1" x14ac:dyDescent="0.25">
      <c r="A5906" s="3">
        <v>44348</v>
      </c>
      <c r="B5906" s="2" t="s">
        <v>39</v>
      </c>
      <c r="C5906" s="2">
        <v>-2.58</v>
      </c>
      <c r="D5906" s="2">
        <v>1.5699999999999999E-2</v>
      </c>
      <c r="E5906" s="2">
        <v>-4.0506E-4</v>
      </c>
      <c r="F5906" s="2" t="s">
        <v>7</v>
      </c>
    </row>
    <row r="5907" spans="1:6" ht="22.5" hidden="1" customHeight="1" x14ac:dyDescent="0.25">
      <c r="A5907" s="3">
        <v>44348</v>
      </c>
      <c r="B5907" s="2" t="s">
        <v>40</v>
      </c>
      <c r="C5907" s="2">
        <v>-2.35</v>
      </c>
      <c r="D5907" s="2">
        <v>3.0999999999999999E-3</v>
      </c>
      <c r="E5907" s="2">
        <v>-7.2849999999999995E-5</v>
      </c>
      <c r="F5907" s="2" t="s">
        <v>7</v>
      </c>
    </row>
    <row r="5908" spans="1:6" ht="22.5" hidden="1" customHeight="1" x14ac:dyDescent="0.25">
      <c r="A5908" s="3">
        <v>44348</v>
      </c>
      <c r="B5908" s="2" t="s">
        <v>41</v>
      </c>
      <c r="C5908" s="2">
        <v>-0.34</v>
      </c>
      <c r="D5908" s="2">
        <v>2.2800000000000001E-2</v>
      </c>
      <c r="E5908" s="2">
        <v>-7.7520000000000003E-5</v>
      </c>
      <c r="F5908" s="2" t="s">
        <v>7</v>
      </c>
    </row>
    <row r="5909" spans="1:6" ht="22.5" hidden="1" customHeight="1" x14ac:dyDescent="0.25">
      <c r="A5909" s="3">
        <v>44348</v>
      </c>
      <c r="B5909" s="2" t="s">
        <v>42</v>
      </c>
      <c r="C5909" s="2">
        <v>-2.02</v>
      </c>
      <c r="D5909" s="2">
        <v>4.3700000000000003E-2</v>
      </c>
      <c r="E5909" s="2">
        <v>-8.8274000000000002E-4</v>
      </c>
      <c r="F5909" s="2" t="s">
        <v>7</v>
      </c>
    </row>
    <row r="5910" spans="1:6" ht="22.5" hidden="1" customHeight="1" x14ac:dyDescent="0.25">
      <c r="A5910" s="3">
        <v>44348</v>
      </c>
      <c r="B5910" s="2" t="s">
        <v>43</v>
      </c>
      <c r="C5910" s="2">
        <v>-3.36</v>
      </c>
      <c r="D5910" s="2">
        <v>3.0800000000000001E-2</v>
      </c>
      <c r="E5910" s="2">
        <v>-1.03488E-3</v>
      </c>
      <c r="F5910" s="2" t="s">
        <v>7</v>
      </c>
    </row>
    <row r="5911" spans="1:6" ht="22.5" hidden="1" customHeight="1" x14ac:dyDescent="0.25">
      <c r="A5911" s="3">
        <v>44348</v>
      </c>
      <c r="B5911" s="2" t="s">
        <v>44</v>
      </c>
      <c r="C5911" s="2">
        <v>-0.42</v>
      </c>
      <c r="D5911" s="2">
        <v>1.54E-2</v>
      </c>
      <c r="E5911" s="2">
        <v>-6.4679999999999997E-5</v>
      </c>
      <c r="F5911" s="2" t="s">
        <v>7</v>
      </c>
    </row>
    <row r="5912" spans="1:6" ht="22.5" hidden="1" customHeight="1" x14ac:dyDescent="0.25">
      <c r="A5912" s="3">
        <v>44348</v>
      </c>
      <c r="B5912" s="2" t="s">
        <v>45</v>
      </c>
      <c r="C5912" s="2">
        <v>-4.2300000000000004</v>
      </c>
      <c r="D5912" s="2">
        <v>1.77E-2</v>
      </c>
      <c r="E5912" s="2">
        <v>-7.4870999999999998E-4</v>
      </c>
      <c r="F5912" s="2" t="s">
        <v>7</v>
      </c>
    </row>
    <row r="5913" spans="1:6" ht="22.5" hidden="1" customHeight="1" x14ac:dyDescent="0.25">
      <c r="A5913" s="3">
        <v>44348</v>
      </c>
      <c r="B5913" s="2" t="s">
        <v>46</v>
      </c>
      <c r="C5913" s="2">
        <v>-8.08</v>
      </c>
      <c r="D5913" s="2">
        <v>8.9999999999999998E-4</v>
      </c>
      <c r="E5913" s="2">
        <v>-7.2719999999999995E-5</v>
      </c>
      <c r="F5913" s="2" t="s">
        <v>7</v>
      </c>
    </row>
    <row r="5914" spans="1:6" ht="22.5" hidden="1" customHeight="1" x14ac:dyDescent="0.25">
      <c r="A5914" s="3">
        <v>44348</v>
      </c>
      <c r="B5914" s="2" t="s">
        <v>47</v>
      </c>
      <c r="C5914" s="2">
        <v>-6.06</v>
      </c>
      <c r="D5914" s="2">
        <v>8.8700000000000001E-2</v>
      </c>
      <c r="E5914" s="2">
        <v>-5.37522E-3</v>
      </c>
      <c r="F5914" s="2" t="s">
        <v>7</v>
      </c>
    </row>
    <row r="5915" spans="1:6" ht="22.5" hidden="1" customHeight="1" x14ac:dyDescent="0.25">
      <c r="A5915" s="3">
        <v>44348</v>
      </c>
      <c r="B5915" s="2" t="s">
        <v>48</v>
      </c>
      <c r="C5915" s="2">
        <v>-11.17</v>
      </c>
      <c r="D5915" s="2">
        <v>4.0000000000000001E-3</v>
      </c>
      <c r="E5915" s="2">
        <v>-4.4680000000000002E-4</v>
      </c>
      <c r="F5915" s="2" t="s">
        <v>7</v>
      </c>
    </row>
    <row r="5916" spans="1:6" ht="22.5" hidden="1" customHeight="1" x14ac:dyDescent="0.25">
      <c r="A5916" s="3">
        <v>44348</v>
      </c>
      <c r="B5916" s="2" t="s">
        <v>49</v>
      </c>
      <c r="C5916" s="2">
        <v>-6.51</v>
      </c>
      <c r="D5916" s="2">
        <v>0.16059999999999999</v>
      </c>
      <c r="E5916" s="2">
        <v>-1.045506E-2</v>
      </c>
      <c r="F5916" s="2" t="s">
        <v>7</v>
      </c>
    </row>
    <row r="5917" spans="1:6" ht="22.5" hidden="1" customHeight="1" x14ac:dyDescent="0.25">
      <c r="A5917" s="3">
        <v>44348</v>
      </c>
      <c r="B5917" s="2" t="s">
        <v>50</v>
      </c>
      <c r="C5917" s="2">
        <v>-7.22</v>
      </c>
      <c r="D5917" s="2">
        <v>5.7000000000000002E-3</v>
      </c>
      <c r="E5917" s="2">
        <v>-4.1154000000000001E-4</v>
      </c>
      <c r="F5917" s="2" t="s">
        <v>7</v>
      </c>
    </row>
    <row r="5918" spans="1:6" ht="22.5" hidden="1" customHeight="1" x14ac:dyDescent="0.25">
      <c r="A5918" s="3">
        <v>44348</v>
      </c>
      <c r="B5918" s="2" t="s">
        <v>51</v>
      </c>
      <c r="C5918" s="2">
        <v>-5.56</v>
      </c>
      <c r="D5918" s="2">
        <v>4.4999999999999997E-3</v>
      </c>
      <c r="E5918" s="2">
        <v>-2.5020000000000001E-4</v>
      </c>
      <c r="F5918" s="2" t="s">
        <v>7</v>
      </c>
    </row>
    <row r="5919" spans="1:6" ht="22.5" hidden="1" customHeight="1" x14ac:dyDescent="0.25">
      <c r="A5919" s="3">
        <v>44348</v>
      </c>
      <c r="B5919" s="2" t="s">
        <v>52</v>
      </c>
      <c r="C5919" s="2">
        <v>-5.6</v>
      </c>
      <c r="D5919" s="2">
        <v>2.6700000000000002E-2</v>
      </c>
      <c r="E5919" s="2">
        <v>-1.4951999999999999E-3</v>
      </c>
      <c r="F5919" s="2" t="s">
        <v>7</v>
      </c>
    </row>
    <row r="5920" spans="1:6" ht="22.5" hidden="1" customHeight="1" x14ac:dyDescent="0.25">
      <c r="A5920" s="3">
        <v>44348</v>
      </c>
      <c r="B5920" s="2" t="s">
        <v>53</v>
      </c>
      <c r="C5920" s="2">
        <v>-4.8600000000000003</v>
      </c>
      <c r="D5920" s="2">
        <v>0.14019999999999999</v>
      </c>
      <c r="E5920" s="2">
        <v>-6.8137199999999997E-3</v>
      </c>
      <c r="F5920" s="2" t="s">
        <v>7</v>
      </c>
    </row>
    <row r="5921" spans="1:6" ht="22.5" hidden="1" customHeight="1" x14ac:dyDescent="0.25">
      <c r="A5921" s="3">
        <v>44348</v>
      </c>
      <c r="B5921" s="2" t="s">
        <v>54</v>
      </c>
      <c r="C5921" s="2">
        <v>-6.65</v>
      </c>
      <c r="D5921" s="2">
        <v>9.4100000000000003E-2</v>
      </c>
      <c r="E5921" s="2">
        <v>-6.25765E-3</v>
      </c>
      <c r="F5921" s="2" t="s">
        <v>7</v>
      </c>
    </row>
    <row r="5922" spans="1:6" ht="22.5" hidden="1" customHeight="1" x14ac:dyDescent="0.25">
      <c r="A5922" s="3">
        <v>44348</v>
      </c>
      <c r="B5922" s="2" t="s">
        <v>55</v>
      </c>
      <c r="C5922" s="2">
        <v>-15.92</v>
      </c>
      <c r="D5922" s="2">
        <v>7.0900000000000005E-2</v>
      </c>
      <c r="E5922" s="2">
        <v>-1.128728E-2</v>
      </c>
      <c r="F5922" s="2" t="s">
        <v>7</v>
      </c>
    </row>
    <row r="5923" spans="1:6" ht="22.5" hidden="1" customHeight="1" x14ac:dyDescent="0.25">
      <c r="A5923" s="3">
        <v>44348</v>
      </c>
      <c r="B5923" s="2" t="s">
        <v>56</v>
      </c>
      <c r="C5923" s="2">
        <v>-2.02</v>
      </c>
      <c r="D5923" s="2">
        <v>6.8999999999999999E-3</v>
      </c>
      <c r="E5923" s="2">
        <v>-1.3938000000000001E-4</v>
      </c>
      <c r="F5923" s="2" t="s">
        <v>7</v>
      </c>
    </row>
    <row r="5924" spans="1:6" ht="22.5" hidden="1" customHeight="1" x14ac:dyDescent="0.25">
      <c r="A5924" s="3">
        <v>44348</v>
      </c>
      <c r="B5924" s="2" t="s">
        <v>57</v>
      </c>
      <c r="C5924" s="2">
        <v>-5.6</v>
      </c>
      <c r="D5924" s="2">
        <v>3.1E-2</v>
      </c>
      <c r="E5924" s="2">
        <v>-1.7359999999999999E-3</v>
      </c>
      <c r="F5924" s="2" t="s">
        <v>7</v>
      </c>
    </row>
    <row r="5925" spans="1:6" ht="22.5" hidden="1" customHeight="1" x14ac:dyDescent="0.25">
      <c r="A5925" s="3">
        <v>44348</v>
      </c>
      <c r="B5925" s="2" t="s">
        <v>58</v>
      </c>
      <c r="C5925" s="2">
        <v>-1.23</v>
      </c>
      <c r="D5925" s="2">
        <v>1.6500000000000001E-2</v>
      </c>
      <c r="E5925" s="2">
        <v>-2.0295E-4</v>
      </c>
      <c r="F5925" s="2" t="s">
        <v>7</v>
      </c>
    </row>
    <row r="5926" spans="1:6" ht="22.5" hidden="1" customHeight="1" x14ac:dyDescent="0.25">
      <c r="A5926" s="3">
        <v>44348</v>
      </c>
      <c r="B5926" s="2" t="s">
        <v>59</v>
      </c>
      <c r="C5926" s="2">
        <v>-2.34</v>
      </c>
      <c r="D5926" s="2">
        <v>2.1399999999999999E-2</v>
      </c>
      <c r="E5926" s="2">
        <v>-5.0076000000000005E-4</v>
      </c>
      <c r="F5926" s="2" t="s">
        <v>7</v>
      </c>
    </row>
    <row r="5927" spans="1:6" ht="22.5" hidden="1" customHeight="1" x14ac:dyDescent="0.25">
      <c r="A5927" s="3">
        <v>44348</v>
      </c>
      <c r="B5927" s="2" t="s">
        <v>60</v>
      </c>
      <c r="C5927" s="2">
        <v>-11.61</v>
      </c>
      <c r="D5927" s="2">
        <v>3.1899999999999998E-2</v>
      </c>
      <c r="E5927" s="2">
        <v>-3.7035900000000001E-3</v>
      </c>
      <c r="F5927" s="2" t="s">
        <v>7</v>
      </c>
    </row>
    <row r="5928" spans="1:6" ht="22.5" hidden="1" customHeight="1" x14ac:dyDescent="0.25">
      <c r="A5928" s="3">
        <v>44348</v>
      </c>
      <c r="B5928" s="2" t="s">
        <v>61</v>
      </c>
      <c r="C5928" s="2">
        <v>-1.56</v>
      </c>
      <c r="D5928" s="2">
        <v>7.2300000000000003E-2</v>
      </c>
      <c r="E5928" s="2">
        <v>-1.1278799999999999E-3</v>
      </c>
      <c r="F5928" s="2" t="s">
        <v>7</v>
      </c>
    </row>
    <row r="5929" spans="1:6" ht="22.5" hidden="1" customHeight="1" x14ac:dyDescent="0.25">
      <c r="A5929" s="3">
        <v>44348</v>
      </c>
      <c r="B5929" s="2" t="s">
        <v>62</v>
      </c>
      <c r="C5929" s="2">
        <v>-9.7899999999999991</v>
      </c>
      <c r="D5929" s="2">
        <v>9.6100000000000005E-2</v>
      </c>
      <c r="E5929" s="2">
        <v>-9.4081900000000003E-3</v>
      </c>
      <c r="F5929" s="2" t="s">
        <v>7</v>
      </c>
    </row>
    <row r="5930" spans="1:6" ht="22.5" hidden="1" customHeight="1" x14ac:dyDescent="0.25">
      <c r="A5930" s="3">
        <v>44348</v>
      </c>
      <c r="B5930" s="2" t="s">
        <v>63</v>
      </c>
      <c r="C5930" s="2">
        <v>17.149999999999999</v>
      </c>
      <c r="D5930" s="2">
        <v>7.7999999999999996E-3</v>
      </c>
      <c r="E5930" s="2">
        <v>1.3377E-3</v>
      </c>
      <c r="F5930" s="2" t="s">
        <v>7</v>
      </c>
    </row>
    <row r="5931" spans="1:6" ht="22.5" hidden="1" customHeight="1" x14ac:dyDescent="0.25">
      <c r="A5931" s="3">
        <v>44348</v>
      </c>
      <c r="B5931" s="2" t="s">
        <v>64</v>
      </c>
      <c r="C5931" s="2">
        <v>0.73</v>
      </c>
      <c r="D5931" s="2">
        <v>4.1999999999999997E-3</v>
      </c>
      <c r="E5931" s="2">
        <v>3.0660000000000001E-5</v>
      </c>
      <c r="F5931" s="2" t="s">
        <v>7</v>
      </c>
    </row>
    <row r="5932" spans="1:6" ht="22.5" hidden="1" customHeight="1" x14ac:dyDescent="0.25">
      <c r="A5932" s="3">
        <v>44348</v>
      </c>
      <c r="B5932" s="2" t="s">
        <v>65</v>
      </c>
      <c r="C5932" s="2">
        <v>5.44</v>
      </c>
      <c r="D5932" s="2">
        <v>2.0799999999999999E-2</v>
      </c>
      <c r="E5932" s="2">
        <v>1.13152E-3</v>
      </c>
      <c r="F5932" s="2" t="s">
        <v>7</v>
      </c>
    </row>
    <row r="5933" spans="1:6" ht="22.5" hidden="1" customHeight="1" x14ac:dyDescent="0.25">
      <c r="A5933" s="3">
        <v>44348</v>
      </c>
      <c r="B5933" s="2" t="s">
        <v>66</v>
      </c>
      <c r="C5933" s="2">
        <v>-7.0000000000000007E-2</v>
      </c>
      <c r="D5933" s="2">
        <v>0.37719999999999998</v>
      </c>
      <c r="E5933" s="2">
        <v>-2.6404E-4</v>
      </c>
      <c r="F5933" s="2" t="s">
        <v>7</v>
      </c>
    </row>
    <row r="5934" spans="1:6" ht="22.5" hidden="1" customHeight="1" x14ac:dyDescent="0.25">
      <c r="A5934" s="3">
        <v>44348</v>
      </c>
      <c r="B5934" s="2" t="s">
        <v>67</v>
      </c>
      <c r="C5934" s="2">
        <v>1.2</v>
      </c>
      <c r="D5934" s="2">
        <v>3.8E-3</v>
      </c>
      <c r="E5934" s="2">
        <v>4.5599999999999997E-5</v>
      </c>
      <c r="F5934" s="2" t="s">
        <v>7</v>
      </c>
    </row>
    <row r="5935" spans="1:6" ht="22.5" hidden="1" customHeight="1" x14ac:dyDescent="0.25">
      <c r="A5935" s="3">
        <v>44348</v>
      </c>
      <c r="B5935" s="2" t="s">
        <v>68</v>
      </c>
      <c r="C5935" s="2">
        <v>-0.78</v>
      </c>
      <c r="D5935" s="2">
        <v>1.26E-2</v>
      </c>
      <c r="E5935" s="2">
        <v>-9.8280000000000001E-5</v>
      </c>
      <c r="F5935" s="2" t="s">
        <v>7</v>
      </c>
    </row>
    <row r="5936" spans="1:6" ht="22.5" hidden="1" customHeight="1" x14ac:dyDescent="0.25">
      <c r="A5936" s="3">
        <v>44348</v>
      </c>
      <c r="B5936" s="2" t="s">
        <v>69</v>
      </c>
      <c r="C5936" s="2">
        <v>1.36</v>
      </c>
      <c r="D5936" s="2">
        <v>0.49299999999999999</v>
      </c>
      <c r="E5936" s="2">
        <v>6.7048000000000003E-3</v>
      </c>
      <c r="F5936" s="2" t="s">
        <v>7</v>
      </c>
    </row>
    <row r="5937" spans="1:6" ht="22.5" hidden="1" customHeight="1" x14ac:dyDescent="0.25">
      <c r="A5937" s="3">
        <v>44348</v>
      </c>
      <c r="B5937" s="2" t="s">
        <v>70</v>
      </c>
      <c r="C5937" s="2">
        <v>1.58</v>
      </c>
      <c r="D5937" s="2">
        <v>2.6700000000000002E-2</v>
      </c>
      <c r="E5937" s="2">
        <v>4.2185999999999998E-4</v>
      </c>
      <c r="F5937" s="2" t="s">
        <v>7</v>
      </c>
    </row>
    <row r="5938" spans="1:6" ht="22.5" hidden="1" customHeight="1" x14ac:dyDescent="0.25">
      <c r="A5938" s="3">
        <v>44348</v>
      </c>
      <c r="B5938" s="2" t="s">
        <v>71</v>
      </c>
      <c r="C5938" s="2">
        <v>-0.41</v>
      </c>
      <c r="D5938" s="2">
        <v>0.35249999999999998</v>
      </c>
      <c r="E5938" s="2">
        <v>-1.4452499999999999E-3</v>
      </c>
      <c r="F5938" s="2" t="s">
        <v>7</v>
      </c>
    </row>
    <row r="5939" spans="1:6" ht="22.5" hidden="1" customHeight="1" x14ac:dyDescent="0.25">
      <c r="A5939" s="3">
        <v>44348</v>
      </c>
      <c r="B5939" s="2" t="s">
        <v>72</v>
      </c>
      <c r="C5939" s="2">
        <v>1.22</v>
      </c>
      <c r="D5939" s="2">
        <v>0.37140000000000001</v>
      </c>
      <c r="E5939" s="2">
        <v>4.5310799999999998E-3</v>
      </c>
      <c r="F5939" s="2" t="s">
        <v>7</v>
      </c>
    </row>
    <row r="5940" spans="1:6" ht="22.5" hidden="1" customHeight="1" x14ac:dyDescent="0.25">
      <c r="A5940" s="3">
        <v>44348</v>
      </c>
      <c r="B5940" s="2" t="s">
        <v>73</v>
      </c>
      <c r="C5940" s="2">
        <v>2.11</v>
      </c>
      <c r="D5940" s="2">
        <v>0.18959999999999999</v>
      </c>
      <c r="E5940" s="2">
        <v>4.0005600000000002E-3</v>
      </c>
      <c r="F5940" s="2" t="s">
        <v>7</v>
      </c>
    </row>
    <row r="5941" spans="1:6" ht="22.5" hidden="1" customHeight="1" x14ac:dyDescent="0.25">
      <c r="A5941" s="3">
        <v>44348</v>
      </c>
      <c r="B5941" s="2" t="s">
        <v>74</v>
      </c>
      <c r="C5941" s="2">
        <v>1.35</v>
      </c>
      <c r="D5941" s="2">
        <v>9.7999999999999997E-3</v>
      </c>
      <c r="E5941" s="2">
        <v>1.3229999999999999E-4</v>
      </c>
      <c r="F5941" s="2" t="s">
        <v>7</v>
      </c>
    </row>
    <row r="5942" spans="1:6" ht="22.5" hidden="1" customHeight="1" x14ac:dyDescent="0.25">
      <c r="A5942" s="3">
        <v>44348</v>
      </c>
      <c r="B5942" s="2" t="s">
        <v>75</v>
      </c>
      <c r="C5942" s="2">
        <v>-0.39</v>
      </c>
      <c r="D5942" s="2">
        <v>8.2500000000000004E-2</v>
      </c>
      <c r="E5942" s="2">
        <v>-3.2174999999999999E-4</v>
      </c>
      <c r="F5942" s="2" t="s">
        <v>7</v>
      </c>
    </row>
    <row r="5943" spans="1:6" ht="22.5" hidden="1" customHeight="1" x14ac:dyDescent="0.25">
      <c r="A5943" s="3">
        <v>44348</v>
      </c>
      <c r="B5943" s="2" t="s">
        <v>76</v>
      </c>
      <c r="C5943" s="2">
        <v>1.93</v>
      </c>
      <c r="D5943" s="2">
        <v>0.17480000000000001</v>
      </c>
      <c r="E5943" s="2">
        <v>3.3736399999999998E-3</v>
      </c>
      <c r="F5943" s="2" t="s">
        <v>7</v>
      </c>
    </row>
    <row r="5944" spans="1:6" ht="22.5" hidden="1" customHeight="1" x14ac:dyDescent="0.25">
      <c r="A5944" s="3">
        <v>44348</v>
      </c>
      <c r="B5944" s="2" t="s">
        <v>77</v>
      </c>
      <c r="C5944" s="2">
        <v>1.68</v>
      </c>
      <c r="D5944" s="2">
        <v>0.1186</v>
      </c>
      <c r="E5944" s="2">
        <v>1.99248E-3</v>
      </c>
      <c r="F5944" s="2" t="s">
        <v>7</v>
      </c>
    </row>
    <row r="5945" spans="1:6" ht="22.5" hidden="1" customHeight="1" x14ac:dyDescent="0.25">
      <c r="A5945" s="3">
        <v>44348</v>
      </c>
      <c r="B5945" s="2" t="s">
        <v>78</v>
      </c>
      <c r="C5945" s="2">
        <v>1.59</v>
      </c>
      <c r="D5945" s="2">
        <v>0.31840000000000002</v>
      </c>
      <c r="E5945" s="2">
        <v>5.0625599999999998E-3</v>
      </c>
      <c r="F5945" s="2" t="s">
        <v>7</v>
      </c>
    </row>
    <row r="5946" spans="1:6" ht="22.5" hidden="1" customHeight="1" x14ac:dyDescent="0.25">
      <c r="A5946" s="3">
        <v>44348</v>
      </c>
      <c r="B5946" s="2" t="s">
        <v>79</v>
      </c>
      <c r="C5946" s="2">
        <v>1.35</v>
      </c>
      <c r="D5946" s="2">
        <v>1.18E-2</v>
      </c>
      <c r="E5946" s="2">
        <v>1.593E-4</v>
      </c>
      <c r="F5946" s="2" t="s">
        <v>7</v>
      </c>
    </row>
    <row r="5947" spans="1:6" ht="22.5" hidden="1" customHeight="1" x14ac:dyDescent="0.25">
      <c r="A5947" s="3">
        <v>44348</v>
      </c>
      <c r="B5947" s="2" t="s">
        <v>80</v>
      </c>
      <c r="C5947" s="2">
        <v>-0.15</v>
      </c>
      <c r="D5947" s="2">
        <v>3.9699999999999999E-2</v>
      </c>
      <c r="E5947" s="2">
        <v>-5.9549999999999997E-5</v>
      </c>
      <c r="F5947" s="2" t="s">
        <v>7</v>
      </c>
    </row>
    <row r="5948" spans="1:6" ht="22.5" hidden="1" customHeight="1" x14ac:dyDescent="0.25">
      <c r="A5948" s="3">
        <v>44348</v>
      </c>
      <c r="B5948" s="2" t="s">
        <v>81</v>
      </c>
      <c r="C5948" s="2">
        <v>2.16</v>
      </c>
      <c r="D5948" s="2">
        <v>0.38779999999999998</v>
      </c>
      <c r="E5948" s="2">
        <v>8.3764800000000004E-3</v>
      </c>
      <c r="F5948" s="2" t="s">
        <v>7</v>
      </c>
    </row>
    <row r="5949" spans="1:6" ht="22.5" hidden="1" customHeight="1" x14ac:dyDescent="0.25">
      <c r="A5949" s="3">
        <v>44348</v>
      </c>
      <c r="B5949" s="2" t="s">
        <v>82</v>
      </c>
      <c r="C5949" s="2">
        <v>1.93</v>
      </c>
      <c r="D5949" s="2">
        <v>4.6699999999999998E-2</v>
      </c>
      <c r="E5949" s="2">
        <v>9.0131E-4</v>
      </c>
      <c r="F5949" s="2" t="s">
        <v>7</v>
      </c>
    </row>
    <row r="5950" spans="1:6" ht="22.5" hidden="1" customHeight="1" x14ac:dyDescent="0.25">
      <c r="A5950" s="3">
        <v>44348</v>
      </c>
      <c r="B5950" s="2" t="s">
        <v>83</v>
      </c>
      <c r="C5950" s="2">
        <v>0.81</v>
      </c>
      <c r="D5950" s="2">
        <v>6.9999999999999999E-4</v>
      </c>
      <c r="E5950" s="2">
        <v>5.6699999999999999E-6</v>
      </c>
      <c r="F5950" s="2" t="s">
        <v>7</v>
      </c>
    </row>
    <row r="5951" spans="1:6" ht="22.5" hidden="1" customHeight="1" x14ac:dyDescent="0.25">
      <c r="A5951" s="3">
        <v>44348</v>
      </c>
      <c r="B5951" s="2" t="s">
        <v>84</v>
      </c>
      <c r="C5951" s="2">
        <v>0.41</v>
      </c>
      <c r="D5951" s="2">
        <v>2.2499999999999999E-2</v>
      </c>
      <c r="E5951" s="2">
        <v>9.2250000000000006E-5</v>
      </c>
      <c r="F5951" s="2" t="s">
        <v>7</v>
      </c>
    </row>
    <row r="5952" spans="1:6" ht="22.5" hidden="1" customHeight="1" x14ac:dyDescent="0.25">
      <c r="A5952" s="3">
        <v>44348</v>
      </c>
      <c r="B5952" s="2" t="s">
        <v>85</v>
      </c>
      <c r="C5952" s="2">
        <v>1.26</v>
      </c>
      <c r="D5952" s="2">
        <v>5.4000000000000003E-3</v>
      </c>
      <c r="E5952" s="2">
        <v>6.8040000000000006E-5</v>
      </c>
      <c r="F5952" s="2" t="s">
        <v>7</v>
      </c>
    </row>
    <row r="5953" spans="1:6" ht="22.5" hidden="1" customHeight="1" x14ac:dyDescent="0.25">
      <c r="A5953" s="3">
        <v>44348</v>
      </c>
      <c r="B5953" s="2" t="s">
        <v>86</v>
      </c>
      <c r="C5953" s="2">
        <v>0.23</v>
      </c>
      <c r="D5953" s="2">
        <v>2.4199999999999999E-2</v>
      </c>
      <c r="E5953" s="2">
        <v>5.5659999999999999E-5</v>
      </c>
      <c r="F5953" s="2" t="s">
        <v>7</v>
      </c>
    </row>
    <row r="5954" spans="1:6" ht="22.5" hidden="1" customHeight="1" x14ac:dyDescent="0.25">
      <c r="A5954" s="3">
        <v>44348</v>
      </c>
      <c r="B5954" s="2" t="s">
        <v>87</v>
      </c>
      <c r="C5954" s="2">
        <v>0.56999999999999995</v>
      </c>
      <c r="D5954" s="2">
        <v>1E-3</v>
      </c>
      <c r="E5954" s="2">
        <v>5.6999999999999996E-6</v>
      </c>
      <c r="F5954" s="2" t="s">
        <v>7</v>
      </c>
    </row>
    <row r="5955" spans="1:6" ht="22.5" hidden="1" customHeight="1" x14ac:dyDescent="0.25">
      <c r="A5955" s="3">
        <v>44348</v>
      </c>
      <c r="B5955" s="2" t="s">
        <v>88</v>
      </c>
      <c r="C5955" s="2">
        <v>-1.93</v>
      </c>
      <c r="D5955" s="2">
        <v>6.7999999999999996E-3</v>
      </c>
      <c r="E5955" s="2">
        <v>-1.3124E-4</v>
      </c>
      <c r="F5955" s="2" t="s">
        <v>7</v>
      </c>
    </row>
    <row r="5956" spans="1:6" ht="22.5" hidden="1" customHeight="1" x14ac:dyDescent="0.25">
      <c r="A5956" s="3">
        <v>44348</v>
      </c>
      <c r="B5956" s="2" t="s">
        <v>89</v>
      </c>
      <c r="C5956" s="2">
        <v>-0.54</v>
      </c>
      <c r="D5956" s="2">
        <v>1.7399999999999999E-2</v>
      </c>
      <c r="E5956" s="2">
        <v>-9.3960000000000002E-5</v>
      </c>
      <c r="F5956" s="2" t="s">
        <v>7</v>
      </c>
    </row>
    <row r="5957" spans="1:6" ht="22.5" hidden="1" customHeight="1" x14ac:dyDescent="0.25">
      <c r="A5957" s="3">
        <v>44348</v>
      </c>
      <c r="B5957" s="2" t="s">
        <v>90</v>
      </c>
      <c r="C5957" s="2">
        <v>-2.34</v>
      </c>
      <c r="D5957" s="2">
        <v>1.6000000000000001E-3</v>
      </c>
      <c r="E5957" s="2">
        <v>-3.7440000000000001E-5</v>
      </c>
      <c r="F5957" s="2" t="s">
        <v>7</v>
      </c>
    </row>
    <row r="5958" spans="1:6" ht="22.5" hidden="1" customHeight="1" x14ac:dyDescent="0.25">
      <c r="A5958" s="3">
        <v>44348</v>
      </c>
      <c r="B5958" s="2" t="s">
        <v>91</v>
      </c>
      <c r="C5958" s="2">
        <v>-0.98</v>
      </c>
      <c r="D5958" s="2">
        <v>2.4799999999999999E-2</v>
      </c>
      <c r="E5958" s="2">
        <v>-2.4304E-4</v>
      </c>
      <c r="F5958" s="2" t="s">
        <v>7</v>
      </c>
    </row>
    <row r="5959" spans="1:6" ht="22.5" hidden="1" customHeight="1" x14ac:dyDescent="0.25">
      <c r="A5959" s="3">
        <v>44348</v>
      </c>
      <c r="B5959" s="2" t="s">
        <v>92</v>
      </c>
      <c r="C5959" s="2">
        <v>0</v>
      </c>
      <c r="D5959" s="2">
        <v>5.1999999999999998E-3</v>
      </c>
      <c r="E5959" s="2">
        <v>0</v>
      </c>
      <c r="F5959" s="2" t="s">
        <v>7</v>
      </c>
    </row>
    <row r="5960" spans="1:6" ht="22.5" hidden="1" customHeight="1" x14ac:dyDescent="0.25">
      <c r="A5960" s="3">
        <v>44348</v>
      </c>
      <c r="B5960" s="2" t="s">
        <v>93</v>
      </c>
      <c r="C5960" s="2">
        <v>0.81</v>
      </c>
      <c r="D5960" s="2">
        <v>1.1000000000000001E-3</v>
      </c>
      <c r="E5960" s="2">
        <v>8.9099999999999994E-6</v>
      </c>
      <c r="F5960" s="2" t="s">
        <v>7</v>
      </c>
    </row>
    <row r="5961" spans="1:6" ht="22.5" hidden="1" customHeight="1" x14ac:dyDescent="0.25">
      <c r="A5961" s="3">
        <v>44348</v>
      </c>
      <c r="B5961" s="2" t="s">
        <v>94</v>
      </c>
      <c r="C5961" s="2">
        <v>-1.95</v>
      </c>
      <c r="D5961" s="2">
        <v>1E-3</v>
      </c>
      <c r="E5961" s="2">
        <v>-1.95E-5</v>
      </c>
      <c r="F5961" s="2" t="s">
        <v>7</v>
      </c>
    </row>
    <row r="5962" spans="1:6" ht="22.5" hidden="1" customHeight="1" x14ac:dyDescent="0.25">
      <c r="A5962" s="3">
        <v>44348</v>
      </c>
      <c r="B5962" s="2" t="s">
        <v>95</v>
      </c>
      <c r="C5962" s="2">
        <v>1.02</v>
      </c>
      <c r="D5962" s="2">
        <v>1.6199999999999999E-2</v>
      </c>
      <c r="E5962" s="2">
        <v>1.6524000000000001E-4</v>
      </c>
      <c r="F5962" s="2" t="s">
        <v>7</v>
      </c>
    </row>
    <row r="5963" spans="1:6" ht="22.5" hidden="1" customHeight="1" x14ac:dyDescent="0.25">
      <c r="A5963" s="3">
        <v>44348</v>
      </c>
      <c r="B5963" s="2" t="s">
        <v>96</v>
      </c>
      <c r="C5963" s="2">
        <v>1.74</v>
      </c>
      <c r="D5963" s="2">
        <v>4.87E-2</v>
      </c>
      <c r="E5963" s="2">
        <v>8.4738000000000001E-4</v>
      </c>
      <c r="F5963" s="2" t="s">
        <v>7</v>
      </c>
    </row>
    <row r="5964" spans="1:6" ht="22.5" hidden="1" customHeight="1" x14ac:dyDescent="0.25">
      <c r="A5964" s="3">
        <v>44348</v>
      </c>
      <c r="B5964" s="2" t="s">
        <v>97</v>
      </c>
      <c r="C5964" s="2">
        <v>-0.28999999999999998</v>
      </c>
      <c r="D5964" s="2">
        <v>1.0500000000000001E-2</v>
      </c>
      <c r="E5964" s="2">
        <v>-3.0450000000000002E-5</v>
      </c>
      <c r="F5964" s="2" t="s">
        <v>7</v>
      </c>
    </row>
    <row r="5965" spans="1:6" ht="22.5" hidden="1" customHeight="1" x14ac:dyDescent="0.25">
      <c r="A5965" s="3">
        <v>44348</v>
      </c>
      <c r="B5965" s="2" t="s">
        <v>98</v>
      </c>
      <c r="C5965" s="2">
        <v>1.02</v>
      </c>
      <c r="D5965" s="2">
        <v>6.0000000000000001E-3</v>
      </c>
      <c r="E5965" s="2">
        <v>6.1199999999999997E-5</v>
      </c>
      <c r="F5965" s="2" t="s">
        <v>7</v>
      </c>
    </row>
    <row r="5966" spans="1:6" ht="22.5" hidden="1" customHeight="1" x14ac:dyDescent="0.25">
      <c r="A5966" s="3">
        <v>44348</v>
      </c>
      <c r="B5966" s="2" t="s">
        <v>99</v>
      </c>
      <c r="C5966" s="2">
        <v>-0.15</v>
      </c>
      <c r="D5966" s="2">
        <v>3.5000000000000001E-3</v>
      </c>
      <c r="E5966" s="2">
        <v>-5.2499999999999997E-6</v>
      </c>
      <c r="F5966" s="2" t="s">
        <v>7</v>
      </c>
    </row>
    <row r="5967" spans="1:6" ht="22.5" hidden="1" customHeight="1" x14ac:dyDescent="0.25">
      <c r="A5967" s="3">
        <v>44348</v>
      </c>
      <c r="B5967" s="2" t="s">
        <v>100</v>
      </c>
      <c r="C5967" s="2">
        <v>-0.7</v>
      </c>
      <c r="D5967" s="2">
        <v>6.9999999999999999E-4</v>
      </c>
      <c r="E5967" s="2">
        <v>-4.8999999999999997E-6</v>
      </c>
      <c r="F5967" s="2" t="s">
        <v>7</v>
      </c>
    </row>
    <row r="5968" spans="1:6" ht="22.5" hidden="1" customHeight="1" x14ac:dyDescent="0.25">
      <c r="A5968" s="3">
        <v>44348</v>
      </c>
      <c r="B5968" s="2" t="s">
        <v>101</v>
      </c>
      <c r="C5968" s="2">
        <v>1.1000000000000001</v>
      </c>
      <c r="D5968" s="2">
        <v>0.1002</v>
      </c>
      <c r="E5968" s="2">
        <v>1.1022E-3</v>
      </c>
      <c r="F5968" s="2" t="s">
        <v>7</v>
      </c>
    </row>
    <row r="5969" spans="1:6" ht="22.5" hidden="1" customHeight="1" x14ac:dyDescent="0.25">
      <c r="A5969" s="3">
        <v>44348</v>
      </c>
      <c r="B5969" s="2" t="s">
        <v>102</v>
      </c>
      <c r="C5969" s="2">
        <v>1.22</v>
      </c>
      <c r="D5969" s="2">
        <v>4.6300000000000001E-2</v>
      </c>
      <c r="E5969" s="2">
        <v>5.6486000000000004E-4</v>
      </c>
      <c r="F5969" s="2" t="s">
        <v>7</v>
      </c>
    </row>
    <row r="5970" spans="1:6" ht="22.5" hidden="1" customHeight="1" x14ac:dyDescent="0.25">
      <c r="A5970" s="3">
        <v>44348</v>
      </c>
      <c r="B5970" s="2" t="s">
        <v>103</v>
      </c>
      <c r="C5970" s="2">
        <v>1.32</v>
      </c>
      <c r="D5970" s="2">
        <v>0.35980000000000001</v>
      </c>
      <c r="E5970" s="2">
        <v>4.7493600000000002E-3</v>
      </c>
      <c r="F5970" s="2" t="s">
        <v>7</v>
      </c>
    </row>
    <row r="5971" spans="1:6" ht="22.5" hidden="1" customHeight="1" x14ac:dyDescent="0.25">
      <c r="A5971" s="3">
        <v>44348</v>
      </c>
      <c r="B5971" s="2" t="s">
        <v>104</v>
      </c>
      <c r="C5971" s="2">
        <v>-0.61</v>
      </c>
      <c r="D5971" s="2">
        <v>5.3999999999999999E-2</v>
      </c>
      <c r="E5971" s="2">
        <v>-3.2939999999999998E-4</v>
      </c>
      <c r="F5971" s="2" t="s">
        <v>7</v>
      </c>
    </row>
    <row r="5972" spans="1:6" ht="22.5" hidden="1" customHeight="1" x14ac:dyDescent="0.25">
      <c r="A5972" s="3">
        <v>44348</v>
      </c>
      <c r="B5972" s="2" t="s">
        <v>105</v>
      </c>
      <c r="C5972" s="2">
        <v>2.19</v>
      </c>
      <c r="D5972" s="2">
        <v>8.9999999999999993E-3</v>
      </c>
      <c r="E5972" s="2">
        <v>1.9709999999999999E-4</v>
      </c>
      <c r="F5972" s="2" t="s">
        <v>7</v>
      </c>
    </row>
    <row r="5973" spans="1:6" ht="22.5" hidden="1" customHeight="1" x14ac:dyDescent="0.25">
      <c r="A5973" s="3">
        <v>44348</v>
      </c>
      <c r="B5973" s="2" t="s">
        <v>106</v>
      </c>
      <c r="C5973" s="2">
        <v>-0.31</v>
      </c>
      <c r="D5973" s="2">
        <v>8.3999999999999995E-3</v>
      </c>
      <c r="E5973" s="2">
        <v>-2.6040000000000001E-5</v>
      </c>
      <c r="F5973" s="2" t="s">
        <v>7</v>
      </c>
    </row>
    <row r="5974" spans="1:6" ht="22.5" hidden="1" customHeight="1" x14ac:dyDescent="0.25">
      <c r="A5974" s="3">
        <v>44348</v>
      </c>
      <c r="B5974" s="2" t="s">
        <v>107</v>
      </c>
      <c r="C5974" s="2">
        <v>2.4</v>
      </c>
      <c r="D5974" s="2">
        <v>0.1186</v>
      </c>
      <c r="E5974" s="2">
        <v>2.8463999999999998E-3</v>
      </c>
      <c r="F5974" s="2" t="s">
        <v>7</v>
      </c>
    </row>
    <row r="5975" spans="1:6" ht="22.5" hidden="1" customHeight="1" x14ac:dyDescent="0.25">
      <c r="A5975" s="3">
        <v>44348</v>
      </c>
      <c r="B5975" s="2" t="s">
        <v>108</v>
      </c>
      <c r="C5975" s="2">
        <v>0.6</v>
      </c>
      <c r="D5975" s="2">
        <v>7.7999999999999996E-3</v>
      </c>
      <c r="E5975" s="2">
        <v>4.6799999999999999E-5</v>
      </c>
      <c r="F5975" s="2" t="s">
        <v>7</v>
      </c>
    </row>
    <row r="5976" spans="1:6" ht="22.5" hidden="1" customHeight="1" x14ac:dyDescent="0.25">
      <c r="A5976" s="3">
        <v>44348</v>
      </c>
      <c r="B5976" s="2" t="s">
        <v>109</v>
      </c>
      <c r="C5976" s="2">
        <v>2.81</v>
      </c>
      <c r="D5976" s="2">
        <v>0.35580000000000001</v>
      </c>
      <c r="E5976" s="2">
        <v>9.9979800000000001E-3</v>
      </c>
      <c r="F5976" s="2" t="s">
        <v>7</v>
      </c>
    </row>
    <row r="5977" spans="1:6" ht="22.5" hidden="1" customHeight="1" x14ac:dyDescent="0.25">
      <c r="A5977" s="3">
        <v>44348</v>
      </c>
      <c r="B5977" s="2" t="s">
        <v>110</v>
      </c>
      <c r="C5977" s="2">
        <v>1.38</v>
      </c>
      <c r="D5977" s="2">
        <v>0.61439999999999995</v>
      </c>
      <c r="E5977" s="2">
        <v>8.4787200000000004E-3</v>
      </c>
      <c r="F5977" s="2" t="s">
        <v>7</v>
      </c>
    </row>
    <row r="5978" spans="1:6" ht="22.5" hidden="1" customHeight="1" x14ac:dyDescent="0.25">
      <c r="A5978" s="3">
        <v>44348</v>
      </c>
      <c r="B5978" s="2" t="s">
        <v>111</v>
      </c>
      <c r="C5978" s="2">
        <v>0.03</v>
      </c>
      <c r="D5978" s="2">
        <v>0.24829999999999999</v>
      </c>
      <c r="E5978" s="2">
        <v>7.449E-5</v>
      </c>
      <c r="F5978" s="2" t="s">
        <v>7</v>
      </c>
    </row>
    <row r="5979" spans="1:6" ht="22.5" hidden="1" customHeight="1" x14ac:dyDescent="0.25">
      <c r="A5979" s="3">
        <v>44348</v>
      </c>
      <c r="B5979" s="2" t="s">
        <v>112</v>
      </c>
      <c r="C5979" s="2">
        <v>2.57</v>
      </c>
      <c r="D5979" s="2">
        <v>0.69210000000000005</v>
      </c>
      <c r="E5979" s="2">
        <v>1.7786969999999999E-2</v>
      </c>
      <c r="F5979" s="2" t="s">
        <v>7</v>
      </c>
    </row>
    <row r="5980" spans="1:6" ht="22.5" hidden="1" customHeight="1" x14ac:dyDescent="0.25">
      <c r="A5980" s="3">
        <v>44348</v>
      </c>
      <c r="B5980" s="2" t="s">
        <v>113</v>
      </c>
      <c r="C5980" s="2">
        <v>1.08</v>
      </c>
      <c r="D5980" s="2">
        <v>2.18E-2</v>
      </c>
      <c r="E5980" s="2">
        <v>2.3544000000000001E-4</v>
      </c>
      <c r="F5980" s="2" t="s">
        <v>7</v>
      </c>
    </row>
    <row r="5981" spans="1:6" ht="22.5" hidden="1" customHeight="1" x14ac:dyDescent="0.25">
      <c r="A5981" s="3">
        <v>44348</v>
      </c>
      <c r="B5981" s="2" t="s">
        <v>114</v>
      </c>
      <c r="C5981" s="2">
        <v>0.61</v>
      </c>
      <c r="D5981" s="2">
        <v>0.20219999999999999</v>
      </c>
      <c r="E5981" s="2">
        <v>1.23342E-3</v>
      </c>
      <c r="F5981" s="2" t="s">
        <v>7</v>
      </c>
    </row>
    <row r="5982" spans="1:6" ht="22.5" hidden="1" customHeight="1" x14ac:dyDescent="0.25">
      <c r="A5982" s="3">
        <v>44348</v>
      </c>
      <c r="B5982" s="2" t="s">
        <v>115</v>
      </c>
      <c r="C5982" s="2">
        <v>1.99</v>
      </c>
      <c r="D5982" s="2">
        <v>0.52669999999999995</v>
      </c>
      <c r="E5982" s="2">
        <v>1.0481330000000001E-2</v>
      </c>
      <c r="F5982" s="2" t="s">
        <v>7</v>
      </c>
    </row>
    <row r="5983" spans="1:6" ht="22.5" hidden="1" customHeight="1" x14ac:dyDescent="0.25">
      <c r="A5983" s="3">
        <v>44348</v>
      </c>
      <c r="B5983" s="2" t="s">
        <v>116</v>
      </c>
      <c r="C5983" s="2">
        <v>1.01</v>
      </c>
      <c r="D5983" s="2">
        <v>0.15140000000000001</v>
      </c>
      <c r="E5983" s="2">
        <v>1.52914E-3</v>
      </c>
      <c r="F5983" s="2" t="s">
        <v>7</v>
      </c>
    </row>
    <row r="5984" spans="1:6" ht="22.5" hidden="1" customHeight="1" x14ac:dyDescent="0.25">
      <c r="A5984" s="3">
        <v>44348</v>
      </c>
      <c r="B5984" s="2" t="s">
        <v>117</v>
      </c>
      <c r="C5984" s="2">
        <v>1.54</v>
      </c>
      <c r="D5984" s="2">
        <v>5.5500000000000001E-2</v>
      </c>
      <c r="E5984" s="2">
        <v>8.5470000000000001E-4</v>
      </c>
      <c r="F5984" s="2" t="s">
        <v>7</v>
      </c>
    </row>
    <row r="5985" spans="1:6" ht="22.5" hidden="1" customHeight="1" x14ac:dyDescent="0.25">
      <c r="A5985" s="3">
        <v>44348</v>
      </c>
      <c r="B5985" s="2" t="s">
        <v>118</v>
      </c>
      <c r="C5985" s="2">
        <v>0.3</v>
      </c>
      <c r="D5985" s="2">
        <v>6.2899999999999998E-2</v>
      </c>
      <c r="E5985" s="2">
        <v>1.8870000000000001E-4</v>
      </c>
      <c r="F5985" s="2" t="s">
        <v>7</v>
      </c>
    </row>
    <row r="5986" spans="1:6" ht="22.5" hidden="1" customHeight="1" x14ac:dyDescent="0.25">
      <c r="A5986" s="3">
        <v>44348</v>
      </c>
      <c r="B5986" s="2" t="s">
        <v>119</v>
      </c>
      <c r="C5986" s="2">
        <v>0.28000000000000003</v>
      </c>
      <c r="D5986" s="2">
        <v>1.11E-2</v>
      </c>
      <c r="E5986" s="2">
        <v>3.1080000000000001E-5</v>
      </c>
      <c r="F5986" s="2" t="s">
        <v>7</v>
      </c>
    </row>
    <row r="5987" spans="1:6" ht="22.5" hidden="1" customHeight="1" x14ac:dyDescent="0.25">
      <c r="A5987" s="3">
        <v>44348</v>
      </c>
      <c r="B5987" s="2" t="s">
        <v>120</v>
      </c>
      <c r="C5987" s="2">
        <v>0.25</v>
      </c>
      <c r="D5987" s="2">
        <v>0.45400000000000001</v>
      </c>
      <c r="E5987" s="2">
        <v>1.1349999999999999E-3</v>
      </c>
      <c r="F5987" s="2" t="s">
        <v>7</v>
      </c>
    </row>
    <row r="5988" spans="1:6" ht="22.5" hidden="1" customHeight="1" x14ac:dyDescent="0.25">
      <c r="A5988" s="3">
        <v>44348</v>
      </c>
      <c r="B5988" s="2" t="s">
        <v>121</v>
      </c>
      <c r="C5988" s="2">
        <v>-0.05</v>
      </c>
      <c r="D5988" s="2">
        <v>0.78890000000000005</v>
      </c>
      <c r="E5988" s="2">
        <v>-3.9445000000000002E-4</v>
      </c>
      <c r="F5988" s="2" t="s">
        <v>7</v>
      </c>
    </row>
    <row r="5989" spans="1:6" ht="22.5" hidden="1" customHeight="1" x14ac:dyDescent="0.25">
      <c r="A5989" s="3">
        <v>44348</v>
      </c>
      <c r="B5989" s="2" t="s">
        <v>122</v>
      </c>
      <c r="C5989" s="2">
        <v>1.37</v>
      </c>
      <c r="D5989" s="2">
        <v>8.14E-2</v>
      </c>
      <c r="E5989" s="2">
        <v>1.1151799999999999E-3</v>
      </c>
      <c r="F5989" s="2" t="s">
        <v>7</v>
      </c>
    </row>
    <row r="5990" spans="1:6" ht="22.5" hidden="1" customHeight="1" x14ac:dyDescent="0.25">
      <c r="A5990" s="3">
        <v>44348</v>
      </c>
      <c r="B5990" s="2" t="s">
        <v>123</v>
      </c>
      <c r="C5990" s="2">
        <v>3.58</v>
      </c>
      <c r="D5990" s="2">
        <v>9.7900000000000001E-2</v>
      </c>
      <c r="E5990" s="2">
        <v>3.5048200000000001E-3</v>
      </c>
      <c r="F5990" s="2" t="s">
        <v>7</v>
      </c>
    </row>
    <row r="5991" spans="1:6" ht="22.5" hidden="1" customHeight="1" x14ac:dyDescent="0.25">
      <c r="A5991" s="3">
        <v>44348</v>
      </c>
      <c r="B5991" s="2" t="s">
        <v>124</v>
      </c>
      <c r="C5991" s="2">
        <v>2.52</v>
      </c>
      <c r="D5991" s="2">
        <v>0.13270000000000001</v>
      </c>
      <c r="E5991" s="2">
        <v>3.3440399999999999E-3</v>
      </c>
      <c r="F5991" s="2" t="s">
        <v>7</v>
      </c>
    </row>
    <row r="5992" spans="1:6" ht="22.5" hidden="1" customHeight="1" x14ac:dyDescent="0.25">
      <c r="A5992" s="3">
        <v>44348</v>
      </c>
      <c r="B5992" s="2" t="s">
        <v>125</v>
      </c>
      <c r="C5992" s="2">
        <v>-2.02</v>
      </c>
      <c r="D5992" s="2">
        <v>3.27E-2</v>
      </c>
      <c r="E5992" s="2">
        <v>-6.6054000000000004E-4</v>
      </c>
      <c r="F5992" s="2" t="s">
        <v>7</v>
      </c>
    </row>
    <row r="5993" spans="1:6" ht="22.5" hidden="1" customHeight="1" x14ac:dyDescent="0.25">
      <c r="A5993" s="3">
        <v>44348</v>
      </c>
      <c r="B5993" s="2" t="s">
        <v>126</v>
      </c>
      <c r="C5993" s="2">
        <v>1.85</v>
      </c>
      <c r="D5993" s="2">
        <v>0.313</v>
      </c>
      <c r="E5993" s="2">
        <v>5.7904999999999996E-3</v>
      </c>
      <c r="F5993" s="2" t="s">
        <v>7</v>
      </c>
    </row>
    <row r="5994" spans="1:6" ht="22.5" hidden="1" customHeight="1" x14ac:dyDescent="0.25">
      <c r="A5994" s="3">
        <v>44348</v>
      </c>
      <c r="B5994" s="2" t="s">
        <v>127</v>
      </c>
      <c r="C5994" s="2">
        <v>1.1100000000000001</v>
      </c>
      <c r="D5994" s="2">
        <v>6.8000000000000005E-2</v>
      </c>
      <c r="E5994" s="2">
        <v>7.5480000000000002E-4</v>
      </c>
      <c r="F5994" s="2" t="s">
        <v>7</v>
      </c>
    </row>
    <row r="5995" spans="1:6" ht="22.5" hidden="1" customHeight="1" x14ac:dyDescent="0.25">
      <c r="A5995" s="3">
        <v>44348</v>
      </c>
      <c r="B5995" s="2" t="s">
        <v>128</v>
      </c>
      <c r="C5995" s="2">
        <v>1.42</v>
      </c>
      <c r="D5995" s="2">
        <v>0.1008</v>
      </c>
      <c r="E5995" s="2">
        <v>1.43136E-3</v>
      </c>
      <c r="F5995" s="2" t="s">
        <v>7</v>
      </c>
    </row>
    <row r="5996" spans="1:6" ht="22.5" hidden="1" customHeight="1" x14ac:dyDescent="0.25">
      <c r="A5996" s="3">
        <v>44348</v>
      </c>
      <c r="B5996" s="2" t="s">
        <v>129</v>
      </c>
      <c r="C5996" s="2">
        <v>-0.14000000000000001</v>
      </c>
      <c r="D5996" s="2">
        <v>0.12740000000000001</v>
      </c>
      <c r="E5996" s="2">
        <v>-1.7835999999999999E-4</v>
      </c>
      <c r="F5996" s="2" t="s">
        <v>7</v>
      </c>
    </row>
    <row r="5997" spans="1:6" ht="22.5" hidden="1" customHeight="1" x14ac:dyDescent="0.25">
      <c r="A5997" s="3">
        <v>44348</v>
      </c>
      <c r="B5997" s="2" t="s">
        <v>130</v>
      </c>
      <c r="C5997" s="2">
        <v>0.72</v>
      </c>
      <c r="D5997" s="2">
        <v>1.29E-2</v>
      </c>
      <c r="E5997" s="2">
        <v>9.2880000000000005E-5</v>
      </c>
      <c r="F5997" s="2" t="s">
        <v>7</v>
      </c>
    </row>
    <row r="5998" spans="1:6" ht="22.5" hidden="1" customHeight="1" x14ac:dyDescent="0.25">
      <c r="A5998" s="3">
        <v>44348</v>
      </c>
      <c r="B5998" s="2" t="s">
        <v>131</v>
      </c>
      <c r="C5998" s="2">
        <v>0.93</v>
      </c>
      <c r="D5998" s="2">
        <v>6.9400000000000003E-2</v>
      </c>
      <c r="E5998" s="2">
        <v>6.4541999999999996E-4</v>
      </c>
      <c r="F5998" s="2" t="s">
        <v>7</v>
      </c>
    </row>
    <row r="5999" spans="1:6" ht="22.5" hidden="1" customHeight="1" x14ac:dyDescent="0.25">
      <c r="A5999" s="3">
        <v>44348</v>
      </c>
      <c r="B5999" s="2" t="s">
        <v>132</v>
      </c>
      <c r="C5999" s="2">
        <v>1.92</v>
      </c>
      <c r="D5999" s="2">
        <v>0.29170000000000001</v>
      </c>
      <c r="E5999" s="2">
        <v>5.6006399999999996E-3</v>
      </c>
      <c r="F5999" s="2" t="s">
        <v>7</v>
      </c>
    </row>
    <row r="6000" spans="1:6" ht="22.5" hidden="1" customHeight="1" x14ac:dyDescent="0.25">
      <c r="A6000" s="3">
        <v>44348</v>
      </c>
      <c r="B6000" s="2" t="s">
        <v>133</v>
      </c>
      <c r="C6000" s="2">
        <v>1.1000000000000001</v>
      </c>
      <c r="D6000" s="2">
        <v>8.9999999999999993E-3</v>
      </c>
      <c r="E6000" s="2">
        <v>9.8999999999999994E-5</v>
      </c>
      <c r="F6000" s="2" t="s">
        <v>7</v>
      </c>
    </row>
    <row r="6001" spans="1:6" ht="22.5" hidden="1" customHeight="1" x14ac:dyDescent="0.25">
      <c r="A6001" s="3">
        <v>44348</v>
      </c>
      <c r="B6001" s="2" t="s">
        <v>134</v>
      </c>
      <c r="C6001" s="2">
        <v>1.45</v>
      </c>
      <c r="D6001" s="2">
        <v>0.49690000000000001</v>
      </c>
      <c r="E6001" s="2">
        <v>7.2050500000000002E-3</v>
      </c>
      <c r="F6001" s="2" t="s">
        <v>7</v>
      </c>
    </row>
    <row r="6002" spans="1:6" ht="22.5" hidden="1" customHeight="1" x14ac:dyDescent="0.25">
      <c r="A6002" s="3">
        <v>44348</v>
      </c>
      <c r="B6002" s="2" t="s">
        <v>135</v>
      </c>
      <c r="C6002" s="2">
        <v>7.0000000000000007E-2</v>
      </c>
      <c r="D6002" s="2">
        <v>0.3992</v>
      </c>
      <c r="E6002" s="2">
        <v>2.7943999999999999E-4</v>
      </c>
      <c r="F6002" s="2" t="s">
        <v>7</v>
      </c>
    </row>
    <row r="6003" spans="1:6" ht="22.5" hidden="1" customHeight="1" x14ac:dyDescent="0.25">
      <c r="A6003" s="3">
        <v>44348</v>
      </c>
      <c r="B6003" s="2" t="s">
        <v>136</v>
      </c>
      <c r="C6003" s="2">
        <v>0.76</v>
      </c>
      <c r="D6003" s="2">
        <v>3.8800000000000001E-2</v>
      </c>
      <c r="E6003" s="2">
        <v>2.9488000000000002E-4</v>
      </c>
      <c r="F6003" s="2" t="s">
        <v>7</v>
      </c>
    </row>
    <row r="6004" spans="1:6" ht="22.5" hidden="1" customHeight="1" x14ac:dyDescent="0.25">
      <c r="A6004" s="3">
        <v>44348</v>
      </c>
      <c r="B6004" s="2" t="s">
        <v>137</v>
      </c>
      <c r="C6004" s="2">
        <v>0.7</v>
      </c>
      <c r="D6004" s="2">
        <v>6.8900000000000003E-2</v>
      </c>
      <c r="E6004" s="2">
        <v>4.8230000000000001E-4</v>
      </c>
      <c r="F6004" s="2" t="s">
        <v>7</v>
      </c>
    </row>
    <row r="6005" spans="1:6" ht="22.5" hidden="1" customHeight="1" x14ac:dyDescent="0.25">
      <c r="A6005" s="3">
        <v>44348</v>
      </c>
      <c r="B6005" s="2" t="s">
        <v>138</v>
      </c>
      <c r="C6005" s="2">
        <v>0.91</v>
      </c>
      <c r="D6005" s="2">
        <v>4.6699999999999998E-2</v>
      </c>
      <c r="E6005" s="2">
        <v>4.2496999999999999E-4</v>
      </c>
      <c r="F6005" s="2" t="s">
        <v>7</v>
      </c>
    </row>
    <row r="6006" spans="1:6" ht="22.5" hidden="1" customHeight="1" x14ac:dyDescent="0.25">
      <c r="A6006" s="3">
        <v>44348</v>
      </c>
      <c r="B6006" s="2" t="s">
        <v>139</v>
      </c>
      <c r="C6006" s="2">
        <v>0</v>
      </c>
      <c r="D6006" s="2">
        <v>2.7199999999999998E-2</v>
      </c>
      <c r="E6006" s="2">
        <v>0</v>
      </c>
      <c r="F6006" s="2" t="s">
        <v>7</v>
      </c>
    </row>
    <row r="6007" spans="1:6" ht="22.5" hidden="1" customHeight="1" x14ac:dyDescent="0.25">
      <c r="A6007" s="3">
        <v>44348</v>
      </c>
      <c r="B6007" s="2" t="s">
        <v>140</v>
      </c>
      <c r="C6007" s="2">
        <v>-1.49</v>
      </c>
      <c r="D6007" s="2">
        <v>2.3999999999999998E-3</v>
      </c>
      <c r="E6007" s="2">
        <v>-3.5760000000000003E-5</v>
      </c>
      <c r="F6007" s="2" t="s">
        <v>7</v>
      </c>
    </row>
    <row r="6008" spans="1:6" ht="22.5" hidden="1" customHeight="1" x14ac:dyDescent="0.25">
      <c r="A6008" s="3">
        <v>44348</v>
      </c>
      <c r="B6008" s="2" t="s">
        <v>141</v>
      </c>
      <c r="C6008" s="2">
        <v>0.26</v>
      </c>
      <c r="D6008" s="2">
        <v>1.9900000000000001E-2</v>
      </c>
      <c r="E6008" s="2">
        <v>5.1740000000000003E-5</v>
      </c>
      <c r="F6008" s="2" t="s">
        <v>7</v>
      </c>
    </row>
    <row r="6009" spans="1:6" ht="22.5" hidden="1" customHeight="1" x14ac:dyDescent="0.25">
      <c r="A6009" s="3">
        <v>44348</v>
      </c>
      <c r="B6009" s="2" t="s">
        <v>142</v>
      </c>
      <c r="C6009" s="2">
        <v>-0.96</v>
      </c>
      <c r="D6009" s="2">
        <v>4.3E-3</v>
      </c>
      <c r="E6009" s="2">
        <v>-4.1279999999999998E-5</v>
      </c>
      <c r="F6009" s="2" t="s">
        <v>7</v>
      </c>
    </row>
    <row r="6010" spans="1:6" ht="22.5" hidden="1" customHeight="1" x14ac:dyDescent="0.25">
      <c r="A6010" s="3">
        <v>44348</v>
      </c>
      <c r="B6010" s="2" t="s">
        <v>143</v>
      </c>
      <c r="C6010" s="2">
        <v>0.74</v>
      </c>
      <c r="D6010" s="2">
        <v>4.2299999999999997E-2</v>
      </c>
      <c r="E6010" s="2">
        <v>3.1302000000000001E-4</v>
      </c>
      <c r="F6010" s="2" t="s">
        <v>7</v>
      </c>
    </row>
    <row r="6011" spans="1:6" ht="22.5" hidden="1" customHeight="1" x14ac:dyDescent="0.25">
      <c r="A6011" s="3">
        <v>44348</v>
      </c>
      <c r="B6011" s="2" t="s">
        <v>144</v>
      </c>
      <c r="C6011" s="2">
        <v>-2.37</v>
      </c>
      <c r="D6011" s="2">
        <v>1.6999999999999999E-3</v>
      </c>
      <c r="E6011" s="2">
        <v>-4.0290000000000002E-5</v>
      </c>
      <c r="F6011" s="2" t="s">
        <v>7</v>
      </c>
    </row>
    <row r="6012" spans="1:6" ht="22.5" hidden="1" customHeight="1" x14ac:dyDescent="0.25">
      <c r="A6012" s="3">
        <v>44348</v>
      </c>
      <c r="B6012" s="2" t="s">
        <v>145</v>
      </c>
      <c r="C6012" s="2">
        <v>0.27</v>
      </c>
      <c r="D6012" s="2">
        <v>1.5E-3</v>
      </c>
      <c r="E6012" s="2">
        <v>4.0500000000000002E-6</v>
      </c>
      <c r="F6012" s="2" t="s">
        <v>7</v>
      </c>
    </row>
    <row r="6013" spans="1:6" ht="22.5" hidden="1" customHeight="1" x14ac:dyDescent="0.25">
      <c r="A6013" s="3">
        <v>44348</v>
      </c>
      <c r="B6013" s="2" t="s">
        <v>146</v>
      </c>
      <c r="C6013" s="2">
        <v>0.97</v>
      </c>
      <c r="D6013" s="2">
        <v>3.3500000000000002E-2</v>
      </c>
      <c r="E6013" s="2">
        <v>3.2495000000000001E-4</v>
      </c>
      <c r="F6013" s="2" t="s">
        <v>7</v>
      </c>
    </row>
    <row r="6014" spans="1:6" ht="22.5" hidden="1" customHeight="1" x14ac:dyDescent="0.25">
      <c r="A6014" s="3">
        <v>44348</v>
      </c>
      <c r="B6014" s="2" t="s">
        <v>147</v>
      </c>
      <c r="C6014" s="2">
        <v>-0.33</v>
      </c>
      <c r="D6014" s="2">
        <v>2.7199999999999998E-2</v>
      </c>
      <c r="E6014" s="2">
        <v>-8.9759999999999994E-5</v>
      </c>
      <c r="F6014" s="2" t="s">
        <v>7</v>
      </c>
    </row>
    <row r="6015" spans="1:6" ht="22.5" hidden="1" customHeight="1" x14ac:dyDescent="0.25">
      <c r="A6015" s="3">
        <v>44348</v>
      </c>
      <c r="B6015" s="2" t="s">
        <v>148</v>
      </c>
      <c r="C6015" s="2">
        <v>0.43</v>
      </c>
      <c r="D6015" s="2">
        <v>2.3300000000000001E-2</v>
      </c>
      <c r="E6015" s="2">
        <v>1.0019E-4</v>
      </c>
      <c r="F6015" s="2" t="s">
        <v>7</v>
      </c>
    </row>
    <row r="6016" spans="1:6" ht="22.5" hidden="1" customHeight="1" x14ac:dyDescent="0.25">
      <c r="A6016" s="3">
        <v>44348</v>
      </c>
      <c r="B6016" s="2" t="s">
        <v>149</v>
      </c>
      <c r="C6016" s="2">
        <v>-2.85</v>
      </c>
      <c r="D6016" s="2">
        <v>2.5000000000000001E-3</v>
      </c>
      <c r="E6016" s="2">
        <v>-7.1249999999999997E-5</v>
      </c>
      <c r="F6016" s="2" t="s">
        <v>7</v>
      </c>
    </row>
    <row r="6017" spans="1:6" ht="22.5" hidden="1" customHeight="1" x14ac:dyDescent="0.25">
      <c r="A6017" s="3">
        <v>44348</v>
      </c>
      <c r="B6017" s="2" t="s">
        <v>150</v>
      </c>
      <c r="C6017" s="2">
        <v>1.06</v>
      </c>
      <c r="D6017" s="2">
        <v>0.112</v>
      </c>
      <c r="E6017" s="2">
        <v>1.1872E-3</v>
      </c>
      <c r="F6017" s="2" t="s">
        <v>7</v>
      </c>
    </row>
    <row r="6018" spans="1:6" ht="22.5" hidden="1" customHeight="1" x14ac:dyDescent="0.25">
      <c r="A6018" s="3">
        <v>44348</v>
      </c>
      <c r="B6018" s="2" t="s">
        <v>151</v>
      </c>
      <c r="C6018" s="2">
        <v>1.65</v>
      </c>
      <c r="D6018" s="2">
        <v>0.1171</v>
      </c>
      <c r="E6018" s="2">
        <v>1.9321500000000001E-3</v>
      </c>
      <c r="F6018" s="2" t="s">
        <v>7</v>
      </c>
    </row>
    <row r="6019" spans="1:6" ht="22.5" hidden="1" customHeight="1" x14ac:dyDescent="0.25">
      <c r="A6019" s="3">
        <v>44348</v>
      </c>
      <c r="B6019" s="2" t="s">
        <v>152</v>
      </c>
      <c r="C6019" s="2">
        <v>0.49</v>
      </c>
      <c r="D6019" s="2">
        <v>3.0000000000000001E-3</v>
      </c>
      <c r="E6019" s="2">
        <v>1.47E-5</v>
      </c>
      <c r="F6019" s="2" t="s">
        <v>7</v>
      </c>
    </row>
    <row r="6020" spans="1:6" ht="22.5" hidden="1" customHeight="1" x14ac:dyDescent="0.25">
      <c r="A6020" s="3">
        <v>44348</v>
      </c>
      <c r="B6020" s="2" t="s">
        <v>153</v>
      </c>
      <c r="C6020" s="2">
        <v>2.57</v>
      </c>
      <c r="D6020" s="2">
        <v>8.9999999999999998E-4</v>
      </c>
      <c r="E6020" s="2">
        <v>2.313E-5</v>
      </c>
      <c r="F6020" s="2" t="s">
        <v>7</v>
      </c>
    </row>
    <row r="6021" spans="1:6" ht="22.5" hidden="1" customHeight="1" x14ac:dyDescent="0.25">
      <c r="A6021" s="3">
        <v>44348</v>
      </c>
      <c r="B6021" s="2" t="s">
        <v>154</v>
      </c>
      <c r="C6021" s="2">
        <v>-0.36</v>
      </c>
      <c r="D6021" s="2">
        <v>1E-3</v>
      </c>
      <c r="E6021" s="2">
        <v>-3.5999999999999998E-6</v>
      </c>
      <c r="F6021" s="2" t="s">
        <v>7</v>
      </c>
    </row>
    <row r="6022" spans="1:6" ht="22.5" hidden="1" customHeight="1" x14ac:dyDescent="0.25">
      <c r="A6022" s="3">
        <v>44348</v>
      </c>
      <c r="B6022" s="2" t="s">
        <v>155</v>
      </c>
      <c r="C6022" s="2">
        <v>0.73</v>
      </c>
      <c r="D6022" s="2">
        <v>5.8999999999999999E-3</v>
      </c>
      <c r="E6022" s="2">
        <v>4.3069999999999999E-5</v>
      </c>
      <c r="F6022" s="2" t="s">
        <v>7</v>
      </c>
    </row>
    <row r="6023" spans="1:6" ht="22.5" hidden="1" customHeight="1" x14ac:dyDescent="0.25">
      <c r="A6023" s="3">
        <v>44348</v>
      </c>
      <c r="B6023" s="2" t="s">
        <v>156</v>
      </c>
      <c r="C6023" s="2">
        <v>0.26</v>
      </c>
      <c r="D6023" s="2">
        <v>4.53E-2</v>
      </c>
      <c r="E6023" s="2">
        <v>1.1778E-4</v>
      </c>
      <c r="F6023" s="2" t="s">
        <v>7</v>
      </c>
    </row>
    <row r="6024" spans="1:6" ht="22.5" hidden="1" customHeight="1" x14ac:dyDescent="0.25">
      <c r="A6024" s="3">
        <v>44348</v>
      </c>
      <c r="B6024" s="2" t="s">
        <v>157</v>
      </c>
      <c r="C6024" s="2">
        <v>0.59</v>
      </c>
      <c r="D6024" s="2">
        <v>1.77E-2</v>
      </c>
      <c r="E6024" s="2">
        <v>1.0443E-4</v>
      </c>
      <c r="F6024" s="2" t="s">
        <v>7</v>
      </c>
    </row>
    <row r="6025" spans="1:6" ht="22.5" hidden="1" customHeight="1" x14ac:dyDescent="0.25">
      <c r="A6025" s="3">
        <v>44348</v>
      </c>
      <c r="B6025" s="2" t="s">
        <v>158</v>
      </c>
      <c r="C6025" s="2">
        <v>0.95</v>
      </c>
      <c r="D6025" s="2">
        <v>9.9000000000000008E-3</v>
      </c>
      <c r="E6025" s="2">
        <v>9.4049999999999996E-5</v>
      </c>
      <c r="F6025" s="2" t="s">
        <v>7</v>
      </c>
    </row>
    <row r="6026" spans="1:6" ht="22.5" hidden="1" customHeight="1" x14ac:dyDescent="0.25">
      <c r="A6026" s="3">
        <v>44348</v>
      </c>
      <c r="B6026" s="2" t="s">
        <v>159</v>
      </c>
      <c r="C6026" s="2">
        <v>-0.18</v>
      </c>
      <c r="D6026" s="2">
        <v>5.4399999999999997E-2</v>
      </c>
      <c r="E6026" s="2">
        <v>-9.7919999999999998E-5</v>
      </c>
      <c r="F6026" s="2" t="s">
        <v>7</v>
      </c>
    </row>
    <row r="6027" spans="1:6" ht="22.5" hidden="1" customHeight="1" x14ac:dyDescent="0.25">
      <c r="A6027" s="3">
        <v>44348</v>
      </c>
      <c r="B6027" s="2" t="s">
        <v>160</v>
      </c>
      <c r="C6027" s="2">
        <v>0.86</v>
      </c>
      <c r="D6027" s="2">
        <v>3.7054999999999998</v>
      </c>
      <c r="E6027" s="2">
        <v>3.1867300000000001E-2</v>
      </c>
      <c r="F6027" s="2" t="s">
        <v>7</v>
      </c>
    </row>
    <row r="6028" spans="1:6" ht="22.5" hidden="1" customHeight="1" x14ac:dyDescent="0.25">
      <c r="A6028" s="3">
        <v>44348</v>
      </c>
      <c r="B6028" s="2" t="s">
        <v>161</v>
      </c>
      <c r="C6028" s="2">
        <v>1.67</v>
      </c>
      <c r="D6028" s="2">
        <v>1.7423</v>
      </c>
      <c r="E6028" s="2">
        <v>2.909641E-2</v>
      </c>
      <c r="F6028" s="2" t="s">
        <v>7</v>
      </c>
    </row>
    <row r="6029" spans="1:6" ht="22.5" hidden="1" customHeight="1" x14ac:dyDescent="0.25">
      <c r="A6029" s="3">
        <v>44348</v>
      </c>
      <c r="B6029" s="2" t="s">
        <v>134</v>
      </c>
      <c r="C6029" s="2">
        <v>0.87</v>
      </c>
      <c r="D6029" s="2">
        <v>0.1255</v>
      </c>
      <c r="E6029" s="2">
        <v>1.0918499999999999E-3</v>
      </c>
      <c r="F6029" s="2" t="s">
        <v>7</v>
      </c>
    </row>
    <row r="6030" spans="1:6" ht="22.5" hidden="1" customHeight="1" x14ac:dyDescent="0.25">
      <c r="A6030" s="3">
        <v>44348</v>
      </c>
      <c r="B6030" s="2" t="s">
        <v>162</v>
      </c>
      <c r="C6030" s="2">
        <v>-0.74</v>
      </c>
      <c r="D6030" s="2">
        <v>4.2999999999999997E-2</v>
      </c>
      <c r="E6030" s="2">
        <v>-3.1819999999999998E-4</v>
      </c>
      <c r="F6030" s="2" t="s">
        <v>7</v>
      </c>
    </row>
    <row r="6031" spans="1:6" ht="22.5" hidden="1" customHeight="1" x14ac:dyDescent="0.25">
      <c r="A6031" s="3">
        <v>44348</v>
      </c>
      <c r="B6031" s="2" t="s">
        <v>135</v>
      </c>
      <c r="C6031" s="2">
        <v>0.54</v>
      </c>
      <c r="D6031" s="2">
        <v>0.29049999999999998</v>
      </c>
      <c r="E6031" s="2">
        <v>1.5686999999999999E-3</v>
      </c>
      <c r="F6031" s="2" t="s">
        <v>7</v>
      </c>
    </row>
    <row r="6032" spans="1:6" ht="22.5" hidden="1" customHeight="1" x14ac:dyDescent="0.25">
      <c r="A6032" s="3">
        <v>44348</v>
      </c>
      <c r="B6032" s="2" t="s">
        <v>136</v>
      </c>
      <c r="C6032" s="2">
        <v>3.62</v>
      </c>
      <c r="D6032" s="2">
        <v>4.1999999999999997E-3</v>
      </c>
      <c r="E6032" s="2">
        <v>1.5203999999999999E-4</v>
      </c>
      <c r="F6032" s="2" t="s">
        <v>7</v>
      </c>
    </row>
    <row r="6033" spans="1:6" ht="22.5" hidden="1" customHeight="1" x14ac:dyDescent="0.25">
      <c r="A6033" s="3">
        <v>44348</v>
      </c>
      <c r="B6033" s="2" t="s">
        <v>137</v>
      </c>
      <c r="C6033" s="2">
        <v>0.42</v>
      </c>
      <c r="D6033" s="2">
        <v>1.0200000000000001E-2</v>
      </c>
      <c r="E6033" s="2">
        <v>4.2840000000000003E-5</v>
      </c>
      <c r="F6033" s="2" t="s">
        <v>7</v>
      </c>
    </row>
    <row r="6034" spans="1:6" ht="22.5" hidden="1" customHeight="1" x14ac:dyDescent="0.25">
      <c r="A6034" s="3">
        <v>44348</v>
      </c>
      <c r="B6034" s="2" t="s">
        <v>163</v>
      </c>
      <c r="C6034" s="2">
        <v>0.68</v>
      </c>
      <c r="D6034" s="2">
        <v>4.4000000000000003E-3</v>
      </c>
      <c r="E6034" s="2">
        <v>2.9920000000000002E-5</v>
      </c>
      <c r="F6034" s="2" t="s">
        <v>7</v>
      </c>
    </row>
    <row r="6035" spans="1:6" ht="22.5" hidden="1" customHeight="1" x14ac:dyDescent="0.25">
      <c r="A6035" s="3">
        <v>44348</v>
      </c>
      <c r="B6035" s="2" t="s">
        <v>34</v>
      </c>
      <c r="C6035" s="2">
        <v>1.52</v>
      </c>
      <c r="D6035" s="2">
        <v>5.28E-2</v>
      </c>
      <c r="E6035" s="2">
        <v>8.0256000000000001E-4</v>
      </c>
      <c r="F6035" s="2" t="s">
        <v>7</v>
      </c>
    </row>
    <row r="6036" spans="1:6" ht="22.5" hidden="1" customHeight="1" x14ac:dyDescent="0.25">
      <c r="A6036" s="3">
        <v>44348</v>
      </c>
      <c r="B6036" s="2" t="s">
        <v>164</v>
      </c>
      <c r="C6036" s="2">
        <v>0.5</v>
      </c>
      <c r="D6036" s="2">
        <v>3.7277999999999998</v>
      </c>
      <c r="E6036" s="2">
        <v>1.8638999999999999E-2</v>
      </c>
      <c r="F6036" s="2" t="s">
        <v>165</v>
      </c>
    </row>
    <row r="6037" spans="1:6" ht="22.5" hidden="1" customHeight="1" x14ac:dyDescent="0.25">
      <c r="A6037" s="3">
        <v>44348</v>
      </c>
      <c r="B6037" s="2" t="s">
        <v>166</v>
      </c>
      <c r="C6037" s="2">
        <v>0.48</v>
      </c>
      <c r="D6037" s="2">
        <v>2.2885</v>
      </c>
      <c r="E6037" s="2">
        <v>1.0984799999999999E-2</v>
      </c>
      <c r="F6037" s="2" t="s">
        <v>165</v>
      </c>
    </row>
    <row r="6038" spans="1:6" ht="22.5" hidden="1" customHeight="1" x14ac:dyDescent="0.25">
      <c r="A6038" s="3">
        <v>44287</v>
      </c>
      <c r="B6038" s="2" t="s">
        <v>366</v>
      </c>
      <c r="C6038" s="2">
        <v>0</v>
      </c>
      <c r="D6038" s="2">
        <v>0.2591</v>
      </c>
      <c r="E6038" s="2">
        <v>0</v>
      </c>
      <c r="F6038" s="2" t="s">
        <v>168</v>
      </c>
    </row>
    <row r="6039" spans="1:6" ht="22.5" hidden="1" customHeight="1" x14ac:dyDescent="0.25">
      <c r="A6039" s="3">
        <v>44348</v>
      </c>
      <c r="B6039" s="2" t="s">
        <v>169</v>
      </c>
      <c r="C6039" s="2">
        <v>-0.06</v>
      </c>
      <c r="D6039" s="2">
        <v>1.0800000000000001E-2</v>
      </c>
      <c r="E6039" s="2">
        <v>-6.4799999999999998E-6</v>
      </c>
      <c r="F6039" s="2" t="s">
        <v>170</v>
      </c>
    </row>
    <row r="6040" spans="1:6" ht="22.5" hidden="1" customHeight="1" x14ac:dyDescent="0.25">
      <c r="A6040" s="3">
        <v>44348</v>
      </c>
      <c r="B6040" s="2" t="s">
        <v>171</v>
      </c>
      <c r="C6040" s="2">
        <v>1.1000000000000001</v>
      </c>
      <c r="D6040" s="2">
        <v>1.4200000000000001E-2</v>
      </c>
      <c r="E6040" s="2">
        <v>1.562E-4</v>
      </c>
      <c r="F6040" s="2" t="s">
        <v>170</v>
      </c>
    </row>
    <row r="6041" spans="1:6" ht="22.5" hidden="1" customHeight="1" x14ac:dyDescent="0.25">
      <c r="A6041" s="3">
        <v>44348</v>
      </c>
      <c r="B6041" s="2" t="s">
        <v>172</v>
      </c>
      <c r="C6041" s="2">
        <v>0.32</v>
      </c>
      <c r="D6041" s="2">
        <v>3.3999999999999998E-3</v>
      </c>
      <c r="E6041" s="2">
        <v>1.0879999999999999E-5</v>
      </c>
      <c r="F6041" s="2" t="s">
        <v>170</v>
      </c>
    </row>
    <row r="6042" spans="1:6" ht="22.5" hidden="1" customHeight="1" x14ac:dyDescent="0.25">
      <c r="A6042" s="3">
        <v>44348</v>
      </c>
      <c r="B6042" s="2" t="s">
        <v>173</v>
      </c>
      <c r="C6042" s="2">
        <v>1.04</v>
      </c>
      <c r="D6042" s="2">
        <v>0.26179999999999998</v>
      </c>
      <c r="E6042" s="2">
        <v>2.7227200000000001E-3</v>
      </c>
      <c r="F6042" s="2" t="s">
        <v>174</v>
      </c>
    </row>
    <row r="6043" spans="1:6" ht="22.5" hidden="1" customHeight="1" x14ac:dyDescent="0.25">
      <c r="A6043" s="3">
        <v>44348</v>
      </c>
      <c r="B6043" s="2" t="s">
        <v>175</v>
      </c>
      <c r="C6043" s="2">
        <v>1.74</v>
      </c>
      <c r="D6043" s="2">
        <v>0.26269999999999999</v>
      </c>
      <c r="E6043" s="2">
        <v>4.5709799999999997E-3</v>
      </c>
      <c r="F6043" s="2" t="s">
        <v>174</v>
      </c>
    </row>
    <row r="6044" spans="1:6" ht="22.5" hidden="1" customHeight="1" x14ac:dyDescent="0.25">
      <c r="A6044" s="3">
        <v>44348</v>
      </c>
      <c r="B6044" s="2" t="s">
        <v>176</v>
      </c>
      <c r="C6044" s="2">
        <v>1.64</v>
      </c>
      <c r="D6044" s="2">
        <v>1.35E-2</v>
      </c>
      <c r="E6044" s="2">
        <v>2.2139999999999999E-4</v>
      </c>
      <c r="F6044" s="2" t="s">
        <v>170</v>
      </c>
    </row>
    <row r="6045" spans="1:6" ht="22.5" hidden="1" customHeight="1" x14ac:dyDescent="0.25">
      <c r="A6045" s="3">
        <v>44348</v>
      </c>
      <c r="B6045" s="2" t="s">
        <v>177</v>
      </c>
      <c r="C6045" s="2">
        <v>-0.11</v>
      </c>
      <c r="D6045" s="2">
        <v>2.35E-2</v>
      </c>
      <c r="E6045" s="2">
        <v>-2.5850000000000002E-5</v>
      </c>
      <c r="F6045" s="2" t="s">
        <v>170</v>
      </c>
    </row>
    <row r="6046" spans="1:6" ht="22.5" hidden="1" customHeight="1" x14ac:dyDescent="0.25">
      <c r="A6046" s="3">
        <v>44348</v>
      </c>
      <c r="B6046" s="2" t="s">
        <v>178</v>
      </c>
      <c r="C6046" s="2">
        <v>7.0000000000000007E-2</v>
      </c>
      <c r="D6046" s="2">
        <v>2.1000000000000001E-2</v>
      </c>
      <c r="E6046" s="2">
        <v>1.47E-5</v>
      </c>
      <c r="F6046" s="2" t="s">
        <v>170</v>
      </c>
    </row>
    <row r="6047" spans="1:6" ht="22.5" hidden="1" customHeight="1" x14ac:dyDescent="0.25">
      <c r="A6047" s="3">
        <v>44348</v>
      </c>
      <c r="B6047" s="2" t="s">
        <v>179</v>
      </c>
      <c r="C6047" s="2">
        <v>3.06</v>
      </c>
      <c r="D6047" s="2">
        <v>4.5900000000000003E-2</v>
      </c>
      <c r="E6047" s="2">
        <v>1.4045399999999999E-3</v>
      </c>
      <c r="F6047" s="2" t="s">
        <v>170</v>
      </c>
    </row>
    <row r="6048" spans="1:6" ht="22.5" hidden="1" customHeight="1" x14ac:dyDescent="0.25">
      <c r="A6048" s="3">
        <v>44348</v>
      </c>
      <c r="B6048" s="2" t="s">
        <v>180</v>
      </c>
      <c r="C6048" s="2">
        <v>7.0000000000000007E-2</v>
      </c>
      <c r="D6048" s="2">
        <v>0.62649999999999995</v>
      </c>
      <c r="E6048" s="2">
        <v>4.3855000000000001E-4</v>
      </c>
      <c r="F6048" s="2" t="s">
        <v>165</v>
      </c>
    </row>
    <row r="6049" spans="1:6" ht="22.5" hidden="1" customHeight="1" x14ac:dyDescent="0.25">
      <c r="A6049" s="3">
        <v>44348</v>
      </c>
      <c r="B6049" s="2" t="s">
        <v>181</v>
      </c>
      <c r="C6049" s="2">
        <v>0.32</v>
      </c>
      <c r="D6049" s="2">
        <v>1.29E-2</v>
      </c>
      <c r="E6049" s="2">
        <v>4.1279999999999998E-5</v>
      </c>
      <c r="F6049" s="2" t="s">
        <v>174</v>
      </c>
    </row>
    <row r="6050" spans="1:6" ht="22.5" hidden="1" customHeight="1" x14ac:dyDescent="0.25">
      <c r="A6050" s="3">
        <v>44348</v>
      </c>
      <c r="B6050" s="2" t="s">
        <v>182</v>
      </c>
      <c r="C6050" s="2">
        <v>2.1800000000000002</v>
      </c>
      <c r="D6050" s="2">
        <v>4.1700000000000001E-2</v>
      </c>
      <c r="E6050" s="2">
        <v>9.0905999999999995E-4</v>
      </c>
      <c r="F6050" s="2" t="s">
        <v>170</v>
      </c>
    </row>
    <row r="6051" spans="1:6" ht="22.5" hidden="1" customHeight="1" x14ac:dyDescent="0.25">
      <c r="A6051" s="3">
        <v>44348</v>
      </c>
      <c r="B6051" s="2" t="s">
        <v>183</v>
      </c>
      <c r="C6051" s="2">
        <v>2.38</v>
      </c>
      <c r="D6051" s="2">
        <v>4.1000000000000003E-3</v>
      </c>
      <c r="E6051" s="2">
        <v>9.7579999999999997E-5</v>
      </c>
      <c r="F6051" s="2" t="s">
        <v>174</v>
      </c>
    </row>
    <row r="6052" spans="1:6" ht="22.5" hidden="1" customHeight="1" x14ac:dyDescent="0.25">
      <c r="A6052" s="3">
        <v>44348</v>
      </c>
      <c r="B6052" s="2" t="s">
        <v>184</v>
      </c>
      <c r="C6052" s="2">
        <v>0.46</v>
      </c>
      <c r="D6052" s="2">
        <v>6.4500000000000002E-2</v>
      </c>
      <c r="E6052" s="2">
        <v>2.967E-4</v>
      </c>
      <c r="F6052" s="2" t="s">
        <v>174</v>
      </c>
    </row>
    <row r="6053" spans="1:6" ht="22.5" hidden="1" customHeight="1" x14ac:dyDescent="0.25">
      <c r="A6053" s="3">
        <v>44348</v>
      </c>
      <c r="B6053" s="2" t="s">
        <v>185</v>
      </c>
      <c r="C6053" s="2">
        <v>0.49</v>
      </c>
      <c r="D6053" s="2">
        <v>0.154</v>
      </c>
      <c r="E6053" s="2">
        <v>7.5460000000000002E-4</v>
      </c>
      <c r="F6053" s="2" t="s">
        <v>174</v>
      </c>
    </row>
    <row r="6054" spans="1:6" ht="22.5" hidden="1" customHeight="1" x14ac:dyDescent="0.25">
      <c r="A6054" s="3">
        <v>44348</v>
      </c>
      <c r="B6054" s="2" t="s">
        <v>186</v>
      </c>
      <c r="C6054" s="2">
        <v>-0.53</v>
      </c>
      <c r="D6054" s="2">
        <v>0.21759999999999999</v>
      </c>
      <c r="E6054" s="2">
        <v>-1.15328E-3</v>
      </c>
      <c r="F6054" s="2" t="s">
        <v>174</v>
      </c>
    </row>
    <row r="6055" spans="1:6" ht="22.5" hidden="1" customHeight="1" x14ac:dyDescent="0.25">
      <c r="A6055" s="3">
        <v>44348</v>
      </c>
      <c r="B6055" s="2" t="s">
        <v>187</v>
      </c>
      <c r="C6055" s="2">
        <v>0.23</v>
      </c>
      <c r="D6055" s="2">
        <v>5.8599999999999999E-2</v>
      </c>
      <c r="E6055" s="2">
        <v>1.3478000000000001E-4</v>
      </c>
      <c r="F6055" s="2" t="s">
        <v>174</v>
      </c>
    </row>
    <row r="6056" spans="1:6" ht="22.5" hidden="1" customHeight="1" x14ac:dyDescent="0.25">
      <c r="A6056" s="3">
        <v>44348</v>
      </c>
      <c r="B6056" s="2" t="s">
        <v>188</v>
      </c>
      <c r="C6056" s="2">
        <v>0.45</v>
      </c>
      <c r="D6056" s="2">
        <v>2.87E-2</v>
      </c>
      <c r="E6056" s="2">
        <v>1.2915E-4</v>
      </c>
      <c r="F6056" s="2" t="s">
        <v>174</v>
      </c>
    </row>
    <row r="6057" spans="1:6" ht="22.5" hidden="1" customHeight="1" x14ac:dyDescent="0.25">
      <c r="A6057" s="3">
        <v>44348</v>
      </c>
      <c r="B6057" s="2" t="s">
        <v>189</v>
      </c>
      <c r="C6057" s="2">
        <v>-0.08</v>
      </c>
      <c r="D6057" s="2">
        <v>3.8E-3</v>
      </c>
      <c r="E6057" s="2">
        <v>-3.0400000000000001E-6</v>
      </c>
      <c r="F6057" s="2" t="s">
        <v>174</v>
      </c>
    </row>
    <row r="6058" spans="1:6" ht="22.5" hidden="1" customHeight="1" x14ac:dyDescent="0.25">
      <c r="A6058" s="3">
        <v>44348</v>
      </c>
      <c r="B6058" s="2" t="s">
        <v>190</v>
      </c>
      <c r="C6058" s="2">
        <v>0.86</v>
      </c>
      <c r="D6058" s="2">
        <v>4.7999999999999996E-3</v>
      </c>
      <c r="E6058" s="2">
        <v>4.1279999999999998E-5</v>
      </c>
      <c r="F6058" s="2" t="s">
        <v>174</v>
      </c>
    </row>
    <row r="6059" spans="1:6" ht="22.5" hidden="1" customHeight="1" x14ac:dyDescent="0.25">
      <c r="A6059" s="3">
        <v>44348</v>
      </c>
      <c r="B6059" s="2" t="s">
        <v>191</v>
      </c>
      <c r="C6059" s="2">
        <v>2.38</v>
      </c>
      <c r="D6059" s="2">
        <v>2.7199999999999998E-2</v>
      </c>
      <c r="E6059" s="2">
        <v>6.4736000000000004E-4</v>
      </c>
      <c r="F6059" s="2" t="s">
        <v>174</v>
      </c>
    </row>
    <row r="6060" spans="1:6" ht="22.5" hidden="1" customHeight="1" x14ac:dyDescent="0.25">
      <c r="A6060" s="3">
        <v>44348</v>
      </c>
      <c r="B6060" s="2" t="s">
        <v>192</v>
      </c>
      <c r="C6060" s="2">
        <v>-1.92</v>
      </c>
      <c r="D6060" s="2">
        <v>5.3E-3</v>
      </c>
      <c r="E6060" s="2">
        <v>-1.0176E-4</v>
      </c>
      <c r="F6060" s="2" t="s">
        <v>174</v>
      </c>
    </row>
    <row r="6061" spans="1:6" ht="22.5" hidden="1" customHeight="1" x14ac:dyDescent="0.25">
      <c r="A6061" s="3">
        <v>44348</v>
      </c>
      <c r="B6061" s="2" t="s">
        <v>193</v>
      </c>
      <c r="C6061" s="2">
        <v>1.03</v>
      </c>
      <c r="D6061" s="2">
        <v>0.16259999999999999</v>
      </c>
      <c r="E6061" s="2">
        <v>1.6747800000000001E-3</v>
      </c>
      <c r="F6061" s="2" t="s">
        <v>174</v>
      </c>
    </row>
    <row r="6062" spans="1:6" ht="22.5" hidden="1" customHeight="1" x14ac:dyDescent="0.25">
      <c r="A6062" s="3">
        <v>44348</v>
      </c>
      <c r="B6062" s="2" t="s">
        <v>194</v>
      </c>
      <c r="C6062" s="2">
        <v>1.76</v>
      </c>
      <c r="D6062" s="2">
        <v>3.3E-3</v>
      </c>
      <c r="E6062" s="2">
        <v>5.808E-5</v>
      </c>
      <c r="F6062" s="2" t="s">
        <v>174</v>
      </c>
    </row>
    <row r="6063" spans="1:6" ht="22.5" hidden="1" customHeight="1" x14ac:dyDescent="0.25">
      <c r="A6063" s="3">
        <v>44287</v>
      </c>
      <c r="B6063" s="2" t="s">
        <v>367</v>
      </c>
      <c r="C6063" s="2">
        <v>0</v>
      </c>
      <c r="D6063" s="2">
        <v>1.5258</v>
      </c>
      <c r="E6063" s="2">
        <v>0</v>
      </c>
      <c r="F6063" s="2" t="s">
        <v>168</v>
      </c>
    </row>
    <row r="6064" spans="1:6" ht="22.5" hidden="1" customHeight="1" x14ac:dyDescent="0.25">
      <c r="A6064" s="3">
        <v>44317</v>
      </c>
      <c r="B6064" s="2" t="s">
        <v>261</v>
      </c>
      <c r="C6064" s="2">
        <v>0</v>
      </c>
      <c r="D6064" s="2">
        <v>0.18870000000000001</v>
      </c>
      <c r="E6064" s="2">
        <v>0</v>
      </c>
      <c r="F6064" s="2" t="s">
        <v>168</v>
      </c>
    </row>
    <row r="6065" spans="1:6" ht="22.5" hidden="1" customHeight="1" x14ac:dyDescent="0.25">
      <c r="A6065" s="3">
        <v>44317</v>
      </c>
      <c r="B6065" s="2" t="s">
        <v>262</v>
      </c>
      <c r="C6065" s="2">
        <v>0</v>
      </c>
      <c r="D6065" s="2">
        <v>3.8699999999999998E-2</v>
      </c>
      <c r="E6065" s="2">
        <v>0</v>
      </c>
      <c r="F6065" s="2" t="s">
        <v>168</v>
      </c>
    </row>
    <row r="6066" spans="1:6" ht="22.5" hidden="1" customHeight="1" x14ac:dyDescent="0.25">
      <c r="A6066" s="3">
        <v>44348</v>
      </c>
      <c r="B6066" s="2" t="s">
        <v>198</v>
      </c>
      <c r="C6066" s="2">
        <v>0.55000000000000004</v>
      </c>
      <c r="D6066" s="2">
        <v>0.34239999999999998</v>
      </c>
      <c r="E6066" s="2">
        <v>1.8832E-3</v>
      </c>
      <c r="F6066" s="2" t="s">
        <v>170</v>
      </c>
    </row>
    <row r="6067" spans="1:6" ht="22.5" hidden="1" customHeight="1" x14ac:dyDescent="0.25">
      <c r="A6067" s="3">
        <v>44348</v>
      </c>
      <c r="B6067" s="2" t="s">
        <v>199</v>
      </c>
      <c r="C6067" s="2">
        <v>0.36</v>
      </c>
      <c r="D6067" s="2">
        <v>0.48909999999999998</v>
      </c>
      <c r="E6067" s="2">
        <v>1.7607600000000001E-3</v>
      </c>
      <c r="F6067" s="2" t="s">
        <v>170</v>
      </c>
    </row>
    <row r="6068" spans="1:6" ht="22.5" hidden="1" customHeight="1" x14ac:dyDescent="0.25">
      <c r="A6068" s="3">
        <v>44348</v>
      </c>
      <c r="B6068" s="2" t="s">
        <v>200</v>
      </c>
      <c r="C6068" s="2">
        <v>0.98</v>
      </c>
      <c r="D6068" s="2">
        <v>0.18720000000000001</v>
      </c>
      <c r="E6068" s="2">
        <v>1.8345600000000001E-3</v>
      </c>
      <c r="F6068" s="2" t="s">
        <v>170</v>
      </c>
    </row>
    <row r="6069" spans="1:6" ht="22.5" hidden="1" customHeight="1" x14ac:dyDescent="0.25">
      <c r="A6069" s="3">
        <v>44348</v>
      </c>
      <c r="B6069" s="2" t="s">
        <v>201</v>
      </c>
      <c r="C6069" s="2">
        <v>-0.87</v>
      </c>
      <c r="D6069" s="2">
        <v>2.5999999999999999E-2</v>
      </c>
      <c r="E6069" s="2">
        <v>-2.262E-4</v>
      </c>
      <c r="F6069" s="2" t="s">
        <v>170</v>
      </c>
    </row>
    <row r="6070" spans="1:6" ht="22.5" hidden="1" customHeight="1" x14ac:dyDescent="0.25">
      <c r="A6070" s="3">
        <v>44348</v>
      </c>
      <c r="B6070" s="2" t="s">
        <v>202</v>
      </c>
      <c r="C6070" s="2">
        <v>-6.53</v>
      </c>
      <c r="D6070" s="2">
        <v>1.9099999999999999E-2</v>
      </c>
      <c r="E6070" s="2">
        <v>-1.24723E-3</v>
      </c>
      <c r="F6070" s="2" t="s">
        <v>170</v>
      </c>
    </row>
    <row r="6071" spans="1:6" ht="22.5" hidden="1" customHeight="1" x14ac:dyDescent="0.25">
      <c r="A6071" s="3">
        <v>44348</v>
      </c>
      <c r="B6071" s="2" t="s">
        <v>203</v>
      </c>
      <c r="C6071" s="2">
        <v>0.22</v>
      </c>
      <c r="D6071" s="2">
        <v>8.1799999999999998E-2</v>
      </c>
      <c r="E6071" s="2">
        <v>1.7996E-4</v>
      </c>
      <c r="F6071" s="2" t="s">
        <v>170</v>
      </c>
    </row>
    <row r="6072" spans="1:6" ht="22.5" hidden="1" customHeight="1" x14ac:dyDescent="0.25">
      <c r="A6072" s="3">
        <v>44348</v>
      </c>
      <c r="B6072" s="2" t="s">
        <v>204</v>
      </c>
      <c r="C6072" s="2">
        <v>1.42</v>
      </c>
      <c r="D6072" s="2">
        <v>5.9299999999999999E-2</v>
      </c>
      <c r="E6072" s="2">
        <v>8.4206000000000005E-4</v>
      </c>
      <c r="F6072" s="2" t="s">
        <v>174</v>
      </c>
    </row>
    <row r="6073" spans="1:6" ht="22.5" hidden="1" customHeight="1" x14ac:dyDescent="0.25">
      <c r="A6073" s="3">
        <v>44348</v>
      </c>
      <c r="B6073" s="2" t="s">
        <v>205</v>
      </c>
      <c r="C6073" s="2">
        <v>1.52</v>
      </c>
      <c r="D6073" s="2">
        <v>9.5399999999999999E-2</v>
      </c>
      <c r="E6073" s="2">
        <v>1.4500800000000001E-3</v>
      </c>
      <c r="F6073" s="2" t="s">
        <v>174</v>
      </c>
    </row>
    <row r="6074" spans="1:6" ht="22.5" hidden="1" customHeight="1" x14ac:dyDescent="0.25">
      <c r="A6074" s="3">
        <v>44348</v>
      </c>
      <c r="B6074" s="2" t="s">
        <v>206</v>
      </c>
      <c r="C6074" s="2">
        <v>1.72</v>
      </c>
      <c r="D6074" s="2">
        <v>0.1598</v>
      </c>
      <c r="E6074" s="2">
        <v>2.7485600000000002E-3</v>
      </c>
      <c r="F6074" s="2" t="s">
        <v>174</v>
      </c>
    </row>
    <row r="6075" spans="1:6" ht="22.5" hidden="1" customHeight="1" x14ac:dyDescent="0.25">
      <c r="A6075" s="3">
        <v>44348</v>
      </c>
      <c r="B6075" s="2" t="s">
        <v>207</v>
      </c>
      <c r="C6075" s="2">
        <v>1.37</v>
      </c>
      <c r="D6075" s="2">
        <v>4.8399999999999999E-2</v>
      </c>
      <c r="E6075" s="2">
        <v>6.6308000000000003E-4</v>
      </c>
      <c r="F6075" s="2" t="s">
        <v>174</v>
      </c>
    </row>
    <row r="6076" spans="1:6" ht="22.5" hidden="1" customHeight="1" x14ac:dyDescent="0.25">
      <c r="A6076" s="3">
        <v>44348</v>
      </c>
      <c r="B6076" s="2" t="s">
        <v>208</v>
      </c>
      <c r="C6076" s="2">
        <v>-0.21</v>
      </c>
      <c r="D6076" s="2">
        <v>8.8999999999999999E-3</v>
      </c>
      <c r="E6076" s="2">
        <v>-1.8689999999999999E-5</v>
      </c>
      <c r="F6076" s="2" t="s">
        <v>174</v>
      </c>
    </row>
    <row r="6077" spans="1:6" ht="22.5" hidden="1" customHeight="1" x14ac:dyDescent="0.25">
      <c r="A6077" s="3">
        <v>44348</v>
      </c>
      <c r="B6077" s="2" t="s">
        <v>209</v>
      </c>
      <c r="C6077" s="2">
        <v>1.71</v>
      </c>
      <c r="D6077" s="2">
        <v>6.1000000000000004E-3</v>
      </c>
      <c r="E6077" s="2">
        <v>1.0431E-4</v>
      </c>
      <c r="F6077" s="2" t="s">
        <v>174</v>
      </c>
    </row>
    <row r="6078" spans="1:6" ht="22.5" hidden="1" customHeight="1" x14ac:dyDescent="0.25">
      <c r="A6078" s="3">
        <v>44348</v>
      </c>
      <c r="B6078" s="2" t="s">
        <v>210</v>
      </c>
      <c r="C6078" s="2">
        <v>0.47</v>
      </c>
      <c r="D6078" s="2">
        <v>1.44E-2</v>
      </c>
      <c r="E6078" s="2">
        <v>6.7680000000000003E-5</v>
      </c>
      <c r="F6078" s="2" t="s">
        <v>170</v>
      </c>
    </row>
    <row r="6079" spans="1:6" ht="22.5" hidden="1" customHeight="1" x14ac:dyDescent="0.25">
      <c r="A6079" s="3">
        <v>44348</v>
      </c>
      <c r="B6079" s="2" t="s">
        <v>211</v>
      </c>
      <c r="C6079" s="2">
        <v>1.53</v>
      </c>
      <c r="D6079" s="2">
        <v>0.1978</v>
      </c>
      <c r="E6079" s="2">
        <v>3.0263400000000002E-3</v>
      </c>
      <c r="F6079" s="2" t="s">
        <v>174</v>
      </c>
    </row>
    <row r="6080" spans="1:6" ht="22.5" hidden="1" customHeight="1" x14ac:dyDescent="0.25">
      <c r="A6080" s="3">
        <v>44348</v>
      </c>
      <c r="B6080" s="2" t="s">
        <v>212</v>
      </c>
      <c r="C6080" s="2">
        <v>1.29</v>
      </c>
      <c r="D6080" s="2">
        <v>4.4999999999999997E-3</v>
      </c>
      <c r="E6080" s="2">
        <v>5.8050000000000002E-5</v>
      </c>
      <c r="F6080" s="2" t="s">
        <v>174</v>
      </c>
    </row>
    <row r="6081" spans="1:6" ht="22.5" hidden="1" customHeight="1" x14ac:dyDescent="0.25">
      <c r="A6081" s="3">
        <v>44348</v>
      </c>
      <c r="B6081" s="2" t="s">
        <v>213</v>
      </c>
      <c r="C6081" s="2">
        <v>3.23</v>
      </c>
      <c r="D6081" s="2">
        <v>0.34229999999999999</v>
      </c>
      <c r="E6081" s="2">
        <v>1.105629E-2</v>
      </c>
      <c r="F6081" s="2" t="s">
        <v>170</v>
      </c>
    </row>
    <row r="6082" spans="1:6" ht="22.5" hidden="1" customHeight="1" x14ac:dyDescent="0.25">
      <c r="A6082" s="3">
        <v>44348</v>
      </c>
      <c r="B6082" s="2" t="s">
        <v>214</v>
      </c>
      <c r="C6082" s="2">
        <v>-1.19</v>
      </c>
      <c r="D6082" s="2">
        <v>0.10390000000000001</v>
      </c>
      <c r="E6082" s="2">
        <v>-1.2364100000000001E-3</v>
      </c>
      <c r="F6082" s="2" t="s">
        <v>170</v>
      </c>
    </row>
    <row r="6083" spans="1:6" ht="22.5" hidden="1" customHeight="1" x14ac:dyDescent="0.25">
      <c r="A6083" s="3">
        <v>44348</v>
      </c>
      <c r="B6083" s="2" t="s">
        <v>215</v>
      </c>
      <c r="C6083" s="2">
        <v>0.3</v>
      </c>
      <c r="D6083" s="2">
        <v>0.2495</v>
      </c>
      <c r="E6083" s="2">
        <v>7.4850000000000003E-4</v>
      </c>
      <c r="F6083" s="2" t="s">
        <v>170</v>
      </c>
    </row>
    <row r="6084" spans="1:6" ht="22.5" hidden="1" customHeight="1" x14ac:dyDescent="0.25">
      <c r="A6084" s="3">
        <v>44348</v>
      </c>
      <c r="B6084" s="2" t="s">
        <v>216</v>
      </c>
      <c r="C6084" s="2">
        <v>0.7</v>
      </c>
      <c r="D6084" s="2">
        <v>1.4500000000000001E-2</v>
      </c>
      <c r="E6084" s="2">
        <v>1.015E-4</v>
      </c>
      <c r="F6084" s="2" t="s">
        <v>170</v>
      </c>
    </row>
    <row r="6085" spans="1:6" ht="22.5" hidden="1" customHeight="1" x14ac:dyDescent="0.25">
      <c r="A6085" s="3">
        <v>44348</v>
      </c>
      <c r="B6085" s="2" t="s">
        <v>217</v>
      </c>
      <c r="C6085" s="2">
        <v>0.96</v>
      </c>
      <c r="D6085" s="2">
        <v>0.16220000000000001</v>
      </c>
      <c r="E6085" s="2">
        <v>1.5571199999999999E-3</v>
      </c>
      <c r="F6085" s="2" t="s">
        <v>170</v>
      </c>
    </row>
    <row r="6086" spans="1:6" ht="22.5" hidden="1" customHeight="1" x14ac:dyDescent="0.25">
      <c r="A6086" s="3">
        <v>44348</v>
      </c>
      <c r="B6086" s="2" t="s">
        <v>218</v>
      </c>
      <c r="C6086" s="2">
        <v>3.02</v>
      </c>
      <c r="D6086" s="2">
        <v>7.4999999999999997E-3</v>
      </c>
      <c r="E6086" s="2">
        <v>2.265E-4</v>
      </c>
      <c r="F6086" s="2" t="s">
        <v>170</v>
      </c>
    </row>
    <row r="6087" spans="1:6" ht="22.5" hidden="1" customHeight="1" x14ac:dyDescent="0.25">
      <c r="A6087" s="3">
        <v>44348</v>
      </c>
      <c r="B6087" s="2" t="s">
        <v>219</v>
      </c>
      <c r="C6087" s="2">
        <v>3.79</v>
      </c>
      <c r="D6087" s="2">
        <v>0.51070000000000004</v>
      </c>
      <c r="E6087" s="2">
        <v>1.9355529999999999E-2</v>
      </c>
      <c r="F6087" s="2" t="s">
        <v>170</v>
      </c>
    </row>
    <row r="6088" spans="1:6" ht="22.5" hidden="1" customHeight="1" x14ac:dyDescent="0.25">
      <c r="A6088" s="3">
        <v>44348</v>
      </c>
      <c r="B6088" s="2" t="s">
        <v>220</v>
      </c>
      <c r="C6088" s="2">
        <v>1.84</v>
      </c>
      <c r="D6088" s="2">
        <v>1.06E-2</v>
      </c>
      <c r="E6088" s="2">
        <v>1.9504E-4</v>
      </c>
      <c r="F6088" s="2" t="s">
        <v>170</v>
      </c>
    </row>
    <row r="6089" spans="1:6" ht="22.5" hidden="1" customHeight="1" x14ac:dyDescent="0.25">
      <c r="A6089" s="3">
        <v>44348</v>
      </c>
      <c r="B6089" s="2" t="s">
        <v>221</v>
      </c>
      <c r="C6089" s="2">
        <v>2.86</v>
      </c>
      <c r="D6089" s="2">
        <v>3.7000000000000002E-3</v>
      </c>
      <c r="E6089" s="2">
        <v>1.0582E-4</v>
      </c>
      <c r="F6089" s="2" t="s">
        <v>170</v>
      </c>
    </row>
    <row r="6090" spans="1:6" ht="22.5" hidden="1" customHeight="1" x14ac:dyDescent="0.25">
      <c r="A6090" s="3">
        <v>44348</v>
      </c>
      <c r="B6090" s="2" t="s">
        <v>222</v>
      </c>
      <c r="C6090" s="2">
        <v>1.26</v>
      </c>
      <c r="D6090" s="2">
        <v>0.3448</v>
      </c>
      <c r="E6090" s="2">
        <v>4.3444800000000004E-3</v>
      </c>
      <c r="F6090" s="2" t="s">
        <v>170</v>
      </c>
    </row>
    <row r="6091" spans="1:6" ht="22.5" hidden="1" customHeight="1" x14ac:dyDescent="0.25">
      <c r="A6091" s="3">
        <v>44348</v>
      </c>
      <c r="B6091" s="2" t="s">
        <v>223</v>
      </c>
      <c r="C6091" s="2">
        <v>0.76</v>
      </c>
      <c r="D6091" s="2">
        <v>1.61E-2</v>
      </c>
      <c r="E6091" s="2">
        <v>1.2235999999999999E-4</v>
      </c>
      <c r="F6091" s="2" t="s">
        <v>165</v>
      </c>
    </row>
    <row r="6092" spans="1:6" ht="22.5" hidden="1" customHeight="1" x14ac:dyDescent="0.25">
      <c r="A6092" s="3">
        <v>44348</v>
      </c>
      <c r="B6092" s="2" t="s">
        <v>224</v>
      </c>
      <c r="C6092" s="2">
        <v>-1.85</v>
      </c>
      <c r="D6092" s="2">
        <v>2.0999999999999999E-3</v>
      </c>
      <c r="E6092" s="2">
        <v>-3.8850000000000002E-5</v>
      </c>
      <c r="F6092" s="2" t="s">
        <v>165</v>
      </c>
    </row>
    <row r="6093" spans="1:6" ht="22.5" hidden="1" customHeight="1" x14ac:dyDescent="0.25">
      <c r="A6093" s="3">
        <v>44348</v>
      </c>
      <c r="B6093" s="2" t="s">
        <v>225</v>
      </c>
      <c r="C6093" s="2">
        <v>-0.4</v>
      </c>
      <c r="D6093" s="2">
        <v>4.7999999999999996E-3</v>
      </c>
      <c r="E6093" s="2">
        <v>-1.9199999999999999E-5</v>
      </c>
      <c r="F6093" s="2" t="s">
        <v>165</v>
      </c>
    </row>
    <row r="6094" spans="1:6" ht="22.5" hidden="1" customHeight="1" x14ac:dyDescent="0.25">
      <c r="A6094" s="3">
        <v>44348</v>
      </c>
      <c r="B6094" s="2" t="s">
        <v>226</v>
      </c>
      <c r="C6094" s="2">
        <v>-0.45</v>
      </c>
      <c r="D6094" s="2">
        <v>4.7E-2</v>
      </c>
      <c r="E6094" s="2">
        <v>-2.1149999999999999E-4</v>
      </c>
      <c r="F6094" s="2" t="s">
        <v>165</v>
      </c>
    </row>
    <row r="6095" spans="1:6" ht="22.5" hidden="1" customHeight="1" x14ac:dyDescent="0.25">
      <c r="A6095" s="3">
        <v>44348</v>
      </c>
      <c r="B6095" s="2" t="s">
        <v>227</v>
      </c>
      <c r="C6095" s="2">
        <v>0.41</v>
      </c>
      <c r="D6095" s="2">
        <v>6.3899999999999998E-2</v>
      </c>
      <c r="E6095" s="2">
        <v>2.6198999999999998E-4</v>
      </c>
      <c r="F6095" s="2" t="s">
        <v>165</v>
      </c>
    </row>
    <row r="6096" spans="1:6" ht="22.5" hidden="1" customHeight="1" x14ac:dyDescent="0.25">
      <c r="A6096" s="3">
        <v>44348</v>
      </c>
      <c r="B6096" s="2" t="s">
        <v>228</v>
      </c>
      <c r="C6096" s="2">
        <v>1.51</v>
      </c>
      <c r="D6096" s="2">
        <v>0.19109999999999999</v>
      </c>
      <c r="E6096" s="2">
        <v>2.8856099999999998E-3</v>
      </c>
      <c r="F6096" s="2" t="s">
        <v>165</v>
      </c>
    </row>
    <row r="6097" spans="1:6" ht="22.5" hidden="1" customHeight="1" x14ac:dyDescent="0.25">
      <c r="A6097" s="3">
        <v>44348</v>
      </c>
      <c r="B6097" s="2" t="s">
        <v>229</v>
      </c>
      <c r="C6097" s="2">
        <v>1.44</v>
      </c>
      <c r="D6097" s="2">
        <v>0.27650000000000002</v>
      </c>
      <c r="E6097" s="2">
        <v>3.9816000000000001E-3</v>
      </c>
      <c r="F6097" s="2" t="s">
        <v>174</v>
      </c>
    </row>
    <row r="6098" spans="1:6" ht="22.5" hidden="1" customHeight="1" x14ac:dyDescent="0.25">
      <c r="A6098" s="3">
        <v>44348</v>
      </c>
      <c r="B6098" s="2" t="s">
        <v>230</v>
      </c>
      <c r="C6098" s="2">
        <v>3.53</v>
      </c>
      <c r="D6098" s="2">
        <v>2.1600000000000001E-2</v>
      </c>
      <c r="E6098" s="2">
        <v>7.6247999999999995E-4</v>
      </c>
      <c r="F6098" s="2" t="s">
        <v>174</v>
      </c>
    </row>
    <row r="6099" spans="1:6" ht="22.5" hidden="1" customHeight="1" x14ac:dyDescent="0.25">
      <c r="A6099" s="3">
        <v>44348</v>
      </c>
      <c r="B6099" s="2" t="s">
        <v>231</v>
      </c>
      <c r="C6099" s="2">
        <v>0.9</v>
      </c>
      <c r="D6099" s="2">
        <v>0.16420000000000001</v>
      </c>
      <c r="E6099" s="2">
        <v>1.4778E-3</v>
      </c>
      <c r="F6099" s="2" t="s">
        <v>174</v>
      </c>
    </row>
    <row r="6100" spans="1:6" ht="22.5" hidden="1" customHeight="1" x14ac:dyDescent="0.25">
      <c r="A6100" s="3">
        <v>44348</v>
      </c>
      <c r="B6100" s="2" t="s">
        <v>232</v>
      </c>
      <c r="C6100" s="2">
        <v>1.87</v>
      </c>
      <c r="D6100" s="2">
        <v>5.4999999999999997E-3</v>
      </c>
      <c r="E6100" s="2">
        <v>1.0285000000000001E-4</v>
      </c>
      <c r="F6100" s="2" t="s">
        <v>174</v>
      </c>
    </row>
    <row r="6101" spans="1:6" ht="22.5" hidden="1" customHeight="1" x14ac:dyDescent="0.25">
      <c r="A6101" s="3">
        <v>44348</v>
      </c>
      <c r="B6101" s="2" t="s">
        <v>233</v>
      </c>
      <c r="C6101" s="2">
        <v>1.07</v>
      </c>
      <c r="D6101" s="2">
        <v>0.55510000000000004</v>
      </c>
      <c r="E6101" s="2">
        <v>5.9395699999999999E-3</v>
      </c>
      <c r="F6101" s="2" t="s">
        <v>174</v>
      </c>
    </row>
    <row r="6102" spans="1:6" ht="22.5" hidden="1" customHeight="1" x14ac:dyDescent="0.25">
      <c r="A6102" s="3">
        <v>44348</v>
      </c>
      <c r="B6102" s="2" t="s">
        <v>234</v>
      </c>
      <c r="C6102" s="2">
        <v>0.16</v>
      </c>
      <c r="D6102" s="2">
        <v>0.30099999999999999</v>
      </c>
      <c r="E6102" s="2">
        <v>4.816E-4</v>
      </c>
      <c r="F6102" s="2" t="s">
        <v>174</v>
      </c>
    </row>
    <row r="6103" spans="1:6" ht="22.5" hidden="1" customHeight="1" x14ac:dyDescent="0.25">
      <c r="A6103" s="3">
        <v>44348</v>
      </c>
      <c r="B6103" s="2" t="s">
        <v>235</v>
      </c>
      <c r="C6103" s="2">
        <v>1.65</v>
      </c>
      <c r="D6103" s="2">
        <v>2.52E-2</v>
      </c>
      <c r="E6103" s="2">
        <v>4.1580000000000002E-4</v>
      </c>
      <c r="F6103" s="2" t="s">
        <v>174</v>
      </c>
    </row>
    <row r="6104" spans="1:6" ht="22.5" hidden="1" customHeight="1" x14ac:dyDescent="0.25">
      <c r="A6104" s="3">
        <v>44348</v>
      </c>
      <c r="B6104" s="2" t="s">
        <v>236</v>
      </c>
      <c r="C6104" s="2">
        <v>1.37</v>
      </c>
      <c r="D6104" s="2">
        <v>7.0000000000000001E-3</v>
      </c>
      <c r="E6104" s="2">
        <v>9.59E-5</v>
      </c>
      <c r="F6104" s="2" t="s">
        <v>174</v>
      </c>
    </row>
    <row r="6105" spans="1:6" ht="22.5" hidden="1" customHeight="1" x14ac:dyDescent="0.25">
      <c r="A6105" s="3">
        <v>44348</v>
      </c>
      <c r="B6105" s="2" t="s">
        <v>237</v>
      </c>
      <c r="C6105" s="2">
        <v>1.35</v>
      </c>
      <c r="D6105" s="2">
        <v>0.27960000000000002</v>
      </c>
      <c r="E6105" s="2">
        <v>3.7745999999999999E-3</v>
      </c>
      <c r="F6105" s="2" t="s">
        <v>174</v>
      </c>
    </row>
    <row r="6106" spans="1:6" ht="22.5" hidden="1" customHeight="1" x14ac:dyDescent="0.25">
      <c r="A6106" s="3">
        <v>44348</v>
      </c>
      <c r="B6106" s="2" t="s">
        <v>238</v>
      </c>
      <c r="C6106" s="2">
        <v>0.19</v>
      </c>
      <c r="D6106" s="2">
        <v>0.50160000000000005</v>
      </c>
      <c r="E6106" s="2">
        <v>9.5304000000000005E-4</v>
      </c>
      <c r="F6106" s="2" t="s">
        <v>174</v>
      </c>
    </row>
    <row r="6107" spans="1:6" ht="22.5" hidden="1" customHeight="1" x14ac:dyDescent="0.25">
      <c r="A6107" s="3">
        <v>44348</v>
      </c>
      <c r="B6107" s="2" t="s">
        <v>239</v>
      </c>
      <c r="C6107" s="2">
        <v>0.45</v>
      </c>
      <c r="D6107" s="2">
        <v>0.1082</v>
      </c>
      <c r="E6107" s="2">
        <v>4.8690000000000002E-4</v>
      </c>
      <c r="F6107" s="2" t="s">
        <v>174</v>
      </c>
    </row>
    <row r="6108" spans="1:6" ht="22.5" hidden="1" customHeight="1" x14ac:dyDescent="0.25">
      <c r="A6108" s="3">
        <v>44348</v>
      </c>
      <c r="B6108" s="2" t="s">
        <v>240</v>
      </c>
      <c r="C6108" s="2">
        <v>-0.08</v>
      </c>
      <c r="D6108" s="2">
        <v>6.2799999999999995E-2</v>
      </c>
      <c r="E6108" s="2">
        <v>-5.024E-5</v>
      </c>
      <c r="F6108" s="2" t="s">
        <v>174</v>
      </c>
    </row>
    <row r="6109" spans="1:6" ht="22.5" hidden="1" customHeight="1" x14ac:dyDescent="0.25">
      <c r="A6109" s="3">
        <v>44348</v>
      </c>
      <c r="B6109" s="2" t="s">
        <v>241</v>
      </c>
      <c r="C6109" s="2">
        <v>0.95</v>
      </c>
      <c r="D6109" s="2">
        <v>8.5000000000000006E-2</v>
      </c>
      <c r="E6109" s="2">
        <v>8.0749999999999995E-4</v>
      </c>
      <c r="F6109" s="2" t="s">
        <v>174</v>
      </c>
    </row>
    <row r="6110" spans="1:6" ht="22.5" hidden="1" customHeight="1" x14ac:dyDescent="0.25">
      <c r="A6110" s="3">
        <v>44348</v>
      </c>
      <c r="B6110" s="2" t="s">
        <v>242</v>
      </c>
      <c r="C6110" s="2">
        <v>-0.3</v>
      </c>
      <c r="D6110" s="2">
        <v>7.3999999999999996E-2</v>
      </c>
      <c r="E6110" s="2">
        <v>-2.22E-4</v>
      </c>
      <c r="F6110" s="2" t="s">
        <v>174</v>
      </c>
    </row>
    <row r="6111" spans="1:6" ht="22.5" hidden="1" customHeight="1" x14ac:dyDescent="0.25">
      <c r="A6111" s="3">
        <v>44348</v>
      </c>
      <c r="B6111" s="2" t="s">
        <v>243</v>
      </c>
      <c r="C6111" s="2">
        <v>1.18</v>
      </c>
      <c r="D6111" s="2">
        <v>8.0000000000000002E-3</v>
      </c>
      <c r="E6111" s="2">
        <v>9.4400000000000004E-5</v>
      </c>
      <c r="F6111" s="2" t="s">
        <v>174</v>
      </c>
    </row>
    <row r="6112" spans="1:6" ht="22.5" hidden="1" customHeight="1" x14ac:dyDescent="0.25">
      <c r="A6112" s="3">
        <v>44348</v>
      </c>
      <c r="B6112" s="2" t="s">
        <v>244</v>
      </c>
      <c r="C6112" s="2">
        <v>-0.06</v>
      </c>
      <c r="D6112" s="2">
        <v>5.0200000000000002E-2</v>
      </c>
      <c r="E6112" s="2">
        <v>-3.012E-5</v>
      </c>
      <c r="F6112" s="2" t="s">
        <v>174</v>
      </c>
    </row>
    <row r="6113" spans="1:6" ht="22.5" hidden="1" customHeight="1" x14ac:dyDescent="0.25">
      <c r="A6113" s="3">
        <v>44348</v>
      </c>
      <c r="B6113" s="2" t="s">
        <v>245</v>
      </c>
      <c r="C6113" s="2">
        <v>-0.5</v>
      </c>
      <c r="D6113" s="2">
        <v>5.04E-2</v>
      </c>
      <c r="E6113" s="2">
        <v>-2.52E-4</v>
      </c>
      <c r="F6113" s="2" t="s">
        <v>174</v>
      </c>
    </row>
    <row r="6114" spans="1:6" ht="22.5" hidden="1" customHeight="1" x14ac:dyDescent="0.25">
      <c r="A6114" s="3">
        <v>44348</v>
      </c>
      <c r="B6114" s="2" t="s">
        <v>246</v>
      </c>
      <c r="C6114" s="2">
        <v>-0.33</v>
      </c>
      <c r="D6114" s="2">
        <v>0.1862</v>
      </c>
      <c r="E6114" s="2">
        <v>-6.1446000000000005E-4</v>
      </c>
      <c r="F6114" s="2" t="s">
        <v>174</v>
      </c>
    </row>
    <row r="6115" spans="1:6" ht="22.5" hidden="1" customHeight="1" x14ac:dyDescent="0.25">
      <c r="A6115" s="3">
        <v>44348</v>
      </c>
      <c r="B6115" s="2" t="s">
        <v>247</v>
      </c>
      <c r="C6115" s="2">
        <v>0.69</v>
      </c>
      <c r="D6115" s="2">
        <v>0.13</v>
      </c>
      <c r="E6115" s="2">
        <v>8.9700000000000001E-4</v>
      </c>
      <c r="F6115" s="2" t="s">
        <v>174</v>
      </c>
    </row>
    <row r="6116" spans="1:6" ht="22.5" hidden="1" customHeight="1" x14ac:dyDescent="0.25">
      <c r="A6116" s="3">
        <v>44348</v>
      </c>
      <c r="B6116" s="2" t="s">
        <v>248</v>
      </c>
      <c r="C6116" s="2">
        <v>1.88</v>
      </c>
      <c r="D6116" s="2">
        <v>0.1434</v>
      </c>
      <c r="E6116" s="2">
        <v>2.6959200000000001E-3</v>
      </c>
      <c r="F6116" s="2" t="s">
        <v>174</v>
      </c>
    </row>
    <row r="6117" spans="1:6" ht="22.5" hidden="1" customHeight="1" x14ac:dyDescent="0.25">
      <c r="A6117" s="3">
        <v>44348</v>
      </c>
      <c r="B6117" s="2" t="s">
        <v>249</v>
      </c>
      <c r="C6117" s="2">
        <v>2.13</v>
      </c>
      <c r="D6117" s="2">
        <v>0.25569999999999998</v>
      </c>
      <c r="E6117" s="2">
        <v>5.4464099999999996E-3</v>
      </c>
      <c r="F6117" s="2" t="s">
        <v>174</v>
      </c>
    </row>
    <row r="6118" spans="1:6" ht="22.5" hidden="1" customHeight="1" x14ac:dyDescent="0.25">
      <c r="A6118" s="3">
        <v>44348</v>
      </c>
      <c r="B6118" s="2" t="s">
        <v>250</v>
      </c>
      <c r="C6118" s="2">
        <v>0.94</v>
      </c>
      <c r="D6118" s="2">
        <v>2.5399999999999999E-2</v>
      </c>
      <c r="E6118" s="2">
        <v>2.3876E-4</v>
      </c>
      <c r="F6118" s="2" t="s">
        <v>174</v>
      </c>
    </row>
    <row r="6119" spans="1:6" ht="22.5" hidden="1" customHeight="1" x14ac:dyDescent="0.25">
      <c r="A6119" s="3">
        <v>44348</v>
      </c>
      <c r="B6119" s="2" t="s">
        <v>251</v>
      </c>
      <c r="C6119" s="2">
        <v>0.95</v>
      </c>
      <c r="D6119" s="2">
        <v>0.06</v>
      </c>
      <c r="E6119" s="2">
        <v>5.6999999999999998E-4</v>
      </c>
      <c r="F6119" s="2" t="s">
        <v>174</v>
      </c>
    </row>
    <row r="6120" spans="1:6" ht="22.5" hidden="1" customHeight="1" x14ac:dyDescent="0.25">
      <c r="A6120" s="3">
        <v>44348</v>
      </c>
      <c r="B6120" s="2" t="s">
        <v>252</v>
      </c>
      <c r="C6120" s="2">
        <v>0.38</v>
      </c>
      <c r="D6120" s="2">
        <v>8.2000000000000007E-3</v>
      </c>
      <c r="E6120" s="2">
        <v>3.116E-5</v>
      </c>
      <c r="F6120" s="2" t="s">
        <v>174</v>
      </c>
    </row>
    <row r="6121" spans="1:6" ht="22.5" hidden="1" customHeight="1" x14ac:dyDescent="0.25">
      <c r="A6121" s="3">
        <v>44348</v>
      </c>
      <c r="B6121" s="2" t="s">
        <v>253</v>
      </c>
      <c r="C6121" s="2">
        <v>0.96</v>
      </c>
      <c r="D6121" s="2">
        <v>0.4355</v>
      </c>
      <c r="E6121" s="2">
        <v>4.1808000000000001E-3</v>
      </c>
      <c r="F6121" s="2" t="s">
        <v>174</v>
      </c>
    </row>
    <row r="6122" spans="1:6" ht="22.5" hidden="1" customHeight="1" x14ac:dyDescent="0.25">
      <c r="A6122" s="3">
        <v>44348</v>
      </c>
      <c r="B6122" s="2" t="s">
        <v>254</v>
      </c>
      <c r="C6122" s="2">
        <v>0.84</v>
      </c>
      <c r="D6122" s="2">
        <v>0.1792</v>
      </c>
      <c r="E6122" s="2">
        <v>1.5052799999999999E-3</v>
      </c>
      <c r="F6122" s="2" t="s">
        <v>174</v>
      </c>
    </row>
    <row r="6123" spans="1:6" ht="22.5" hidden="1" customHeight="1" x14ac:dyDescent="0.25">
      <c r="A6123" s="3">
        <v>44348</v>
      </c>
      <c r="B6123" s="2" t="s">
        <v>255</v>
      </c>
      <c r="C6123" s="2">
        <v>-0.6</v>
      </c>
      <c r="D6123" s="2">
        <v>1.6299999999999999E-2</v>
      </c>
      <c r="E6123" s="2">
        <v>-9.7800000000000006E-5</v>
      </c>
      <c r="F6123" s="2" t="s">
        <v>170</v>
      </c>
    </row>
    <row r="6124" spans="1:6" ht="22.5" hidden="1" customHeight="1" x14ac:dyDescent="0.25">
      <c r="A6124" s="3">
        <v>44348</v>
      </c>
      <c r="B6124" s="2" t="s">
        <v>256</v>
      </c>
      <c r="C6124" s="2">
        <v>2</v>
      </c>
      <c r="D6124" s="2">
        <v>0.15190000000000001</v>
      </c>
      <c r="E6124" s="2">
        <v>3.0379999999999999E-3</v>
      </c>
      <c r="F6124" s="2" t="s">
        <v>170</v>
      </c>
    </row>
    <row r="6125" spans="1:6" ht="22.5" hidden="1" customHeight="1" x14ac:dyDescent="0.25">
      <c r="A6125" s="3">
        <v>44348</v>
      </c>
      <c r="B6125" s="2" t="s">
        <v>257</v>
      </c>
      <c r="C6125" s="2">
        <v>1.03</v>
      </c>
      <c r="D6125" s="2">
        <v>5.1200000000000002E-2</v>
      </c>
      <c r="E6125" s="2">
        <v>5.2736000000000005E-4</v>
      </c>
      <c r="F6125" s="2" t="s">
        <v>170</v>
      </c>
    </row>
    <row r="6126" spans="1:6" ht="22.5" hidden="1" customHeight="1" x14ac:dyDescent="0.25">
      <c r="A6126" s="3">
        <v>44348</v>
      </c>
      <c r="B6126" s="2" t="s">
        <v>258</v>
      </c>
      <c r="C6126" s="2">
        <v>0.83</v>
      </c>
      <c r="D6126" s="2">
        <v>4.5999999999999999E-2</v>
      </c>
      <c r="E6126" s="2">
        <v>3.8180000000000001E-4</v>
      </c>
      <c r="F6126" s="2" t="s">
        <v>174</v>
      </c>
    </row>
    <row r="6127" spans="1:6" ht="22.5" hidden="1" customHeight="1" x14ac:dyDescent="0.25">
      <c r="A6127" s="3">
        <v>44348</v>
      </c>
      <c r="B6127" s="2" t="s">
        <v>259</v>
      </c>
      <c r="C6127" s="2">
        <v>1.6</v>
      </c>
      <c r="D6127" s="2">
        <v>9.9000000000000008E-3</v>
      </c>
      <c r="E6127" s="2">
        <v>1.584E-4</v>
      </c>
      <c r="F6127" s="2" t="s">
        <v>174</v>
      </c>
    </row>
    <row r="6128" spans="1:6" ht="22.5" hidden="1" customHeight="1" x14ac:dyDescent="0.25">
      <c r="A6128" s="3">
        <v>44317</v>
      </c>
      <c r="B6128" s="2" t="s">
        <v>273</v>
      </c>
      <c r="C6128" s="2">
        <v>0</v>
      </c>
      <c r="D6128" s="2">
        <v>0.11849999999999999</v>
      </c>
      <c r="E6128" s="2">
        <v>0</v>
      </c>
      <c r="F6128" s="2" t="s">
        <v>168</v>
      </c>
    </row>
    <row r="6129" spans="1:6" ht="22.5" hidden="1" customHeight="1" x14ac:dyDescent="0.25">
      <c r="A6129" s="3">
        <v>44317</v>
      </c>
      <c r="B6129" s="2" t="s">
        <v>340</v>
      </c>
      <c r="C6129" s="2">
        <v>0</v>
      </c>
      <c r="D6129" s="2">
        <v>0.49690000000000001</v>
      </c>
      <c r="E6129" s="2">
        <v>0</v>
      </c>
      <c r="F6129" s="2" t="s">
        <v>168</v>
      </c>
    </row>
    <row r="6130" spans="1:6" ht="22.5" hidden="1" customHeight="1" x14ac:dyDescent="0.25">
      <c r="A6130" s="3">
        <v>44317</v>
      </c>
      <c r="B6130" s="2" t="s">
        <v>365</v>
      </c>
      <c r="C6130" s="2">
        <v>0</v>
      </c>
      <c r="D6130" s="2">
        <v>6.6799999999999998E-2</v>
      </c>
      <c r="E6130" s="2">
        <v>0</v>
      </c>
      <c r="F6130" s="2" t="s">
        <v>168</v>
      </c>
    </row>
    <row r="6131" spans="1:6" ht="22.5" hidden="1" customHeight="1" x14ac:dyDescent="0.25">
      <c r="A6131" s="3">
        <v>44317</v>
      </c>
      <c r="B6131" s="2" t="s">
        <v>366</v>
      </c>
      <c r="C6131" s="2">
        <v>0</v>
      </c>
      <c r="D6131" s="2">
        <v>0.2576</v>
      </c>
      <c r="E6131" s="2">
        <v>0</v>
      </c>
      <c r="F6131" s="2" t="s">
        <v>168</v>
      </c>
    </row>
    <row r="6132" spans="1:6" ht="22.5" hidden="1" customHeight="1" x14ac:dyDescent="0.25">
      <c r="A6132" s="3">
        <v>44317</v>
      </c>
      <c r="B6132" s="2" t="s">
        <v>367</v>
      </c>
      <c r="C6132" s="2">
        <v>0</v>
      </c>
      <c r="D6132" s="2">
        <v>1.5167999999999999</v>
      </c>
      <c r="E6132" s="2">
        <v>0</v>
      </c>
      <c r="F6132" s="2" t="s">
        <v>168</v>
      </c>
    </row>
    <row r="6133" spans="1:6" ht="22.5" hidden="1" customHeight="1" x14ac:dyDescent="0.25">
      <c r="A6133" s="3">
        <v>44348</v>
      </c>
      <c r="B6133" s="2" t="s">
        <v>261</v>
      </c>
      <c r="C6133" s="2">
        <v>0</v>
      </c>
      <c r="D6133" s="2">
        <v>0.18790000000000001</v>
      </c>
      <c r="E6133" s="2">
        <v>0</v>
      </c>
      <c r="F6133" s="2" t="s">
        <v>168</v>
      </c>
    </row>
    <row r="6134" spans="1:6" ht="22.5" hidden="1" customHeight="1" x14ac:dyDescent="0.25">
      <c r="A6134" s="3">
        <v>44348</v>
      </c>
      <c r="B6134" s="2" t="s">
        <v>262</v>
      </c>
      <c r="C6134" s="2">
        <v>0</v>
      </c>
      <c r="D6134" s="2">
        <v>3.85E-2</v>
      </c>
      <c r="E6134" s="2">
        <v>0</v>
      </c>
      <c r="F6134" s="2" t="s">
        <v>168</v>
      </c>
    </row>
    <row r="6135" spans="1:6" ht="22.5" hidden="1" customHeight="1" x14ac:dyDescent="0.25">
      <c r="A6135" s="3">
        <v>44348</v>
      </c>
      <c r="B6135" s="2" t="s">
        <v>267</v>
      </c>
      <c r="C6135" s="2">
        <v>-0.04</v>
      </c>
      <c r="D6135" s="2">
        <v>0.12809999999999999</v>
      </c>
      <c r="E6135" s="2">
        <v>-5.1239999999999997E-5</v>
      </c>
      <c r="F6135" s="2" t="s">
        <v>165</v>
      </c>
    </row>
    <row r="6136" spans="1:6" ht="22.5" hidden="1" customHeight="1" x14ac:dyDescent="0.25">
      <c r="A6136" s="3">
        <v>44348</v>
      </c>
      <c r="B6136" s="2" t="s">
        <v>268</v>
      </c>
      <c r="C6136" s="2">
        <v>1.17</v>
      </c>
      <c r="D6136" s="2">
        <v>0.153</v>
      </c>
      <c r="E6136" s="2">
        <v>1.7901E-3</v>
      </c>
      <c r="F6136" s="2" t="s">
        <v>165</v>
      </c>
    </row>
    <row r="6137" spans="1:6" ht="22.5" hidden="1" customHeight="1" x14ac:dyDescent="0.25">
      <c r="A6137" s="3">
        <v>44348</v>
      </c>
      <c r="B6137" s="2" t="s">
        <v>269</v>
      </c>
      <c r="C6137" s="2">
        <v>0</v>
      </c>
      <c r="D6137" s="2">
        <v>6.6299999999999998E-2</v>
      </c>
      <c r="E6137" s="2">
        <v>0</v>
      </c>
      <c r="F6137" s="2" t="s">
        <v>165</v>
      </c>
    </row>
    <row r="6138" spans="1:6" ht="22.5" hidden="1" customHeight="1" x14ac:dyDescent="0.25">
      <c r="A6138" s="3">
        <v>44348</v>
      </c>
      <c r="B6138" s="2" t="s">
        <v>270</v>
      </c>
      <c r="C6138" s="2">
        <v>0.47</v>
      </c>
      <c r="D6138" s="2">
        <v>2.9759000000000002</v>
      </c>
      <c r="E6138" s="2">
        <v>1.3986729999999999E-2</v>
      </c>
      <c r="F6138" s="2" t="s">
        <v>170</v>
      </c>
    </row>
    <row r="6139" spans="1:6" ht="22.5" hidden="1" customHeight="1" x14ac:dyDescent="0.25">
      <c r="A6139" s="3">
        <v>44348</v>
      </c>
      <c r="B6139" s="2" t="s">
        <v>273</v>
      </c>
      <c r="C6139" s="2">
        <v>0</v>
      </c>
      <c r="D6139" s="2">
        <v>0.11799999999999999</v>
      </c>
      <c r="E6139" s="2">
        <v>0</v>
      </c>
      <c r="F6139" s="2" t="s">
        <v>168</v>
      </c>
    </row>
    <row r="6140" spans="1:6" ht="22.5" hidden="1" customHeight="1" x14ac:dyDescent="0.25">
      <c r="A6140" s="3">
        <v>44348</v>
      </c>
      <c r="B6140" s="2" t="s">
        <v>272</v>
      </c>
      <c r="C6140" s="2">
        <v>-1.73</v>
      </c>
      <c r="D6140" s="2">
        <v>0.71209999999999996</v>
      </c>
      <c r="E6140" s="2">
        <v>-1.231933E-2</v>
      </c>
      <c r="F6140" s="2" t="s">
        <v>165</v>
      </c>
    </row>
    <row r="6141" spans="1:6" ht="22.5" hidden="1" customHeight="1" x14ac:dyDescent="0.25">
      <c r="A6141" s="3">
        <v>44348</v>
      </c>
      <c r="B6141" s="2" t="s">
        <v>340</v>
      </c>
      <c r="C6141" s="2">
        <v>0</v>
      </c>
      <c r="D6141" s="2">
        <v>0.49459999999999998</v>
      </c>
      <c r="E6141" s="2">
        <v>0</v>
      </c>
      <c r="F6141" s="2" t="s">
        <v>168</v>
      </c>
    </row>
    <row r="6142" spans="1:6" ht="22.5" hidden="1" customHeight="1" x14ac:dyDescent="0.25">
      <c r="A6142" s="3">
        <v>44348</v>
      </c>
      <c r="B6142" s="2" t="s">
        <v>274</v>
      </c>
      <c r="C6142" s="2">
        <v>2.42</v>
      </c>
      <c r="D6142" s="2">
        <v>0.1305</v>
      </c>
      <c r="E6142" s="2">
        <v>3.1581000000000001E-3</v>
      </c>
      <c r="F6142" s="2" t="s">
        <v>170</v>
      </c>
    </row>
    <row r="6143" spans="1:6" ht="22.5" hidden="1" customHeight="1" x14ac:dyDescent="0.25">
      <c r="A6143" s="3">
        <v>44348</v>
      </c>
      <c r="B6143" s="2" t="s">
        <v>275</v>
      </c>
      <c r="C6143" s="2">
        <v>0.8</v>
      </c>
      <c r="D6143" s="2">
        <v>0.1736</v>
      </c>
      <c r="E6143" s="2">
        <v>1.3887999999999999E-3</v>
      </c>
      <c r="F6143" s="2" t="s">
        <v>170</v>
      </c>
    </row>
    <row r="6144" spans="1:6" ht="22.5" hidden="1" customHeight="1" x14ac:dyDescent="0.25">
      <c r="A6144" s="3">
        <v>44348</v>
      </c>
      <c r="B6144" s="2" t="s">
        <v>276</v>
      </c>
      <c r="C6144" s="2">
        <v>1.23</v>
      </c>
      <c r="D6144" s="2">
        <v>0.2414</v>
      </c>
      <c r="E6144" s="2">
        <v>2.9692199999999998E-3</v>
      </c>
      <c r="F6144" s="2" t="s">
        <v>170</v>
      </c>
    </row>
    <row r="6145" spans="1:6" ht="22.5" hidden="1" customHeight="1" x14ac:dyDescent="0.25">
      <c r="A6145" s="3">
        <v>44348</v>
      </c>
      <c r="B6145" s="2" t="s">
        <v>277</v>
      </c>
      <c r="C6145" s="2">
        <v>0.36</v>
      </c>
      <c r="D6145" s="2">
        <v>1.6566000000000001</v>
      </c>
      <c r="E6145" s="2">
        <v>5.9637600000000002E-3</v>
      </c>
      <c r="F6145" s="2" t="s">
        <v>165</v>
      </c>
    </row>
    <row r="6146" spans="1:6" ht="22.5" hidden="1" customHeight="1" x14ac:dyDescent="0.25">
      <c r="A6146" s="3">
        <v>44348</v>
      </c>
      <c r="B6146" s="2" t="s">
        <v>278</v>
      </c>
      <c r="C6146" s="2">
        <v>-0.1</v>
      </c>
      <c r="D6146" s="2">
        <v>6.7299999999999999E-2</v>
      </c>
      <c r="E6146" s="2">
        <v>-6.7299999999999996E-5</v>
      </c>
      <c r="F6146" s="2" t="s">
        <v>165</v>
      </c>
    </row>
    <row r="6147" spans="1:6" ht="22.5" hidden="1" customHeight="1" x14ac:dyDescent="0.25">
      <c r="A6147" s="3">
        <v>44348</v>
      </c>
      <c r="B6147" s="2" t="s">
        <v>367</v>
      </c>
      <c r="C6147" s="2">
        <v>0</v>
      </c>
      <c r="D6147" s="2">
        <v>1.5103</v>
      </c>
      <c r="E6147" s="2">
        <v>0</v>
      </c>
      <c r="F6147" s="2" t="s">
        <v>168</v>
      </c>
    </row>
    <row r="6148" spans="1:6" ht="22.5" hidden="1" customHeight="1" x14ac:dyDescent="0.25">
      <c r="A6148" s="3">
        <v>44348</v>
      </c>
      <c r="B6148" s="2" t="s">
        <v>280</v>
      </c>
      <c r="C6148" s="2">
        <v>0.8</v>
      </c>
      <c r="D6148" s="2">
        <v>1.8736999999999999</v>
      </c>
      <c r="E6148" s="2">
        <v>1.49896E-2</v>
      </c>
      <c r="F6148" s="2" t="s">
        <v>170</v>
      </c>
    </row>
    <row r="6149" spans="1:6" ht="22.5" hidden="1" customHeight="1" x14ac:dyDescent="0.25">
      <c r="A6149" s="3">
        <v>44348</v>
      </c>
      <c r="B6149" s="2" t="s">
        <v>281</v>
      </c>
      <c r="C6149" s="2">
        <v>0.98</v>
      </c>
      <c r="D6149" s="2">
        <v>1.6500000000000001E-2</v>
      </c>
      <c r="E6149" s="2">
        <v>1.617E-4</v>
      </c>
      <c r="F6149" s="2" t="s">
        <v>165</v>
      </c>
    </row>
    <row r="6150" spans="1:6" ht="22.5" hidden="1" customHeight="1" x14ac:dyDescent="0.25">
      <c r="A6150" s="3">
        <v>44348</v>
      </c>
      <c r="B6150" s="2" t="s">
        <v>282</v>
      </c>
      <c r="C6150" s="2">
        <v>-0.94</v>
      </c>
      <c r="D6150" s="2">
        <v>2.1600000000000001E-2</v>
      </c>
      <c r="E6150" s="2">
        <v>-2.0304000000000001E-4</v>
      </c>
      <c r="F6150" s="2" t="s">
        <v>165</v>
      </c>
    </row>
    <row r="6151" spans="1:6" ht="22.5" hidden="1" customHeight="1" x14ac:dyDescent="0.25">
      <c r="A6151" s="3">
        <v>44348</v>
      </c>
      <c r="B6151" s="2" t="s">
        <v>283</v>
      </c>
      <c r="C6151" s="2">
        <v>0.56999999999999995</v>
      </c>
      <c r="D6151" s="2">
        <v>0.56689999999999996</v>
      </c>
      <c r="E6151" s="2">
        <v>3.2313300000000001E-3</v>
      </c>
      <c r="F6151" s="2" t="s">
        <v>170</v>
      </c>
    </row>
    <row r="6152" spans="1:6" ht="22.5" hidden="1" customHeight="1" x14ac:dyDescent="0.25">
      <c r="A6152" s="3">
        <v>44378</v>
      </c>
      <c r="B6152" s="2" t="s">
        <v>261</v>
      </c>
      <c r="C6152" s="2">
        <v>0</v>
      </c>
      <c r="D6152" s="2">
        <v>0.18629999999999999</v>
      </c>
      <c r="E6152" s="2">
        <v>0</v>
      </c>
      <c r="F6152" s="2" t="s">
        <v>168</v>
      </c>
    </row>
    <row r="6153" spans="1:6" ht="22.5" hidden="1" customHeight="1" x14ac:dyDescent="0.25">
      <c r="A6153" s="3">
        <v>44378</v>
      </c>
      <c r="B6153" s="2" t="s">
        <v>262</v>
      </c>
      <c r="C6153" s="2">
        <v>0</v>
      </c>
      <c r="D6153" s="2">
        <v>3.8199999999999998E-2</v>
      </c>
      <c r="E6153" s="2">
        <v>0</v>
      </c>
      <c r="F6153" s="2" t="s">
        <v>168</v>
      </c>
    </row>
    <row r="6154" spans="1:6" ht="22.5" hidden="1" customHeight="1" x14ac:dyDescent="0.25">
      <c r="A6154" s="3">
        <v>44378</v>
      </c>
      <c r="B6154" s="2" t="s">
        <v>266</v>
      </c>
      <c r="C6154" s="2">
        <v>0</v>
      </c>
      <c r="D6154" s="2">
        <v>7.3300000000000004E-2</v>
      </c>
      <c r="E6154" s="2">
        <v>0</v>
      </c>
      <c r="F6154" s="2" t="s">
        <v>168</v>
      </c>
    </row>
    <row r="6155" spans="1:6" ht="22.5" hidden="1" customHeight="1" x14ac:dyDescent="0.25">
      <c r="A6155" s="3">
        <v>44378</v>
      </c>
      <c r="B6155" s="2" t="s">
        <v>273</v>
      </c>
      <c r="C6155" s="2">
        <v>0</v>
      </c>
      <c r="D6155" s="2">
        <v>0.11700000000000001</v>
      </c>
      <c r="E6155" s="2">
        <v>0</v>
      </c>
      <c r="F6155" s="2" t="s">
        <v>168</v>
      </c>
    </row>
    <row r="6156" spans="1:6" ht="22.5" hidden="1" customHeight="1" x14ac:dyDescent="0.25">
      <c r="A6156" s="3">
        <v>44378</v>
      </c>
      <c r="B6156" s="2" t="s">
        <v>340</v>
      </c>
      <c r="C6156" s="2">
        <v>0</v>
      </c>
      <c r="D6156" s="2">
        <v>0.49049999999999999</v>
      </c>
      <c r="E6156" s="2">
        <v>0</v>
      </c>
      <c r="F6156" s="2" t="s">
        <v>168</v>
      </c>
    </row>
    <row r="6157" spans="1:6" ht="22.5" hidden="1" customHeight="1" x14ac:dyDescent="0.25">
      <c r="A6157" s="3">
        <v>44378</v>
      </c>
      <c r="B6157" s="2" t="s">
        <v>367</v>
      </c>
      <c r="C6157" s="2">
        <v>0</v>
      </c>
      <c r="D6157" s="2">
        <v>1.4979</v>
      </c>
      <c r="E6157" s="2">
        <v>0</v>
      </c>
      <c r="F6157" s="2" t="s">
        <v>168</v>
      </c>
    </row>
    <row r="6158" spans="1:6" ht="22.5" hidden="1" customHeight="1" x14ac:dyDescent="0.25">
      <c r="A6158" s="3">
        <v>44409</v>
      </c>
      <c r="B6158" s="2" t="s">
        <v>261</v>
      </c>
      <c r="C6158" s="2">
        <v>0</v>
      </c>
      <c r="D6158" s="2">
        <v>0.185</v>
      </c>
      <c r="E6158" s="2">
        <v>0</v>
      </c>
      <c r="F6158" s="2" t="s">
        <v>168</v>
      </c>
    </row>
    <row r="6159" spans="1:6" ht="22.5" hidden="1" customHeight="1" x14ac:dyDescent="0.25">
      <c r="A6159" s="3">
        <v>44409</v>
      </c>
      <c r="B6159" s="2" t="s">
        <v>262</v>
      </c>
      <c r="C6159" s="2">
        <v>0</v>
      </c>
      <c r="D6159" s="2">
        <v>3.7999999999999999E-2</v>
      </c>
      <c r="E6159" s="2">
        <v>0</v>
      </c>
      <c r="F6159" s="2" t="s">
        <v>168</v>
      </c>
    </row>
    <row r="6160" spans="1:6" ht="22.5" hidden="1" customHeight="1" x14ac:dyDescent="0.25">
      <c r="A6160" s="3">
        <v>44409</v>
      </c>
      <c r="B6160" s="2" t="s">
        <v>266</v>
      </c>
      <c r="C6160" s="2">
        <v>0</v>
      </c>
      <c r="D6160" s="2">
        <v>7.2800000000000004E-2</v>
      </c>
      <c r="E6160" s="2">
        <v>0</v>
      </c>
      <c r="F6160" s="2" t="s">
        <v>168</v>
      </c>
    </row>
    <row r="6161" spans="1:6" ht="22.5" hidden="1" customHeight="1" x14ac:dyDescent="0.25">
      <c r="A6161" s="3">
        <v>44409</v>
      </c>
      <c r="B6161" s="2" t="s">
        <v>273</v>
      </c>
      <c r="C6161" s="2">
        <v>0</v>
      </c>
      <c r="D6161" s="2">
        <v>0.1162</v>
      </c>
      <c r="E6161" s="2">
        <v>0</v>
      </c>
      <c r="F6161" s="2" t="s">
        <v>168</v>
      </c>
    </row>
    <row r="6162" spans="1:6" ht="22.5" hidden="1" customHeight="1" x14ac:dyDescent="0.25">
      <c r="A6162" s="3">
        <v>44409</v>
      </c>
      <c r="B6162" s="2" t="s">
        <v>298</v>
      </c>
      <c r="C6162" s="2">
        <v>0</v>
      </c>
      <c r="D6162" s="2">
        <v>0.59279999999999999</v>
      </c>
      <c r="E6162" s="2">
        <v>0</v>
      </c>
      <c r="F6162" s="2" t="s">
        <v>168</v>
      </c>
    </row>
    <row r="6163" spans="1:6" ht="22.5" hidden="1" customHeight="1" x14ac:dyDescent="0.25">
      <c r="A6163" s="3">
        <v>44409</v>
      </c>
      <c r="B6163" s="2" t="s">
        <v>340</v>
      </c>
      <c r="C6163" s="2">
        <v>0</v>
      </c>
      <c r="D6163" s="2">
        <v>0.4869</v>
      </c>
      <c r="E6163" s="2">
        <v>0</v>
      </c>
      <c r="F6163" s="2" t="s">
        <v>168</v>
      </c>
    </row>
    <row r="6164" spans="1:6" ht="22.5" hidden="1" customHeight="1" x14ac:dyDescent="0.25">
      <c r="A6164" s="3">
        <v>44409</v>
      </c>
      <c r="B6164" s="2" t="s">
        <v>365</v>
      </c>
      <c r="C6164" s="2">
        <v>0</v>
      </c>
      <c r="D6164" s="2">
        <v>6.6699999999999995E-2</v>
      </c>
      <c r="E6164" s="2">
        <v>0</v>
      </c>
      <c r="F6164" s="2" t="s">
        <v>168</v>
      </c>
    </row>
    <row r="6165" spans="1:6" ht="22.5" hidden="1" customHeight="1" x14ac:dyDescent="0.25">
      <c r="A6165" s="3">
        <v>44440</v>
      </c>
      <c r="B6165" s="2" t="s">
        <v>260</v>
      </c>
      <c r="C6165" s="2">
        <v>0</v>
      </c>
      <c r="D6165" s="2">
        <v>1.2859</v>
      </c>
      <c r="E6165" s="2">
        <v>0</v>
      </c>
      <c r="F6165" s="2" t="s">
        <v>168</v>
      </c>
    </row>
    <row r="6166" spans="1:6" ht="22.5" hidden="1" customHeight="1" x14ac:dyDescent="0.25">
      <c r="A6166" s="3">
        <v>44440</v>
      </c>
      <c r="B6166" s="2" t="s">
        <v>261</v>
      </c>
      <c r="C6166" s="2">
        <v>0</v>
      </c>
      <c r="D6166" s="2">
        <v>0.18360000000000001</v>
      </c>
      <c r="E6166" s="2">
        <v>0</v>
      </c>
      <c r="F6166" s="2" t="s">
        <v>168</v>
      </c>
    </row>
    <row r="6167" spans="1:6" ht="22.5" hidden="1" customHeight="1" x14ac:dyDescent="0.25">
      <c r="A6167" s="3">
        <v>44440</v>
      </c>
      <c r="B6167" s="2" t="s">
        <v>262</v>
      </c>
      <c r="C6167" s="2">
        <v>0</v>
      </c>
      <c r="D6167" s="2">
        <v>3.7600000000000001E-2</v>
      </c>
      <c r="E6167" s="2">
        <v>0</v>
      </c>
      <c r="F6167" s="2" t="s">
        <v>168</v>
      </c>
    </row>
    <row r="6168" spans="1:6" ht="22.5" hidden="1" customHeight="1" x14ac:dyDescent="0.25">
      <c r="A6168" s="3">
        <v>44440</v>
      </c>
      <c r="B6168" s="2" t="s">
        <v>266</v>
      </c>
      <c r="C6168" s="2">
        <v>0</v>
      </c>
      <c r="D6168" s="2">
        <v>7.22E-2</v>
      </c>
      <c r="E6168" s="2">
        <v>0</v>
      </c>
      <c r="F6168" s="2" t="s">
        <v>168</v>
      </c>
    </row>
    <row r="6169" spans="1:6" ht="22.5" hidden="1" customHeight="1" x14ac:dyDescent="0.25">
      <c r="A6169" s="3">
        <v>44440</v>
      </c>
      <c r="B6169" s="2" t="s">
        <v>273</v>
      </c>
      <c r="C6169" s="2">
        <v>0</v>
      </c>
      <c r="D6169" s="2">
        <v>0.11509999999999999</v>
      </c>
      <c r="E6169" s="2">
        <v>0</v>
      </c>
      <c r="F6169" s="2" t="s">
        <v>168</v>
      </c>
    </row>
    <row r="6170" spans="1:6" ht="22.5" hidden="1" customHeight="1" x14ac:dyDescent="0.25">
      <c r="A6170" s="3">
        <v>44348</v>
      </c>
      <c r="B6170" s="2" t="s">
        <v>302</v>
      </c>
      <c r="C6170" s="2">
        <v>0.12</v>
      </c>
      <c r="D6170" s="2">
        <v>0.27910000000000001</v>
      </c>
      <c r="E6170" s="2">
        <v>3.3492E-4</v>
      </c>
      <c r="F6170" s="2" t="s">
        <v>170</v>
      </c>
    </row>
    <row r="6171" spans="1:6" ht="22.5" hidden="1" customHeight="1" x14ac:dyDescent="0.25">
      <c r="A6171" s="3">
        <v>44348</v>
      </c>
      <c r="B6171" s="2" t="s">
        <v>303</v>
      </c>
      <c r="C6171" s="2">
        <v>0.26</v>
      </c>
      <c r="D6171" s="2">
        <v>0.53600000000000003</v>
      </c>
      <c r="E6171" s="2">
        <v>1.3936E-3</v>
      </c>
      <c r="F6171" s="2" t="s">
        <v>165</v>
      </c>
    </row>
    <row r="6172" spans="1:6" ht="22.5" hidden="1" customHeight="1" x14ac:dyDescent="0.25">
      <c r="A6172" s="3">
        <v>44348</v>
      </c>
      <c r="B6172" s="2" t="s">
        <v>304</v>
      </c>
      <c r="C6172" s="2">
        <v>0.46</v>
      </c>
      <c r="D6172" s="2">
        <v>0.51900000000000002</v>
      </c>
      <c r="E6172" s="2">
        <v>2.3874E-3</v>
      </c>
      <c r="F6172" s="2" t="s">
        <v>165</v>
      </c>
    </row>
    <row r="6173" spans="1:6" ht="22.5" hidden="1" customHeight="1" x14ac:dyDescent="0.25">
      <c r="A6173" s="3">
        <v>44348</v>
      </c>
      <c r="B6173" s="2" t="s">
        <v>305</v>
      </c>
      <c r="C6173" s="2">
        <v>1.59</v>
      </c>
      <c r="D6173" s="2">
        <v>1.7999999999999999E-2</v>
      </c>
      <c r="E6173" s="2">
        <v>2.8620000000000002E-4</v>
      </c>
      <c r="F6173" s="2" t="s">
        <v>170</v>
      </c>
    </row>
    <row r="6174" spans="1:6" ht="22.5" hidden="1" customHeight="1" x14ac:dyDescent="0.25">
      <c r="A6174" s="3">
        <v>44348</v>
      </c>
      <c r="B6174" s="2" t="s">
        <v>306</v>
      </c>
      <c r="C6174" s="2">
        <v>0.5</v>
      </c>
      <c r="D6174" s="2">
        <v>4.8399999999999999E-2</v>
      </c>
      <c r="E6174" s="2">
        <v>2.42E-4</v>
      </c>
      <c r="F6174" s="2" t="s">
        <v>165</v>
      </c>
    </row>
    <row r="6175" spans="1:6" ht="22.5" hidden="1" customHeight="1" x14ac:dyDescent="0.25">
      <c r="A6175" s="3">
        <v>44348</v>
      </c>
      <c r="B6175" s="2" t="s">
        <v>307</v>
      </c>
      <c r="C6175" s="2">
        <v>0.23</v>
      </c>
      <c r="D6175" s="2">
        <v>0.1074</v>
      </c>
      <c r="E6175" s="2">
        <v>2.4701999999999998E-4</v>
      </c>
      <c r="F6175" s="2" t="s">
        <v>165</v>
      </c>
    </row>
    <row r="6176" spans="1:6" ht="22.5" hidden="1" customHeight="1" x14ac:dyDescent="0.25">
      <c r="A6176" s="3">
        <v>44348</v>
      </c>
      <c r="B6176" s="2" t="s">
        <v>308</v>
      </c>
      <c r="C6176" s="2">
        <v>0.42</v>
      </c>
      <c r="D6176" s="2">
        <v>0.36659999999999998</v>
      </c>
      <c r="E6176" s="2">
        <v>1.5397200000000001E-3</v>
      </c>
      <c r="F6176" s="2" t="s">
        <v>165</v>
      </c>
    </row>
    <row r="6177" spans="1:6" ht="22.5" hidden="1" customHeight="1" x14ac:dyDescent="0.25">
      <c r="A6177" s="3">
        <v>44348</v>
      </c>
      <c r="B6177" s="2" t="s">
        <v>309</v>
      </c>
      <c r="C6177" s="2">
        <v>-0.05</v>
      </c>
      <c r="D6177" s="2">
        <v>0.12889999999999999</v>
      </c>
      <c r="E6177" s="2">
        <v>-6.4449999999999994E-5</v>
      </c>
      <c r="F6177" s="2" t="s">
        <v>165</v>
      </c>
    </row>
    <row r="6178" spans="1:6" ht="22.5" hidden="1" customHeight="1" x14ac:dyDescent="0.25">
      <c r="A6178" s="3">
        <v>44440</v>
      </c>
      <c r="B6178" s="2" t="s">
        <v>340</v>
      </c>
      <c r="C6178" s="2">
        <v>0</v>
      </c>
      <c r="D6178" s="2">
        <v>0.48249999999999998</v>
      </c>
      <c r="E6178" s="2">
        <v>0</v>
      </c>
      <c r="F6178" s="2" t="s">
        <v>168</v>
      </c>
    </row>
    <row r="6179" spans="1:6" ht="22.5" hidden="1" customHeight="1" x14ac:dyDescent="0.25">
      <c r="A6179" s="3">
        <v>44348</v>
      </c>
      <c r="B6179" s="2" t="s">
        <v>311</v>
      </c>
      <c r="C6179" s="2">
        <v>-1</v>
      </c>
      <c r="D6179" s="2">
        <v>0.60860000000000003</v>
      </c>
      <c r="E6179" s="2">
        <v>-6.0860000000000003E-3</v>
      </c>
      <c r="F6179" s="2" t="s">
        <v>174</v>
      </c>
    </row>
    <row r="6180" spans="1:6" ht="22.5" hidden="1" customHeight="1" x14ac:dyDescent="0.25">
      <c r="A6180" s="3">
        <v>44348</v>
      </c>
      <c r="B6180" s="2" t="s">
        <v>312</v>
      </c>
      <c r="C6180" s="2">
        <v>-0.05</v>
      </c>
      <c r="D6180" s="2">
        <v>0.21149999999999999</v>
      </c>
      <c r="E6180" s="2">
        <v>-1.0575E-4</v>
      </c>
      <c r="F6180" s="2" t="s">
        <v>174</v>
      </c>
    </row>
    <row r="6181" spans="1:6" ht="22.5" hidden="1" customHeight="1" x14ac:dyDescent="0.25">
      <c r="A6181" s="3">
        <v>44348</v>
      </c>
      <c r="B6181" s="2" t="s">
        <v>313</v>
      </c>
      <c r="C6181" s="2">
        <v>-0.72</v>
      </c>
      <c r="D6181" s="2">
        <v>0.12909999999999999</v>
      </c>
      <c r="E6181" s="2">
        <v>-9.2951999999999998E-4</v>
      </c>
      <c r="F6181" s="2" t="s">
        <v>174</v>
      </c>
    </row>
    <row r="6182" spans="1:6" ht="22.5" hidden="1" customHeight="1" x14ac:dyDescent="0.25">
      <c r="A6182" s="3">
        <v>44348</v>
      </c>
      <c r="B6182" s="2" t="s">
        <v>314</v>
      </c>
      <c r="C6182" s="2">
        <v>3.01</v>
      </c>
      <c r="D6182" s="2">
        <v>0.37669999999999998</v>
      </c>
      <c r="E6182" s="2">
        <v>1.133867E-2</v>
      </c>
      <c r="F6182" s="2" t="s">
        <v>174</v>
      </c>
    </row>
    <row r="6183" spans="1:6" ht="22.5" hidden="1" customHeight="1" x14ac:dyDescent="0.25">
      <c r="A6183" s="3">
        <v>44348</v>
      </c>
      <c r="B6183" s="2" t="s">
        <v>315</v>
      </c>
      <c r="C6183" s="2">
        <v>0.59</v>
      </c>
      <c r="D6183" s="2">
        <v>0.26200000000000001</v>
      </c>
      <c r="E6183" s="2">
        <v>1.5458E-3</v>
      </c>
      <c r="F6183" s="2" t="s">
        <v>174</v>
      </c>
    </row>
    <row r="6184" spans="1:6" ht="22.5" hidden="1" customHeight="1" x14ac:dyDescent="0.25">
      <c r="A6184" s="3">
        <v>44348</v>
      </c>
      <c r="B6184" s="2" t="s">
        <v>316</v>
      </c>
      <c r="C6184" s="2">
        <v>-1.59</v>
      </c>
      <c r="D6184" s="2">
        <v>3.8E-3</v>
      </c>
      <c r="E6184" s="2">
        <v>-6.0420000000000001E-5</v>
      </c>
      <c r="F6184" s="2" t="s">
        <v>174</v>
      </c>
    </row>
    <row r="6185" spans="1:6" ht="22.5" hidden="1" customHeight="1" x14ac:dyDescent="0.25">
      <c r="A6185" s="3">
        <v>44348</v>
      </c>
      <c r="B6185" s="2" t="s">
        <v>317</v>
      </c>
      <c r="C6185" s="2">
        <v>0.26</v>
      </c>
      <c r="D6185" s="2">
        <v>1.0305</v>
      </c>
      <c r="E6185" s="2">
        <v>2.6792999999999999E-3</v>
      </c>
      <c r="F6185" s="2" t="s">
        <v>174</v>
      </c>
    </row>
    <row r="6186" spans="1:6" ht="22.5" hidden="1" customHeight="1" x14ac:dyDescent="0.25">
      <c r="A6186" s="3">
        <v>44348</v>
      </c>
      <c r="B6186" s="2" t="s">
        <v>318</v>
      </c>
      <c r="C6186" s="2">
        <v>0.22</v>
      </c>
      <c r="D6186" s="2">
        <v>0.43369999999999997</v>
      </c>
      <c r="E6186" s="2">
        <v>9.5414000000000002E-4</v>
      </c>
      <c r="F6186" s="2" t="s">
        <v>174</v>
      </c>
    </row>
    <row r="6187" spans="1:6" ht="22.5" hidden="1" customHeight="1" x14ac:dyDescent="0.25">
      <c r="A6187" s="3">
        <v>44348</v>
      </c>
      <c r="B6187" s="2" t="s">
        <v>319</v>
      </c>
      <c r="C6187" s="2">
        <v>0.62</v>
      </c>
      <c r="D6187" s="2">
        <v>0.1079</v>
      </c>
      <c r="E6187" s="2">
        <v>6.6898000000000001E-4</v>
      </c>
      <c r="F6187" s="2" t="s">
        <v>174</v>
      </c>
    </row>
    <row r="6188" spans="1:6" ht="22.5" hidden="1" customHeight="1" x14ac:dyDescent="0.25">
      <c r="A6188" s="3">
        <v>44348</v>
      </c>
      <c r="B6188" s="2" t="s">
        <v>320</v>
      </c>
      <c r="C6188" s="2">
        <v>0.17</v>
      </c>
      <c r="D6188" s="2">
        <v>0.30480000000000002</v>
      </c>
      <c r="E6188" s="2">
        <v>5.1816000000000004E-4</v>
      </c>
      <c r="F6188" s="2" t="s">
        <v>174</v>
      </c>
    </row>
    <row r="6189" spans="1:6" ht="22.5" hidden="1" customHeight="1" x14ac:dyDescent="0.25">
      <c r="A6189" s="3">
        <v>44348</v>
      </c>
      <c r="B6189" s="2" t="s">
        <v>321</v>
      </c>
      <c r="C6189" s="2">
        <v>7.0000000000000007E-2</v>
      </c>
      <c r="D6189" s="2">
        <v>0.20649999999999999</v>
      </c>
      <c r="E6189" s="2">
        <v>1.4454999999999999E-4</v>
      </c>
      <c r="F6189" s="2" t="s">
        <v>174</v>
      </c>
    </row>
    <row r="6190" spans="1:6" ht="22.5" hidden="1" customHeight="1" x14ac:dyDescent="0.25">
      <c r="A6190" s="3">
        <v>44348</v>
      </c>
      <c r="B6190" s="2" t="s">
        <v>322</v>
      </c>
      <c r="C6190" s="2">
        <v>2.15</v>
      </c>
      <c r="D6190" s="2">
        <v>0.15609999999999999</v>
      </c>
      <c r="E6190" s="2">
        <v>3.35615E-3</v>
      </c>
      <c r="F6190" s="2" t="s">
        <v>174</v>
      </c>
    </row>
    <row r="6191" spans="1:6" ht="22.5" hidden="1" customHeight="1" x14ac:dyDescent="0.25">
      <c r="A6191" s="3">
        <v>44348</v>
      </c>
      <c r="B6191" s="2" t="s">
        <v>323</v>
      </c>
      <c r="C6191" s="2">
        <v>-1.63</v>
      </c>
      <c r="D6191" s="2">
        <v>1.09E-2</v>
      </c>
      <c r="E6191" s="2">
        <v>-1.7767E-4</v>
      </c>
      <c r="F6191" s="2" t="s">
        <v>165</v>
      </c>
    </row>
    <row r="6192" spans="1:6" ht="22.5" hidden="1" customHeight="1" x14ac:dyDescent="0.25">
      <c r="A6192" s="3">
        <v>44348</v>
      </c>
      <c r="B6192" s="2" t="s">
        <v>324</v>
      </c>
      <c r="C6192" s="2">
        <v>0.72</v>
      </c>
      <c r="D6192" s="2">
        <v>0.3821</v>
      </c>
      <c r="E6192" s="2">
        <v>2.7511200000000001E-3</v>
      </c>
      <c r="F6192" s="2" t="s">
        <v>165</v>
      </c>
    </row>
    <row r="6193" spans="1:6" ht="22.5" hidden="1" customHeight="1" x14ac:dyDescent="0.25">
      <c r="A6193" s="3">
        <v>44348</v>
      </c>
      <c r="B6193" s="2" t="s">
        <v>325</v>
      </c>
      <c r="C6193" s="2">
        <v>7.0000000000000007E-2</v>
      </c>
      <c r="D6193" s="2">
        <v>3.0238999999999998</v>
      </c>
      <c r="E6193" s="2">
        <v>2.1167299999999998E-3</v>
      </c>
      <c r="F6193" s="2" t="s">
        <v>165</v>
      </c>
    </row>
    <row r="6194" spans="1:6" ht="22.5" hidden="1" customHeight="1" x14ac:dyDescent="0.25">
      <c r="A6194" s="3">
        <v>44348</v>
      </c>
      <c r="B6194" s="2" t="s">
        <v>326</v>
      </c>
      <c r="C6194" s="2">
        <v>0.54</v>
      </c>
      <c r="D6194" s="2">
        <v>1.0135000000000001</v>
      </c>
      <c r="E6194" s="2">
        <v>5.4729000000000002E-3</v>
      </c>
      <c r="F6194" s="2" t="s">
        <v>165</v>
      </c>
    </row>
    <row r="6195" spans="1:6" ht="22.5" hidden="1" customHeight="1" x14ac:dyDescent="0.25">
      <c r="A6195" s="3">
        <v>44348</v>
      </c>
      <c r="B6195" s="2" t="s">
        <v>327</v>
      </c>
      <c r="C6195" s="2">
        <v>0.25</v>
      </c>
      <c r="D6195" s="2">
        <v>5.9799999999999999E-2</v>
      </c>
      <c r="E6195" s="2">
        <v>1.495E-4</v>
      </c>
      <c r="F6195" s="2" t="s">
        <v>165</v>
      </c>
    </row>
    <row r="6196" spans="1:6" ht="22.5" hidden="1" customHeight="1" x14ac:dyDescent="0.25">
      <c r="A6196" s="3">
        <v>44348</v>
      </c>
      <c r="B6196" s="2" t="s">
        <v>328</v>
      </c>
      <c r="C6196" s="2">
        <v>0</v>
      </c>
      <c r="D6196" s="2">
        <v>1.9099999999999999E-2</v>
      </c>
      <c r="E6196" s="2">
        <v>0</v>
      </c>
      <c r="F6196" s="2" t="s">
        <v>165</v>
      </c>
    </row>
    <row r="6197" spans="1:6" ht="22.5" hidden="1" customHeight="1" x14ac:dyDescent="0.25">
      <c r="A6197" s="3">
        <v>44348</v>
      </c>
      <c r="B6197" s="2" t="s">
        <v>329</v>
      </c>
      <c r="C6197" s="2">
        <v>1.1499999999999999</v>
      </c>
      <c r="D6197" s="2">
        <v>9.5399999999999999E-2</v>
      </c>
      <c r="E6197" s="2">
        <v>1.0970999999999999E-3</v>
      </c>
      <c r="F6197" s="2" t="s">
        <v>165</v>
      </c>
    </row>
    <row r="6198" spans="1:6" ht="22.5" hidden="1" customHeight="1" x14ac:dyDescent="0.25">
      <c r="A6198" s="3">
        <v>44348</v>
      </c>
      <c r="B6198" s="2" t="s">
        <v>330</v>
      </c>
      <c r="C6198" s="2">
        <v>0.17</v>
      </c>
      <c r="D6198" s="2">
        <v>1.7319</v>
      </c>
      <c r="E6198" s="2">
        <v>2.9442299999999999E-3</v>
      </c>
      <c r="F6198" s="2" t="s">
        <v>165</v>
      </c>
    </row>
    <row r="6199" spans="1:6" ht="22.5" hidden="1" customHeight="1" x14ac:dyDescent="0.25">
      <c r="A6199" s="3">
        <v>44348</v>
      </c>
      <c r="B6199" s="2" t="s">
        <v>331</v>
      </c>
      <c r="C6199" s="2">
        <v>0.06</v>
      </c>
      <c r="D6199" s="2">
        <v>5.62E-2</v>
      </c>
      <c r="E6199" s="2">
        <v>3.3720000000000002E-5</v>
      </c>
      <c r="F6199" s="2" t="s">
        <v>165</v>
      </c>
    </row>
    <row r="6200" spans="1:6" ht="22.5" hidden="1" customHeight="1" x14ac:dyDescent="0.25">
      <c r="A6200" s="3">
        <v>44348</v>
      </c>
      <c r="B6200" s="2" t="s">
        <v>332</v>
      </c>
      <c r="C6200" s="2">
        <v>1.1200000000000001</v>
      </c>
      <c r="D6200" s="2">
        <v>0.1077</v>
      </c>
      <c r="E6200" s="2">
        <v>1.2062399999999999E-3</v>
      </c>
      <c r="F6200" s="2" t="s">
        <v>165</v>
      </c>
    </row>
    <row r="6201" spans="1:6" ht="22.5" hidden="1" customHeight="1" x14ac:dyDescent="0.25">
      <c r="A6201" s="3">
        <v>44348</v>
      </c>
      <c r="B6201" s="2" t="s">
        <v>333</v>
      </c>
      <c r="C6201" s="2">
        <v>0.28999999999999998</v>
      </c>
      <c r="D6201" s="2">
        <v>8.2199999999999995E-2</v>
      </c>
      <c r="E6201" s="2">
        <v>2.3838E-4</v>
      </c>
      <c r="F6201" s="2" t="s">
        <v>165</v>
      </c>
    </row>
    <row r="6202" spans="1:6" ht="22.5" hidden="1" customHeight="1" x14ac:dyDescent="0.25">
      <c r="A6202" s="3">
        <v>44348</v>
      </c>
      <c r="B6202" s="2" t="s">
        <v>334</v>
      </c>
      <c r="C6202" s="2">
        <v>1.06</v>
      </c>
      <c r="D6202" s="2">
        <v>2.1100000000000001E-2</v>
      </c>
      <c r="E6202" s="2">
        <v>2.2366000000000001E-4</v>
      </c>
      <c r="F6202" s="2" t="s">
        <v>170</v>
      </c>
    </row>
    <row r="6203" spans="1:6" ht="22.5" hidden="1" customHeight="1" x14ac:dyDescent="0.25">
      <c r="A6203" s="3">
        <v>44348</v>
      </c>
      <c r="B6203" s="2" t="s">
        <v>335</v>
      </c>
      <c r="C6203" s="2">
        <v>1.17</v>
      </c>
      <c r="D6203" s="2">
        <v>0.28420000000000001</v>
      </c>
      <c r="E6203" s="2">
        <v>3.3251399999999999E-3</v>
      </c>
      <c r="F6203" s="2" t="s">
        <v>165</v>
      </c>
    </row>
    <row r="6204" spans="1:6" ht="22.5" hidden="1" customHeight="1" x14ac:dyDescent="0.25">
      <c r="A6204" s="3">
        <v>44348</v>
      </c>
      <c r="B6204" s="2" t="s">
        <v>336</v>
      </c>
      <c r="C6204" s="2">
        <v>0.99</v>
      </c>
      <c r="D6204" s="2">
        <v>0.10299999999999999</v>
      </c>
      <c r="E6204" s="2">
        <v>1.0196999999999999E-3</v>
      </c>
      <c r="F6204" s="2" t="s">
        <v>170</v>
      </c>
    </row>
    <row r="6205" spans="1:6" ht="22.5" hidden="1" customHeight="1" x14ac:dyDescent="0.25">
      <c r="A6205" s="3">
        <v>44348</v>
      </c>
      <c r="B6205" s="2" t="s">
        <v>337</v>
      </c>
      <c r="C6205" s="2">
        <v>2.15</v>
      </c>
      <c r="D6205" s="2">
        <v>0.35310000000000002</v>
      </c>
      <c r="E6205" s="2">
        <v>7.5916500000000001E-3</v>
      </c>
      <c r="F6205" s="2" t="s">
        <v>174</v>
      </c>
    </row>
    <row r="6206" spans="1:6" ht="22.5" hidden="1" customHeight="1" x14ac:dyDescent="0.25">
      <c r="A6206" s="3">
        <v>44348</v>
      </c>
      <c r="B6206" s="2" t="s">
        <v>338</v>
      </c>
      <c r="C6206" s="2">
        <v>-1.37</v>
      </c>
      <c r="D6206" s="2">
        <v>0.19769999999999999</v>
      </c>
      <c r="E6206" s="2">
        <v>-2.70849E-3</v>
      </c>
      <c r="F6206" s="2" t="s">
        <v>174</v>
      </c>
    </row>
    <row r="6207" spans="1:6" ht="22.5" hidden="1" customHeight="1" x14ac:dyDescent="0.25">
      <c r="A6207" s="3">
        <v>44348</v>
      </c>
      <c r="B6207" s="2" t="s">
        <v>339</v>
      </c>
      <c r="C6207" s="2">
        <v>0.19</v>
      </c>
      <c r="D6207" s="2">
        <v>4.19E-2</v>
      </c>
      <c r="E6207" s="2">
        <v>7.9610000000000005E-5</v>
      </c>
      <c r="F6207" s="2" t="s">
        <v>165</v>
      </c>
    </row>
    <row r="6208" spans="1:6" ht="22.5" hidden="1" customHeight="1" x14ac:dyDescent="0.25">
      <c r="A6208" s="3">
        <v>44440</v>
      </c>
      <c r="B6208" s="2" t="s">
        <v>365</v>
      </c>
      <c r="C6208" s="2">
        <v>0</v>
      </c>
      <c r="D6208" s="2">
        <v>6.6100000000000006E-2</v>
      </c>
      <c r="E6208" s="2">
        <v>0</v>
      </c>
      <c r="F6208" s="2" t="s">
        <v>168</v>
      </c>
    </row>
    <row r="6209" spans="1:6" ht="22.5" hidden="1" customHeight="1" x14ac:dyDescent="0.25">
      <c r="A6209" s="3">
        <v>44348</v>
      </c>
      <c r="B6209" s="2" t="s">
        <v>341</v>
      </c>
      <c r="C6209" s="2">
        <v>-2.98</v>
      </c>
      <c r="D6209" s="2">
        <v>1.1599999999999999E-2</v>
      </c>
      <c r="E6209" s="2">
        <v>-3.4568000000000001E-4</v>
      </c>
      <c r="F6209" s="2" t="s">
        <v>174</v>
      </c>
    </row>
    <row r="6210" spans="1:6" ht="22.5" hidden="1" customHeight="1" x14ac:dyDescent="0.25">
      <c r="A6210" s="3">
        <v>44348</v>
      </c>
      <c r="B6210" s="2" t="s">
        <v>342</v>
      </c>
      <c r="C6210" s="2">
        <v>0.61</v>
      </c>
      <c r="D6210" s="2">
        <v>0.50519999999999998</v>
      </c>
      <c r="E6210" s="2">
        <v>3.08172E-3</v>
      </c>
      <c r="F6210" s="2" t="s">
        <v>165</v>
      </c>
    </row>
    <row r="6211" spans="1:6" ht="22.5" hidden="1" customHeight="1" x14ac:dyDescent="0.25">
      <c r="A6211" s="3">
        <v>44348</v>
      </c>
      <c r="B6211" s="2" t="s">
        <v>343</v>
      </c>
      <c r="C6211" s="2">
        <v>1.46</v>
      </c>
      <c r="D6211" s="2">
        <v>0.46229999999999999</v>
      </c>
      <c r="E6211" s="2">
        <v>6.7495799999999998E-3</v>
      </c>
      <c r="F6211" s="2" t="s">
        <v>165</v>
      </c>
    </row>
    <row r="6212" spans="1:6" ht="22.5" hidden="1" customHeight="1" x14ac:dyDescent="0.25">
      <c r="A6212" s="3">
        <v>44348</v>
      </c>
      <c r="B6212" s="2" t="s">
        <v>344</v>
      </c>
      <c r="C6212" s="2">
        <v>-0.1</v>
      </c>
      <c r="D6212" s="2">
        <v>0.14360000000000001</v>
      </c>
      <c r="E6212" s="2">
        <v>-1.4359999999999999E-4</v>
      </c>
      <c r="F6212" s="2" t="s">
        <v>165</v>
      </c>
    </row>
    <row r="6213" spans="1:6" ht="22.5" hidden="1" customHeight="1" x14ac:dyDescent="0.25">
      <c r="A6213" s="3">
        <v>44348</v>
      </c>
      <c r="B6213" s="2" t="s">
        <v>345</v>
      </c>
      <c r="C6213" s="2">
        <v>-0.04</v>
      </c>
      <c r="D6213" s="2">
        <v>0.50929999999999997</v>
      </c>
      <c r="E6213" s="2">
        <v>-2.0372000000000001E-4</v>
      </c>
      <c r="F6213" s="2" t="s">
        <v>165</v>
      </c>
    </row>
    <row r="6214" spans="1:6" ht="22.5" hidden="1" customHeight="1" x14ac:dyDescent="0.25">
      <c r="A6214" s="3">
        <v>44348</v>
      </c>
      <c r="B6214" s="2" t="s">
        <v>346</v>
      </c>
      <c r="C6214" s="2">
        <v>-0.23</v>
      </c>
      <c r="D6214" s="2">
        <v>0.5423</v>
      </c>
      <c r="E6214" s="2">
        <v>-1.2472900000000001E-3</v>
      </c>
      <c r="F6214" s="2" t="s">
        <v>174</v>
      </c>
    </row>
    <row r="6215" spans="1:6" ht="22.5" hidden="1" customHeight="1" x14ac:dyDescent="0.25">
      <c r="A6215" s="3">
        <v>44348</v>
      </c>
      <c r="B6215" s="2" t="s">
        <v>347</v>
      </c>
      <c r="C6215" s="2">
        <v>0</v>
      </c>
      <c r="D6215" s="2">
        <v>0.19389999999999999</v>
      </c>
      <c r="E6215" s="2">
        <v>0</v>
      </c>
      <c r="F6215" s="2" t="s">
        <v>165</v>
      </c>
    </row>
    <row r="6216" spans="1:6" ht="22.5" hidden="1" customHeight="1" x14ac:dyDescent="0.25">
      <c r="A6216" s="3">
        <v>44348</v>
      </c>
      <c r="B6216" s="2" t="s">
        <v>348</v>
      </c>
      <c r="C6216" s="2">
        <v>0</v>
      </c>
      <c r="D6216" s="2">
        <v>0.32190000000000002</v>
      </c>
      <c r="E6216" s="2">
        <v>0</v>
      </c>
      <c r="F6216" s="2" t="s">
        <v>165</v>
      </c>
    </row>
    <row r="6217" spans="1:6" ht="22.5" hidden="1" customHeight="1" x14ac:dyDescent="0.25">
      <c r="A6217" s="3">
        <v>44348</v>
      </c>
      <c r="B6217" s="2" t="s">
        <v>349</v>
      </c>
      <c r="C6217" s="2">
        <v>0</v>
      </c>
      <c r="D6217" s="2">
        <v>1.5370999999999999</v>
      </c>
      <c r="E6217" s="2">
        <v>0</v>
      </c>
      <c r="F6217" s="2" t="s">
        <v>165</v>
      </c>
    </row>
    <row r="6218" spans="1:6" ht="22.5" hidden="1" customHeight="1" x14ac:dyDescent="0.25">
      <c r="A6218" s="3">
        <v>44348</v>
      </c>
      <c r="B6218" s="2" t="s">
        <v>350</v>
      </c>
      <c r="C6218" s="2">
        <v>0</v>
      </c>
      <c r="D6218" s="2">
        <v>0.38840000000000002</v>
      </c>
      <c r="E6218" s="2">
        <v>0</v>
      </c>
      <c r="F6218" s="2" t="s">
        <v>165</v>
      </c>
    </row>
    <row r="6219" spans="1:6" ht="22.5" hidden="1" customHeight="1" x14ac:dyDescent="0.25">
      <c r="A6219" s="3">
        <v>44348</v>
      </c>
      <c r="B6219" s="2" t="s">
        <v>351</v>
      </c>
      <c r="C6219" s="2">
        <v>0</v>
      </c>
      <c r="D6219" s="2">
        <v>1.7190000000000001</v>
      </c>
      <c r="E6219" s="2">
        <v>0</v>
      </c>
      <c r="F6219" s="2" t="s">
        <v>165</v>
      </c>
    </row>
    <row r="6220" spans="1:6" ht="22.5" hidden="1" customHeight="1" x14ac:dyDescent="0.25">
      <c r="A6220" s="3">
        <v>44348</v>
      </c>
      <c r="B6220" s="2" t="s">
        <v>352</v>
      </c>
      <c r="C6220" s="2">
        <v>0</v>
      </c>
      <c r="D6220" s="2">
        <v>0.27989999999999998</v>
      </c>
      <c r="E6220" s="2">
        <v>0</v>
      </c>
      <c r="F6220" s="2" t="s">
        <v>165</v>
      </c>
    </row>
    <row r="6221" spans="1:6" ht="22.5" hidden="1" customHeight="1" x14ac:dyDescent="0.25">
      <c r="A6221" s="3">
        <v>44348</v>
      </c>
      <c r="B6221" s="2" t="s">
        <v>353</v>
      </c>
      <c r="C6221" s="2">
        <v>0</v>
      </c>
      <c r="D6221" s="2">
        <v>4.1700000000000001E-2</v>
      </c>
      <c r="E6221" s="2">
        <v>0</v>
      </c>
      <c r="F6221" s="2" t="s">
        <v>165</v>
      </c>
    </row>
    <row r="6222" spans="1:6" ht="22.5" hidden="1" customHeight="1" x14ac:dyDescent="0.25">
      <c r="A6222" s="3">
        <v>44348</v>
      </c>
      <c r="B6222" s="2" t="s">
        <v>354</v>
      </c>
      <c r="C6222" s="2">
        <v>0</v>
      </c>
      <c r="D6222" s="2">
        <v>3.0599999999999999E-2</v>
      </c>
      <c r="E6222" s="2">
        <v>0</v>
      </c>
      <c r="F6222" s="2" t="s">
        <v>165</v>
      </c>
    </row>
    <row r="6223" spans="1:6" ht="22.5" hidden="1" customHeight="1" x14ac:dyDescent="0.25">
      <c r="A6223" s="3">
        <v>44348</v>
      </c>
      <c r="B6223" s="2" t="s">
        <v>355</v>
      </c>
      <c r="C6223" s="2">
        <v>0</v>
      </c>
      <c r="D6223" s="2">
        <v>2.87E-2</v>
      </c>
      <c r="E6223" s="2">
        <v>0</v>
      </c>
      <c r="F6223" s="2" t="s">
        <v>174</v>
      </c>
    </row>
    <row r="6224" spans="1:6" ht="22.5" hidden="1" customHeight="1" x14ac:dyDescent="0.25">
      <c r="A6224" s="3">
        <v>44348</v>
      </c>
      <c r="B6224" s="2" t="s">
        <v>356</v>
      </c>
      <c r="C6224" s="2">
        <v>0</v>
      </c>
      <c r="D6224" s="2">
        <v>2.8899999999999999E-2</v>
      </c>
      <c r="E6224" s="2">
        <v>0</v>
      </c>
      <c r="F6224" s="2" t="s">
        <v>174</v>
      </c>
    </row>
    <row r="6225" spans="1:6" ht="22.5" hidden="1" customHeight="1" x14ac:dyDescent="0.25">
      <c r="A6225" s="3">
        <v>44348</v>
      </c>
      <c r="B6225" s="2" t="s">
        <v>357</v>
      </c>
      <c r="C6225" s="2">
        <v>0</v>
      </c>
      <c r="D6225" s="2">
        <v>0.36570000000000003</v>
      </c>
      <c r="E6225" s="2">
        <v>0</v>
      </c>
      <c r="F6225" s="2" t="s">
        <v>174</v>
      </c>
    </row>
    <row r="6226" spans="1:6" ht="22.5" hidden="1" customHeight="1" x14ac:dyDescent="0.25">
      <c r="A6226" s="3">
        <v>44348</v>
      </c>
      <c r="B6226" s="2" t="s">
        <v>358</v>
      </c>
      <c r="C6226" s="2">
        <v>0.92</v>
      </c>
      <c r="D6226" s="2">
        <v>9.2799999999999994E-2</v>
      </c>
      <c r="E6226" s="2">
        <v>8.5375999999999996E-4</v>
      </c>
      <c r="F6226" s="2" t="s">
        <v>174</v>
      </c>
    </row>
    <row r="6227" spans="1:6" ht="22.5" hidden="1" customHeight="1" x14ac:dyDescent="0.25">
      <c r="A6227" s="3">
        <v>44348</v>
      </c>
      <c r="B6227" s="2" t="s">
        <v>359</v>
      </c>
      <c r="C6227" s="2">
        <v>0.53</v>
      </c>
      <c r="D6227" s="2">
        <v>4.7699999999999999E-2</v>
      </c>
      <c r="E6227" s="2">
        <v>2.5281000000000001E-4</v>
      </c>
      <c r="F6227" s="2" t="s">
        <v>174</v>
      </c>
    </row>
    <row r="6228" spans="1:6" ht="22.5" hidden="1" customHeight="1" x14ac:dyDescent="0.25">
      <c r="A6228" s="3">
        <v>44348</v>
      </c>
      <c r="B6228" s="2" t="s">
        <v>360</v>
      </c>
      <c r="C6228" s="2">
        <v>0.95</v>
      </c>
      <c r="D6228" s="2">
        <v>8.8499999999999995E-2</v>
      </c>
      <c r="E6228" s="2">
        <v>8.4075000000000003E-4</v>
      </c>
      <c r="F6228" s="2" t="s">
        <v>174</v>
      </c>
    </row>
    <row r="6229" spans="1:6" ht="22.5" hidden="1" customHeight="1" x14ac:dyDescent="0.25">
      <c r="A6229" s="3">
        <v>44348</v>
      </c>
      <c r="B6229" s="2" t="s">
        <v>361</v>
      </c>
      <c r="C6229" s="2">
        <v>0</v>
      </c>
      <c r="D6229" s="2">
        <v>7.5399999999999995E-2</v>
      </c>
      <c r="E6229" s="2">
        <v>0</v>
      </c>
      <c r="F6229" s="2" t="s">
        <v>165</v>
      </c>
    </row>
    <row r="6230" spans="1:6" ht="22.5" hidden="1" customHeight="1" x14ac:dyDescent="0.25">
      <c r="A6230" s="3">
        <v>44348</v>
      </c>
      <c r="B6230" s="2" t="s">
        <v>362</v>
      </c>
      <c r="C6230" s="2">
        <v>0</v>
      </c>
      <c r="D6230" s="2">
        <v>0.30230000000000001</v>
      </c>
      <c r="E6230" s="2">
        <v>0</v>
      </c>
      <c r="F6230" s="2" t="s">
        <v>165</v>
      </c>
    </row>
    <row r="6231" spans="1:6" ht="22.5" hidden="1" customHeight="1" x14ac:dyDescent="0.25">
      <c r="A6231" s="3">
        <v>44348</v>
      </c>
      <c r="B6231" s="2" t="s">
        <v>363</v>
      </c>
      <c r="C6231" s="2">
        <v>0.57999999999999996</v>
      </c>
      <c r="D6231" s="2">
        <v>4.9200000000000001E-2</v>
      </c>
      <c r="E6231" s="2">
        <v>2.8536000000000002E-4</v>
      </c>
      <c r="F6231" s="2" t="s">
        <v>165</v>
      </c>
    </row>
    <row r="6232" spans="1:6" ht="22.5" hidden="1" customHeight="1" x14ac:dyDescent="0.25">
      <c r="A6232" s="3">
        <v>44348</v>
      </c>
      <c r="B6232" s="2" t="s">
        <v>364</v>
      </c>
      <c r="C6232" s="2">
        <v>-0.08</v>
      </c>
      <c r="D6232" s="2">
        <v>0.39950000000000002</v>
      </c>
      <c r="E6232" s="2">
        <v>-3.1960000000000002E-4</v>
      </c>
      <c r="F6232" s="2" t="s">
        <v>165</v>
      </c>
    </row>
    <row r="6233" spans="1:6" ht="22.5" hidden="1" customHeight="1" x14ac:dyDescent="0.25">
      <c r="A6233" s="3">
        <v>44470</v>
      </c>
      <c r="B6233" s="2" t="s">
        <v>196</v>
      </c>
      <c r="C6233" s="2">
        <v>0</v>
      </c>
      <c r="D6233" s="2">
        <v>0.1462</v>
      </c>
      <c r="E6233" s="2">
        <v>0</v>
      </c>
      <c r="F6233" s="2" t="s">
        <v>168</v>
      </c>
    </row>
    <row r="6234" spans="1:6" ht="22.5" hidden="1" customHeight="1" x14ac:dyDescent="0.25">
      <c r="A6234" s="3">
        <v>44470</v>
      </c>
      <c r="B6234" s="2" t="s">
        <v>260</v>
      </c>
      <c r="C6234" s="2">
        <v>0</v>
      </c>
      <c r="D6234" s="2">
        <v>1.272</v>
      </c>
      <c r="E6234" s="2">
        <v>0</v>
      </c>
      <c r="F6234" s="2" t="s">
        <v>168</v>
      </c>
    </row>
    <row r="6235" spans="1:6" ht="22.5" hidden="1" customHeight="1" x14ac:dyDescent="0.25">
      <c r="A6235" s="3">
        <v>44470</v>
      </c>
      <c r="B6235" s="2" t="s">
        <v>261</v>
      </c>
      <c r="C6235" s="2">
        <v>0</v>
      </c>
      <c r="D6235" s="2">
        <v>0.18160000000000001</v>
      </c>
      <c r="E6235" s="2">
        <v>0</v>
      </c>
      <c r="F6235" s="2" t="s">
        <v>168</v>
      </c>
    </row>
    <row r="6236" spans="1:6" ht="22.5" hidden="1" customHeight="1" x14ac:dyDescent="0.25">
      <c r="A6236" s="3">
        <v>44348</v>
      </c>
      <c r="B6236" s="2" t="s">
        <v>368</v>
      </c>
      <c r="C6236" s="2">
        <v>0</v>
      </c>
      <c r="D6236" s="2">
        <v>0.38129999999999997</v>
      </c>
      <c r="E6236" s="2">
        <v>0</v>
      </c>
      <c r="F6236" s="2" t="s">
        <v>165</v>
      </c>
    </row>
    <row r="6237" spans="1:6" ht="22.5" hidden="1" customHeight="1" x14ac:dyDescent="0.25">
      <c r="A6237" s="3">
        <v>44348</v>
      </c>
      <c r="B6237" s="2" t="s">
        <v>369</v>
      </c>
      <c r="C6237" s="2">
        <v>0</v>
      </c>
      <c r="D6237" s="2">
        <v>0.5514</v>
      </c>
      <c r="E6237" s="2">
        <v>0</v>
      </c>
      <c r="F6237" s="2" t="s">
        <v>165</v>
      </c>
    </row>
    <row r="6238" spans="1:6" ht="22.5" hidden="1" customHeight="1" x14ac:dyDescent="0.25">
      <c r="A6238" s="3">
        <v>44348</v>
      </c>
      <c r="B6238" s="2" t="s">
        <v>370</v>
      </c>
      <c r="C6238" s="2">
        <v>0.68</v>
      </c>
      <c r="D6238" s="2">
        <v>0.98470000000000002</v>
      </c>
      <c r="E6238" s="2">
        <v>6.6959599999999999E-3</v>
      </c>
      <c r="F6238" s="2" t="s">
        <v>170</v>
      </c>
    </row>
    <row r="6239" spans="1:6" ht="22.5" hidden="1" customHeight="1" x14ac:dyDescent="0.25">
      <c r="A6239" s="3">
        <v>44348</v>
      </c>
      <c r="B6239" s="2" t="s">
        <v>371</v>
      </c>
      <c r="C6239" s="2">
        <v>0</v>
      </c>
      <c r="D6239" s="2">
        <v>6.8599999999999994E-2</v>
      </c>
      <c r="E6239" s="2">
        <v>0</v>
      </c>
      <c r="F6239" s="2" t="s">
        <v>165</v>
      </c>
    </row>
    <row r="6240" spans="1:6" ht="22.5" hidden="1" customHeight="1" x14ac:dyDescent="0.25">
      <c r="A6240" s="3">
        <v>44348</v>
      </c>
      <c r="B6240" s="2" t="s">
        <v>372</v>
      </c>
      <c r="C6240" s="2">
        <v>0</v>
      </c>
      <c r="D6240" s="2">
        <v>1.669</v>
      </c>
      <c r="E6240" s="2">
        <v>0</v>
      </c>
      <c r="F6240" s="2" t="s">
        <v>165</v>
      </c>
    </row>
    <row r="6241" spans="1:6" ht="22.5" hidden="1" customHeight="1" x14ac:dyDescent="0.25">
      <c r="A6241" s="3">
        <v>44378</v>
      </c>
      <c r="B6241" s="2" t="s">
        <v>6</v>
      </c>
      <c r="C6241" s="2">
        <v>-1.1399999999999999</v>
      </c>
      <c r="D6241" s="2">
        <v>0.68859999999999999</v>
      </c>
      <c r="E6241" s="2">
        <v>-7.8500400000000008E-3</v>
      </c>
      <c r="F6241" s="2" t="s">
        <v>7</v>
      </c>
    </row>
    <row r="6242" spans="1:6" ht="22.5" hidden="1" customHeight="1" x14ac:dyDescent="0.25">
      <c r="A6242" s="3">
        <v>44378</v>
      </c>
      <c r="B6242" s="2" t="s">
        <v>8</v>
      </c>
      <c r="C6242" s="2">
        <v>-0.49</v>
      </c>
      <c r="D6242" s="2">
        <v>1.4200000000000001E-2</v>
      </c>
      <c r="E6242" s="2">
        <v>-6.9579999999999995E-5</v>
      </c>
      <c r="F6242" s="2" t="s">
        <v>7</v>
      </c>
    </row>
    <row r="6243" spans="1:6" ht="22.5" hidden="1" customHeight="1" x14ac:dyDescent="0.25">
      <c r="A6243" s="3">
        <v>44378</v>
      </c>
      <c r="B6243" s="2" t="s">
        <v>9</v>
      </c>
      <c r="C6243" s="2">
        <v>0.39</v>
      </c>
      <c r="D6243" s="2">
        <v>7.0699999999999999E-2</v>
      </c>
      <c r="E6243" s="2">
        <v>2.7573000000000002E-4</v>
      </c>
      <c r="F6243" s="2" t="s">
        <v>7</v>
      </c>
    </row>
    <row r="6244" spans="1:6" ht="22.5" hidden="1" customHeight="1" x14ac:dyDescent="0.25">
      <c r="A6244" s="3">
        <v>44378</v>
      </c>
      <c r="B6244" s="2" t="s">
        <v>10</v>
      </c>
      <c r="C6244" s="2">
        <v>-0.82</v>
      </c>
      <c r="D6244" s="2">
        <v>2.3E-2</v>
      </c>
      <c r="E6244" s="2">
        <v>-1.886E-4</v>
      </c>
      <c r="F6244" s="2" t="s">
        <v>7</v>
      </c>
    </row>
    <row r="6245" spans="1:6" ht="22.5" hidden="1" customHeight="1" x14ac:dyDescent="0.25">
      <c r="A6245" s="3">
        <v>44378</v>
      </c>
      <c r="B6245" s="2" t="s">
        <v>11</v>
      </c>
      <c r="C6245" s="2">
        <v>0.56999999999999995</v>
      </c>
      <c r="D6245" s="2">
        <v>0.1449</v>
      </c>
      <c r="E6245" s="2">
        <v>8.2593E-4</v>
      </c>
      <c r="F6245" s="2" t="s">
        <v>7</v>
      </c>
    </row>
    <row r="6246" spans="1:6" ht="22.5" hidden="1" customHeight="1" x14ac:dyDescent="0.25">
      <c r="A6246" s="3">
        <v>44378</v>
      </c>
      <c r="B6246" s="2" t="s">
        <v>12</v>
      </c>
      <c r="C6246" s="2">
        <v>-1.03</v>
      </c>
      <c r="D6246" s="2">
        <v>1.0699999999999999E-2</v>
      </c>
      <c r="E6246" s="2">
        <v>-1.1021E-4</v>
      </c>
      <c r="F6246" s="2" t="s">
        <v>7</v>
      </c>
    </row>
    <row r="6247" spans="1:6" ht="22.5" hidden="1" customHeight="1" x14ac:dyDescent="0.25">
      <c r="A6247" s="3">
        <v>44378</v>
      </c>
      <c r="B6247" s="2" t="s">
        <v>13</v>
      </c>
      <c r="C6247" s="2">
        <v>-0.78</v>
      </c>
      <c r="D6247" s="2">
        <v>2.8999999999999998E-3</v>
      </c>
      <c r="E6247" s="2">
        <v>-2.262E-5</v>
      </c>
      <c r="F6247" s="2" t="s">
        <v>7</v>
      </c>
    </row>
    <row r="6248" spans="1:6" ht="22.5" hidden="1" customHeight="1" x14ac:dyDescent="0.25">
      <c r="A6248" s="3">
        <v>44378</v>
      </c>
      <c r="B6248" s="2" t="s">
        <v>14</v>
      </c>
      <c r="C6248" s="2">
        <v>0.69</v>
      </c>
      <c r="D6248" s="2">
        <v>0.15060000000000001</v>
      </c>
      <c r="E6248" s="2">
        <v>1.03914E-3</v>
      </c>
      <c r="F6248" s="2" t="s">
        <v>7</v>
      </c>
    </row>
    <row r="6249" spans="1:6" ht="22.5" hidden="1" customHeight="1" x14ac:dyDescent="0.25">
      <c r="A6249" s="3">
        <v>44378</v>
      </c>
      <c r="B6249" s="2" t="s">
        <v>15</v>
      </c>
      <c r="C6249" s="2">
        <v>4.76</v>
      </c>
      <c r="D6249" s="2">
        <v>8.2000000000000007E-3</v>
      </c>
      <c r="E6249" s="2">
        <v>3.9031999999999999E-4</v>
      </c>
      <c r="F6249" s="2" t="s">
        <v>7</v>
      </c>
    </row>
    <row r="6250" spans="1:6" ht="22.5" hidden="1" customHeight="1" x14ac:dyDescent="0.25">
      <c r="A6250" s="3">
        <v>44378</v>
      </c>
      <c r="B6250" s="2" t="s">
        <v>16</v>
      </c>
      <c r="C6250" s="2">
        <v>1.46</v>
      </c>
      <c r="D6250" s="2">
        <v>9.1000000000000004E-3</v>
      </c>
      <c r="E6250" s="2">
        <v>1.3286E-4</v>
      </c>
      <c r="F6250" s="2" t="s">
        <v>7</v>
      </c>
    </row>
    <row r="6251" spans="1:6" ht="22.5" hidden="1" customHeight="1" x14ac:dyDescent="0.25">
      <c r="A6251" s="3">
        <v>44378</v>
      </c>
      <c r="B6251" s="2" t="s">
        <v>17</v>
      </c>
      <c r="C6251" s="2">
        <v>1.29</v>
      </c>
      <c r="D6251" s="2">
        <v>5.1999999999999998E-2</v>
      </c>
      <c r="E6251" s="2">
        <v>6.7080000000000004E-4</v>
      </c>
      <c r="F6251" s="2" t="s">
        <v>7</v>
      </c>
    </row>
    <row r="6252" spans="1:6" ht="22.5" hidden="1" customHeight="1" x14ac:dyDescent="0.25">
      <c r="A6252" s="3">
        <v>44378</v>
      </c>
      <c r="B6252" s="2" t="s">
        <v>18</v>
      </c>
      <c r="C6252" s="2">
        <v>0.06</v>
      </c>
      <c r="D6252" s="2">
        <v>9.6699999999999994E-2</v>
      </c>
      <c r="E6252" s="2">
        <v>5.8019999999999997E-5</v>
      </c>
      <c r="F6252" s="2" t="s">
        <v>7</v>
      </c>
    </row>
    <row r="6253" spans="1:6" ht="22.5" hidden="1" customHeight="1" x14ac:dyDescent="0.25">
      <c r="A6253" s="3">
        <v>44378</v>
      </c>
      <c r="B6253" s="2" t="s">
        <v>19</v>
      </c>
      <c r="C6253" s="2">
        <v>2.23</v>
      </c>
      <c r="D6253" s="2">
        <v>0.1193</v>
      </c>
      <c r="E6253" s="2">
        <v>2.6603899999999999E-3</v>
      </c>
      <c r="F6253" s="2" t="s">
        <v>7</v>
      </c>
    </row>
    <row r="6254" spans="1:6" ht="22.5" hidden="1" customHeight="1" x14ac:dyDescent="0.25">
      <c r="A6254" s="3">
        <v>44378</v>
      </c>
      <c r="B6254" s="2" t="s">
        <v>20</v>
      </c>
      <c r="C6254" s="2">
        <v>-0.56999999999999995</v>
      </c>
      <c r="D6254" s="2">
        <v>2.5899999999999999E-2</v>
      </c>
      <c r="E6254" s="2">
        <v>-1.4762999999999999E-4</v>
      </c>
      <c r="F6254" s="2" t="s">
        <v>7</v>
      </c>
    </row>
    <row r="6255" spans="1:6" ht="22.5" hidden="1" customHeight="1" x14ac:dyDescent="0.25">
      <c r="A6255" s="3">
        <v>44378</v>
      </c>
      <c r="B6255" s="2" t="s">
        <v>21</v>
      </c>
      <c r="C6255" s="2">
        <v>-8.51</v>
      </c>
      <c r="D6255" s="2">
        <v>3.1E-2</v>
      </c>
      <c r="E6255" s="2">
        <v>-2.6381E-3</v>
      </c>
      <c r="F6255" s="2" t="s">
        <v>7</v>
      </c>
    </row>
    <row r="6256" spans="1:6" ht="22.5" hidden="1" customHeight="1" x14ac:dyDescent="0.25">
      <c r="A6256" s="3">
        <v>44378</v>
      </c>
      <c r="B6256" s="2" t="s">
        <v>22</v>
      </c>
      <c r="C6256" s="2">
        <v>-14.77</v>
      </c>
      <c r="D6256" s="2">
        <v>0.159</v>
      </c>
      <c r="E6256" s="2">
        <v>-2.34843E-2</v>
      </c>
      <c r="F6256" s="2" t="s">
        <v>7</v>
      </c>
    </row>
    <row r="6257" spans="1:6" ht="22.5" hidden="1" customHeight="1" x14ac:dyDescent="0.25">
      <c r="A6257" s="3">
        <v>44378</v>
      </c>
      <c r="B6257" s="2" t="s">
        <v>23</v>
      </c>
      <c r="C6257" s="2">
        <v>6.27</v>
      </c>
      <c r="D6257" s="2">
        <v>1.61E-2</v>
      </c>
      <c r="E6257" s="2">
        <v>1.0094699999999999E-3</v>
      </c>
      <c r="F6257" s="2" t="s">
        <v>7</v>
      </c>
    </row>
    <row r="6258" spans="1:6" ht="22.5" hidden="1" customHeight="1" x14ac:dyDescent="0.25">
      <c r="A6258" s="3">
        <v>44378</v>
      </c>
      <c r="B6258" s="2" t="s">
        <v>24</v>
      </c>
      <c r="C6258" s="2">
        <v>12.63</v>
      </c>
      <c r="D6258" s="2">
        <v>7.7000000000000002E-3</v>
      </c>
      <c r="E6258" s="2">
        <v>9.7251E-4</v>
      </c>
      <c r="F6258" s="2" t="s">
        <v>7</v>
      </c>
    </row>
    <row r="6259" spans="1:6" ht="22.5" hidden="1" customHeight="1" x14ac:dyDescent="0.25">
      <c r="A6259" s="3">
        <v>44378</v>
      </c>
      <c r="B6259" s="2" t="s">
        <v>25</v>
      </c>
      <c r="C6259" s="2">
        <v>10.210000000000001</v>
      </c>
      <c r="D6259" s="2">
        <v>2.5999999999999999E-3</v>
      </c>
      <c r="E6259" s="2">
        <v>2.6546000000000002E-4</v>
      </c>
      <c r="F6259" s="2" t="s">
        <v>7</v>
      </c>
    </row>
    <row r="6260" spans="1:6" ht="22.5" hidden="1" customHeight="1" x14ac:dyDescent="0.25">
      <c r="A6260" s="3">
        <v>44378</v>
      </c>
      <c r="B6260" s="2" t="s">
        <v>26</v>
      </c>
      <c r="C6260" s="2">
        <v>-1.19</v>
      </c>
      <c r="D6260" s="2">
        <v>1.7000000000000001E-2</v>
      </c>
      <c r="E6260" s="2">
        <v>-2.0230000000000001E-4</v>
      </c>
      <c r="F6260" s="2" t="s">
        <v>7</v>
      </c>
    </row>
    <row r="6261" spans="1:6" ht="22.5" hidden="1" customHeight="1" x14ac:dyDescent="0.25">
      <c r="A6261" s="3">
        <v>44378</v>
      </c>
      <c r="B6261" s="2" t="s">
        <v>27</v>
      </c>
      <c r="C6261" s="2">
        <v>-0.54</v>
      </c>
      <c r="D6261" s="2">
        <v>0.2041</v>
      </c>
      <c r="E6261" s="2">
        <v>-1.1021399999999999E-3</v>
      </c>
      <c r="F6261" s="2" t="s">
        <v>7</v>
      </c>
    </row>
    <row r="6262" spans="1:6" ht="22.5" hidden="1" customHeight="1" x14ac:dyDescent="0.25">
      <c r="A6262" s="3">
        <v>44378</v>
      </c>
      <c r="B6262" s="2" t="s">
        <v>28</v>
      </c>
      <c r="C6262" s="2">
        <v>-15.94</v>
      </c>
      <c r="D6262" s="2">
        <v>0.12859999999999999</v>
      </c>
      <c r="E6262" s="2">
        <v>-2.0498840000000001E-2</v>
      </c>
      <c r="F6262" s="2" t="s">
        <v>7</v>
      </c>
    </row>
    <row r="6263" spans="1:6" ht="22.5" hidden="1" customHeight="1" x14ac:dyDescent="0.25">
      <c r="A6263" s="3">
        <v>44378</v>
      </c>
      <c r="B6263" s="2" t="s">
        <v>29</v>
      </c>
      <c r="C6263" s="2">
        <v>-4.55</v>
      </c>
      <c r="D6263" s="2">
        <v>4.41E-2</v>
      </c>
      <c r="E6263" s="2">
        <v>-2.0065500000000002E-3</v>
      </c>
      <c r="F6263" s="2" t="s">
        <v>7</v>
      </c>
    </row>
    <row r="6264" spans="1:6" ht="22.5" hidden="1" customHeight="1" x14ac:dyDescent="0.25">
      <c r="A6264" s="3">
        <v>44378</v>
      </c>
      <c r="B6264" s="2" t="s">
        <v>30</v>
      </c>
      <c r="C6264" s="2">
        <v>5.86</v>
      </c>
      <c r="D6264" s="2">
        <v>0.10589999999999999</v>
      </c>
      <c r="E6264" s="2">
        <v>6.2057400000000004E-3</v>
      </c>
      <c r="F6264" s="2" t="s">
        <v>7</v>
      </c>
    </row>
    <row r="6265" spans="1:6" ht="22.5" hidden="1" customHeight="1" x14ac:dyDescent="0.25">
      <c r="A6265" s="3">
        <v>44378</v>
      </c>
      <c r="B6265" s="2" t="s">
        <v>31</v>
      </c>
      <c r="C6265" s="2">
        <v>3.43</v>
      </c>
      <c r="D6265" s="2">
        <v>0.1147</v>
      </c>
      <c r="E6265" s="2">
        <v>3.9342099999999996E-3</v>
      </c>
      <c r="F6265" s="2" t="s">
        <v>7</v>
      </c>
    </row>
    <row r="6266" spans="1:6" ht="22.5" hidden="1" customHeight="1" x14ac:dyDescent="0.25">
      <c r="A6266" s="3">
        <v>44378</v>
      </c>
      <c r="B6266" s="2" t="s">
        <v>32</v>
      </c>
      <c r="C6266" s="2">
        <v>1.34</v>
      </c>
      <c r="D6266" s="2">
        <v>1.52E-2</v>
      </c>
      <c r="E6266" s="2">
        <v>2.0368E-4</v>
      </c>
      <c r="F6266" s="2" t="s">
        <v>7</v>
      </c>
    </row>
    <row r="6267" spans="1:6" ht="22.5" hidden="1" customHeight="1" x14ac:dyDescent="0.25">
      <c r="A6267" s="3">
        <v>44378</v>
      </c>
      <c r="B6267" s="2" t="s">
        <v>33</v>
      </c>
      <c r="C6267" s="2">
        <v>0.33</v>
      </c>
      <c r="D6267" s="2">
        <v>0.18940000000000001</v>
      </c>
      <c r="E6267" s="2">
        <v>6.2502E-4</v>
      </c>
      <c r="F6267" s="2" t="s">
        <v>7</v>
      </c>
    </row>
    <row r="6268" spans="1:6" ht="22.5" hidden="1" customHeight="1" x14ac:dyDescent="0.25">
      <c r="A6268" s="3">
        <v>44378</v>
      </c>
      <c r="B6268" s="2" t="s">
        <v>34</v>
      </c>
      <c r="C6268" s="2">
        <v>0.32</v>
      </c>
      <c r="D6268" s="2">
        <v>0.1469</v>
      </c>
      <c r="E6268" s="2">
        <v>4.7008E-4</v>
      </c>
      <c r="F6268" s="2" t="s">
        <v>7</v>
      </c>
    </row>
    <row r="6269" spans="1:6" ht="22.5" hidden="1" customHeight="1" x14ac:dyDescent="0.25">
      <c r="A6269" s="3">
        <v>44378</v>
      </c>
      <c r="B6269" s="2" t="s">
        <v>35</v>
      </c>
      <c r="C6269" s="2">
        <v>0.59</v>
      </c>
      <c r="D6269" s="2">
        <v>0.10929999999999999</v>
      </c>
      <c r="E6269" s="2">
        <v>6.4486999999999997E-4</v>
      </c>
      <c r="F6269" s="2" t="s">
        <v>7</v>
      </c>
    </row>
    <row r="6270" spans="1:6" ht="22.5" hidden="1" customHeight="1" x14ac:dyDescent="0.25">
      <c r="A6270" s="3">
        <v>44378</v>
      </c>
      <c r="B6270" s="2" t="s">
        <v>36</v>
      </c>
      <c r="C6270" s="2">
        <v>-0.53</v>
      </c>
      <c r="D6270" s="2">
        <v>1.6999999999999999E-3</v>
      </c>
      <c r="E6270" s="2">
        <v>-9.0100000000000001E-6</v>
      </c>
      <c r="F6270" s="2" t="s">
        <v>7</v>
      </c>
    </row>
    <row r="6271" spans="1:6" ht="22.5" hidden="1" customHeight="1" x14ac:dyDescent="0.25">
      <c r="A6271" s="3">
        <v>44378</v>
      </c>
      <c r="B6271" s="2" t="s">
        <v>37</v>
      </c>
      <c r="C6271" s="2">
        <v>-8.5299999999999994</v>
      </c>
      <c r="D6271" s="2">
        <v>9.2700000000000005E-2</v>
      </c>
      <c r="E6271" s="2">
        <v>-7.9073100000000007E-3</v>
      </c>
      <c r="F6271" s="2" t="s">
        <v>7</v>
      </c>
    </row>
    <row r="6272" spans="1:6" ht="22.5" hidden="1" customHeight="1" x14ac:dyDescent="0.25">
      <c r="A6272" s="3">
        <v>44378</v>
      </c>
      <c r="B6272" s="2" t="s">
        <v>38</v>
      </c>
      <c r="C6272" s="2">
        <v>0.72</v>
      </c>
      <c r="D6272" s="2">
        <v>1.01E-2</v>
      </c>
      <c r="E6272" s="2">
        <v>7.2719999999999995E-5</v>
      </c>
      <c r="F6272" s="2" t="s">
        <v>7</v>
      </c>
    </row>
    <row r="6273" spans="1:6" ht="22.5" hidden="1" customHeight="1" x14ac:dyDescent="0.25">
      <c r="A6273" s="3">
        <v>44378</v>
      </c>
      <c r="B6273" s="2" t="s">
        <v>39</v>
      </c>
      <c r="C6273" s="2">
        <v>-3.56</v>
      </c>
      <c r="D6273" s="2">
        <v>1.52E-2</v>
      </c>
      <c r="E6273" s="2">
        <v>-5.4111999999999997E-4</v>
      </c>
      <c r="F6273" s="2" t="s">
        <v>7</v>
      </c>
    </row>
    <row r="6274" spans="1:6" ht="22.5" hidden="1" customHeight="1" x14ac:dyDescent="0.25">
      <c r="A6274" s="3">
        <v>44378</v>
      </c>
      <c r="B6274" s="2" t="s">
        <v>40</v>
      </c>
      <c r="C6274" s="2">
        <v>-3.28</v>
      </c>
      <c r="D6274" s="2">
        <v>3.0000000000000001E-3</v>
      </c>
      <c r="E6274" s="2">
        <v>-9.8400000000000007E-5</v>
      </c>
      <c r="F6274" s="2" t="s">
        <v>7</v>
      </c>
    </row>
    <row r="6275" spans="1:6" ht="22.5" hidden="1" customHeight="1" x14ac:dyDescent="0.25">
      <c r="A6275" s="3">
        <v>44378</v>
      </c>
      <c r="B6275" s="2" t="s">
        <v>41</v>
      </c>
      <c r="C6275" s="2">
        <v>-7.48</v>
      </c>
      <c r="D6275" s="2">
        <v>2.2499999999999999E-2</v>
      </c>
      <c r="E6275" s="2">
        <v>-1.683E-3</v>
      </c>
      <c r="F6275" s="2" t="s">
        <v>7</v>
      </c>
    </row>
    <row r="6276" spans="1:6" ht="22.5" hidden="1" customHeight="1" x14ac:dyDescent="0.25">
      <c r="A6276" s="3">
        <v>44378</v>
      </c>
      <c r="B6276" s="2" t="s">
        <v>42</v>
      </c>
      <c r="C6276" s="2">
        <v>-2.29</v>
      </c>
      <c r="D6276" s="2">
        <v>4.2500000000000003E-2</v>
      </c>
      <c r="E6276" s="2">
        <v>-9.7325000000000005E-4</v>
      </c>
      <c r="F6276" s="2" t="s">
        <v>7</v>
      </c>
    </row>
    <row r="6277" spans="1:6" ht="22.5" hidden="1" customHeight="1" x14ac:dyDescent="0.25">
      <c r="A6277" s="3">
        <v>44378</v>
      </c>
      <c r="B6277" s="2" t="s">
        <v>43</v>
      </c>
      <c r="C6277" s="2">
        <v>-1.21</v>
      </c>
      <c r="D6277" s="2">
        <v>2.9499999999999998E-2</v>
      </c>
      <c r="E6277" s="2">
        <v>-3.5694999999999998E-4</v>
      </c>
      <c r="F6277" s="2" t="s">
        <v>7</v>
      </c>
    </row>
    <row r="6278" spans="1:6" ht="22.5" hidden="1" customHeight="1" x14ac:dyDescent="0.25">
      <c r="A6278" s="3">
        <v>44378</v>
      </c>
      <c r="B6278" s="2" t="s">
        <v>44</v>
      </c>
      <c r="C6278" s="2">
        <v>1.85</v>
      </c>
      <c r="D6278" s="2">
        <v>1.52E-2</v>
      </c>
      <c r="E6278" s="2">
        <v>2.812E-4</v>
      </c>
      <c r="F6278" s="2" t="s">
        <v>7</v>
      </c>
    </row>
    <row r="6279" spans="1:6" ht="22.5" hidden="1" customHeight="1" x14ac:dyDescent="0.25">
      <c r="A6279" s="3">
        <v>44378</v>
      </c>
      <c r="B6279" s="2" t="s">
        <v>45</v>
      </c>
      <c r="C6279" s="2">
        <v>-2.72</v>
      </c>
      <c r="D6279" s="2">
        <v>1.6899999999999998E-2</v>
      </c>
      <c r="E6279" s="2">
        <v>-4.5968000000000002E-4</v>
      </c>
      <c r="F6279" s="2" t="s">
        <v>7</v>
      </c>
    </row>
    <row r="6280" spans="1:6" ht="22.5" hidden="1" customHeight="1" x14ac:dyDescent="0.25">
      <c r="A6280" s="3">
        <v>44378</v>
      </c>
      <c r="B6280" s="2" t="s">
        <v>46</v>
      </c>
      <c r="C6280" s="2">
        <v>6.38</v>
      </c>
      <c r="D6280" s="2">
        <v>8.0000000000000004E-4</v>
      </c>
      <c r="E6280" s="2">
        <v>5.1039999999999999E-5</v>
      </c>
      <c r="F6280" s="2" t="s">
        <v>7</v>
      </c>
    </row>
    <row r="6281" spans="1:6" ht="22.5" hidden="1" customHeight="1" x14ac:dyDescent="0.25">
      <c r="A6281" s="3">
        <v>44378</v>
      </c>
      <c r="B6281" s="2" t="s">
        <v>47</v>
      </c>
      <c r="C6281" s="2">
        <v>-2.1</v>
      </c>
      <c r="D6281" s="2">
        <v>8.2600000000000007E-2</v>
      </c>
      <c r="E6281" s="2">
        <v>-1.7346E-3</v>
      </c>
      <c r="F6281" s="2" t="s">
        <v>7</v>
      </c>
    </row>
    <row r="6282" spans="1:6" ht="22.5" hidden="1" customHeight="1" x14ac:dyDescent="0.25">
      <c r="A6282" s="3">
        <v>44378</v>
      </c>
      <c r="B6282" s="2" t="s">
        <v>48</v>
      </c>
      <c r="C6282" s="2">
        <v>-3.18</v>
      </c>
      <c r="D6282" s="2">
        <v>3.5000000000000001E-3</v>
      </c>
      <c r="E6282" s="2">
        <v>-1.1129999999999999E-4</v>
      </c>
      <c r="F6282" s="2" t="s">
        <v>7</v>
      </c>
    </row>
    <row r="6283" spans="1:6" ht="22.5" hidden="1" customHeight="1" x14ac:dyDescent="0.25">
      <c r="A6283" s="3">
        <v>44378</v>
      </c>
      <c r="B6283" s="2" t="s">
        <v>49</v>
      </c>
      <c r="C6283" s="2">
        <v>-3.61</v>
      </c>
      <c r="D6283" s="2">
        <v>0.14899999999999999</v>
      </c>
      <c r="E6283" s="2">
        <v>-5.3788999999999998E-3</v>
      </c>
      <c r="F6283" s="2" t="s">
        <v>7</v>
      </c>
    </row>
    <row r="6284" spans="1:6" ht="22.5" hidden="1" customHeight="1" x14ac:dyDescent="0.25">
      <c r="A6284" s="3">
        <v>44378</v>
      </c>
      <c r="B6284" s="2" t="s">
        <v>50</v>
      </c>
      <c r="C6284" s="2">
        <v>-14.3</v>
      </c>
      <c r="D6284" s="2">
        <v>5.3E-3</v>
      </c>
      <c r="E6284" s="2">
        <v>-7.5790000000000005E-4</v>
      </c>
      <c r="F6284" s="2" t="s">
        <v>7</v>
      </c>
    </row>
    <row r="6285" spans="1:6" ht="22.5" hidden="1" customHeight="1" x14ac:dyDescent="0.25">
      <c r="A6285" s="3">
        <v>44378</v>
      </c>
      <c r="B6285" s="2" t="s">
        <v>51</v>
      </c>
      <c r="C6285" s="2">
        <v>-2.4900000000000002</v>
      </c>
      <c r="D6285" s="2">
        <v>4.1999999999999997E-3</v>
      </c>
      <c r="E6285" s="2">
        <v>-1.0458E-4</v>
      </c>
      <c r="F6285" s="2" t="s">
        <v>7</v>
      </c>
    </row>
    <row r="6286" spans="1:6" ht="22.5" hidden="1" customHeight="1" x14ac:dyDescent="0.25">
      <c r="A6286" s="3">
        <v>44378</v>
      </c>
      <c r="B6286" s="2" t="s">
        <v>52</v>
      </c>
      <c r="C6286" s="2">
        <v>-8.4700000000000006</v>
      </c>
      <c r="D6286" s="2">
        <v>2.5000000000000001E-2</v>
      </c>
      <c r="E6286" s="2">
        <v>-2.1175E-3</v>
      </c>
      <c r="F6286" s="2" t="s">
        <v>7</v>
      </c>
    </row>
    <row r="6287" spans="1:6" ht="22.5" hidden="1" customHeight="1" x14ac:dyDescent="0.25">
      <c r="A6287" s="3">
        <v>44378</v>
      </c>
      <c r="B6287" s="2" t="s">
        <v>53</v>
      </c>
      <c r="C6287" s="2">
        <v>2.02</v>
      </c>
      <c r="D6287" s="2">
        <v>0.1323</v>
      </c>
      <c r="E6287" s="2">
        <v>2.6724600000000002E-3</v>
      </c>
      <c r="F6287" s="2" t="s">
        <v>7</v>
      </c>
    </row>
    <row r="6288" spans="1:6" ht="22.5" hidden="1" customHeight="1" x14ac:dyDescent="0.25">
      <c r="A6288" s="3">
        <v>44378</v>
      </c>
      <c r="B6288" s="2" t="s">
        <v>54</v>
      </c>
      <c r="C6288" s="2">
        <v>-2.4700000000000002</v>
      </c>
      <c r="D6288" s="2">
        <v>8.7099999999999997E-2</v>
      </c>
      <c r="E6288" s="2">
        <v>-2.1513700000000001E-3</v>
      </c>
      <c r="F6288" s="2" t="s">
        <v>7</v>
      </c>
    </row>
    <row r="6289" spans="1:6" ht="22.5" hidden="1" customHeight="1" x14ac:dyDescent="0.25">
      <c r="A6289" s="3">
        <v>44378</v>
      </c>
      <c r="B6289" s="2" t="s">
        <v>55</v>
      </c>
      <c r="C6289" s="2">
        <v>-1.53</v>
      </c>
      <c r="D6289" s="2">
        <v>5.91E-2</v>
      </c>
      <c r="E6289" s="2">
        <v>-9.0423000000000001E-4</v>
      </c>
      <c r="F6289" s="2" t="s">
        <v>7</v>
      </c>
    </row>
    <row r="6290" spans="1:6" ht="22.5" hidden="1" customHeight="1" x14ac:dyDescent="0.25">
      <c r="A6290" s="3">
        <v>44378</v>
      </c>
      <c r="B6290" s="2" t="s">
        <v>56</v>
      </c>
      <c r="C6290" s="2">
        <v>-4.9000000000000004</v>
      </c>
      <c r="D6290" s="2">
        <v>6.7000000000000002E-3</v>
      </c>
      <c r="E6290" s="2">
        <v>-3.2830000000000001E-4</v>
      </c>
      <c r="F6290" s="2" t="s">
        <v>7</v>
      </c>
    </row>
    <row r="6291" spans="1:6" ht="22.5" hidden="1" customHeight="1" x14ac:dyDescent="0.25">
      <c r="A6291" s="3">
        <v>44378</v>
      </c>
      <c r="B6291" s="2" t="s">
        <v>57</v>
      </c>
      <c r="C6291" s="2">
        <v>-3.41</v>
      </c>
      <c r="D6291" s="2">
        <v>2.9000000000000001E-2</v>
      </c>
      <c r="E6291" s="2">
        <v>-9.8890000000000002E-4</v>
      </c>
      <c r="F6291" s="2" t="s">
        <v>7</v>
      </c>
    </row>
    <row r="6292" spans="1:6" ht="22.5" hidden="1" customHeight="1" x14ac:dyDescent="0.25">
      <c r="A6292" s="3">
        <v>44378</v>
      </c>
      <c r="B6292" s="2" t="s">
        <v>58</v>
      </c>
      <c r="C6292" s="2">
        <v>3.35</v>
      </c>
      <c r="D6292" s="2">
        <v>1.61E-2</v>
      </c>
      <c r="E6292" s="2">
        <v>5.3934999999999996E-4</v>
      </c>
      <c r="F6292" s="2" t="s">
        <v>7</v>
      </c>
    </row>
    <row r="6293" spans="1:6" ht="22.5" hidden="1" customHeight="1" x14ac:dyDescent="0.25">
      <c r="A6293" s="3">
        <v>44378</v>
      </c>
      <c r="B6293" s="2" t="s">
        <v>59</v>
      </c>
      <c r="C6293" s="2">
        <v>2.4700000000000002</v>
      </c>
      <c r="D6293" s="2">
        <v>2.07E-2</v>
      </c>
      <c r="E6293" s="2">
        <v>5.1128999999999996E-4</v>
      </c>
      <c r="F6293" s="2" t="s">
        <v>7</v>
      </c>
    </row>
    <row r="6294" spans="1:6" ht="22.5" hidden="1" customHeight="1" x14ac:dyDescent="0.25">
      <c r="A6294" s="3">
        <v>44378</v>
      </c>
      <c r="B6294" s="2" t="s">
        <v>60</v>
      </c>
      <c r="C6294" s="2">
        <v>-6.99</v>
      </c>
      <c r="D6294" s="2">
        <v>2.7900000000000001E-2</v>
      </c>
      <c r="E6294" s="2">
        <v>-1.95021E-3</v>
      </c>
      <c r="F6294" s="2" t="s">
        <v>7</v>
      </c>
    </row>
    <row r="6295" spans="1:6" ht="22.5" hidden="1" customHeight="1" x14ac:dyDescent="0.25">
      <c r="A6295" s="3">
        <v>44378</v>
      </c>
      <c r="B6295" s="2" t="s">
        <v>61</v>
      </c>
      <c r="C6295" s="2">
        <v>-3.05</v>
      </c>
      <c r="D6295" s="2">
        <v>7.0499999999999993E-2</v>
      </c>
      <c r="E6295" s="2">
        <v>-2.1502499999999998E-3</v>
      </c>
      <c r="F6295" s="2" t="s">
        <v>7</v>
      </c>
    </row>
    <row r="6296" spans="1:6" ht="22.5" hidden="1" customHeight="1" x14ac:dyDescent="0.25">
      <c r="A6296" s="3">
        <v>44378</v>
      </c>
      <c r="B6296" s="2" t="s">
        <v>62</v>
      </c>
      <c r="C6296" s="2">
        <v>4.3</v>
      </c>
      <c r="D6296" s="2">
        <v>8.6099999999999996E-2</v>
      </c>
      <c r="E6296" s="2">
        <v>3.7022999999999999E-3</v>
      </c>
      <c r="F6296" s="2" t="s">
        <v>7</v>
      </c>
    </row>
    <row r="6297" spans="1:6" ht="22.5" hidden="1" customHeight="1" x14ac:dyDescent="0.25">
      <c r="A6297" s="3">
        <v>44378</v>
      </c>
      <c r="B6297" s="2" t="s">
        <v>63</v>
      </c>
      <c r="C6297" s="2">
        <v>-1.33</v>
      </c>
      <c r="D6297" s="2">
        <v>8.9999999999999993E-3</v>
      </c>
      <c r="E6297" s="2">
        <v>-1.197E-4</v>
      </c>
      <c r="F6297" s="2" t="s">
        <v>7</v>
      </c>
    </row>
    <row r="6298" spans="1:6" ht="22.5" hidden="1" customHeight="1" x14ac:dyDescent="0.25">
      <c r="A6298" s="3">
        <v>44378</v>
      </c>
      <c r="B6298" s="2" t="s">
        <v>64</v>
      </c>
      <c r="C6298" s="2">
        <v>4.67</v>
      </c>
      <c r="D6298" s="2">
        <v>4.1999999999999997E-3</v>
      </c>
      <c r="E6298" s="2">
        <v>1.9614E-4</v>
      </c>
      <c r="F6298" s="2" t="s">
        <v>7</v>
      </c>
    </row>
    <row r="6299" spans="1:6" ht="22.5" hidden="1" customHeight="1" x14ac:dyDescent="0.25">
      <c r="A6299" s="3">
        <v>44378</v>
      </c>
      <c r="B6299" s="2" t="s">
        <v>65</v>
      </c>
      <c r="C6299" s="2">
        <v>3.32</v>
      </c>
      <c r="D6299" s="2">
        <v>2.18E-2</v>
      </c>
      <c r="E6299" s="2">
        <v>7.2376000000000005E-4</v>
      </c>
      <c r="F6299" s="2" t="s">
        <v>7</v>
      </c>
    </row>
    <row r="6300" spans="1:6" ht="22.5" hidden="1" customHeight="1" x14ac:dyDescent="0.25">
      <c r="A6300" s="3">
        <v>44378</v>
      </c>
      <c r="B6300" s="2" t="s">
        <v>66</v>
      </c>
      <c r="C6300" s="2">
        <v>0.39</v>
      </c>
      <c r="D6300" s="2">
        <v>0.37390000000000001</v>
      </c>
      <c r="E6300" s="2">
        <v>1.4582099999999999E-3</v>
      </c>
      <c r="F6300" s="2" t="s">
        <v>7</v>
      </c>
    </row>
    <row r="6301" spans="1:6" ht="22.5" hidden="1" customHeight="1" x14ac:dyDescent="0.25">
      <c r="A6301" s="3">
        <v>44378</v>
      </c>
      <c r="B6301" s="2" t="s">
        <v>67</v>
      </c>
      <c r="C6301" s="2">
        <v>0.4</v>
      </c>
      <c r="D6301" s="2">
        <v>3.8E-3</v>
      </c>
      <c r="E6301" s="2">
        <v>1.52E-5</v>
      </c>
      <c r="F6301" s="2" t="s">
        <v>7</v>
      </c>
    </row>
    <row r="6302" spans="1:6" ht="22.5" hidden="1" customHeight="1" x14ac:dyDescent="0.25">
      <c r="A6302" s="3">
        <v>44378</v>
      </c>
      <c r="B6302" s="2" t="s">
        <v>68</v>
      </c>
      <c r="C6302" s="2">
        <v>-1.58</v>
      </c>
      <c r="D6302" s="2">
        <v>1.24E-2</v>
      </c>
      <c r="E6302" s="2">
        <v>-1.9592000000000001E-4</v>
      </c>
      <c r="F6302" s="2" t="s">
        <v>7</v>
      </c>
    </row>
    <row r="6303" spans="1:6" ht="22.5" hidden="1" customHeight="1" x14ac:dyDescent="0.25">
      <c r="A6303" s="3">
        <v>44378</v>
      </c>
      <c r="B6303" s="2" t="s">
        <v>69</v>
      </c>
      <c r="C6303" s="2">
        <v>2.0099999999999998</v>
      </c>
      <c r="D6303" s="2">
        <v>0.49580000000000002</v>
      </c>
      <c r="E6303" s="2">
        <v>9.9655799999999999E-3</v>
      </c>
      <c r="F6303" s="2" t="s">
        <v>7</v>
      </c>
    </row>
    <row r="6304" spans="1:6" ht="22.5" hidden="1" customHeight="1" x14ac:dyDescent="0.25">
      <c r="A6304" s="3">
        <v>44378</v>
      </c>
      <c r="B6304" s="2" t="s">
        <v>70</v>
      </c>
      <c r="C6304" s="2">
        <v>3.89</v>
      </c>
      <c r="D6304" s="2">
        <v>2.7E-2</v>
      </c>
      <c r="E6304" s="2">
        <v>1.0503000000000001E-3</v>
      </c>
      <c r="F6304" s="2" t="s">
        <v>7</v>
      </c>
    </row>
    <row r="6305" spans="1:6" ht="22.5" hidden="1" customHeight="1" x14ac:dyDescent="0.25">
      <c r="A6305" s="3">
        <v>44378</v>
      </c>
      <c r="B6305" s="2" t="s">
        <v>71</v>
      </c>
      <c r="C6305" s="2">
        <v>2.57</v>
      </c>
      <c r="D6305" s="2">
        <v>0.34810000000000002</v>
      </c>
      <c r="E6305" s="2">
        <v>8.9461699999999998E-3</v>
      </c>
      <c r="F6305" s="2" t="s">
        <v>7</v>
      </c>
    </row>
    <row r="6306" spans="1:6" ht="22.5" hidden="1" customHeight="1" x14ac:dyDescent="0.25">
      <c r="A6306" s="3">
        <v>44378</v>
      </c>
      <c r="B6306" s="2" t="s">
        <v>72</v>
      </c>
      <c r="C6306" s="2">
        <v>1.65</v>
      </c>
      <c r="D6306" s="2">
        <v>0.373</v>
      </c>
      <c r="E6306" s="2">
        <v>6.1545000000000002E-3</v>
      </c>
      <c r="F6306" s="2" t="s">
        <v>7</v>
      </c>
    </row>
    <row r="6307" spans="1:6" ht="22.5" hidden="1" customHeight="1" x14ac:dyDescent="0.25">
      <c r="A6307" s="3">
        <v>44378</v>
      </c>
      <c r="B6307" s="2" t="s">
        <v>73</v>
      </c>
      <c r="C6307" s="2">
        <v>2.0099999999999998</v>
      </c>
      <c r="D6307" s="2">
        <v>0.19209999999999999</v>
      </c>
      <c r="E6307" s="2">
        <v>3.8612099999999999E-3</v>
      </c>
      <c r="F6307" s="2" t="s">
        <v>7</v>
      </c>
    </row>
    <row r="6308" spans="1:6" ht="22.5" hidden="1" customHeight="1" x14ac:dyDescent="0.25">
      <c r="A6308" s="3">
        <v>44378</v>
      </c>
      <c r="B6308" s="2" t="s">
        <v>74</v>
      </c>
      <c r="C6308" s="2">
        <v>2.0099999999999998</v>
      </c>
      <c r="D6308" s="2">
        <v>9.9000000000000008E-3</v>
      </c>
      <c r="E6308" s="2">
        <v>1.9898999999999999E-4</v>
      </c>
      <c r="F6308" s="2" t="s">
        <v>7</v>
      </c>
    </row>
    <row r="6309" spans="1:6" ht="22.5" hidden="1" customHeight="1" x14ac:dyDescent="0.25">
      <c r="A6309" s="3">
        <v>44378</v>
      </c>
      <c r="B6309" s="2" t="s">
        <v>75</v>
      </c>
      <c r="C6309" s="2">
        <v>2.17</v>
      </c>
      <c r="D6309" s="2">
        <v>8.14E-2</v>
      </c>
      <c r="E6309" s="2">
        <v>1.7663799999999999E-3</v>
      </c>
      <c r="F6309" s="2" t="s">
        <v>7</v>
      </c>
    </row>
    <row r="6310" spans="1:6" ht="22.5" hidden="1" customHeight="1" x14ac:dyDescent="0.25">
      <c r="A6310" s="3">
        <v>44378</v>
      </c>
      <c r="B6310" s="2" t="s">
        <v>76</v>
      </c>
      <c r="C6310" s="2">
        <v>4.38</v>
      </c>
      <c r="D6310" s="2">
        <v>0.1767</v>
      </c>
      <c r="E6310" s="2">
        <v>7.7394600000000001E-3</v>
      </c>
      <c r="F6310" s="2" t="s">
        <v>7</v>
      </c>
    </row>
    <row r="6311" spans="1:6" ht="22.5" hidden="1" customHeight="1" x14ac:dyDescent="0.25">
      <c r="A6311" s="3">
        <v>44378</v>
      </c>
      <c r="B6311" s="2" t="s">
        <v>77</v>
      </c>
      <c r="C6311" s="2">
        <v>4.1900000000000004</v>
      </c>
      <c r="D6311" s="2">
        <v>0.1196</v>
      </c>
      <c r="E6311" s="2">
        <v>5.0112400000000001E-3</v>
      </c>
      <c r="F6311" s="2" t="s">
        <v>7</v>
      </c>
    </row>
    <row r="6312" spans="1:6" ht="22.5" hidden="1" customHeight="1" x14ac:dyDescent="0.25">
      <c r="A6312" s="3">
        <v>44378</v>
      </c>
      <c r="B6312" s="2" t="s">
        <v>78</v>
      </c>
      <c r="C6312" s="2">
        <v>-0.01</v>
      </c>
      <c r="D6312" s="2">
        <v>0.32090000000000002</v>
      </c>
      <c r="E6312" s="2">
        <v>-3.2089999999999999E-5</v>
      </c>
      <c r="F6312" s="2" t="s">
        <v>7</v>
      </c>
    </row>
    <row r="6313" spans="1:6" ht="22.5" hidden="1" customHeight="1" x14ac:dyDescent="0.25">
      <c r="A6313" s="3">
        <v>44378</v>
      </c>
      <c r="B6313" s="2" t="s">
        <v>79</v>
      </c>
      <c r="C6313" s="2">
        <v>2.0099999999999998</v>
      </c>
      <c r="D6313" s="2">
        <v>1.1900000000000001E-2</v>
      </c>
      <c r="E6313" s="2">
        <v>2.3918999999999999E-4</v>
      </c>
      <c r="F6313" s="2" t="s">
        <v>7</v>
      </c>
    </row>
    <row r="6314" spans="1:6" ht="22.5" hidden="1" customHeight="1" x14ac:dyDescent="0.25">
      <c r="A6314" s="3">
        <v>44378</v>
      </c>
      <c r="B6314" s="2" t="s">
        <v>80</v>
      </c>
      <c r="C6314" s="2">
        <v>-0.04</v>
      </c>
      <c r="D6314" s="2">
        <v>3.9399999999999998E-2</v>
      </c>
      <c r="E6314" s="2">
        <v>-1.5760000000000002E-5</v>
      </c>
      <c r="F6314" s="2" t="s">
        <v>7</v>
      </c>
    </row>
    <row r="6315" spans="1:6" ht="22.5" hidden="1" customHeight="1" x14ac:dyDescent="0.25">
      <c r="A6315" s="3">
        <v>44378</v>
      </c>
      <c r="B6315" s="2" t="s">
        <v>81</v>
      </c>
      <c r="C6315" s="2">
        <v>1.51</v>
      </c>
      <c r="D6315" s="2">
        <v>0.39269999999999999</v>
      </c>
      <c r="E6315" s="2">
        <v>5.92977E-3</v>
      </c>
      <c r="F6315" s="2" t="s">
        <v>7</v>
      </c>
    </row>
    <row r="6316" spans="1:6" ht="22.5" hidden="1" customHeight="1" x14ac:dyDescent="0.25">
      <c r="A6316" s="3">
        <v>44378</v>
      </c>
      <c r="B6316" s="2" t="s">
        <v>82</v>
      </c>
      <c r="C6316" s="2">
        <v>0.34</v>
      </c>
      <c r="D6316" s="2">
        <v>4.7199999999999999E-2</v>
      </c>
      <c r="E6316" s="2">
        <v>1.6048000000000001E-4</v>
      </c>
      <c r="F6316" s="2" t="s">
        <v>7</v>
      </c>
    </row>
    <row r="6317" spans="1:6" ht="22.5" hidden="1" customHeight="1" x14ac:dyDescent="0.25">
      <c r="A6317" s="3">
        <v>44378</v>
      </c>
      <c r="B6317" s="2" t="s">
        <v>83</v>
      </c>
      <c r="C6317" s="2">
        <v>-0.17</v>
      </c>
      <c r="D6317" s="2">
        <v>6.9999999999999999E-4</v>
      </c>
      <c r="E6317" s="2">
        <v>-1.19E-6</v>
      </c>
      <c r="F6317" s="2" t="s">
        <v>7</v>
      </c>
    </row>
    <row r="6318" spans="1:6" ht="22.5" hidden="1" customHeight="1" x14ac:dyDescent="0.25">
      <c r="A6318" s="3">
        <v>44378</v>
      </c>
      <c r="B6318" s="2" t="s">
        <v>84</v>
      </c>
      <c r="C6318" s="2">
        <v>0.31</v>
      </c>
      <c r="D6318" s="2">
        <v>2.24E-2</v>
      </c>
      <c r="E6318" s="2">
        <v>6.9439999999999999E-5</v>
      </c>
      <c r="F6318" s="2" t="s">
        <v>7</v>
      </c>
    </row>
    <row r="6319" spans="1:6" ht="22.5" hidden="1" customHeight="1" x14ac:dyDescent="0.25">
      <c r="A6319" s="3">
        <v>44378</v>
      </c>
      <c r="B6319" s="2" t="s">
        <v>85</v>
      </c>
      <c r="C6319" s="2">
        <v>1.1000000000000001</v>
      </c>
      <c r="D6319" s="2">
        <v>5.4000000000000003E-3</v>
      </c>
      <c r="E6319" s="2">
        <v>5.94E-5</v>
      </c>
      <c r="F6319" s="2" t="s">
        <v>7</v>
      </c>
    </row>
    <row r="6320" spans="1:6" ht="22.5" hidden="1" customHeight="1" x14ac:dyDescent="0.25">
      <c r="A6320" s="3">
        <v>44378</v>
      </c>
      <c r="B6320" s="2" t="s">
        <v>86</v>
      </c>
      <c r="C6320" s="2">
        <v>-0.14000000000000001</v>
      </c>
      <c r="D6320" s="2">
        <v>2.4E-2</v>
      </c>
      <c r="E6320" s="2">
        <v>-3.3599999999999997E-5</v>
      </c>
      <c r="F6320" s="2" t="s">
        <v>7</v>
      </c>
    </row>
    <row r="6321" spans="1:6" ht="22.5" hidden="1" customHeight="1" x14ac:dyDescent="0.25">
      <c r="A6321" s="3">
        <v>44378</v>
      </c>
      <c r="B6321" s="2" t="s">
        <v>87</v>
      </c>
      <c r="C6321" s="2">
        <v>1.35</v>
      </c>
      <c r="D6321" s="2">
        <v>1E-3</v>
      </c>
      <c r="E6321" s="2">
        <v>1.3499999999999999E-5</v>
      </c>
      <c r="F6321" s="2" t="s">
        <v>7</v>
      </c>
    </row>
    <row r="6322" spans="1:6" ht="22.5" hidden="1" customHeight="1" x14ac:dyDescent="0.25">
      <c r="A6322" s="3">
        <v>44378</v>
      </c>
      <c r="B6322" s="2" t="s">
        <v>88</v>
      </c>
      <c r="C6322" s="2">
        <v>2.4300000000000002</v>
      </c>
      <c r="D6322" s="2">
        <v>6.6E-3</v>
      </c>
      <c r="E6322" s="2">
        <v>1.6038000000000001E-4</v>
      </c>
      <c r="F6322" s="2" t="s">
        <v>7</v>
      </c>
    </row>
    <row r="6323" spans="1:6" ht="22.5" hidden="1" customHeight="1" x14ac:dyDescent="0.25">
      <c r="A6323" s="3">
        <v>44378</v>
      </c>
      <c r="B6323" s="2" t="s">
        <v>89</v>
      </c>
      <c r="C6323" s="2">
        <v>0.08</v>
      </c>
      <c r="D6323" s="2">
        <v>1.72E-2</v>
      </c>
      <c r="E6323" s="2">
        <v>1.376E-5</v>
      </c>
      <c r="F6323" s="2" t="s">
        <v>7</v>
      </c>
    </row>
    <row r="6324" spans="1:6" ht="22.5" hidden="1" customHeight="1" x14ac:dyDescent="0.25">
      <c r="A6324" s="3">
        <v>44378</v>
      </c>
      <c r="B6324" s="2" t="s">
        <v>90</v>
      </c>
      <c r="C6324" s="2">
        <v>0.7</v>
      </c>
      <c r="D6324" s="2">
        <v>1.6000000000000001E-3</v>
      </c>
      <c r="E6324" s="2">
        <v>1.1199999999999999E-5</v>
      </c>
      <c r="F6324" s="2" t="s">
        <v>7</v>
      </c>
    </row>
    <row r="6325" spans="1:6" ht="22.5" hidden="1" customHeight="1" x14ac:dyDescent="0.25">
      <c r="A6325" s="3">
        <v>44378</v>
      </c>
      <c r="B6325" s="2" t="s">
        <v>91</v>
      </c>
      <c r="C6325" s="2">
        <v>0.53</v>
      </c>
      <c r="D6325" s="2">
        <v>2.4400000000000002E-2</v>
      </c>
      <c r="E6325" s="2">
        <v>1.2931999999999999E-4</v>
      </c>
      <c r="F6325" s="2" t="s">
        <v>7</v>
      </c>
    </row>
    <row r="6326" spans="1:6" ht="22.5" hidden="1" customHeight="1" x14ac:dyDescent="0.25">
      <c r="A6326" s="3">
        <v>44378</v>
      </c>
      <c r="B6326" s="2" t="s">
        <v>92</v>
      </c>
      <c r="C6326" s="2">
        <v>0</v>
      </c>
      <c r="D6326" s="2">
        <v>5.1000000000000004E-3</v>
      </c>
      <c r="E6326" s="2">
        <v>0</v>
      </c>
      <c r="F6326" s="2" t="s">
        <v>7</v>
      </c>
    </row>
    <row r="6327" spans="1:6" ht="22.5" hidden="1" customHeight="1" x14ac:dyDescent="0.25">
      <c r="A6327" s="3">
        <v>44378</v>
      </c>
      <c r="B6327" s="2" t="s">
        <v>93</v>
      </c>
      <c r="C6327" s="2">
        <v>0.48</v>
      </c>
      <c r="D6327" s="2">
        <v>1.1000000000000001E-3</v>
      </c>
      <c r="E6327" s="2">
        <v>5.2800000000000003E-6</v>
      </c>
      <c r="F6327" s="2" t="s">
        <v>7</v>
      </c>
    </row>
    <row r="6328" spans="1:6" ht="22.5" hidden="1" customHeight="1" x14ac:dyDescent="0.25">
      <c r="A6328" s="3">
        <v>44378</v>
      </c>
      <c r="B6328" s="2" t="s">
        <v>94</v>
      </c>
      <c r="C6328" s="2">
        <v>-1.75</v>
      </c>
      <c r="D6328" s="2">
        <v>8.9999999999999998E-4</v>
      </c>
      <c r="E6328" s="2">
        <v>-1.575E-5</v>
      </c>
      <c r="F6328" s="2" t="s">
        <v>7</v>
      </c>
    </row>
    <row r="6329" spans="1:6" ht="22.5" hidden="1" customHeight="1" x14ac:dyDescent="0.25">
      <c r="A6329" s="3">
        <v>44378</v>
      </c>
      <c r="B6329" s="2" t="s">
        <v>95</v>
      </c>
      <c r="C6329" s="2">
        <v>0.26</v>
      </c>
      <c r="D6329" s="2">
        <v>1.6299999999999999E-2</v>
      </c>
      <c r="E6329" s="2">
        <v>4.2379999999999997E-5</v>
      </c>
      <c r="F6329" s="2" t="s">
        <v>7</v>
      </c>
    </row>
    <row r="6330" spans="1:6" ht="22.5" hidden="1" customHeight="1" x14ac:dyDescent="0.25">
      <c r="A6330" s="3">
        <v>44378</v>
      </c>
      <c r="B6330" s="2" t="s">
        <v>96</v>
      </c>
      <c r="C6330" s="2">
        <v>-0.94</v>
      </c>
      <c r="D6330" s="2">
        <v>4.9099999999999998E-2</v>
      </c>
      <c r="E6330" s="2">
        <v>-4.6153999999999998E-4</v>
      </c>
      <c r="F6330" s="2" t="s">
        <v>7</v>
      </c>
    </row>
    <row r="6331" spans="1:6" ht="22.5" hidden="1" customHeight="1" x14ac:dyDescent="0.25">
      <c r="A6331" s="3">
        <v>44378</v>
      </c>
      <c r="B6331" s="2" t="s">
        <v>97</v>
      </c>
      <c r="C6331" s="2">
        <v>0</v>
      </c>
      <c r="D6331" s="2">
        <v>1.04E-2</v>
      </c>
      <c r="E6331" s="2">
        <v>0</v>
      </c>
      <c r="F6331" s="2" t="s">
        <v>7</v>
      </c>
    </row>
    <row r="6332" spans="1:6" ht="22.5" hidden="1" customHeight="1" x14ac:dyDescent="0.25">
      <c r="A6332" s="3">
        <v>44378</v>
      </c>
      <c r="B6332" s="2" t="s">
        <v>98</v>
      </c>
      <c r="C6332" s="2">
        <v>0.35</v>
      </c>
      <c r="D6332" s="2">
        <v>6.1000000000000004E-3</v>
      </c>
      <c r="E6332" s="2">
        <v>2.1350000000000001E-5</v>
      </c>
      <c r="F6332" s="2" t="s">
        <v>7</v>
      </c>
    </row>
    <row r="6333" spans="1:6" ht="22.5" hidden="1" customHeight="1" x14ac:dyDescent="0.25">
      <c r="A6333" s="3">
        <v>44378</v>
      </c>
      <c r="B6333" s="2" t="s">
        <v>99</v>
      </c>
      <c r="C6333" s="2">
        <v>-0.08</v>
      </c>
      <c r="D6333" s="2">
        <v>3.5000000000000001E-3</v>
      </c>
      <c r="E6333" s="2">
        <v>-2.7999999999999999E-6</v>
      </c>
      <c r="F6333" s="2" t="s">
        <v>7</v>
      </c>
    </row>
    <row r="6334" spans="1:6" ht="22.5" hidden="1" customHeight="1" x14ac:dyDescent="0.25">
      <c r="A6334" s="3">
        <v>44378</v>
      </c>
      <c r="B6334" s="2" t="s">
        <v>100</v>
      </c>
      <c r="C6334" s="2">
        <v>0.03</v>
      </c>
      <c r="D6334" s="2">
        <v>6.9999999999999999E-4</v>
      </c>
      <c r="E6334" s="2">
        <v>2.1E-7</v>
      </c>
      <c r="F6334" s="2" t="s">
        <v>7</v>
      </c>
    </row>
    <row r="6335" spans="1:6" ht="22.5" hidden="1" customHeight="1" x14ac:dyDescent="0.25">
      <c r="A6335" s="3">
        <v>44378</v>
      </c>
      <c r="B6335" s="2" t="s">
        <v>101</v>
      </c>
      <c r="C6335" s="2">
        <v>1.57</v>
      </c>
      <c r="D6335" s="2">
        <v>0.1004</v>
      </c>
      <c r="E6335" s="2">
        <v>1.57628E-3</v>
      </c>
      <c r="F6335" s="2" t="s">
        <v>7</v>
      </c>
    </row>
    <row r="6336" spans="1:6" ht="22.5" hidden="1" customHeight="1" x14ac:dyDescent="0.25">
      <c r="A6336" s="3">
        <v>44378</v>
      </c>
      <c r="B6336" s="2" t="s">
        <v>102</v>
      </c>
      <c r="C6336" s="2">
        <v>1.59</v>
      </c>
      <c r="D6336" s="2">
        <v>4.65E-2</v>
      </c>
      <c r="E6336" s="2">
        <v>7.3934999999999995E-4</v>
      </c>
      <c r="F6336" s="2" t="s">
        <v>7</v>
      </c>
    </row>
    <row r="6337" spans="1:6" ht="22.5" hidden="1" customHeight="1" x14ac:dyDescent="0.25">
      <c r="A6337" s="3">
        <v>44378</v>
      </c>
      <c r="B6337" s="2" t="s">
        <v>103</v>
      </c>
      <c r="C6337" s="2">
        <v>7.0000000000000007E-2</v>
      </c>
      <c r="D6337" s="2">
        <v>0.36159999999999998</v>
      </c>
      <c r="E6337" s="2">
        <v>2.5312000000000002E-4</v>
      </c>
      <c r="F6337" s="2" t="s">
        <v>7</v>
      </c>
    </row>
    <row r="6338" spans="1:6" ht="22.5" hidden="1" customHeight="1" x14ac:dyDescent="0.25">
      <c r="A6338" s="3">
        <v>44378</v>
      </c>
      <c r="B6338" s="2" t="s">
        <v>104</v>
      </c>
      <c r="C6338" s="2">
        <v>2.35</v>
      </c>
      <c r="D6338" s="2">
        <v>5.33E-2</v>
      </c>
      <c r="E6338" s="2">
        <v>1.2525500000000001E-3</v>
      </c>
      <c r="F6338" s="2" t="s">
        <v>7</v>
      </c>
    </row>
    <row r="6339" spans="1:6" ht="22.5" hidden="1" customHeight="1" x14ac:dyDescent="0.25">
      <c r="A6339" s="3">
        <v>44378</v>
      </c>
      <c r="B6339" s="2" t="s">
        <v>105</v>
      </c>
      <c r="C6339" s="2">
        <v>1.57</v>
      </c>
      <c r="D6339" s="2">
        <v>9.1000000000000004E-3</v>
      </c>
      <c r="E6339" s="2">
        <v>1.4286999999999999E-4</v>
      </c>
      <c r="F6339" s="2" t="s">
        <v>7</v>
      </c>
    </row>
    <row r="6340" spans="1:6" ht="22.5" hidden="1" customHeight="1" x14ac:dyDescent="0.25">
      <c r="A6340" s="3">
        <v>44378</v>
      </c>
      <c r="B6340" s="2" t="s">
        <v>106</v>
      </c>
      <c r="C6340" s="2">
        <v>0.02</v>
      </c>
      <c r="D6340" s="2">
        <v>8.3000000000000001E-3</v>
      </c>
      <c r="E6340" s="2">
        <v>1.66E-6</v>
      </c>
      <c r="F6340" s="2" t="s">
        <v>7</v>
      </c>
    </row>
    <row r="6341" spans="1:6" ht="22.5" hidden="1" customHeight="1" x14ac:dyDescent="0.25">
      <c r="A6341" s="3">
        <v>44378</v>
      </c>
      <c r="B6341" s="2" t="s">
        <v>107</v>
      </c>
      <c r="C6341" s="2">
        <v>1.1000000000000001</v>
      </c>
      <c r="D6341" s="2">
        <v>0.12039999999999999</v>
      </c>
      <c r="E6341" s="2">
        <v>1.3244000000000001E-3</v>
      </c>
      <c r="F6341" s="2" t="s">
        <v>7</v>
      </c>
    </row>
    <row r="6342" spans="1:6" ht="22.5" hidden="1" customHeight="1" x14ac:dyDescent="0.25">
      <c r="A6342" s="3">
        <v>44378</v>
      </c>
      <c r="B6342" s="2" t="s">
        <v>108</v>
      </c>
      <c r="C6342" s="2">
        <v>0.75</v>
      </c>
      <c r="D6342" s="2">
        <v>7.7999999999999996E-3</v>
      </c>
      <c r="E6342" s="2">
        <v>5.8499999999999999E-5</v>
      </c>
      <c r="F6342" s="2" t="s">
        <v>7</v>
      </c>
    </row>
    <row r="6343" spans="1:6" ht="22.5" hidden="1" customHeight="1" x14ac:dyDescent="0.25">
      <c r="A6343" s="3">
        <v>44378</v>
      </c>
      <c r="B6343" s="2" t="s">
        <v>109</v>
      </c>
      <c r="C6343" s="2">
        <v>0.86</v>
      </c>
      <c r="D6343" s="2">
        <v>0.36299999999999999</v>
      </c>
      <c r="E6343" s="2">
        <v>3.1218000000000001E-3</v>
      </c>
      <c r="F6343" s="2" t="s">
        <v>7</v>
      </c>
    </row>
    <row r="6344" spans="1:6" ht="22.5" hidden="1" customHeight="1" x14ac:dyDescent="0.25">
      <c r="A6344" s="3">
        <v>44378</v>
      </c>
      <c r="B6344" s="2" t="s">
        <v>110</v>
      </c>
      <c r="C6344" s="2">
        <v>3.09</v>
      </c>
      <c r="D6344" s="2">
        <v>0.61760000000000004</v>
      </c>
      <c r="E6344" s="2">
        <v>1.9083840000000001E-2</v>
      </c>
      <c r="F6344" s="2" t="s">
        <v>7</v>
      </c>
    </row>
    <row r="6345" spans="1:6" ht="22.5" hidden="1" customHeight="1" x14ac:dyDescent="0.25">
      <c r="A6345" s="3">
        <v>44378</v>
      </c>
      <c r="B6345" s="2" t="s">
        <v>111</v>
      </c>
      <c r="C6345" s="2">
        <v>-0.56999999999999995</v>
      </c>
      <c r="D6345" s="2">
        <v>0.24629999999999999</v>
      </c>
      <c r="E6345" s="2">
        <v>-1.40391E-3</v>
      </c>
      <c r="F6345" s="2" t="s">
        <v>7</v>
      </c>
    </row>
    <row r="6346" spans="1:6" ht="22.5" hidden="1" customHeight="1" x14ac:dyDescent="0.25">
      <c r="A6346" s="3">
        <v>44378</v>
      </c>
      <c r="B6346" s="2" t="s">
        <v>112</v>
      </c>
      <c r="C6346" s="2">
        <v>4.09</v>
      </c>
      <c r="D6346" s="2">
        <v>0.70399999999999996</v>
      </c>
      <c r="E6346" s="2">
        <v>2.8793599999999999E-2</v>
      </c>
      <c r="F6346" s="2" t="s">
        <v>7</v>
      </c>
    </row>
    <row r="6347" spans="1:6" ht="22.5" hidden="1" customHeight="1" x14ac:dyDescent="0.25">
      <c r="A6347" s="3">
        <v>44378</v>
      </c>
      <c r="B6347" s="2" t="s">
        <v>113</v>
      </c>
      <c r="C6347" s="2">
        <v>1.85</v>
      </c>
      <c r="D6347" s="2">
        <v>2.1899999999999999E-2</v>
      </c>
      <c r="E6347" s="2">
        <v>4.0515000000000001E-4</v>
      </c>
      <c r="F6347" s="2" t="s">
        <v>7</v>
      </c>
    </row>
    <row r="6348" spans="1:6" ht="22.5" hidden="1" customHeight="1" x14ac:dyDescent="0.25">
      <c r="A6348" s="3">
        <v>44378</v>
      </c>
      <c r="B6348" s="2" t="s">
        <v>114</v>
      </c>
      <c r="C6348" s="2">
        <v>1.6</v>
      </c>
      <c r="D6348" s="2">
        <v>0.20180000000000001</v>
      </c>
      <c r="E6348" s="2">
        <v>3.2288E-3</v>
      </c>
      <c r="F6348" s="2" t="s">
        <v>7</v>
      </c>
    </row>
    <row r="6349" spans="1:6" ht="22.5" hidden="1" customHeight="1" x14ac:dyDescent="0.25">
      <c r="A6349" s="3">
        <v>44378</v>
      </c>
      <c r="B6349" s="2" t="s">
        <v>115</v>
      </c>
      <c r="C6349" s="2">
        <v>-1.58</v>
      </c>
      <c r="D6349" s="2">
        <v>0.53259999999999996</v>
      </c>
      <c r="E6349" s="2">
        <v>-8.4150800000000001E-3</v>
      </c>
      <c r="F6349" s="2" t="s">
        <v>7</v>
      </c>
    </row>
    <row r="6350" spans="1:6" ht="22.5" hidden="1" customHeight="1" x14ac:dyDescent="0.25">
      <c r="A6350" s="3">
        <v>44378</v>
      </c>
      <c r="B6350" s="2" t="s">
        <v>116</v>
      </c>
      <c r="C6350" s="2">
        <v>1.05</v>
      </c>
      <c r="D6350" s="2">
        <v>0.15160000000000001</v>
      </c>
      <c r="E6350" s="2">
        <v>1.5918E-3</v>
      </c>
      <c r="F6350" s="2" t="s">
        <v>7</v>
      </c>
    </row>
    <row r="6351" spans="1:6" ht="22.5" hidden="1" customHeight="1" x14ac:dyDescent="0.25">
      <c r="A6351" s="3">
        <v>44378</v>
      </c>
      <c r="B6351" s="2" t="s">
        <v>117</v>
      </c>
      <c r="C6351" s="2">
        <v>2.21</v>
      </c>
      <c r="D6351" s="2">
        <v>5.5899999999999998E-2</v>
      </c>
      <c r="E6351" s="2">
        <v>1.2353900000000001E-3</v>
      </c>
      <c r="F6351" s="2" t="s">
        <v>7</v>
      </c>
    </row>
    <row r="6352" spans="1:6" ht="22.5" hidden="1" customHeight="1" x14ac:dyDescent="0.25">
      <c r="A6352" s="3">
        <v>44378</v>
      </c>
      <c r="B6352" s="2" t="s">
        <v>118</v>
      </c>
      <c r="C6352" s="2">
        <v>-0.31</v>
      </c>
      <c r="D6352" s="2">
        <v>6.2600000000000003E-2</v>
      </c>
      <c r="E6352" s="2">
        <v>-1.9406E-4</v>
      </c>
      <c r="F6352" s="2" t="s">
        <v>7</v>
      </c>
    </row>
    <row r="6353" spans="1:6" ht="22.5" hidden="1" customHeight="1" x14ac:dyDescent="0.25">
      <c r="A6353" s="3">
        <v>44378</v>
      </c>
      <c r="B6353" s="2" t="s">
        <v>119</v>
      </c>
      <c r="C6353" s="2">
        <v>0.85</v>
      </c>
      <c r="D6353" s="2">
        <v>1.0999999999999999E-2</v>
      </c>
      <c r="E6353" s="2">
        <v>9.3499999999999996E-5</v>
      </c>
      <c r="F6353" s="2" t="s">
        <v>7</v>
      </c>
    </row>
    <row r="6354" spans="1:6" ht="22.5" hidden="1" customHeight="1" x14ac:dyDescent="0.25">
      <c r="A6354" s="3">
        <v>44378</v>
      </c>
      <c r="B6354" s="2" t="s">
        <v>120</v>
      </c>
      <c r="C6354" s="2">
        <v>-0.5</v>
      </c>
      <c r="D6354" s="2">
        <v>0.45140000000000002</v>
      </c>
      <c r="E6354" s="2">
        <v>-2.2569999999999999E-3</v>
      </c>
      <c r="F6354" s="2" t="s">
        <v>7</v>
      </c>
    </row>
    <row r="6355" spans="1:6" ht="22.5" hidden="1" customHeight="1" x14ac:dyDescent="0.25">
      <c r="A6355" s="3">
        <v>44378</v>
      </c>
      <c r="B6355" s="2" t="s">
        <v>121</v>
      </c>
      <c r="C6355" s="2">
        <v>1.81</v>
      </c>
      <c r="D6355" s="2">
        <v>0.78190000000000004</v>
      </c>
      <c r="E6355" s="2">
        <v>1.4152390000000001E-2</v>
      </c>
      <c r="F6355" s="2" t="s">
        <v>7</v>
      </c>
    </row>
    <row r="6356" spans="1:6" ht="22.5" hidden="1" customHeight="1" x14ac:dyDescent="0.25">
      <c r="A6356" s="3">
        <v>44378</v>
      </c>
      <c r="B6356" s="2" t="s">
        <v>122</v>
      </c>
      <c r="C6356" s="2">
        <v>1.38</v>
      </c>
      <c r="D6356" s="2">
        <v>8.1799999999999998E-2</v>
      </c>
      <c r="E6356" s="2">
        <v>1.1288400000000001E-3</v>
      </c>
      <c r="F6356" s="2" t="s">
        <v>7</v>
      </c>
    </row>
    <row r="6357" spans="1:6" ht="22.5" hidden="1" customHeight="1" x14ac:dyDescent="0.25">
      <c r="A6357" s="3">
        <v>44378</v>
      </c>
      <c r="B6357" s="2" t="s">
        <v>123</v>
      </c>
      <c r="C6357" s="2">
        <v>0.81</v>
      </c>
      <c r="D6357" s="2">
        <v>0.10050000000000001</v>
      </c>
      <c r="E6357" s="2">
        <v>8.1404999999999997E-4</v>
      </c>
      <c r="F6357" s="2" t="s">
        <v>7</v>
      </c>
    </row>
    <row r="6358" spans="1:6" ht="22.5" hidden="1" customHeight="1" x14ac:dyDescent="0.25">
      <c r="A6358" s="3">
        <v>44378</v>
      </c>
      <c r="B6358" s="2" t="s">
        <v>124</v>
      </c>
      <c r="C6358" s="2">
        <v>1.37</v>
      </c>
      <c r="D6358" s="2">
        <v>0.13500000000000001</v>
      </c>
      <c r="E6358" s="2">
        <v>1.8495E-3</v>
      </c>
      <c r="F6358" s="2" t="s">
        <v>7</v>
      </c>
    </row>
    <row r="6359" spans="1:6" ht="22.5" hidden="1" customHeight="1" x14ac:dyDescent="0.25">
      <c r="A6359" s="3">
        <v>44378</v>
      </c>
      <c r="B6359" s="2" t="s">
        <v>125</v>
      </c>
      <c r="C6359" s="2">
        <v>-1.32</v>
      </c>
      <c r="D6359" s="2">
        <v>3.1899999999999998E-2</v>
      </c>
      <c r="E6359" s="2">
        <v>-4.2108E-4</v>
      </c>
      <c r="F6359" s="2" t="s">
        <v>7</v>
      </c>
    </row>
    <row r="6360" spans="1:6" ht="22.5" hidden="1" customHeight="1" x14ac:dyDescent="0.25">
      <c r="A6360" s="3">
        <v>44378</v>
      </c>
      <c r="B6360" s="2" t="s">
        <v>126</v>
      </c>
      <c r="C6360" s="2">
        <v>0.22</v>
      </c>
      <c r="D6360" s="2">
        <v>0.31619999999999998</v>
      </c>
      <c r="E6360" s="2">
        <v>6.9563999999999997E-4</v>
      </c>
      <c r="F6360" s="2" t="s">
        <v>7</v>
      </c>
    </row>
    <row r="6361" spans="1:6" ht="22.5" hidden="1" customHeight="1" x14ac:dyDescent="0.25">
      <c r="A6361" s="3">
        <v>44378</v>
      </c>
      <c r="B6361" s="2" t="s">
        <v>127</v>
      </c>
      <c r="C6361" s="2">
        <v>-0.53</v>
      </c>
      <c r="D6361" s="2">
        <v>6.8199999999999997E-2</v>
      </c>
      <c r="E6361" s="2">
        <v>-3.6146000000000003E-4</v>
      </c>
      <c r="F6361" s="2" t="s">
        <v>7</v>
      </c>
    </row>
    <row r="6362" spans="1:6" ht="22.5" hidden="1" customHeight="1" x14ac:dyDescent="0.25">
      <c r="A6362" s="3">
        <v>44378</v>
      </c>
      <c r="B6362" s="2" t="s">
        <v>128</v>
      </c>
      <c r="C6362" s="2">
        <v>1.9</v>
      </c>
      <c r="D6362" s="2">
        <v>0.1013</v>
      </c>
      <c r="E6362" s="2">
        <v>1.9246999999999999E-3</v>
      </c>
      <c r="F6362" s="2" t="s">
        <v>7</v>
      </c>
    </row>
    <row r="6363" spans="1:6" ht="22.5" hidden="1" customHeight="1" x14ac:dyDescent="0.25">
      <c r="A6363" s="3">
        <v>44378</v>
      </c>
      <c r="B6363" s="2" t="s">
        <v>129</v>
      </c>
      <c r="C6363" s="2">
        <v>0.68</v>
      </c>
      <c r="D6363" s="2">
        <v>0.12620000000000001</v>
      </c>
      <c r="E6363" s="2">
        <v>8.5815999999999996E-4</v>
      </c>
      <c r="F6363" s="2" t="s">
        <v>7</v>
      </c>
    </row>
    <row r="6364" spans="1:6" ht="22.5" hidden="1" customHeight="1" x14ac:dyDescent="0.25">
      <c r="A6364" s="3">
        <v>44378</v>
      </c>
      <c r="B6364" s="2" t="s">
        <v>130</v>
      </c>
      <c r="C6364" s="2">
        <v>-1.1499999999999999</v>
      </c>
      <c r="D6364" s="2">
        <v>1.29E-2</v>
      </c>
      <c r="E6364" s="2">
        <v>-1.4835E-4</v>
      </c>
      <c r="F6364" s="2" t="s">
        <v>7</v>
      </c>
    </row>
    <row r="6365" spans="1:6" ht="22.5" hidden="1" customHeight="1" x14ac:dyDescent="0.25">
      <c r="A6365" s="3">
        <v>44378</v>
      </c>
      <c r="B6365" s="2" t="s">
        <v>131</v>
      </c>
      <c r="C6365" s="2">
        <v>-3.35</v>
      </c>
      <c r="D6365" s="2">
        <v>6.9800000000000001E-2</v>
      </c>
      <c r="E6365" s="2">
        <v>-2.3383000000000002E-3</v>
      </c>
      <c r="F6365" s="2" t="s">
        <v>7</v>
      </c>
    </row>
    <row r="6366" spans="1:6" ht="22.5" hidden="1" customHeight="1" x14ac:dyDescent="0.25">
      <c r="A6366" s="3">
        <v>44378</v>
      </c>
      <c r="B6366" s="2" t="s">
        <v>132</v>
      </c>
      <c r="C6366" s="2">
        <v>2.82</v>
      </c>
      <c r="D6366" s="2">
        <v>0.2949</v>
      </c>
      <c r="E6366" s="2">
        <v>8.3161799999999994E-3</v>
      </c>
      <c r="F6366" s="2" t="s">
        <v>7</v>
      </c>
    </row>
    <row r="6367" spans="1:6" ht="22.5" hidden="1" customHeight="1" x14ac:dyDescent="0.25">
      <c r="A6367" s="3">
        <v>44378</v>
      </c>
      <c r="B6367" s="2" t="s">
        <v>133</v>
      </c>
      <c r="C6367" s="2">
        <v>-2.48</v>
      </c>
      <c r="D6367" s="2">
        <v>8.9999999999999993E-3</v>
      </c>
      <c r="E6367" s="2">
        <v>-2.232E-4</v>
      </c>
      <c r="F6367" s="2" t="s">
        <v>7</v>
      </c>
    </row>
    <row r="6368" spans="1:6" ht="22.5" hidden="1" customHeight="1" x14ac:dyDescent="0.25">
      <c r="A6368" s="3">
        <v>44378</v>
      </c>
      <c r="B6368" s="2" t="s">
        <v>134</v>
      </c>
      <c r="C6368" s="2">
        <v>-0.46</v>
      </c>
      <c r="D6368" s="2">
        <v>0.49980000000000002</v>
      </c>
      <c r="E6368" s="2">
        <v>-2.2990799999999998E-3</v>
      </c>
      <c r="F6368" s="2" t="s">
        <v>7</v>
      </c>
    </row>
    <row r="6369" spans="1:6" ht="22.5" hidden="1" customHeight="1" x14ac:dyDescent="0.25">
      <c r="A6369" s="3">
        <v>44378</v>
      </c>
      <c r="B6369" s="2" t="s">
        <v>135</v>
      </c>
      <c r="C6369" s="2">
        <v>1.17</v>
      </c>
      <c r="D6369" s="2">
        <v>0.3962</v>
      </c>
      <c r="E6369" s="2">
        <v>4.6355399999999996E-3</v>
      </c>
      <c r="F6369" s="2" t="s">
        <v>7</v>
      </c>
    </row>
    <row r="6370" spans="1:6" ht="22.5" hidden="1" customHeight="1" x14ac:dyDescent="0.25">
      <c r="A6370" s="3">
        <v>44378</v>
      </c>
      <c r="B6370" s="2" t="s">
        <v>136</v>
      </c>
      <c r="C6370" s="2">
        <v>-1.35</v>
      </c>
      <c r="D6370" s="2">
        <v>3.9E-2</v>
      </c>
      <c r="E6370" s="2">
        <v>-5.2649999999999995E-4</v>
      </c>
      <c r="F6370" s="2" t="s">
        <v>7</v>
      </c>
    </row>
    <row r="6371" spans="1:6" ht="22.5" hidden="1" customHeight="1" x14ac:dyDescent="0.25">
      <c r="A6371" s="3">
        <v>44378</v>
      </c>
      <c r="B6371" s="2" t="s">
        <v>137</v>
      </c>
      <c r="C6371" s="2">
        <v>-0.11</v>
      </c>
      <c r="D6371" s="2">
        <v>6.88E-2</v>
      </c>
      <c r="E6371" s="2">
        <v>-7.5679999999999994E-5</v>
      </c>
      <c r="F6371" s="2" t="s">
        <v>7</v>
      </c>
    </row>
    <row r="6372" spans="1:6" ht="22.5" hidden="1" customHeight="1" x14ac:dyDescent="0.25">
      <c r="A6372" s="3">
        <v>44378</v>
      </c>
      <c r="B6372" s="2" t="s">
        <v>138</v>
      </c>
      <c r="C6372" s="2">
        <v>0.52</v>
      </c>
      <c r="D6372" s="2">
        <v>4.6699999999999998E-2</v>
      </c>
      <c r="E6372" s="2">
        <v>2.4284E-4</v>
      </c>
      <c r="F6372" s="2" t="s">
        <v>7</v>
      </c>
    </row>
    <row r="6373" spans="1:6" ht="22.5" hidden="1" customHeight="1" x14ac:dyDescent="0.25">
      <c r="A6373" s="3">
        <v>44378</v>
      </c>
      <c r="B6373" s="2" t="s">
        <v>139</v>
      </c>
      <c r="C6373" s="2">
        <v>0.33</v>
      </c>
      <c r="D6373" s="2">
        <v>2.6800000000000001E-2</v>
      </c>
      <c r="E6373" s="2">
        <v>8.844E-5</v>
      </c>
      <c r="F6373" s="2" t="s">
        <v>7</v>
      </c>
    </row>
    <row r="6374" spans="1:6" ht="22.5" hidden="1" customHeight="1" x14ac:dyDescent="0.25">
      <c r="A6374" s="3">
        <v>44378</v>
      </c>
      <c r="B6374" s="2" t="s">
        <v>140</v>
      </c>
      <c r="C6374" s="2">
        <v>-0.53</v>
      </c>
      <c r="D6374" s="2">
        <v>2.3999999999999998E-3</v>
      </c>
      <c r="E6374" s="2">
        <v>-1.272E-5</v>
      </c>
      <c r="F6374" s="2" t="s">
        <v>7</v>
      </c>
    </row>
    <row r="6375" spans="1:6" ht="22.5" hidden="1" customHeight="1" x14ac:dyDescent="0.25">
      <c r="A6375" s="3">
        <v>44378</v>
      </c>
      <c r="B6375" s="2" t="s">
        <v>141</v>
      </c>
      <c r="C6375" s="2">
        <v>0.96</v>
      </c>
      <c r="D6375" s="2">
        <v>1.9800000000000002E-2</v>
      </c>
      <c r="E6375" s="2">
        <v>1.9008E-4</v>
      </c>
      <c r="F6375" s="2" t="s">
        <v>7</v>
      </c>
    </row>
    <row r="6376" spans="1:6" ht="22.5" hidden="1" customHeight="1" x14ac:dyDescent="0.25">
      <c r="A6376" s="3">
        <v>44378</v>
      </c>
      <c r="B6376" s="2" t="s">
        <v>142</v>
      </c>
      <c r="C6376" s="2">
        <v>2.93</v>
      </c>
      <c r="D6376" s="2">
        <v>4.3E-3</v>
      </c>
      <c r="E6376" s="2">
        <v>1.2599E-4</v>
      </c>
      <c r="F6376" s="2" t="s">
        <v>7</v>
      </c>
    </row>
    <row r="6377" spans="1:6" ht="22.5" hidden="1" customHeight="1" x14ac:dyDescent="0.25">
      <c r="A6377" s="3">
        <v>44378</v>
      </c>
      <c r="B6377" s="2" t="s">
        <v>143</v>
      </c>
      <c r="C6377" s="2">
        <v>1.28</v>
      </c>
      <c r="D6377" s="2">
        <v>4.2299999999999997E-2</v>
      </c>
      <c r="E6377" s="2">
        <v>5.4144000000000002E-4</v>
      </c>
      <c r="F6377" s="2" t="s">
        <v>7</v>
      </c>
    </row>
    <row r="6378" spans="1:6" ht="22.5" hidden="1" customHeight="1" x14ac:dyDescent="0.25">
      <c r="A6378" s="3">
        <v>44378</v>
      </c>
      <c r="B6378" s="2" t="s">
        <v>144</v>
      </c>
      <c r="C6378" s="2">
        <v>0.42</v>
      </c>
      <c r="D6378" s="2">
        <v>1.6999999999999999E-3</v>
      </c>
      <c r="E6378" s="2">
        <v>7.1400000000000002E-6</v>
      </c>
      <c r="F6378" s="2" t="s">
        <v>7</v>
      </c>
    </row>
    <row r="6379" spans="1:6" ht="22.5" hidden="1" customHeight="1" x14ac:dyDescent="0.25">
      <c r="A6379" s="3">
        <v>44378</v>
      </c>
      <c r="B6379" s="2" t="s">
        <v>145</v>
      </c>
      <c r="C6379" s="2">
        <v>1.17</v>
      </c>
      <c r="D6379" s="2">
        <v>1.5E-3</v>
      </c>
      <c r="E6379" s="2">
        <v>1.755E-5</v>
      </c>
      <c r="F6379" s="2" t="s">
        <v>7</v>
      </c>
    </row>
    <row r="6380" spans="1:6" ht="22.5" hidden="1" customHeight="1" x14ac:dyDescent="0.25">
      <c r="A6380" s="3">
        <v>44378</v>
      </c>
      <c r="B6380" s="2" t="s">
        <v>146</v>
      </c>
      <c r="C6380" s="2">
        <v>1.71</v>
      </c>
      <c r="D6380" s="2">
        <v>3.3599999999999998E-2</v>
      </c>
      <c r="E6380" s="2">
        <v>5.7456E-4</v>
      </c>
      <c r="F6380" s="2" t="s">
        <v>7</v>
      </c>
    </row>
    <row r="6381" spans="1:6" ht="22.5" hidden="1" customHeight="1" x14ac:dyDescent="0.25">
      <c r="A6381" s="3">
        <v>44378</v>
      </c>
      <c r="B6381" s="2" t="s">
        <v>147</v>
      </c>
      <c r="C6381" s="2">
        <v>0.63</v>
      </c>
      <c r="D6381" s="2">
        <v>2.69E-2</v>
      </c>
      <c r="E6381" s="2">
        <v>1.6946999999999999E-4</v>
      </c>
      <c r="F6381" s="2" t="s">
        <v>7</v>
      </c>
    </row>
    <row r="6382" spans="1:6" ht="22.5" hidden="1" customHeight="1" x14ac:dyDescent="0.25">
      <c r="A6382" s="3">
        <v>44378</v>
      </c>
      <c r="B6382" s="2" t="s">
        <v>148</v>
      </c>
      <c r="C6382" s="2">
        <v>0.18</v>
      </c>
      <c r="D6382" s="2">
        <v>2.3199999999999998E-2</v>
      </c>
      <c r="E6382" s="2">
        <v>4.176E-5</v>
      </c>
      <c r="F6382" s="2" t="s">
        <v>7</v>
      </c>
    </row>
    <row r="6383" spans="1:6" ht="22.5" hidden="1" customHeight="1" x14ac:dyDescent="0.25">
      <c r="A6383" s="3">
        <v>44378</v>
      </c>
      <c r="B6383" s="2" t="s">
        <v>149</v>
      </c>
      <c r="C6383" s="2">
        <v>-1.32</v>
      </c>
      <c r="D6383" s="2">
        <v>2.3999999999999998E-3</v>
      </c>
      <c r="E6383" s="2">
        <v>-3.1680000000000002E-5</v>
      </c>
      <c r="F6383" s="2" t="s">
        <v>7</v>
      </c>
    </row>
    <row r="6384" spans="1:6" ht="22.5" hidden="1" customHeight="1" x14ac:dyDescent="0.25">
      <c r="A6384" s="3">
        <v>44378</v>
      </c>
      <c r="B6384" s="2" t="s">
        <v>150</v>
      </c>
      <c r="C6384" s="2">
        <v>0.8</v>
      </c>
      <c r="D6384" s="2">
        <v>0.11219999999999999</v>
      </c>
      <c r="E6384" s="2">
        <v>8.9760000000000003E-4</v>
      </c>
      <c r="F6384" s="2" t="s">
        <v>7</v>
      </c>
    </row>
    <row r="6385" spans="1:6" ht="22.5" hidden="1" customHeight="1" x14ac:dyDescent="0.25">
      <c r="A6385" s="3">
        <v>44378</v>
      </c>
      <c r="B6385" s="2" t="s">
        <v>151</v>
      </c>
      <c r="C6385" s="2">
        <v>-3.47</v>
      </c>
      <c r="D6385" s="2">
        <v>0.1181</v>
      </c>
      <c r="E6385" s="2">
        <v>-4.0980699999999997E-3</v>
      </c>
      <c r="F6385" s="2" t="s">
        <v>7</v>
      </c>
    </row>
    <row r="6386" spans="1:6" ht="22.5" hidden="1" customHeight="1" x14ac:dyDescent="0.25">
      <c r="A6386" s="3">
        <v>44378</v>
      </c>
      <c r="B6386" s="2" t="s">
        <v>152</v>
      </c>
      <c r="C6386" s="2">
        <v>3.26</v>
      </c>
      <c r="D6386" s="2">
        <v>3.0000000000000001E-3</v>
      </c>
      <c r="E6386" s="2">
        <v>9.7800000000000006E-5</v>
      </c>
      <c r="F6386" s="2" t="s">
        <v>7</v>
      </c>
    </row>
    <row r="6387" spans="1:6" ht="22.5" hidden="1" customHeight="1" x14ac:dyDescent="0.25">
      <c r="A6387" s="3">
        <v>44378</v>
      </c>
      <c r="B6387" s="2" t="s">
        <v>153</v>
      </c>
      <c r="C6387" s="2">
        <v>1.5</v>
      </c>
      <c r="D6387" s="2">
        <v>8.9999999999999998E-4</v>
      </c>
      <c r="E6387" s="2">
        <v>1.3499999999999999E-5</v>
      </c>
      <c r="F6387" s="2" t="s">
        <v>7</v>
      </c>
    </row>
    <row r="6388" spans="1:6" ht="22.5" hidden="1" customHeight="1" x14ac:dyDescent="0.25">
      <c r="A6388" s="3">
        <v>44378</v>
      </c>
      <c r="B6388" s="2" t="s">
        <v>154</v>
      </c>
      <c r="C6388" s="2">
        <v>0.56999999999999995</v>
      </c>
      <c r="D6388" s="2">
        <v>1E-3</v>
      </c>
      <c r="E6388" s="2">
        <v>5.6999999999999996E-6</v>
      </c>
      <c r="F6388" s="2" t="s">
        <v>7</v>
      </c>
    </row>
    <row r="6389" spans="1:6" ht="22.5" hidden="1" customHeight="1" x14ac:dyDescent="0.25">
      <c r="A6389" s="3">
        <v>44378</v>
      </c>
      <c r="B6389" s="2" t="s">
        <v>155</v>
      </c>
      <c r="C6389" s="2">
        <v>-0.14000000000000001</v>
      </c>
      <c r="D6389" s="2">
        <v>5.8999999999999999E-3</v>
      </c>
      <c r="E6389" s="2">
        <v>-8.2600000000000005E-6</v>
      </c>
      <c r="F6389" s="2" t="s">
        <v>7</v>
      </c>
    </row>
    <row r="6390" spans="1:6" ht="22.5" hidden="1" customHeight="1" x14ac:dyDescent="0.25">
      <c r="A6390" s="3">
        <v>44378</v>
      </c>
      <c r="B6390" s="2" t="s">
        <v>156</v>
      </c>
      <c r="C6390" s="2">
        <v>1.08</v>
      </c>
      <c r="D6390" s="2">
        <v>4.5100000000000001E-2</v>
      </c>
      <c r="E6390" s="2">
        <v>4.8707999999999998E-4</v>
      </c>
      <c r="F6390" s="2" t="s">
        <v>7</v>
      </c>
    </row>
    <row r="6391" spans="1:6" ht="22.5" hidden="1" customHeight="1" x14ac:dyDescent="0.25">
      <c r="A6391" s="3">
        <v>44378</v>
      </c>
      <c r="B6391" s="2" t="s">
        <v>157</v>
      </c>
      <c r="C6391" s="2">
        <v>0.36</v>
      </c>
      <c r="D6391" s="2">
        <v>1.77E-2</v>
      </c>
      <c r="E6391" s="2">
        <v>6.3720000000000007E-5</v>
      </c>
      <c r="F6391" s="2" t="s">
        <v>7</v>
      </c>
    </row>
    <row r="6392" spans="1:6" ht="22.5" hidden="1" customHeight="1" x14ac:dyDescent="0.25">
      <c r="A6392" s="3">
        <v>44378</v>
      </c>
      <c r="B6392" s="2" t="s">
        <v>158</v>
      </c>
      <c r="C6392" s="2">
        <v>0.1</v>
      </c>
      <c r="D6392" s="2">
        <v>9.9000000000000008E-3</v>
      </c>
      <c r="E6392" s="2">
        <v>9.9000000000000001E-6</v>
      </c>
      <c r="F6392" s="2" t="s">
        <v>7</v>
      </c>
    </row>
    <row r="6393" spans="1:6" ht="22.5" hidden="1" customHeight="1" x14ac:dyDescent="0.25">
      <c r="A6393" s="3">
        <v>44378</v>
      </c>
      <c r="B6393" s="2" t="s">
        <v>159</v>
      </c>
      <c r="C6393" s="2">
        <v>0.3</v>
      </c>
      <c r="D6393" s="2">
        <v>5.3900000000000003E-2</v>
      </c>
      <c r="E6393" s="2">
        <v>1.617E-4</v>
      </c>
      <c r="F6393" s="2" t="s">
        <v>7</v>
      </c>
    </row>
    <row r="6394" spans="1:6" ht="22.5" hidden="1" customHeight="1" x14ac:dyDescent="0.25">
      <c r="A6394" s="3">
        <v>44378</v>
      </c>
      <c r="B6394" s="2" t="s">
        <v>160</v>
      </c>
      <c r="C6394" s="2">
        <v>0.53</v>
      </c>
      <c r="D6394" s="2">
        <v>3.7065000000000001</v>
      </c>
      <c r="E6394" s="2">
        <v>1.9644450000000001E-2</v>
      </c>
      <c r="F6394" s="2" t="s">
        <v>7</v>
      </c>
    </row>
    <row r="6395" spans="1:6" ht="22.5" hidden="1" customHeight="1" x14ac:dyDescent="0.25">
      <c r="A6395" s="3">
        <v>44378</v>
      </c>
      <c r="B6395" s="2" t="s">
        <v>161</v>
      </c>
      <c r="C6395" s="2">
        <v>0.55000000000000004</v>
      </c>
      <c r="D6395" s="2">
        <v>1.7569999999999999</v>
      </c>
      <c r="E6395" s="2">
        <v>9.6635000000000002E-3</v>
      </c>
      <c r="F6395" s="2" t="s">
        <v>7</v>
      </c>
    </row>
    <row r="6396" spans="1:6" ht="22.5" hidden="1" customHeight="1" x14ac:dyDescent="0.25">
      <c r="A6396" s="3">
        <v>44378</v>
      </c>
      <c r="B6396" s="2" t="s">
        <v>134</v>
      </c>
      <c r="C6396" s="2">
        <v>1.17</v>
      </c>
      <c r="D6396" s="2">
        <v>0.1255</v>
      </c>
      <c r="E6396" s="2">
        <v>1.46835E-3</v>
      </c>
      <c r="F6396" s="2" t="s">
        <v>7</v>
      </c>
    </row>
    <row r="6397" spans="1:6" ht="22.5" hidden="1" customHeight="1" x14ac:dyDescent="0.25">
      <c r="A6397" s="3">
        <v>44378</v>
      </c>
      <c r="B6397" s="2" t="s">
        <v>162</v>
      </c>
      <c r="C6397" s="2">
        <v>-0.72</v>
      </c>
      <c r="D6397" s="2">
        <v>4.2299999999999997E-2</v>
      </c>
      <c r="E6397" s="2">
        <v>-3.0456E-4</v>
      </c>
      <c r="F6397" s="2" t="s">
        <v>7</v>
      </c>
    </row>
    <row r="6398" spans="1:6" ht="22.5" hidden="1" customHeight="1" x14ac:dyDescent="0.25">
      <c r="A6398" s="3">
        <v>44378</v>
      </c>
      <c r="B6398" s="2" t="s">
        <v>135</v>
      </c>
      <c r="C6398" s="2">
        <v>0.31</v>
      </c>
      <c r="D6398" s="2">
        <v>0.28970000000000001</v>
      </c>
      <c r="E6398" s="2">
        <v>8.9807000000000005E-4</v>
      </c>
      <c r="F6398" s="2" t="s">
        <v>7</v>
      </c>
    </row>
    <row r="6399" spans="1:6" ht="22.5" hidden="1" customHeight="1" x14ac:dyDescent="0.25">
      <c r="A6399" s="3">
        <v>44378</v>
      </c>
      <c r="B6399" s="2" t="s">
        <v>136</v>
      </c>
      <c r="C6399" s="2">
        <v>-2.33</v>
      </c>
      <c r="D6399" s="2">
        <v>4.3E-3</v>
      </c>
      <c r="E6399" s="2">
        <v>-1.0019E-4</v>
      </c>
      <c r="F6399" s="2" t="s">
        <v>7</v>
      </c>
    </row>
    <row r="6400" spans="1:6" ht="22.5" hidden="1" customHeight="1" x14ac:dyDescent="0.25">
      <c r="A6400" s="3">
        <v>44378</v>
      </c>
      <c r="B6400" s="2" t="s">
        <v>137</v>
      </c>
      <c r="C6400" s="2">
        <v>3.58</v>
      </c>
      <c r="D6400" s="2">
        <v>1.0200000000000001E-2</v>
      </c>
      <c r="E6400" s="2">
        <v>3.6516000000000001E-4</v>
      </c>
      <c r="F6400" s="2" t="s">
        <v>7</v>
      </c>
    </row>
    <row r="6401" spans="1:6" ht="22.5" hidden="1" customHeight="1" x14ac:dyDescent="0.25">
      <c r="A6401" s="3">
        <v>44378</v>
      </c>
      <c r="B6401" s="2" t="s">
        <v>163</v>
      </c>
      <c r="C6401" s="2">
        <v>1.25</v>
      </c>
      <c r="D6401" s="2">
        <v>4.4000000000000003E-3</v>
      </c>
      <c r="E6401" s="2">
        <v>5.5000000000000002E-5</v>
      </c>
      <c r="F6401" s="2" t="s">
        <v>7</v>
      </c>
    </row>
    <row r="6402" spans="1:6" ht="22.5" hidden="1" customHeight="1" x14ac:dyDescent="0.25">
      <c r="A6402" s="3">
        <v>44378</v>
      </c>
      <c r="B6402" s="2" t="s">
        <v>34</v>
      </c>
      <c r="C6402" s="2">
        <v>-1.22</v>
      </c>
      <c r="D6402" s="2">
        <v>5.3100000000000001E-2</v>
      </c>
      <c r="E6402" s="2">
        <v>-6.4782000000000001E-4</v>
      </c>
      <c r="F6402" s="2" t="s">
        <v>7</v>
      </c>
    </row>
    <row r="6403" spans="1:6" ht="22.5" hidden="1" customHeight="1" x14ac:dyDescent="0.25">
      <c r="A6403" s="3">
        <v>44378</v>
      </c>
      <c r="B6403" s="2" t="s">
        <v>164</v>
      </c>
      <c r="C6403" s="2">
        <v>0.93</v>
      </c>
      <c r="D6403" s="2">
        <v>3.7160000000000002</v>
      </c>
      <c r="E6403" s="2">
        <v>3.4558800000000001E-2</v>
      </c>
      <c r="F6403" s="2" t="s">
        <v>165</v>
      </c>
    </row>
    <row r="6404" spans="1:6" ht="22.5" hidden="1" customHeight="1" x14ac:dyDescent="0.25">
      <c r="A6404" s="3">
        <v>44378</v>
      </c>
      <c r="B6404" s="2" t="s">
        <v>166</v>
      </c>
      <c r="C6404" s="2">
        <v>0.66</v>
      </c>
      <c r="D6404" s="2">
        <v>2.2808999999999999</v>
      </c>
      <c r="E6404" s="2">
        <v>1.505394E-2</v>
      </c>
      <c r="F6404" s="2" t="s">
        <v>165</v>
      </c>
    </row>
    <row r="6405" spans="1:6" ht="22.5" hidden="1" customHeight="1" x14ac:dyDescent="0.25">
      <c r="A6405" s="3">
        <v>44470</v>
      </c>
      <c r="B6405" s="2" t="s">
        <v>262</v>
      </c>
      <c r="C6405" s="2">
        <v>0</v>
      </c>
      <c r="D6405" s="2">
        <v>3.7199999999999997E-2</v>
      </c>
      <c r="E6405" s="2">
        <v>0</v>
      </c>
      <c r="F6405" s="2" t="s">
        <v>168</v>
      </c>
    </row>
    <row r="6406" spans="1:6" ht="22.5" hidden="1" customHeight="1" x14ac:dyDescent="0.25">
      <c r="A6406" s="3">
        <v>44378</v>
      </c>
      <c r="B6406" s="2" t="s">
        <v>169</v>
      </c>
      <c r="C6406" s="2">
        <v>3.82</v>
      </c>
      <c r="D6406" s="2">
        <v>1.0699999999999999E-2</v>
      </c>
      <c r="E6406" s="2">
        <v>4.0873999999999999E-4</v>
      </c>
      <c r="F6406" s="2" t="s">
        <v>170</v>
      </c>
    </row>
    <row r="6407" spans="1:6" ht="22.5" hidden="1" customHeight="1" x14ac:dyDescent="0.25">
      <c r="A6407" s="3">
        <v>44378</v>
      </c>
      <c r="B6407" s="2" t="s">
        <v>171</v>
      </c>
      <c r="C6407" s="2">
        <v>1.21</v>
      </c>
      <c r="D6407" s="2">
        <v>1.4200000000000001E-2</v>
      </c>
      <c r="E6407" s="2">
        <v>1.7181999999999999E-4</v>
      </c>
      <c r="F6407" s="2" t="s">
        <v>170</v>
      </c>
    </row>
    <row r="6408" spans="1:6" ht="22.5" hidden="1" customHeight="1" x14ac:dyDescent="0.25">
      <c r="A6408" s="3">
        <v>44378</v>
      </c>
      <c r="B6408" s="2" t="s">
        <v>172</v>
      </c>
      <c r="C6408" s="2">
        <v>1.31</v>
      </c>
      <c r="D6408" s="2">
        <v>3.3999999999999998E-3</v>
      </c>
      <c r="E6408" s="2">
        <v>4.4539999999999997E-5</v>
      </c>
      <c r="F6408" s="2" t="s">
        <v>170</v>
      </c>
    </row>
    <row r="6409" spans="1:6" ht="22.5" hidden="1" customHeight="1" x14ac:dyDescent="0.25">
      <c r="A6409" s="3">
        <v>44378</v>
      </c>
      <c r="B6409" s="2" t="s">
        <v>173</v>
      </c>
      <c r="C6409" s="2">
        <v>1.88</v>
      </c>
      <c r="D6409" s="2">
        <v>0.26229999999999998</v>
      </c>
      <c r="E6409" s="2">
        <v>4.9312399999999999E-3</v>
      </c>
      <c r="F6409" s="2" t="s">
        <v>174</v>
      </c>
    </row>
    <row r="6410" spans="1:6" ht="22.5" hidden="1" customHeight="1" x14ac:dyDescent="0.25">
      <c r="A6410" s="3">
        <v>44378</v>
      </c>
      <c r="B6410" s="2" t="s">
        <v>175</v>
      </c>
      <c r="C6410" s="2">
        <v>0.77</v>
      </c>
      <c r="D6410" s="2">
        <v>0.26500000000000001</v>
      </c>
      <c r="E6410" s="2">
        <v>2.0405000000000002E-3</v>
      </c>
      <c r="F6410" s="2" t="s">
        <v>174</v>
      </c>
    </row>
    <row r="6411" spans="1:6" ht="22.5" hidden="1" customHeight="1" x14ac:dyDescent="0.25">
      <c r="A6411" s="3">
        <v>44378</v>
      </c>
      <c r="B6411" s="2" t="s">
        <v>176</v>
      </c>
      <c r="C6411" s="2">
        <v>-0.4</v>
      </c>
      <c r="D6411" s="2">
        <v>1.3599999999999999E-2</v>
      </c>
      <c r="E6411" s="2">
        <v>-5.4400000000000001E-5</v>
      </c>
      <c r="F6411" s="2" t="s">
        <v>170</v>
      </c>
    </row>
    <row r="6412" spans="1:6" ht="22.5" hidden="1" customHeight="1" x14ac:dyDescent="0.25">
      <c r="A6412" s="3">
        <v>44378</v>
      </c>
      <c r="B6412" s="2" t="s">
        <v>177</v>
      </c>
      <c r="C6412" s="2">
        <v>-0.1</v>
      </c>
      <c r="D6412" s="2">
        <v>2.3300000000000001E-2</v>
      </c>
      <c r="E6412" s="2">
        <v>-2.3300000000000001E-5</v>
      </c>
      <c r="F6412" s="2" t="s">
        <v>170</v>
      </c>
    </row>
    <row r="6413" spans="1:6" ht="22.5" hidden="1" customHeight="1" x14ac:dyDescent="0.25">
      <c r="A6413" s="3">
        <v>44378</v>
      </c>
      <c r="B6413" s="2" t="s">
        <v>178</v>
      </c>
      <c r="C6413" s="2">
        <v>-1.43</v>
      </c>
      <c r="D6413" s="2">
        <v>2.0899999999999998E-2</v>
      </c>
      <c r="E6413" s="2">
        <v>-2.9887000000000002E-4</v>
      </c>
      <c r="F6413" s="2" t="s">
        <v>170</v>
      </c>
    </row>
    <row r="6414" spans="1:6" ht="22.5" hidden="1" customHeight="1" x14ac:dyDescent="0.25">
      <c r="A6414" s="3">
        <v>44378</v>
      </c>
      <c r="B6414" s="2" t="s">
        <v>179</v>
      </c>
      <c r="C6414" s="2">
        <v>1.52</v>
      </c>
      <c r="D6414" s="2">
        <v>4.6899999999999997E-2</v>
      </c>
      <c r="E6414" s="2">
        <v>7.1288000000000005E-4</v>
      </c>
      <c r="F6414" s="2" t="s">
        <v>170</v>
      </c>
    </row>
    <row r="6415" spans="1:6" ht="22.5" hidden="1" customHeight="1" x14ac:dyDescent="0.25">
      <c r="A6415" s="3">
        <v>44378</v>
      </c>
      <c r="B6415" s="2" t="s">
        <v>180</v>
      </c>
      <c r="C6415" s="2">
        <v>0.09</v>
      </c>
      <c r="D6415" s="2">
        <v>0.62180000000000002</v>
      </c>
      <c r="E6415" s="2">
        <v>5.5962000000000004E-4</v>
      </c>
      <c r="F6415" s="2" t="s">
        <v>165</v>
      </c>
    </row>
    <row r="6416" spans="1:6" ht="22.5" hidden="1" customHeight="1" x14ac:dyDescent="0.25">
      <c r="A6416" s="3">
        <v>44378</v>
      </c>
      <c r="B6416" s="2" t="s">
        <v>181</v>
      </c>
      <c r="C6416" s="2">
        <v>1.35</v>
      </c>
      <c r="D6416" s="2">
        <v>1.2800000000000001E-2</v>
      </c>
      <c r="E6416" s="2">
        <v>1.728E-4</v>
      </c>
      <c r="F6416" s="2" t="s">
        <v>174</v>
      </c>
    </row>
    <row r="6417" spans="1:6" ht="22.5" hidden="1" customHeight="1" x14ac:dyDescent="0.25">
      <c r="A6417" s="3">
        <v>44378</v>
      </c>
      <c r="B6417" s="2" t="s">
        <v>182</v>
      </c>
      <c r="C6417" s="2">
        <v>1.93</v>
      </c>
      <c r="D6417" s="2">
        <v>4.2299999999999997E-2</v>
      </c>
      <c r="E6417" s="2">
        <v>8.1638999999999995E-4</v>
      </c>
      <c r="F6417" s="2" t="s">
        <v>170</v>
      </c>
    </row>
    <row r="6418" spans="1:6" ht="22.5" hidden="1" customHeight="1" x14ac:dyDescent="0.25">
      <c r="A6418" s="3">
        <v>44378</v>
      </c>
      <c r="B6418" s="2" t="s">
        <v>183</v>
      </c>
      <c r="C6418" s="2">
        <v>-2.36</v>
      </c>
      <c r="D6418" s="2">
        <v>4.1999999999999997E-3</v>
      </c>
      <c r="E6418" s="2">
        <v>-9.912E-5</v>
      </c>
      <c r="F6418" s="2" t="s">
        <v>174</v>
      </c>
    </row>
    <row r="6419" spans="1:6" ht="22.5" hidden="1" customHeight="1" x14ac:dyDescent="0.25">
      <c r="A6419" s="3">
        <v>44378</v>
      </c>
      <c r="B6419" s="2" t="s">
        <v>184</v>
      </c>
      <c r="C6419" s="2">
        <v>1.23</v>
      </c>
      <c r="D6419" s="2">
        <v>6.4199999999999993E-2</v>
      </c>
      <c r="E6419" s="2">
        <v>7.8965999999999997E-4</v>
      </c>
      <c r="F6419" s="2" t="s">
        <v>174</v>
      </c>
    </row>
    <row r="6420" spans="1:6" ht="22.5" hidden="1" customHeight="1" x14ac:dyDescent="0.25">
      <c r="A6420" s="3">
        <v>44378</v>
      </c>
      <c r="B6420" s="2" t="s">
        <v>185</v>
      </c>
      <c r="C6420" s="2">
        <v>1.68</v>
      </c>
      <c r="D6420" s="2">
        <v>0.1535</v>
      </c>
      <c r="E6420" s="2">
        <v>2.5788E-3</v>
      </c>
      <c r="F6420" s="2" t="s">
        <v>174</v>
      </c>
    </row>
    <row r="6421" spans="1:6" ht="22.5" hidden="1" customHeight="1" x14ac:dyDescent="0.25">
      <c r="A6421" s="3">
        <v>44378</v>
      </c>
      <c r="B6421" s="2" t="s">
        <v>186</v>
      </c>
      <c r="C6421" s="2">
        <v>0.67</v>
      </c>
      <c r="D6421" s="2">
        <v>0.2147</v>
      </c>
      <c r="E6421" s="2">
        <v>1.43849E-3</v>
      </c>
      <c r="F6421" s="2" t="s">
        <v>174</v>
      </c>
    </row>
    <row r="6422" spans="1:6" ht="22.5" hidden="1" customHeight="1" x14ac:dyDescent="0.25">
      <c r="A6422" s="3">
        <v>44378</v>
      </c>
      <c r="B6422" s="2" t="s">
        <v>187</v>
      </c>
      <c r="C6422" s="2">
        <v>1.1499999999999999</v>
      </c>
      <c r="D6422" s="2">
        <v>5.8200000000000002E-2</v>
      </c>
      <c r="E6422" s="2">
        <v>6.6929999999999995E-4</v>
      </c>
      <c r="F6422" s="2" t="s">
        <v>174</v>
      </c>
    </row>
    <row r="6423" spans="1:6" ht="22.5" hidden="1" customHeight="1" x14ac:dyDescent="0.25">
      <c r="A6423" s="3">
        <v>44378</v>
      </c>
      <c r="B6423" s="2" t="s">
        <v>188</v>
      </c>
      <c r="C6423" s="2">
        <v>-7.0000000000000007E-2</v>
      </c>
      <c r="D6423" s="2">
        <v>2.86E-2</v>
      </c>
      <c r="E6423" s="2">
        <v>-2.0020000000000001E-5</v>
      </c>
      <c r="F6423" s="2" t="s">
        <v>174</v>
      </c>
    </row>
    <row r="6424" spans="1:6" ht="22.5" hidden="1" customHeight="1" x14ac:dyDescent="0.25">
      <c r="A6424" s="3">
        <v>44378</v>
      </c>
      <c r="B6424" s="2" t="s">
        <v>189</v>
      </c>
      <c r="C6424" s="2">
        <v>2.9</v>
      </c>
      <c r="D6424" s="2">
        <v>3.8E-3</v>
      </c>
      <c r="E6424" s="2">
        <v>1.102E-4</v>
      </c>
      <c r="F6424" s="2" t="s">
        <v>174</v>
      </c>
    </row>
    <row r="6425" spans="1:6" ht="22.5" hidden="1" customHeight="1" x14ac:dyDescent="0.25">
      <c r="A6425" s="3">
        <v>44378</v>
      </c>
      <c r="B6425" s="2" t="s">
        <v>190</v>
      </c>
      <c r="C6425" s="2">
        <v>1.65</v>
      </c>
      <c r="D6425" s="2">
        <v>4.7999999999999996E-3</v>
      </c>
      <c r="E6425" s="2">
        <v>7.9200000000000001E-5</v>
      </c>
      <c r="F6425" s="2" t="s">
        <v>174</v>
      </c>
    </row>
    <row r="6426" spans="1:6" ht="22.5" hidden="1" customHeight="1" x14ac:dyDescent="0.25">
      <c r="A6426" s="3">
        <v>44378</v>
      </c>
      <c r="B6426" s="2" t="s">
        <v>191</v>
      </c>
      <c r="C6426" s="2">
        <v>0.81</v>
      </c>
      <c r="D6426" s="2">
        <v>2.76E-2</v>
      </c>
      <c r="E6426" s="2">
        <v>2.2356000000000001E-4</v>
      </c>
      <c r="F6426" s="2" t="s">
        <v>174</v>
      </c>
    </row>
    <row r="6427" spans="1:6" ht="22.5" hidden="1" customHeight="1" x14ac:dyDescent="0.25">
      <c r="A6427" s="3">
        <v>44378</v>
      </c>
      <c r="B6427" s="2" t="s">
        <v>192</v>
      </c>
      <c r="C6427" s="2">
        <v>-0.27</v>
      </c>
      <c r="D6427" s="2">
        <v>5.1999999999999998E-3</v>
      </c>
      <c r="E6427" s="2">
        <v>-1.4039999999999999E-5</v>
      </c>
      <c r="F6427" s="2" t="s">
        <v>174</v>
      </c>
    </row>
    <row r="6428" spans="1:6" ht="22.5" hidden="1" customHeight="1" x14ac:dyDescent="0.25">
      <c r="A6428" s="3">
        <v>44378</v>
      </c>
      <c r="B6428" s="2" t="s">
        <v>193</v>
      </c>
      <c r="C6428" s="2">
        <v>1.73</v>
      </c>
      <c r="D6428" s="2">
        <v>0.16289999999999999</v>
      </c>
      <c r="E6428" s="2">
        <v>2.8181700000000001E-3</v>
      </c>
      <c r="F6428" s="2" t="s">
        <v>174</v>
      </c>
    </row>
    <row r="6429" spans="1:6" ht="22.5" hidden="1" customHeight="1" x14ac:dyDescent="0.25">
      <c r="A6429" s="3">
        <v>44378</v>
      </c>
      <c r="B6429" s="2" t="s">
        <v>194</v>
      </c>
      <c r="C6429" s="2">
        <v>-2.81</v>
      </c>
      <c r="D6429" s="2">
        <v>3.3999999999999998E-3</v>
      </c>
      <c r="E6429" s="2">
        <v>-9.5539999999999997E-5</v>
      </c>
      <c r="F6429" s="2" t="s">
        <v>174</v>
      </c>
    </row>
    <row r="6430" spans="1:6" ht="22.5" hidden="1" customHeight="1" x14ac:dyDescent="0.25">
      <c r="A6430" s="3">
        <v>44470</v>
      </c>
      <c r="B6430" s="2" t="s">
        <v>266</v>
      </c>
      <c r="C6430" s="2">
        <v>0</v>
      </c>
      <c r="D6430" s="2">
        <v>7.1400000000000005E-2</v>
      </c>
      <c r="E6430" s="2">
        <v>0</v>
      </c>
      <c r="F6430" s="2" t="s">
        <v>168</v>
      </c>
    </row>
    <row r="6431" spans="1:6" ht="22.5" hidden="1" customHeight="1" x14ac:dyDescent="0.25">
      <c r="A6431" s="3">
        <v>44470</v>
      </c>
      <c r="B6431" s="2" t="s">
        <v>273</v>
      </c>
      <c r="C6431" s="2">
        <v>0</v>
      </c>
      <c r="D6431" s="2">
        <v>0.1138</v>
      </c>
      <c r="E6431" s="2">
        <v>0</v>
      </c>
      <c r="F6431" s="2" t="s">
        <v>168</v>
      </c>
    </row>
    <row r="6432" spans="1:6" ht="22.5" hidden="1" customHeight="1" x14ac:dyDescent="0.25">
      <c r="A6432" s="3">
        <v>44470</v>
      </c>
      <c r="B6432" s="2" t="s">
        <v>340</v>
      </c>
      <c r="C6432" s="2">
        <v>0</v>
      </c>
      <c r="D6432" s="2">
        <v>0.47720000000000001</v>
      </c>
      <c r="E6432" s="2">
        <v>0</v>
      </c>
      <c r="F6432" s="2" t="s">
        <v>168</v>
      </c>
    </row>
    <row r="6433" spans="1:6" ht="22.5" hidden="1" customHeight="1" x14ac:dyDescent="0.25">
      <c r="A6433" s="3">
        <v>44378</v>
      </c>
      <c r="B6433" s="2" t="s">
        <v>198</v>
      </c>
      <c r="C6433" s="2">
        <v>0.21</v>
      </c>
      <c r="D6433" s="2">
        <v>0.34139999999999998</v>
      </c>
      <c r="E6433" s="2">
        <v>7.1694E-4</v>
      </c>
      <c r="F6433" s="2" t="s">
        <v>170</v>
      </c>
    </row>
    <row r="6434" spans="1:6" ht="22.5" hidden="1" customHeight="1" x14ac:dyDescent="0.25">
      <c r="A6434" s="3">
        <v>44378</v>
      </c>
      <c r="B6434" s="2" t="s">
        <v>199</v>
      </c>
      <c r="C6434" s="2">
        <v>-0.87</v>
      </c>
      <c r="D6434" s="2">
        <v>0.48680000000000001</v>
      </c>
      <c r="E6434" s="2">
        <v>-4.23516E-3</v>
      </c>
      <c r="F6434" s="2" t="s">
        <v>170</v>
      </c>
    </row>
    <row r="6435" spans="1:6" ht="22.5" hidden="1" customHeight="1" x14ac:dyDescent="0.25">
      <c r="A6435" s="3">
        <v>44378</v>
      </c>
      <c r="B6435" s="2" t="s">
        <v>200</v>
      </c>
      <c r="C6435" s="2">
        <v>0.79</v>
      </c>
      <c r="D6435" s="2">
        <v>0.18740000000000001</v>
      </c>
      <c r="E6435" s="2">
        <v>1.4804600000000001E-3</v>
      </c>
      <c r="F6435" s="2" t="s">
        <v>170</v>
      </c>
    </row>
    <row r="6436" spans="1:6" ht="22.5" hidden="1" customHeight="1" x14ac:dyDescent="0.25">
      <c r="A6436" s="3">
        <v>44378</v>
      </c>
      <c r="B6436" s="2" t="s">
        <v>201</v>
      </c>
      <c r="C6436" s="2">
        <v>-0.22</v>
      </c>
      <c r="D6436" s="2">
        <v>2.5499999999999998E-2</v>
      </c>
      <c r="E6436" s="2">
        <v>-5.6100000000000002E-5</v>
      </c>
      <c r="F6436" s="2" t="s">
        <v>170</v>
      </c>
    </row>
    <row r="6437" spans="1:6" ht="22.5" hidden="1" customHeight="1" x14ac:dyDescent="0.25">
      <c r="A6437" s="3">
        <v>44378</v>
      </c>
      <c r="B6437" s="2" t="s">
        <v>202</v>
      </c>
      <c r="C6437" s="2">
        <v>-2.14</v>
      </c>
      <c r="D6437" s="2">
        <v>1.7600000000000001E-2</v>
      </c>
      <c r="E6437" s="2">
        <v>-3.7664000000000003E-4</v>
      </c>
      <c r="F6437" s="2" t="s">
        <v>170</v>
      </c>
    </row>
    <row r="6438" spans="1:6" ht="22.5" hidden="1" customHeight="1" x14ac:dyDescent="0.25">
      <c r="A6438" s="3">
        <v>44378</v>
      </c>
      <c r="B6438" s="2" t="s">
        <v>203</v>
      </c>
      <c r="C6438" s="2">
        <v>-0.74</v>
      </c>
      <c r="D6438" s="2">
        <v>8.1299999999999997E-2</v>
      </c>
      <c r="E6438" s="2">
        <v>-6.0161999999999998E-4</v>
      </c>
      <c r="F6438" s="2" t="s">
        <v>170</v>
      </c>
    </row>
    <row r="6439" spans="1:6" ht="22.5" hidden="1" customHeight="1" x14ac:dyDescent="0.25">
      <c r="A6439" s="3">
        <v>44378</v>
      </c>
      <c r="B6439" s="2" t="s">
        <v>204</v>
      </c>
      <c r="C6439" s="2">
        <v>0.72</v>
      </c>
      <c r="D6439" s="2">
        <v>5.9700000000000003E-2</v>
      </c>
      <c r="E6439" s="2">
        <v>4.2984000000000002E-4</v>
      </c>
      <c r="F6439" s="2" t="s">
        <v>174</v>
      </c>
    </row>
    <row r="6440" spans="1:6" ht="22.5" hidden="1" customHeight="1" x14ac:dyDescent="0.25">
      <c r="A6440" s="3">
        <v>44378</v>
      </c>
      <c r="B6440" s="2" t="s">
        <v>205</v>
      </c>
      <c r="C6440" s="2">
        <v>0.84</v>
      </c>
      <c r="D6440" s="2">
        <v>9.6000000000000002E-2</v>
      </c>
      <c r="E6440" s="2">
        <v>8.0639999999999998E-4</v>
      </c>
      <c r="F6440" s="2" t="s">
        <v>174</v>
      </c>
    </row>
    <row r="6441" spans="1:6" ht="22.5" hidden="1" customHeight="1" x14ac:dyDescent="0.25">
      <c r="A6441" s="3">
        <v>44378</v>
      </c>
      <c r="B6441" s="2" t="s">
        <v>206</v>
      </c>
      <c r="C6441" s="2">
        <v>1.2</v>
      </c>
      <c r="D6441" s="2">
        <v>0.16120000000000001</v>
      </c>
      <c r="E6441" s="2">
        <v>1.9344E-3</v>
      </c>
      <c r="F6441" s="2" t="s">
        <v>174</v>
      </c>
    </row>
    <row r="6442" spans="1:6" ht="22.5" hidden="1" customHeight="1" x14ac:dyDescent="0.25">
      <c r="A6442" s="3">
        <v>44378</v>
      </c>
      <c r="B6442" s="2" t="s">
        <v>207</v>
      </c>
      <c r="C6442" s="2">
        <v>2.34</v>
      </c>
      <c r="D6442" s="2">
        <v>4.87E-2</v>
      </c>
      <c r="E6442" s="2">
        <v>1.1395800000000001E-3</v>
      </c>
      <c r="F6442" s="2" t="s">
        <v>174</v>
      </c>
    </row>
    <row r="6443" spans="1:6" ht="22.5" hidden="1" customHeight="1" x14ac:dyDescent="0.25">
      <c r="A6443" s="3">
        <v>44378</v>
      </c>
      <c r="B6443" s="2" t="s">
        <v>208</v>
      </c>
      <c r="C6443" s="2">
        <v>0.69</v>
      </c>
      <c r="D6443" s="2">
        <v>8.8999999999999999E-3</v>
      </c>
      <c r="E6443" s="2">
        <v>6.1409999999999996E-5</v>
      </c>
      <c r="F6443" s="2" t="s">
        <v>174</v>
      </c>
    </row>
    <row r="6444" spans="1:6" ht="22.5" hidden="1" customHeight="1" x14ac:dyDescent="0.25">
      <c r="A6444" s="3">
        <v>44378</v>
      </c>
      <c r="B6444" s="2" t="s">
        <v>209</v>
      </c>
      <c r="C6444" s="2">
        <v>2.4</v>
      </c>
      <c r="D6444" s="2">
        <v>6.1999999999999998E-3</v>
      </c>
      <c r="E6444" s="2">
        <v>1.4880000000000001E-4</v>
      </c>
      <c r="F6444" s="2" t="s">
        <v>174</v>
      </c>
    </row>
    <row r="6445" spans="1:6" ht="22.5" hidden="1" customHeight="1" x14ac:dyDescent="0.25">
      <c r="A6445" s="3">
        <v>44378</v>
      </c>
      <c r="B6445" s="2" t="s">
        <v>210</v>
      </c>
      <c r="C6445" s="2">
        <v>0.56000000000000005</v>
      </c>
      <c r="D6445" s="2">
        <v>1.43E-2</v>
      </c>
      <c r="E6445" s="2">
        <v>8.0080000000000006E-5</v>
      </c>
      <c r="F6445" s="2" t="s">
        <v>170</v>
      </c>
    </row>
    <row r="6446" spans="1:6" ht="22.5" hidden="1" customHeight="1" x14ac:dyDescent="0.25">
      <c r="A6446" s="3">
        <v>44378</v>
      </c>
      <c r="B6446" s="2" t="s">
        <v>211</v>
      </c>
      <c r="C6446" s="2">
        <v>0.64</v>
      </c>
      <c r="D6446" s="2">
        <v>0.1991</v>
      </c>
      <c r="E6446" s="2">
        <v>1.2742400000000001E-3</v>
      </c>
      <c r="F6446" s="2" t="s">
        <v>174</v>
      </c>
    </row>
    <row r="6447" spans="1:6" ht="22.5" hidden="1" customHeight="1" x14ac:dyDescent="0.25">
      <c r="A6447" s="3">
        <v>44378</v>
      </c>
      <c r="B6447" s="2" t="s">
        <v>212</v>
      </c>
      <c r="C6447" s="2">
        <v>0.3</v>
      </c>
      <c r="D6447" s="2">
        <v>4.4999999999999997E-3</v>
      </c>
      <c r="E6447" s="2">
        <v>1.3499999999999999E-5</v>
      </c>
      <c r="F6447" s="2" t="s">
        <v>174</v>
      </c>
    </row>
    <row r="6448" spans="1:6" ht="22.5" hidden="1" customHeight="1" x14ac:dyDescent="0.25">
      <c r="A6448" s="3">
        <v>44378</v>
      </c>
      <c r="B6448" s="2" t="s">
        <v>213</v>
      </c>
      <c r="C6448" s="2">
        <v>0.93</v>
      </c>
      <c r="D6448" s="2">
        <v>0.35039999999999999</v>
      </c>
      <c r="E6448" s="2">
        <v>3.2587200000000001E-3</v>
      </c>
      <c r="F6448" s="2" t="s">
        <v>170</v>
      </c>
    </row>
    <row r="6449" spans="1:6" ht="22.5" hidden="1" customHeight="1" x14ac:dyDescent="0.25">
      <c r="A6449" s="3">
        <v>44378</v>
      </c>
      <c r="B6449" s="2" t="s">
        <v>214</v>
      </c>
      <c r="C6449" s="2">
        <v>0.24</v>
      </c>
      <c r="D6449" s="2">
        <v>0.1018</v>
      </c>
      <c r="E6449" s="2">
        <v>2.4432000000000002E-4</v>
      </c>
      <c r="F6449" s="2" t="s">
        <v>170</v>
      </c>
    </row>
    <row r="6450" spans="1:6" ht="22.5" hidden="1" customHeight="1" x14ac:dyDescent="0.25">
      <c r="A6450" s="3">
        <v>44378</v>
      </c>
      <c r="B6450" s="2" t="s">
        <v>215</v>
      </c>
      <c r="C6450" s="2">
        <v>1.27</v>
      </c>
      <c r="D6450" s="2">
        <v>0.2482</v>
      </c>
      <c r="E6450" s="2">
        <v>3.1521399999999999E-3</v>
      </c>
      <c r="F6450" s="2" t="s">
        <v>170</v>
      </c>
    </row>
    <row r="6451" spans="1:6" ht="22.5" hidden="1" customHeight="1" x14ac:dyDescent="0.25">
      <c r="A6451" s="3">
        <v>44378</v>
      </c>
      <c r="B6451" s="2" t="s">
        <v>216</v>
      </c>
      <c r="C6451" s="2">
        <v>0.77</v>
      </c>
      <c r="D6451" s="2">
        <v>1.4500000000000001E-2</v>
      </c>
      <c r="E6451" s="2">
        <v>1.1165E-4</v>
      </c>
      <c r="F6451" s="2" t="s">
        <v>170</v>
      </c>
    </row>
    <row r="6452" spans="1:6" ht="22.5" hidden="1" customHeight="1" x14ac:dyDescent="0.25">
      <c r="A6452" s="3">
        <v>44378</v>
      </c>
      <c r="B6452" s="2" t="s">
        <v>217</v>
      </c>
      <c r="C6452" s="2">
        <v>2.4700000000000002</v>
      </c>
      <c r="D6452" s="2">
        <v>0.1623</v>
      </c>
      <c r="E6452" s="2">
        <v>4.0088099999999998E-3</v>
      </c>
      <c r="F6452" s="2" t="s">
        <v>170</v>
      </c>
    </row>
    <row r="6453" spans="1:6" ht="22.5" hidden="1" customHeight="1" x14ac:dyDescent="0.25">
      <c r="A6453" s="3">
        <v>44378</v>
      </c>
      <c r="B6453" s="2" t="s">
        <v>218</v>
      </c>
      <c r="C6453" s="2">
        <v>0.36</v>
      </c>
      <c r="D6453" s="2">
        <v>7.7000000000000002E-3</v>
      </c>
      <c r="E6453" s="2">
        <v>2.7719999999999999E-5</v>
      </c>
      <c r="F6453" s="2" t="s">
        <v>170</v>
      </c>
    </row>
    <row r="6454" spans="1:6" ht="22.5" hidden="1" customHeight="1" x14ac:dyDescent="0.25">
      <c r="A6454" s="3">
        <v>44378</v>
      </c>
      <c r="B6454" s="2" t="s">
        <v>219</v>
      </c>
      <c r="C6454" s="2">
        <v>1.43</v>
      </c>
      <c r="D6454" s="2">
        <v>0.52569999999999995</v>
      </c>
      <c r="E6454" s="2">
        <v>7.5175099999999998E-3</v>
      </c>
      <c r="F6454" s="2" t="s">
        <v>170</v>
      </c>
    </row>
    <row r="6455" spans="1:6" ht="22.5" hidden="1" customHeight="1" x14ac:dyDescent="0.25">
      <c r="A6455" s="3">
        <v>44378</v>
      </c>
      <c r="B6455" s="2" t="s">
        <v>220</v>
      </c>
      <c r="C6455" s="2">
        <v>-0.74</v>
      </c>
      <c r="D6455" s="2">
        <v>1.0699999999999999E-2</v>
      </c>
      <c r="E6455" s="2">
        <v>-7.9179999999999997E-5</v>
      </c>
      <c r="F6455" s="2" t="s">
        <v>170</v>
      </c>
    </row>
    <row r="6456" spans="1:6" ht="22.5" hidden="1" customHeight="1" x14ac:dyDescent="0.25">
      <c r="A6456" s="3">
        <v>44378</v>
      </c>
      <c r="B6456" s="2" t="s">
        <v>221</v>
      </c>
      <c r="C6456" s="2">
        <v>1.46</v>
      </c>
      <c r="D6456" s="2">
        <v>3.7000000000000002E-3</v>
      </c>
      <c r="E6456" s="2">
        <v>5.4020000000000001E-5</v>
      </c>
      <c r="F6456" s="2" t="s">
        <v>170</v>
      </c>
    </row>
    <row r="6457" spans="1:6" ht="22.5" hidden="1" customHeight="1" x14ac:dyDescent="0.25">
      <c r="A6457" s="3">
        <v>44378</v>
      </c>
      <c r="B6457" s="2" t="s">
        <v>222</v>
      </c>
      <c r="C6457" s="2">
        <v>0.93</v>
      </c>
      <c r="D6457" s="2">
        <v>0.3463</v>
      </c>
      <c r="E6457" s="2">
        <v>3.2205900000000002E-3</v>
      </c>
      <c r="F6457" s="2" t="s">
        <v>170</v>
      </c>
    </row>
    <row r="6458" spans="1:6" ht="22.5" hidden="1" customHeight="1" x14ac:dyDescent="0.25">
      <c r="A6458" s="3">
        <v>44378</v>
      </c>
      <c r="B6458" s="2" t="s">
        <v>223</v>
      </c>
      <c r="C6458" s="2">
        <v>1.53</v>
      </c>
      <c r="D6458" s="2">
        <v>1.61E-2</v>
      </c>
      <c r="E6458" s="2">
        <v>2.4633000000000001E-4</v>
      </c>
      <c r="F6458" s="2" t="s">
        <v>165</v>
      </c>
    </row>
    <row r="6459" spans="1:6" ht="22.5" hidden="1" customHeight="1" x14ac:dyDescent="0.25">
      <c r="A6459" s="3">
        <v>44378</v>
      </c>
      <c r="B6459" s="2" t="s">
        <v>224</v>
      </c>
      <c r="C6459" s="2">
        <v>-1.07</v>
      </c>
      <c r="D6459" s="2">
        <v>2.0999999999999999E-3</v>
      </c>
      <c r="E6459" s="2">
        <v>-2.247E-5</v>
      </c>
      <c r="F6459" s="2" t="s">
        <v>165</v>
      </c>
    </row>
    <row r="6460" spans="1:6" ht="22.5" hidden="1" customHeight="1" x14ac:dyDescent="0.25">
      <c r="A6460" s="3">
        <v>44378</v>
      </c>
      <c r="B6460" s="2" t="s">
        <v>225</v>
      </c>
      <c r="C6460" s="2">
        <v>-0.8</v>
      </c>
      <c r="D6460" s="2">
        <v>4.7000000000000002E-3</v>
      </c>
      <c r="E6460" s="2">
        <v>-3.7599999999999999E-5</v>
      </c>
      <c r="F6460" s="2" t="s">
        <v>165</v>
      </c>
    </row>
    <row r="6461" spans="1:6" ht="22.5" hidden="1" customHeight="1" x14ac:dyDescent="0.25">
      <c r="A6461" s="3">
        <v>44378</v>
      </c>
      <c r="B6461" s="2" t="s">
        <v>226</v>
      </c>
      <c r="C6461" s="2">
        <v>1.66</v>
      </c>
      <c r="D6461" s="2">
        <v>4.65E-2</v>
      </c>
      <c r="E6461" s="2">
        <v>7.7189999999999995E-4</v>
      </c>
      <c r="F6461" s="2" t="s">
        <v>165</v>
      </c>
    </row>
    <row r="6462" spans="1:6" ht="22.5" hidden="1" customHeight="1" x14ac:dyDescent="0.25">
      <c r="A6462" s="3">
        <v>44378</v>
      </c>
      <c r="B6462" s="2" t="s">
        <v>227</v>
      </c>
      <c r="C6462" s="2">
        <v>1.62</v>
      </c>
      <c r="D6462" s="2">
        <v>6.3600000000000004E-2</v>
      </c>
      <c r="E6462" s="2">
        <v>1.0303199999999999E-3</v>
      </c>
      <c r="F6462" s="2" t="s">
        <v>165</v>
      </c>
    </row>
    <row r="6463" spans="1:6" ht="22.5" hidden="1" customHeight="1" x14ac:dyDescent="0.25">
      <c r="A6463" s="3">
        <v>44378</v>
      </c>
      <c r="B6463" s="2" t="s">
        <v>228</v>
      </c>
      <c r="C6463" s="2">
        <v>2.4300000000000002</v>
      </c>
      <c r="D6463" s="2">
        <v>0.19239999999999999</v>
      </c>
      <c r="E6463" s="2">
        <v>4.6753200000000002E-3</v>
      </c>
      <c r="F6463" s="2" t="s">
        <v>165</v>
      </c>
    </row>
    <row r="6464" spans="1:6" ht="22.5" hidden="1" customHeight="1" x14ac:dyDescent="0.25">
      <c r="A6464" s="3">
        <v>44378</v>
      </c>
      <c r="B6464" s="2" t="s">
        <v>229</v>
      </c>
      <c r="C6464" s="2">
        <v>1.63</v>
      </c>
      <c r="D6464" s="2">
        <v>0.2782</v>
      </c>
      <c r="E6464" s="2">
        <v>4.5346600000000003E-3</v>
      </c>
      <c r="F6464" s="2" t="s">
        <v>174</v>
      </c>
    </row>
    <row r="6465" spans="1:6" ht="22.5" hidden="1" customHeight="1" x14ac:dyDescent="0.25">
      <c r="A6465" s="3">
        <v>44378</v>
      </c>
      <c r="B6465" s="2" t="s">
        <v>230</v>
      </c>
      <c r="C6465" s="2">
        <v>0.61</v>
      </c>
      <c r="D6465" s="2">
        <v>2.2100000000000002E-2</v>
      </c>
      <c r="E6465" s="2">
        <v>1.3480999999999999E-4</v>
      </c>
      <c r="F6465" s="2" t="s">
        <v>174</v>
      </c>
    </row>
    <row r="6466" spans="1:6" ht="22.5" hidden="1" customHeight="1" x14ac:dyDescent="0.25">
      <c r="A6466" s="3">
        <v>44378</v>
      </c>
      <c r="B6466" s="2" t="s">
        <v>231</v>
      </c>
      <c r="C6466" s="2">
        <v>1.49</v>
      </c>
      <c r="D6466" s="2">
        <v>0.1643</v>
      </c>
      <c r="E6466" s="2">
        <v>2.4480700000000001E-3</v>
      </c>
      <c r="F6466" s="2" t="s">
        <v>174</v>
      </c>
    </row>
    <row r="6467" spans="1:6" ht="22.5" hidden="1" customHeight="1" x14ac:dyDescent="0.25">
      <c r="A6467" s="3">
        <v>44378</v>
      </c>
      <c r="B6467" s="2" t="s">
        <v>232</v>
      </c>
      <c r="C6467" s="2">
        <v>3.41</v>
      </c>
      <c r="D6467" s="2">
        <v>5.5999999999999999E-3</v>
      </c>
      <c r="E6467" s="2">
        <v>1.9096E-4</v>
      </c>
      <c r="F6467" s="2" t="s">
        <v>174</v>
      </c>
    </row>
    <row r="6468" spans="1:6" ht="22.5" hidden="1" customHeight="1" x14ac:dyDescent="0.25">
      <c r="A6468" s="3">
        <v>44378</v>
      </c>
      <c r="B6468" s="2" t="s">
        <v>233</v>
      </c>
      <c r="C6468" s="2">
        <v>0.88</v>
      </c>
      <c r="D6468" s="2">
        <v>0.55649999999999999</v>
      </c>
      <c r="E6468" s="2">
        <v>4.8972E-3</v>
      </c>
      <c r="F6468" s="2" t="s">
        <v>174</v>
      </c>
    </row>
    <row r="6469" spans="1:6" ht="22.5" hidden="1" customHeight="1" x14ac:dyDescent="0.25">
      <c r="A6469" s="3">
        <v>44378</v>
      </c>
      <c r="B6469" s="2" t="s">
        <v>234</v>
      </c>
      <c r="C6469" s="2">
        <v>1.1200000000000001</v>
      </c>
      <c r="D6469" s="2">
        <v>0.29899999999999999</v>
      </c>
      <c r="E6469" s="2">
        <v>3.3487999999999999E-3</v>
      </c>
      <c r="F6469" s="2" t="s">
        <v>174</v>
      </c>
    </row>
    <row r="6470" spans="1:6" ht="22.5" hidden="1" customHeight="1" x14ac:dyDescent="0.25">
      <c r="A6470" s="3">
        <v>44378</v>
      </c>
      <c r="B6470" s="2" t="s">
        <v>235</v>
      </c>
      <c r="C6470" s="2">
        <v>1.56</v>
      </c>
      <c r="D6470" s="2">
        <v>2.53E-2</v>
      </c>
      <c r="E6470" s="2">
        <v>3.9468000000000001E-4</v>
      </c>
      <c r="F6470" s="2" t="s">
        <v>174</v>
      </c>
    </row>
    <row r="6471" spans="1:6" ht="22.5" hidden="1" customHeight="1" x14ac:dyDescent="0.25">
      <c r="A6471" s="3">
        <v>44378</v>
      </c>
      <c r="B6471" s="2" t="s">
        <v>236</v>
      </c>
      <c r="C6471" s="2">
        <v>-0.84</v>
      </c>
      <c r="D6471" s="2">
        <v>7.0000000000000001E-3</v>
      </c>
      <c r="E6471" s="2">
        <v>-5.8799999999999999E-5</v>
      </c>
      <c r="F6471" s="2" t="s">
        <v>174</v>
      </c>
    </row>
    <row r="6472" spans="1:6" ht="22.5" hidden="1" customHeight="1" x14ac:dyDescent="0.25">
      <c r="A6472" s="3">
        <v>44378</v>
      </c>
      <c r="B6472" s="2" t="s">
        <v>237</v>
      </c>
      <c r="C6472" s="2">
        <v>-0.8</v>
      </c>
      <c r="D6472" s="2">
        <v>0.28110000000000002</v>
      </c>
      <c r="E6472" s="2">
        <v>-2.2488E-3</v>
      </c>
      <c r="F6472" s="2" t="s">
        <v>174</v>
      </c>
    </row>
    <row r="6473" spans="1:6" ht="22.5" hidden="1" customHeight="1" x14ac:dyDescent="0.25">
      <c r="A6473" s="3">
        <v>44378</v>
      </c>
      <c r="B6473" s="2" t="s">
        <v>238</v>
      </c>
      <c r="C6473" s="2">
        <v>-0.16</v>
      </c>
      <c r="D6473" s="2">
        <v>0.4985</v>
      </c>
      <c r="E6473" s="2">
        <v>-7.9759999999999998E-4</v>
      </c>
      <c r="F6473" s="2" t="s">
        <v>174</v>
      </c>
    </row>
    <row r="6474" spans="1:6" ht="22.5" hidden="1" customHeight="1" x14ac:dyDescent="0.25">
      <c r="A6474" s="3">
        <v>44378</v>
      </c>
      <c r="B6474" s="2" t="s">
        <v>239</v>
      </c>
      <c r="C6474" s="2">
        <v>1.84</v>
      </c>
      <c r="D6474" s="2">
        <v>0.1077</v>
      </c>
      <c r="E6474" s="2">
        <v>1.98168E-3</v>
      </c>
      <c r="F6474" s="2" t="s">
        <v>174</v>
      </c>
    </row>
    <row r="6475" spans="1:6" ht="22.5" hidden="1" customHeight="1" x14ac:dyDescent="0.25">
      <c r="A6475" s="3">
        <v>44378</v>
      </c>
      <c r="B6475" s="2" t="s">
        <v>240</v>
      </c>
      <c r="C6475" s="2">
        <v>-1.75</v>
      </c>
      <c r="D6475" s="2">
        <v>6.2300000000000001E-2</v>
      </c>
      <c r="E6475" s="2">
        <v>-1.0902500000000001E-3</v>
      </c>
      <c r="F6475" s="2" t="s">
        <v>174</v>
      </c>
    </row>
    <row r="6476" spans="1:6" ht="22.5" hidden="1" customHeight="1" x14ac:dyDescent="0.25">
      <c r="A6476" s="3">
        <v>44378</v>
      </c>
      <c r="B6476" s="2" t="s">
        <v>241</v>
      </c>
      <c r="C6476" s="2">
        <v>2.15</v>
      </c>
      <c r="D6476" s="2">
        <v>8.5099999999999995E-2</v>
      </c>
      <c r="E6476" s="2">
        <v>1.8296499999999999E-3</v>
      </c>
      <c r="F6476" s="2" t="s">
        <v>174</v>
      </c>
    </row>
    <row r="6477" spans="1:6" ht="22.5" hidden="1" customHeight="1" x14ac:dyDescent="0.25">
      <c r="A6477" s="3">
        <v>44378</v>
      </c>
      <c r="B6477" s="2" t="s">
        <v>242</v>
      </c>
      <c r="C6477" s="2">
        <v>0.71</v>
      </c>
      <c r="D6477" s="2">
        <v>7.3200000000000001E-2</v>
      </c>
      <c r="E6477" s="2">
        <v>5.1971999999999999E-4</v>
      </c>
      <c r="F6477" s="2" t="s">
        <v>174</v>
      </c>
    </row>
    <row r="6478" spans="1:6" ht="22.5" hidden="1" customHeight="1" x14ac:dyDescent="0.25">
      <c r="A6478" s="3">
        <v>44378</v>
      </c>
      <c r="B6478" s="2" t="s">
        <v>243</v>
      </c>
      <c r="C6478" s="2">
        <v>0.04</v>
      </c>
      <c r="D6478" s="2">
        <v>8.0000000000000002E-3</v>
      </c>
      <c r="E6478" s="2">
        <v>3.1999999999999999E-6</v>
      </c>
      <c r="F6478" s="2" t="s">
        <v>174</v>
      </c>
    </row>
    <row r="6479" spans="1:6" ht="22.5" hidden="1" customHeight="1" x14ac:dyDescent="0.25">
      <c r="A6479" s="3">
        <v>44378</v>
      </c>
      <c r="B6479" s="2" t="s">
        <v>244</v>
      </c>
      <c r="C6479" s="2">
        <v>-2.2200000000000002</v>
      </c>
      <c r="D6479" s="2">
        <v>4.9700000000000001E-2</v>
      </c>
      <c r="E6479" s="2">
        <v>-1.10334E-3</v>
      </c>
      <c r="F6479" s="2" t="s">
        <v>174</v>
      </c>
    </row>
    <row r="6480" spans="1:6" ht="22.5" hidden="1" customHeight="1" x14ac:dyDescent="0.25">
      <c r="A6480" s="3">
        <v>44378</v>
      </c>
      <c r="B6480" s="2" t="s">
        <v>245</v>
      </c>
      <c r="C6480" s="2">
        <v>-2.23</v>
      </c>
      <c r="D6480" s="2">
        <v>4.9799999999999997E-2</v>
      </c>
      <c r="E6480" s="2">
        <v>-1.1105399999999999E-3</v>
      </c>
      <c r="F6480" s="2" t="s">
        <v>174</v>
      </c>
    </row>
    <row r="6481" spans="1:6" ht="22.5" hidden="1" customHeight="1" x14ac:dyDescent="0.25">
      <c r="A6481" s="3">
        <v>44378</v>
      </c>
      <c r="B6481" s="2" t="s">
        <v>246</v>
      </c>
      <c r="C6481" s="2">
        <v>-0.78</v>
      </c>
      <c r="D6481" s="2">
        <v>0.184</v>
      </c>
      <c r="E6481" s="2">
        <v>-1.4352E-3</v>
      </c>
      <c r="F6481" s="2" t="s">
        <v>174</v>
      </c>
    </row>
    <row r="6482" spans="1:6" ht="22.5" hidden="1" customHeight="1" x14ac:dyDescent="0.25">
      <c r="A6482" s="3">
        <v>44378</v>
      </c>
      <c r="B6482" s="2" t="s">
        <v>247</v>
      </c>
      <c r="C6482" s="2">
        <v>-0.72</v>
      </c>
      <c r="D6482" s="2">
        <v>0.12989999999999999</v>
      </c>
      <c r="E6482" s="2">
        <v>-9.3528000000000003E-4</v>
      </c>
      <c r="F6482" s="2" t="s">
        <v>174</v>
      </c>
    </row>
    <row r="6483" spans="1:6" ht="22.5" hidden="1" customHeight="1" x14ac:dyDescent="0.25">
      <c r="A6483" s="3">
        <v>44378</v>
      </c>
      <c r="B6483" s="2" t="s">
        <v>248</v>
      </c>
      <c r="C6483" s="2">
        <v>1.17</v>
      </c>
      <c r="D6483" s="2">
        <v>0.1449</v>
      </c>
      <c r="E6483" s="2">
        <v>1.6953300000000001E-3</v>
      </c>
      <c r="F6483" s="2" t="s">
        <v>174</v>
      </c>
    </row>
    <row r="6484" spans="1:6" ht="22.5" hidden="1" customHeight="1" x14ac:dyDescent="0.25">
      <c r="A6484" s="3">
        <v>44378</v>
      </c>
      <c r="B6484" s="2" t="s">
        <v>249</v>
      </c>
      <c r="C6484" s="2">
        <v>2.29</v>
      </c>
      <c r="D6484" s="2">
        <v>0.25900000000000001</v>
      </c>
      <c r="E6484" s="2">
        <v>5.9310999999999999E-3</v>
      </c>
      <c r="F6484" s="2" t="s">
        <v>174</v>
      </c>
    </row>
    <row r="6485" spans="1:6" ht="22.5" hidden="1" customHeight="1" x14ac:dyDescent="0.25">
      <c r="A6485" s="3">
        <v>44378</v>
      </c>
      <c r="B6485" s="2" t="s">
        <v>250</v>
      </c>
      <c r="C6485" s="2">
        <v>-0.13</v>
      </c>
      <c r="D6485" s="2">
        <v>2.5399999999999999E-2</v>
      </c>
      <c r="E6485" s="2">
        <v>-3.3019999999999999E-5</v>
      </c>
      <c r="F6485" s="2" t="s">
        <v>174</v>
      </c>
    </row>
    <row r="6486" spans="1:6" ht="22.5" hidden="1" customHeight="1" x14ac:dyDescent="0.25">
      <c r="A6486" s="3">
        <v>44378</v>
      </c>
      <c r="B6486" s="2" t="s">
        <v>251</v>
      </c>
      <c r="C6486" s="2">
        <v>-0.16</v>
      </c>
      <c r="D6486" s="2">
        <v>6.0100000000000001E-2</v>
      </c>
      <c r="E6486" s="2">
        <v>-9.6160000000000001E-5</v>
      </c>
      <c r="F6486" s="2" t="s">
        <v>174</v>
      </c>
    </row>
    <row r="6487" spans="1:6" ht="22.5" hidden="1" customHeight="1" x14ac:dyDescent="0.25">
      <c r="A6487" s="3">
        <v>44378</v>
      </c>
      <c r="B6487" s="2" t="s">
        <v>252</v>
      </c>
      <c r="C6487" s="2">
        <v>-0.55000000000000004</v>
      </c>
      <c r="D6487" s="2">
        <v>8.2000000000000007E-3</v>
      </c>
      <c r="E6487" s="2">
        <v>-4.5099999999999998E-5</v>
      </c>
      <c r="F6487" s="2" t="s">
        <v>174</v>
      </c>
    </row>
    <row r="6488" spans="1:6" ht="22.5" hidden="1" customHeight="1" x14ac:dyDescent="0.25">
      <c r="A6488" s="3">
        <v>44378</v>
      </c>
      <c r="B6488" s="2" t="s">
        <v>253</v>
      </c>
      <c r="C6488" s="2">
        <v>1.07</v>
      </c>
      <c r="D6488" s="2">
        <v>0.43590000000000001</v>
      </c>
      <c r="E6488" s="2">
        <v>4.6641299999999998E-3</v>
      </c>
      <c r="F6488" s="2" t="s">
        <v>174</v>
      </c>
    </row>
    <row r="6489" spans="1:6" ht="22.5" hidden="1" customHeight="1" x14ac:dyDescent="0.25">
      <c r="A6489" s="3">
        <v>44378</v>
      </c>
      <c r="B6489" s="2" t="s">
        <v>254</v>
      </c>
      <c r="C6489" s="2">
        <v>-0.22</v>
      </c>
      <c r="D6489" s="2">
        <v>0.1792</v>
      </c>
      <c r="E6489" s="2">
        <v>-3.9424000000000002E-4</v>
      </c>
      <c r="F6489" s="2" t="s">
        <v>174</v>
      </c>
    </row>
    <row r="6490" spans="1:6" ht="22.5" hidden="1" customHeight="1" x14ac:dyDescent="0.25">
      <c r="A6490" s="3">
        <v>44378</v>
      </c>
      <c r="B6490" s="2" t="s">
        <v>255</v>
      </c>
      <c r="C6490" s="2">
        <v>0.2</v>
      </c>
      <c r="D6490" s="2">
        <v>1.61E-2</v>
      </c>
      <c r="E6490" s="2">
        <v>3.2199999999999997E-5</v>
      </c>
      <c r="F6490" s="2" t="s">
        <v>170</v>
      </c>
    </row>
    <row r="6491" spans="1:6" ht="22.5" hidden="1" customHeight="1" x14ac:dyDescent="0.25">
      <c r="A6491" s="3">
        <v>44378</v>
      </c>
      <c r="B6491" s="2" t="s">
        <v>256</v>
      </c>
      <c r="C6491" s="2">
        <v>0.83</v>
      </c>
      <c r="D6491" s="2">
        <v>0.1537</v>
      </c>
      <c r="E6491" s="2">
        <v>1.27571E-3</v>
      </c>
      <c r="F6491" s="2" t="s">
        <v>170</v>
      </c>
    </row>
    <row r="6492" spans="1:6" ht="22.5" hidden="1" customHeight="1" x14ac:dyDescent="0.25">
      <c r="A6492" s="3">
        <v>44378</v>
      </c>
      <c r="B6492" s="2" t="s">
        <v>257</v>
      </c>
      <c r="C6492" s="2">
        <v>-0.3</v>
      </c>
      <c r="D6492" s="2">
        <v>5.1299999999999998E-2</v>
      </c>
      <c r="E6492" s="2">
        <v>-1.539E-4</v>
      </c>
      <c r="F6492" s="2" t="s">
        <v>170</v>
      </c>
    </row>
    <row r="6493" spans="1:6" ht="22.5" hidden="1" customHeight="1" x14ac:dyDescent="0.25">
      <c r="A6493" s="3">
        <v>44378</v>
      </c>
      <c r="B6493" s="2" t="s">
        <v>258</v>
      </c>
      <c r="C6493" s="2">
        <v>0.93</v>
      </c>
      <c r="D6493" s="2">
        <v>4.5999999999999999E-2</v>
      </c>
      <c r="E6493" s="2">
        <v>4.2779999999999999E-4</v>
      </c>
      <c r="F6493" s="2" t="s">
        <v>174</v>
      </c>
    </row>
    <row r="6494" spans="1:6" ht="22.5" hidden="1" customHeight="1" x14ac:dyDescent="0.25">
      <c r="A6494" s="3">
        <v>44378</v>
      </c>
      <c r="B6494" s="2" t="s">
        <v>259</v>
      </c>
      <c r="C6494" s="2">
        <v>0.96</v>
      </c>
      <c r="D6494" s="2">
        <v>0.01</v>
      </c>
      <c r="E6494" s="2">
        <v>9.6000000000000002E-5</v>
      </c>
      <c r="F6494" s="2" t="s">
        <v>174</v>
      </c>
    </row>
    <row r="6495" spans="1:6" ht="22.5" hidden="1" customHeight="1" x14ac:dyDescent="0.25">
      <c r="A6495" s="3">
        <v>44470</v>
      </c>
      <c r="B6495" s="2" t="s">
        <v>365</v>
      </c>
      <c r="C6495" s="2">
        <v>0</v>
      </c>
      <c r="D6495" s="2">
        <v>6.5299999999999997E-2</v>
      </c>
      <c r="E6495" s="2">
        <v>0</v>
      </c>
      <c r="F6495" s="2" t="s">
        <v>168</v>
      </c>
    </row>
    <row r="6496" spans="1:6" ht="22.5" hidden="1" customHeight="1" x14ac:dyDescent="0.25">
      <c r="A6496" s="3">
        <v>44470</v>
      </c>
      <c r="B6496" s="2" t="s">
        <v>367</v>
      </c>
      <c r="C6496" s="2">
        <v>0</v>
      </c>
      <c r="D6496" s="2">
        <v>1.46</v>
      </c>
      <c r="E6496" s="2">
        <v>0</v>
      </c>
      <c r="F6496" s="2" t="s">
        <v>168</v>
      </c>
    </row>
    <row r="6497" spans="1:6" ht="22.5" hidden="1" customHeight="1" x14ac:dyDescent="0.25">
      <c r="A6497" s="3">
        <v>44501</v>
      </c>
      <c r="B6497" s="2" t="s">
        <v>260</v>
      </c>
      <c r="C6497" s="2">
        <v>0</v>
      </c>
      <c r="D6497" s="2">
        <v>1.2572000000000001</v>
      </c>
      <c r="E6497" s="2">
        <v>0</v>
      </c>
      <c r="F6497" s="2" t="s">
        <v>168</v>
      </c>
    </row>
    <row r="6498" spans="1:6" ht="22.5" hidden="1" customHeight="1" x14ac:dyDescent="0.25">
      <c r="A6498" s="3">
        <v>44501</v>
      </c>
      <c r="B6498" s="2" t="s">
        <v>261</v>
      </c>
      <c r="C6498" s="2">
        <v>0</v>
      </c>
      <c r="D6498" s="2">
        <v>0.17960000000000001</v>
      </c>
      <c r="E6498" s="2">
        <v>0</v>
      </c>
      <c r="F6498" s="2" t="s">
        <v>168</v>
      </c>
    </row>
    <row r="6499" spans="1:6" ht="22.5" hidden="1" customHeight="1" x14ac:dyDescent="0.25">
      <c r="A6499" s="3">
        <v>44501</v>
      </c>
      <c r="B6499" s="2" t="s">
        <v>262</v>
      </c>
      <c r="C6499" s="2">
        <v>0</v>
      </c>
      <c r="D6499" s="2">
        <v>3.6799999999999999E-2</v>
      </c>
      <c r="E6499" s="2">
        <v>0</v>
      </c>
      <c r="F6499" s="2" t="s">
        <v>168</v>
      </c>
    </row>
    <row r="6500" spans="1:6" ht="22.5" hidden="1" customHeight="1" x14ac:dyDescent="0.25">
      <c r="A6500" s="3">
        <v>44501</v>
      </c>
      <c r="B6500" s="2" t="s">
        <v>266</v>
      </c>
      <c r="C6500" s="2">
        <v>0</v>
      </c>
      <c r="D6500" s="2">
        <v>7.0499999999999993E-2</v>
      </c>
      <c r="E6500" s="2">
        <v>0</v>
      </c>
      <c r="F6500" s="2" t="s">
        <v>168</v>
      </c>
    </row>
    <row r="6501" spans="1:6" ht="22.5" hidden="1" customHeight="1" x14ac:dyDescent="0.25">
      <c r="A6501" s="3">
        <v>44501</v>
      </c>
      <c r="B6501" s="2" t="s">
        <v>273</v>
      </c>
      <c r="C6501" s="2">
        <v>0</v>
      </c>
      <c r="D6501" s="2">
        <v>0.1125</v>
      </c>
      <c r="E6501" s="2">
        <v>0</v>
      </c>
      <c r="F6501" s="2" t="s">
        <v>168</v>
      </c>
    </row>
    <row r="6502" spans="1:6" ht="22.5" hidden="1" customHeight="1" x14ac:dyDescent="0.25">
      <c r="A6502" s="3">
        <v>44378</v>
      </c>
      <c r="B6502" s="2" t="s">
        <v>267</v>
      </c>
      <c r="C6502" s="2">
        <v>-0.56000000000000005</v>
      </c>
      <c r="D6502" s="2">
        <v>0.12690000000000001</v>
      </c>
      <c r="E6502" s="2">
        <v>-7.1064000000000001E-4</v>
      </c>
      <c r="F6502" s="2" t="s">
        <v>165</v>
      </c>
    </row>
    <row r="6503" spans="1:6" ht="22.5" hidden="1" customHeight="1" x14ac:dyDescent="0.25">
      <c r="A6503" s="3">
        <v>44378</v>
      </c>
      <c r="B6503" s="2" t="s">
        <v>268</v>
      </c>
      <c r="C6503" s="2">
        <v>0.1</v>
      </c>
      <c r="D6503" s="2">
        <v>0.15340000000000001</v>
      </c>
      <c r="E6503" s="2">
        <v>1.5339999999999999E-4</v>
      </c>
      <c r="F6503" s="2" t="s">
        <v>165</v>
      </c>
    </row>
    <row r="6504" spans="1:6" ht="22.5" hidden="1" customHeight="1" x14ac:dyDescent="0.25">
      <c r="A6504" s="3">
        <v>44378</v>
      </c>
      <c r="B6504" s="2" t="s">
        <v>269</v>
      </c>
      <c r="C6504" s="2">
        <v>0</v>
      </c>
      <c r="D6504" s="2">
        <v>6.5799999999999997E-2</v>
      </c>
      <c r="E6504" s="2">
        <v>0</v>
      </c>
      <c r="F6504" s="2" t="s">
        <v>165</v>
      </c>
    </row>
    <row r="6505" spans="1:6" ht="22.5" hidden="1" customHeight="1" x14ac:dyDescent="0.25">
      <c r="A6505" s="3">
        <v>44378</v>
      </c>
      <c r="B6505" s="2" t="s">
        <v>270</v>
      </c>
      <c r="C6505" s="2">
        <v>0.3</v>
      </c>
      <c r="D6505" s="2">
        <v>2.9651999999999998</v>
      </c>
      <c r="E6505" s="2">
        <v>8.8956E-3</v>
      </c>
      <c r="F6505" s="2" t="s">
        <v>170</v>
      </c>
    </row>
    <row r="6506" spans="1:6" ht="22.5" hidden="1" customHeight="1" x14ac:dyDescent="0.25">
      <c r="A6506" s="3">
        <v>44501</v>
      </c>
      <c r="B6506" s="2" t="s">
        <v>340</v>
      </c>
      <c r="C6506" s="2">
        <v>0</v>
      </c>
      <c r="D6506" s="2">
        <v>0.4718</v>
      </c>
      <c r="E6506" s="2">
        <v>0</v>
      </c>
      <c r="F6506" s="2" t="s">
        <v>168</v>
      </c>
    </row>
    <row r="6507" spans="1:6" ht="22.5" hidden="1" customHeight="1" x14ac:dyDescent="0.25">
      <c r="A6507" s="3">
        <v>44378</v>
      </c>
      <c r="B6507" s="2" t="s">
        <v>272</v>
      </c>
      <c r="C6507" s="2">
        <v>1.95</v>
      </c>
      <c r="D6507" s="2">
        <v>0.69410000000000005</v>
      </c>
      <c r="E6507" s="2">
        <v>1.353495E-2</v>
      </c>
      <c r="F6507" s="2" t="s">
        <v>165</v>
      </c>
    </row>
    <row r="6508" spans="1:6" ht="22.5" hidden="1" customHeight="1" x14ac:dyDescent="0.25">
      <c r="A6508" s="3">
        <v>44501</v>
      </c>
      <c r="B6508" s="2" t="s">
        <v>365</v>
      </c>
      <c r="C6508" s="2">
        <v>0</v>
      </c>
      <c r="D6508" s="2">
        <v>6.4500000000000002E-2</v>
      </c>
      <c r="E6508" s="2">
        <v>0</v>
      </c>
      <c r="F6508" s="2" t="s">
        <v>168</v>
      </c>
    </row>
    <row r="6509" spans="1:6" ht="22.5" hidden="1" customHeight="1" x14ac:dyDescent="0.25">
      <c r="A6509" s="3">
        <v>44378</v>
      </c>
      <c r="B6509" s="2" t="s">
        <v>274</v>
      </c>
      <c r="C6509" s="2">
        <v>2.0699999999999998</v>
      </c>
      <c r="D6509" s="2">
        <v>0.1326</v>
      </c>
      <c r="E6509" s="2">
        <v>2.7448199999999998E-3</v>
      </c>
      <c r="F6509" s="2" t="s">
        <v>170</v>
      </c>
    </row>
    <row r="6510" spans="1:6" ht="22.5" hidden="1" customHeight="1" x14ac:dyDescent="0.25">
      <c r="A6510" s="3">
        <v>44378</v>
      </c>
      <c r="B6510" s="2" t="s">
        <v>275</v>
      </c>
      <c r="C6510" s="2">
        <v>0.4</v>
      </c>
      <c r="D6510" s="2">
        <v>0.17349999999999999</v>
      </c>
      <c r="E6510" s="2">
        <v>6.9399999999999996E-4</v>
      </c>
      <c r="F6510" s="2" t="s">
        <v>170</v>
      </c>
    </row>
    <row r="6511" spans="1:6" ht="22.5" hidden="1" customHeight="1" x14ac:dyDescent="0.25">
      <c r="A6511" s="3">
        <v>44378</v>
      </c>
      <c r="B6511" s="2" t="s">
        <v>276</v>
      </c>
      <c r="C6511" s="2">
        <v>2.76</v>
      </c>
      <c r="D6511" s="2">
        <v>0.24229999999999999</v>
      </c>
      <c r="E6511" s="2">
        <v>6.68748E-3</v>
      </c>
      <c r="F6511" s="2" t="s">
        <v>170</v>
      </c>
    </row>
    <row r="6512" spans="1:6" ht="22.5" hidden="1" customHeight="1" x14ac:dyDescent="0.25">
      <c r="A6512" s="3">
        <v>44378</v>
      </c>
      <c r="B6512" s="2" t="s">
        <v>277</v>
      </c>
      <c r="C6512" s="2">
        <v>0.4</v>
      </c>
      <c r="D6512" s="2">
        <v>1.6486000000000001</v>
      </c>
      <c r="E6512" s="2">
        <v>6.5944000000000003E-3</v>
      </c>
      <c r="F6512" s="2" t="s">
        <v>165</v>
      </c>
    </row>
    <row r="6513" spans="1:6" ht="22.5" hidden="1" customHeight="1" x14ac:dyDescent="0.25">
      <c r="A6513" s="3">
        <v>44378</v>
      </c>
      <c r="B6513" s="2" t="s">
        <v>278</v>
      </c>
      <c r="C6513" s="2">
        <v>1.03</v>
      </c>
      <c r="D6513" s="2">
        <v>6.6600000000000006E-2</v>
      </c>
      <c r="E6513" s="2">
        <v>6.8597999999999999E-4</v>
      </c>
      <c r="F6513" s="2" t="s">
        <v>165</v>
      </c>
    </row>
    <row r="6514" spans="1:6" ht="22.5" hidden="1" customHeight="1" x14ac:dyDescent="0.25">
      <c r="A6514" s="3">
        <v>44501</v>
      </c>
      <c r="B6514" s="2" t="s">
        <v>367</v>
      </c>
      <c r="C6514" s="2">
        <v>0</v>
      </c>
      <c r="D6514" s="2">
        <v>1.4427000000000001</v>
      </c>
      <c r="E6514" s="2">
        <v>0</v>
      </c>
      <c r="F6514" s="2" t="s">
        <v>168</v>
      </c>
    </row>
    <row r="6515" spans="1:6" ht="22.5" hidden="1" customHeight="1" x14ac:dyDescent="0.25">
      <c r="A6515" s="3">
        <v>44378</v>
      </c>
      <c r="B6515" s="2" t="s">
        <v>280</v>
      </c>
      <c r="C6515" s="2">
        <v>1.26</v>
      </c>
      <c r="D6515" s="2">
        <v>1.8732</v>
      </c>
      <c r="E6515" s="2">
        <v>2.360232E-2</v>
      </c>
      <c r="F6515" s="2" t="s">
        <v>170</v>
      </c>
    </row>
    <row r="6516" spans="1:6" ht="22.5" hidden="1" customHeight="1" x14ac:dyDescent="0.25">
      <c r="A6516" s="3">
        <v>44378</v>
      </c>
      <c r="B6516" s="2" t="s">
        <v>281</v>
      </c>
      <c r="C6516" s="2">
        <v>0.48</v>
      </c>
      <c r="D6516" s="2">
        <v>1.6500000000000001E-2</v>
      </c>
      <c r="E6516" s="2">
        <v>7.9200000000000001E-5</v>
      </c>
      <c r="F6516" s="2" t="s">
        <v>165</v>
      </c>
    </row>
    <row r="6517" spans="1:6" ht="22.5" hidden="1" customHeight="1" x14ac:dyDescent="0.25">
      <c r="A6517" s="3">
        <v>44378</v>
      </c>
      <c r="B6517" s="2" t="s">
        <v>282</v>
      </c>
      <c r="C6517" s="2">
        <v>7.35</v>
      </c>
      <c r="D6517" s="2">
        <v>2.1299999999999999E-2</v>
      </c>
      <c r="E6517" s="2">
        <v>1.56555E-3</v>
      </c>
      <c r="F6517" s="2" t="s">
        <v>165</v>
      </c>
    </row>
    <row r="6518" spans="1:6" ht="22.5" hidden="1" customHeight="1" x14ac:dyDescent="0.25">
      <c r="A6518" s="3">
        <v>44378</v>
      </c>
      <c r="B6518" s="2" t="s">
        <v>283</v>
      </c>
      <c r="C6518" s="2">
        <v>1.93</v>
      </c>
      <c r="D6518" s="2">
        <v>0.56540000000000001</v>
      </c>
      <c r="E6518" s="2">
        <v>1.091222E-2</v>
      </c>
      <c r="F6518" s="2" t="s">
        <v>170</v>
      </c>
    </row>
    <row r="6519" spans="1:6" ht="22.5" hidden="1" customHeight="1" x14ac:dyDescent="0.25">
      <c r="A6519" s="3">
        <v>44531</v>
      </c>
      <c r="B6519" s="2" t="s">
        <v>260</v>
      </c>
      <c r="C6519" s="2">
        <v>0</v>
      </c>
      <c r="D6519" s="2">
        <v>1.2423</v>
      </c>
      <c r="E6519" s="2">
        <v>0</v>
      </c>
      <c r="F6519" s="2" t="s">
        <v>168</v>
      </c>
    </row>
    <row r="6520" spans="1:6" ht="22.5" hidden="1" customHeight="1" x14ac:dyDescent="0.25">
      <c r="A6520" s="3">
        <v>44531</v>
      </c>
      <c r="B6520" s="2" t="s">
        <v>261</v>
      </c>
      <c r="C6520" s="2">
        <v>0</v>
      </c>
      <c r="D6520" s="2">
        <v>0.17749999999999999</v>
      </c>
      <c r="E6520" s="2">
        <v>0</v>
      </c>
      <c r="F6520" s="2" t="s">
        <v>168</v>
      </c>
    </row>
    <row r="6521" spans="1:6" ht="22.5" hidden="1" customHeight="1" x14ac:dyDescent="0.25">
      <c r="A6521" s="3">
        <v>44531</v>
      </c>
      <c r="B6521" s="2" t="s">
        <v>262</v>
      </c>
      <c r="C6521" s="2">
        <v>0</v>
      </c>
      <c r="D6521" s="2">
        <v>3.6400000000000002E-2</v>
      </c>
      <c r="E6521" s="2">
        <v>0</v>
      </c>
      <c r="F6521" s="2" t="s">
        <v>168</v>
      </c>
    </row>
    <row r="6522" spans="1:6" ht="22.5" hidden="1" customHeight="1" x14ac:dyDescent="0.25">
      <c r="A6522" s="3">
        <v>44531</v>
      </c>
      <c r="B6522" s="2" t="s">
        <v>266</v>
      </c>
      <c r="C6522" s="2">
        <v>0</v>
      </c>
      <c r="D6522" s="2">
        <v>6.9800000000000001E-2</v>
      </c>
      <c r="E6522" s="2">
        <v>0</v>
      </c>
      <c r="F6522" s="2" t="s">
        <v>168</v>
      </c>
    </row>
    <row r="6523" spans="1:6" ht="22.5" hidden="1" customHeight="1" x14ac:dyDescent="0.25">
      <c r="A6523" s="3">
        <v>44531</v>
      </c>
      <c r="B6523" s="2" t="s">
        <v>273</v>
      </c>
      <c r="C6523" s="2">
        <v>0</v>
      </c>
      <c r="D6523" s="2">
        <v>0.11119999999999999</v>
      </c>
      <c r="E6523" s="2">
        <v>0</v>
      </c>
      <c r="F6523" s="2" t="s">
        <v>168</v>
      </c>
    </row>
    <row r="6524" spans="1:6" ht="22.5" hidden="1" customHeight="1" x14ac:dyDescent="0.25">
      <c r="A6524" s="3">
        <v>44531</v>
      </c>
      <c r="B6524" s="2" t="s">
        <v>279</v>
      </c>
      <c r="C6524" s="2">
        <v>0</v>
      </c>
      <c r="D6524" s="2">
        <v>9.3200000000000005E-2</v>
      </c>
      <c r="E6524" s="2">
        <v>0</v>
      </c>
      <c r="F6524" s="2" t="s">
        <v>168</v>
      </c>
    </row>
    <row r="6525" spans="1:6" ht="22.5" hidden="1" customHeight="1" x14ac:dyDescent="0.25">
      <c r="A6525" s="3">
        <v>44531</v>
      </c>
      <c r="B6525" s="2" t="s">
        <v>340</v>
      </c>
      <c r="C6525" s="2">
        <v>0</v>
      </c>
      <c r="D6525" s="2">
        <v>0.46610000000000001</v>
      </c>
      <c r="E6525" s="2">
        <v>0</v>
      </c>
      <c r="F6525" s="2" t="s">
        <v>168</v>
      </c>
    </row>
    <row r="6526" spans="1:6" ht="22.5" hidden="1" customHeight="1" x14ac:dyDescent="0.25">
      <c r="A6526" s="3">
        <v>44531</v>
      </c>
      <c r="B6526" s="2" t="s">
        <v>365</v>
      </c>
      <c r="C6526" s="2">
        <v>0</v>
      </c>
      <c r="D6526" s="2">
        <v>6.3799999999999996E-2</v>
      </c>
      <c r="E6526" s="2">
        <v>0</v>
      </c>
      <c r="F6526" s="2" t="s">
        <v>168</v>
      </c>
    </row>
    <row r="6527" spans="1:6" ht="22.5" hidden="1" customHeight="1" x14ac:dyDescent="0.25">
      <c r="A6527" s="3">
        <v>44531</v>
      </c>
      <c r="B6527" s="2" t="s">
        <v>366</v>
      </c>
      <c r="C6527" s="2">
        <v>0</v>
      </c>
      <c r="D6527" s="2">
        <v>0.26740000000000003</v>
      </c>
      <c r="E6527" s="2">
        <v>0</v>
      </c>
      <c r="F6527" s="2" t="s">
        <v>168</v>
      </c>
    </row>
    <row r="6528" spans="1:6" ht="22.5" hidden="1" customHeight="1" x14ac:dyDescent="0.25">
      <c r="A6528" s="3">
        <v>44531</v>
      </c>
      <c r="B6528" s="2" t="s">
        <v>367</v>
      </c>
      <c r="C6528" s="2">
        <v>0</v>
      </c>
      <c r="D6528" s="2">
        <v>1.4259999999999999</v>
      </c>
      <c r="E6528" s="2">
        <v>0</v>
      </c>
      <c r="F6528" s="2" t="s">
        <v>168</v>
      </c>
    </row>
    <row r="6529" spans="1:6" ht="22.5" hidden="1" customHeight="1" x14ac:dyDescent="0.25">
      <c r="A6529" s="3">
        <v>44562</v>
      </c>
      <c r="B6529" s="2" t="s">
        <v>260</v>
      </c>
      <c r="C6529" s="2">
        <v>0</v>
      </c>
      <c r="D6529" s="2">
        <v>1.2330000000000001</v>
      </c>
      <c r="E6529" s="2">
        <v>0</v>
      </c>
      <c r="F6529" s="2" t="s">
        <v>168</v>
      </c>
    </row>
    <row r="6530" spans="1:6" ht="22.5" hidden="1" customHeight="1" x14ac:dyDescent="0.25">
      <c r="A6530" s="3">
        <v>44562</v>
      </c>
      <c r="B6530" s="2" t="s">
        <v>262</v>
      </c>
      <c r="C6530" s="2">
        <v>0</v>
      </c>
      <c r="D6530" s="2">
        <v>3.61E-2</v>
      </c>
      <c r="E6530" s="2">
        <v>0</v>
      </c>
      <c r="F6530" s="2" t="s">
        <v>168</v>
      </c>
    </row>
    <row r="6531" spans="1:6" ht="22.5" hidden="1" customHeight="1" x14ac:dyDescent="0.25">
      <c r="A6531" s="3">
        <v>44562</v>
      </c>
      <c r="B6531" s="2" t="s">
        <v>266</v>
      </c>
      <c r="C6531" s="2">
        <v>0</v>
      </c>
      <c r="D6531" s="2">
        <v>6.93E-2</v>
      </c>
      <c r="E6531" s="2">
        <v>0</v>
      </c>
      <c r="F6531" s="2" t="s">
        <v>168</v>
      </c>
    </row>
    <row r="6532" spans="1:6" ht="22.5" hidden="1" customHeight="1" x14ac:dyDescent="0.25">
      <c r="A6532" s="3">
        <v>44562</v>
      </c>
      <c r="B6532" s="2" t="s">
        <v>273</v>
      </c>
      <c r="C6532" s="2">
        <v>0</v>
      </c>
      <c r="D6532" s="2">
        <v>0.1103</v>
      </c>
      <c r="E6532" s="2">
        <v>0</v>
      </c>
      <c r="F6532" s="2" t="s">
        <v>168</v>
      </c>
    </row>
    <row r="6533" spans="1:6" ht="22.5" hidden="1" customHeight="1" x14ac:dyDescent="0.25">
      <c r="A6533" s="3">
        <v>44562</v>
      </c>
      <c r="B6533" s="2" t="s">
        <v>279</v>
      </c>
      <c r="C6533" s="2">
        <v>0</v>
      </c>
      <c r="D6533" s="2">
        <v>9.2399999999999996E-2</v>
      </c>
      <c r="E6533" s="2">
        <v>0</v>
      </c>
      <c r="F6533" s="2" t="s">
        <v>168</v>
      </c>
    </row>
    <row r="6534" spans="1:6" ht="22.5" hidden="1" customHeight="1" x14ac:dyDescent="0.25">
      <c r="A6534" s="3">
        <v>44562</v>
      </c>
      <c r="B6534" s="2" t="s">
        <v>340</v>
      </c>
      <c r="C6534" s="2">
        <v>0</v>
      </c>
      <c r="D6534" s="2">
        <v>0.46250000000000002</v>
      </c>
      <c r="E6534" s="2">
        <v>0</v>
      </c>
      <c r="F6534" s="2" t="s">
        <v>168</v>
      </c>
    </row>
    <row r="6535" spans="1:6" ht="22.5" hidden="1" customHeight="1" x14ac:dyDescent="0.25">
      <c r="A6535" s="3">
        <v>44562</v>
      </c>
      <c r="B6535" s="2" t="s">
        <v>365</v>
      </c>
      <c r="C6535" s="2">
        <v>0</v>
      </c>
      <c r="D6535" s="2">
        <v>6.3299999999999995E-2</v>
      </c>
      <c r="E6535" s="2">
        <v>0</v>
      </c>
      <c r="F6535" s="2" t="s">
        <v>168</v>
      </c>
    </row>
    <row r="6536" spans="1:6" ht="22.5" hidden="1" customHeight="1" x14ac:dyDescent="0.25">
      <c r="A6536" s="3">
        <v>44562</v>
      </c>
      <c r="B6536" s="2" t="s">
        <v>366</v>
      </c>
      <c r="C6536" s="2">
        <v>0</v>
      </c>
      <c r="D6536" s="2">
        <v>0.26540000000000002</v>
      </c>
      <c r="E6536" s="2">
        <v>0</v>
      </c>
      <c r="F6536" s="2" t="s">
        <v>168</v>
      </c>
    </row>
    <row r="6537" spans="1:6" ht="22.5" hidden="1" customHeight="1" x14ac:dyDescent="0.25">
      <c r="A6537" s="3">
        <v>44378</v>
      </c>
      <c r="B6537" s="2" t="s">
        <v>302</v>
      </c>
      <c r="C6537" s="2">
        <v>-1.1599999999999999</v>
      </c>
      <c r="D6537" s="2">
        <v>0.2772</v>
      </c>
      <c r="E6537" s="2">
        <v>-3.2155199999999999E-3</v>
      </c>
      <c r="F6537" s="2" t="s">
        <v>170</v>
      </c>
    </row>
    <row r="6538" spans="1:6" ht="22.5" hidden="1" customHeight="1" x14ac:dyDescent="0.25">
      <c r="A6538" s="3">
        <v>44378</v>
      </c>
      <c r="B6538" s="2" t="s">
        <v>303</v>
      </c>
      <c r="C6538" s="2">
        <v>0.31</v>
      </c>
      <c r="D6538" s="2">
        <v>0.53290000000000004</v>
      </c>
      <c r="E6538" s="2">
        <v>1.6519900000000001E-3</v>
      </c>
      <c r="F6538" s="2" t="s">
        <v>165</v>
      </c>
    </row>
    <row r="6539" spans="1:6" ht="22.5" hidden="1" customHeight="1" x14ac:dyDescent="0.25">
      <c r="A6539" s="3">
        <v>44378</v>
      </c>
      <c r="B6539" s="2" t="s">
        <v>304</v>
      </c>
      <c r="C6539" s="2">
        <v>0.11</v>
      </c>
      <c r="D6539" s="2">
        <v>0.5171</v>
      </c>
      <c r="E6539" s="2">
        <v>5.6881E-4</v>
      </c>
      <c r="F6539" s="2" t="s">
        <v>165</v>
      </c>
    </row>
    <row r="6540" spans="1:6" ht="22.5" hidden="1" customHeight="1" x14ac:dyDescent="0.25">
      <c r="A6540" s="3">
        <v>44378</v>
      </c>
      <c r="B6540" s="2" t="s">
        <v>305</v>
      </c>
      <c r="C6540" s="2">
        <v>0.35</v>
      </c>
      <c r="D6540" s="2">
        <v>1.8200000000000001E-2</v>
      </c>
      <c r="E6540" s="2">
        <v>6.3700000000000003E-5</v>
      </c>
      <c r="F6540" s="2" t="s">
        <v>170</v>
      </c>
    </row>
    <row r="6541" spans="1:6" ht="22.5" hidden="1" customHeight="1" x14ac:dyDescent="0.25">
      <c r="A6541" s="3">
        <v>44378</v>
      </c>
      <c r="B6541" s="2" t="s">
        <v>306</v>
      </c>
      <c r="C6541" s="2">
        <v>0</v>
      </c>
      <c r="D6541" s="2">
        <v>4.82E-2</v>
      </c>
      <c r="E6541" s="2">
        <v>0</v>
      </c>
      <c r="F6541" s="2" t="s">
        <v>165</v>
      </c>
    </row>
    <row r="6542" spans="1:6" ht="22.5" hidden="1" customHeight="1" x14ac:dyDescent="0.25">
      <c r="A6542" s="3">
        <v>44378</v>
      </c>
      <c r="B6542" s="2" t="s">
        <v>307</v>
      </c>
      <c r="C6542" s="2">
        <v>7.0000000000000007E-2</v>
      </c>
      <c r="D6542" s="2">
        <v>0.1067</v>
      </c>
      <c r="E6542" s="2">
        <v>7.4690000000000005E-5</v>
      </c>
      <c r="F6542" s="2" t="s">
        <v>165</v>
      </c>
    </row>
    <row r="6543" spans="1:6" ht="22.5" hidden="1" customHeight="1" x14ac:dyDescent="0.25">
      <c r="A6543" s="3">
        <v>44378</v>
      </c>
      <c r="B6543" s="2" t="s">
        <v>308</v>
      </c>
      <c r="C6543" s="2">
        <v>-0.1</v>
      </c>
      <c r="D6543" s="2">
        <v>0.36530000000000001</v>
      </c>
      <c r="E6543" s="2">
        <v>-3.6529999999999999E-4</v>
      </c>
      <c r="F6543" s="2" t="s">
        <v>165</v>
      </c>
    </row>
    <row r="6544" spans="1:6" ht="22.5" hidden="1" customHeight="1" x14ac:dyDescent="0.25">
      <c r="A6544" s="3">
        <v>44378</v>
      </c>
      <c r="B6544" s="2" t="s">
        <v>309</v>
      </c>
      <c r="C6544" s="2">
        <v>0.2</v>
      </c>
      <c r="D6544" s="2">
        <v>0.1278</v>
      </c>
      <c r="E6544" s="2">
        <v>2.5559999999999998E-4</v>
      </c>
      <c r="F6544" s="2" t="s">
        <v>165</v>
      </c>
    </row>
    <row r="6545" spans="1:6" ht="22.5" hidden="1" customHeight="1" x14ac:dyDescent="0.25">
      <c r="A6545" s="3">
        <v>44593</v>
      </c>
      <c r="B6545" s="2" t="s">
        <v>196</v>
      </c>
      <c r="C6545" s="2">
        <v>0</v>
      </c>
      <c r="D6545" s="2">
        <v>0.158</v>
      </c>
      <c r="E6545" s="2">
        <v>0</v>
      </c>
      <c r="F6545" s="2" t="s">
        <v>168</v>
      </c>
    </row>
    <row r="6546" spans="1:6" ht="22.5" hidden="1" customHeight="1" x14ac:dyDescent="0.25">
      <c r="A6546" s="3">
        <v>44378</v>
      </c>
      <c r="B6546" s="2" t="s">
        <v>311</v>
      </c>
      <c r="C6546" s="2">
        <v>0.44</v>
      </c>
      <c r="D6546" s="2">
        <v>0.59750000000000003</v>
      </c>
      <c r="E6546" s="2">
        <v>2.6289999999999998E-3</v>
      </c>
      <c r="F6546" s="2" t="s">
        <v>174</v>
      </c>
    </row>
    <row r="6547" spans="1:6" ht="22.5" hidden="1" customHeight="1" x14ac:dyDescent="0.25">
      <c r="A6547" s="3">
        <v>44378</v>
      </c>
      <c r="B6547" s="2" t="s">
        <v>312</v>
      </c>
      <c r="C6547" s="2">
        <v>-0.2</v>
      </c>
      <c r="D6547" s="2">
        <v>0.20960000000000001</v>
      </c>
      <c r="E6547" s="2">
        <v>-4.192E-4</v>
      </c>
      <c r="F6547" s="2" t="s">
        <v>174</v>
      </c>
    </row>
    <row r="6548" spans="1:6" ht="22.5" hidden="1" customHeight="1" x14ac:dyDescent="0.25">
      <c r="A6548" s="3">
        <v>44378</v>
      </c>
      <c r="B6548" s="2" t="s">
        <v>313</v>
      </c>
      <c r="C6548" s="2">
        <v>-1</v>
      </c>
      <c r="D6548" s="2">
        <v>0.12709999999999999</v>
      </c>
      <c r="E6548" s="2">
        <v>-1.271E-3</v>
      </c>
      <c r="F6548" s="2" t="s">
        <v>174</v>
      </c>
    </row>
    <row r="6549" spans="1:6" ht="22.5" hidden="1" customHeight="1" x14ac:dyDescent="0.25">
      <c r="A6549" s="3">
        <v>44378</v>
      </c>
      <c r="B6549" s="2" t="s">
        <v>314</v>
      </c>
      <c r="C6549" s="2">
        <v>0.85</v>
      </c>
      <c r="D6549" s="2">
        <v>0.38490000000000002</v>
      </c>
      <c r="E6549" s="2">
        <v>3.2716500000000001E-3</v>
      </c>
      <c r="F6549" s="2" t="s">
        <v>174</v>
      </c>
    </row>
    <row r="6550" spans="1:6" ht="22.5" hidden="1" customHeight="1" x14ac:dyDescent="0.25">
      <c r="A6550" s="3">
        <v>44378</v>
      </c>
      <c r="B6550" s="2" t="s">
        <v>315</v>
      </c>
      <c r="C6550" s="2">
        <v>1.43</v>
      </c>
      <c r="D6550" s="2">
        <v>0.26140000000000002</v>
      </c>
      <c r="E6550" s="2">
        <v>3.7380199999999999E-3</v>
      </c>
      <c r="F6550" s="2" t="s">
        <v>174</v>
      </c>
    </row>
    <row r="6551" spans="1:6" ht="22.5" hidden="1" customHeight="1" x14ac:dyDescent="0.25">
      <c r="A6551" s="3">
        <v>44378</v>
      </c>
      <c r="B6551" s="2" t="s">
        <v>316</v>
      </c>
      <c r="C6551" s="2">
        <v>2.72</v>
      </c>
      <c r="D6551" s="2">
        <v>3.7000000000000002E-3</v>
      </c>
      <c r="E6551" s="2">
        <v>1.0064E-4</v>
      </c>
      <c r="F6551" s="2" t="s">
        <v>174</v>
      </c>
    </row>
    <row r="6552" spans="1:6" ht="22.5" hidden="1" customHeight="1" x14ac:dyDescent="0.25">
      <c r="A6552" s="3">
        <v>44378</v>
      </c>
      <c r="B6552" s="2" t="s">
        <v>317</v>
      </c>
      <c r="C6552" s="2">
        <v>1.55</v>
      </c>
      <c r="D6552" s="2">
        <v>1.0247999999999999</v>
      </c>
      <c r="E6552" s="2">
        <v>1.58844E-2</v>
      </c>
      <c r="F6552" s="2" t="s">
        <v>174</v>
      </c>
    </row>
    <row r="6553" spans="1:6" ht="22.5" hidden="1" customHeight="1" x14ac:dyDescent="0.25">
      <c r="A6553" s="3">
        <v>44378</v>
      </c>
      <c r="B6553" s="2" t="s">
        <v>318</v>
      </c>
      <c r="C6553" s="2">
        <v>0.35</v>
      </c>
      <c r="D6553" s="2">
        <v>0.43109999999999998</v>
      </c>
      <c r="E6553" s="2">
        <v>1.5088499999999999E-3</v>
      </c>
      <c r="F6553" s="2" t="s">
        <v>174</v>
      </c>
    </row>
    <row r="6554" spans="1:6" ht="22.5" hidden="1" customHeight="1" x14ac:dyDescent="0.25">
      <c r="A6554" s="3">
        <v>44378</v>
      </c>
      <c r="B6554" s="2" t="s">
        <v>319</v>
      </c>
      <c r="C6554" s="2">
        <v>0.39</v>
      </c>
      <c r="D6554" s="2">
        <v>0.1076</v>
      </c>
      <c r="E6554" s="2">
        <v>4.1963999999999999E-4</v>
      </c>
      <c r="F6554" s="2" t="s">
        <v>174</v>
      </c>
    </row>
    <row r="6555" spans="1:6" ht="22.5" hidden="1" customHeight="1" x14ac:dyDescent="0.25">
      <c r="A6555" s="3">
        <v>44378</v>
      </c>
      <c r="B6555" s="2" t="s">
        <v>320</v>
      </c>
      <c r="C6555" s="2">
        <v>1.1299999999999999</v>
      </c>
      <c r="D6555" s="2">
        <v>0.30280000000000001</v>
      </c>
      <c r="E6555" s="2">
        <v>3.4216400000000001E-3</v>
      </c>
      <c r="F6555" s="2" t="s">
        <v>174</v>
      </c>
    </row>
    <row r="6556" spans="1:6" ht="22.5" hidden="1" customHeight="1" x14ac:dyDescent="0.25">
      <c r="A6556" s="3">
        <v>44378</v>
      </c>
      <c r="B6556" s="2" t="s">
        <v>321</v>
      </c>
      <c r="C6556" s="2">
        <v>0.98</v>
      </c>
      <c r="D6556" s="2">
        <v>0.2049</v>
      </c>
      <c r="E6556" s="2">
        <v>2.0080200000000001E-3</v>
      </c>
      <c r="F6556" s="2" t="s">
        <v>174</v>
      </c>
    </row>
    <row r="6557" spans="1:6" ht="22.5" hidden="1" customHeight="1" x14ac:dyDescent="0.25">
      <c r="A6557" s="3">
        <v>44378</v>
      </c>
      <c r="B6557" s="2" t="s">
        <v>322</v>
      </c>
      <c r="C6557" s="2">
        <v>1.77</v>
      </c>
      <c r="D6557" s="2">
        <v>0.15820000000000001</v>
      </c>
      <c r="E6557" s="2">
        <v>2.80014E-3</v>
      </c>
      <c r="F6557" s="2" t="s">
        <v>174</v>
      </c>
    </row>
    <row r="6558" spans="1:6" ht="22.5" hidden="1" customHeight="1" x14ac:dyDescent="0.25">
      <c r="A6558" s="3">
        <v>44378</v>
      </c>
      <c r="B6558" s="2" t="s">
        <v>323</v>
      </c>
      <c r="C6558" s="2">
        <v>1.18</v>
      </c>
      <c r="D6558" s="2">
        <v>1.06E-2</v>
      </c>
      <c r="E6558" s="2">
        <v>1.2507999999999999E-4</v>
      </c>
      <c r="F6558" s="2" t="s">
        <v>165</v>
      </c>
    </row>
    <row r="6559" spans="1:6" ht="22.5" hidden="1" customHeight="1" x14ac:dyDescent="0.25">
      <c r="A6559" s="3">
        <v>44378</v>
      </c>
      <c r="B6559" s="2" t="s">
        <v>324</v>
      </c>
      <c r="C6559" s="2">
        <v>0.91</v>
      </c>
      <c r="D6559" s="2">
        <v>0.38169999999999998</v>
      </c>
      <c r="E6559" s="2">
        <v>3.4734700000000002E-3</v>
      </c>
      <c r="F6559" s="2" t="s">
        <v>165</v>
      </c>
    </row>
    <row r="6560" spans="1:6" ht="22.5" hidden="1" customHeight="1" x14ac:dyDescent="0.25">
      <c r="A6560" s="3">
        <v>44378</v>
      </c>
      <c r="B6560" s="2" t="s">
        <v>325</v>
      </c>
      <c r="C6560" s="2">
        <v>0.11</v>
      </c>
      <c r="D6560" s="2">
        <v>3.0011999999999999</v>
      </c>
      <c r="E6560" s="2">
        <v>3.3013199999999999E-3</v>
      </c>
      <c r="F6560" s="2" t="s">
        <v>165</v>
      </c>
    </row>
    <row r="6561" spans="1:6" ht="22.5" hidden="1" customHeight="1" x14ac:dyDescent="0.25">
      <c r="A6561" s="3">
        <v>44378</v>
      </c>
      <c r="B6561" s="2" t="s">
        <v>326</v>
      </c>
      <c r="C6561" s="2">
        <v>0.46</v>
      </c>
      <c r="D6561" s="2">
        <v>1.0105</v>
      </c>
      <c r="E6561" s="2">
        <v>4.6483000000000002E-3</v>
      </c>
      <c r="F6561" s="2" t="s">
        <v>165</v>
      </c>
    </row>
    <row r="6562" spans="1:6" ht="22.5" hidden="1" customHeight="1" x14ac:dyDescent="0.25">
      <c r="A6562" s="3">
        <v>44378</v>
      </c>
      <c r="B6562" s="2" t="s">
        <v>327</v>
      </c>
      <c r="C6562" s="2">
        <v>1.1399999999999999</v>
      </c>
      <c r="D6562" s="2">
        <v>5.9499999999999997E-2</v>
      </c>
      <c r="E6562" s="2">
        <v>6.7829999999999995E-4</v>
      </c>
      <c r="F6562" s="2" t="s">
        <v>165</v>
      </c>
    </row>
    <row r="6563" spans="1:6" ht="22.5" hidden="1" customHeight="1" x14ac:dyDescent="0.25">
      <c r="A6563" s="3">
        <v>44378</v>
      </c>
      <c r="B6563" s="2" t="s">
        <v>328</v>
      </c>
      <c r="C6563" s="2">
        <v>0</v>
      </c>
      <c r="D6563" s="2">
        <v>1.89E-2</v>
      </c>
      <c r="E6563" s="2">
        <v>0</v>
      </c>
      <c r="F6563" s="2" t="s">
        <v>165</v>
      </c>
    </row>
    <row r="6564" spans="1:6" ht="22.5" hidden="1" customHeight="1" x14ac:dyDescent="0.25">
      <c r="A6564" s="3">
        <v>44378</v>
      </c>
      <c r="B6564" s="2" t="s">
        <v>329</v>
      </c>
      <c r="C6564" s="2">
        <v>2.06</v>
      </c>
      <c r="D6564" s="2">
        <v>9.5699999999999993E-2</v>
      </c>
      <c r="E6564" s="2">
        <v>1.9714200000000002E-3</v>
      </c>
      <c r="F6564" s="2" t="s">
        <v>165</v>
      </c>
    </row>
    <row r="6565" spans="1:6" ht="22.5" hidden="1" customHeight="1" x14ac:dyDescent="0.25">
      <c r="A6565" s="3">
        <v>44378</v>
      </c>
      <c r="B6565" s="2" t="s">
        <v>330</v>
      </c>
      <c r="C6565" s="2">
        <v>0</v>
      </c>
      <c r="D6565" s="2">
        <v>1.7206999999999999</v>
      </c>
      <c r="E6565" s="2">
        <v>0</v>
      </c>
      <c r="F6565" s="2" t="s">
        <v>165</v>
      </c>
    </row>
    <row r="6566" spans="1:6" ht="22.5" hidden="1" customHeight="1" x14ac:dyDescent="0.25">
      <c r="A6566" s="3">
        <v>44378</v>
      </c>
      <c r="B6566" s="2" t="s">
        <v>331</v>
      </c>
      <c r="C6566" s="2">
        <v>0.06</v>
      </c>
      <c r="D6566" s="2">
        <v>5.5800000000000002E-2</v>
      </c>
      <c r="E6566" s="2">
        <v>3.3479999999999998E-5</v>
      </c>
      <c r="F6566" s="2" t="s">
        <v>165</v>
      </c>
    </row>
    <row r="6567" spans="1:6" ht="22.5" hidden="1" customHeight="1" x14ac:dyDescent="0.25">
      <c r="A6567" s="3">
        <v>44378</v>
      </c>
      <c r="B6567" s="2" t="s">
        <v>332</v>
      </c>
      <c r="C6567" s="2">
        <v>0.35</v>
      </c>
      <c r="D6567" s="2">
        <v>0.1079</v>
      </c>
      <c r="E6567" s="2">
        <v>3.7764999999999999E-4</v>
      </c>
      <c r="F6567" s="2" t="s">
        <v>165</v>
      </c>
    </row>
    <row r="6568" spans="1:6" ht="22.5" hidden="1" customHeight="1" x14ac:dyDescent="0.25">
      <c r="A6568" s="3">
        <v>44378</v>
      </c>
      <c r="B6568" s="2" t="s">
        <v>333</v>
      </c>
      <c r="C6568" s="2">
        <v>-0.49</v>
      </c>
      <c r="D6568" s="2">
        <v>8.1699999999999995E-2</v>
      </c>
      <c r="E6568" s="2">
        <v>-4.0033000000000001E-4</v>
      </c>
      <c r="F6568" s="2" t="s">
        <v>165</v>
      </c>
    </row>
    <row r="6569" spans="1:6" ht="22.5" hidden="1" customHeight="1" x14ac:dyDescent="0.25">
      <c r="A6569" s="3">
        <v>44378</v>
      </c>
      <c r="B6569" s="2" t="s">
        <v>334</v>
      </c>
      <c r="C6569" s="2">
        <v>0.5</v>
      </c>
      <c r="D6569" s="2">
        <v>2.1100000000000001E-2</v>
      </c>
      <c r="E6569" s="2">
        <v>1.055E-4</v>
      </c>
      <c r="F6569" s="2" t="s">
        <v>170</v>
      </c>
    </row>
    <row r="6570" spans="1:6" ht="22.5" hidden="1" customHeight="1" x14ac:dyDescent="0.25">
      <c r="A6570" s="3">
        <v>44378</v>
      </c>
      <c r="B6570" s="2" t="s">
        <v>335</v>
      </c>
      <c r="C6570" s="2">
        <v>0</v>
      </c>
      <c r="D6570" s="2">
        <v>0.28520000000000001</v>
      </c>
      <c r="E6570" s="2">
        <v>0</v>
      </c>
      <c r="F6570" s="2" t="s">
        <v>165</v>
      </c>
    </row>
    <row r="6571" spans="1:6" ht="22.5" hidden="1" customHeight="1" x14ac:dyDescent="0.25">
      <c r="A6571" s="3">
        <v>44378</v>
      </c>
      <c r="B6571" s="2" t="s">
        <v>336</v>
      </c>
      <c r="C6571" s="2">
        <v>0.82</v>
      </c>
      <c r="D6571" s="2">
        <v>0.1031</v>
      </c>
      <c r="E6571" s="2">
        <v>8.4542000000000005E-4</v>
      </c>
      <c r="F6571" s="2" t="s">
        <v>170</v>
      </c>
    </row>
    <row r="6572" spans="1:6" ht="22.5" hidden="1" customHeight="1" x14ac:dyDescent="0.25">
      <c r="A6572" s="3">
        <v>44378</v>
      </c>
      <c r="B6572" s="2" t="s">
        <v>337</v>
      </c>
      <c r="C6572" s="2">
        <v>2.08</v>
      </c>
      <c r="D6572" s="2">
        <v>0.35780000000000001</v>
      </c>
      <c r="E6572" s="2">
        <v>7.4422400000000001E-3</v>
      </c>
      <c r="F6572" s="2" t="s">
        <v>174</v>
      </c>
    </row>
    <row r="6573" spans="1:6" ht="22.5" hidden="1" customHeight="1" x14ac:dyDescent="0.25">
      <c r="A6573" s="3">
        <v>44378</v>
      </c>
      <c r="B6573" s="2" t="s">
        <v>338</v>
      </c>
      <c r="C6573" s="2">
        <v>1.93</v>
      </c>
      <c r="D6573" s="2">
        <v>0.19339999999999999</v>
      </c>
      <c r="E6573" s="2">
        <v>3.7326199999999999E-3</v>
      </c>
      <c r="F6573" s="2" t="s">
        <v>174</v>
      </c>
    </row>
    <row r="6574" spans="1:6" ht="22.5" hidden="1" customHeight="1" x14ac:dyDescent="0.25">
      <c r="A6574" s="3">
        <v>44378</v>
      </c>
      <c r="B6574" s="2" t="s">
        <v>339</v>
      </c>
      <c r="C6574" s="2">
        <v>0.13</v>
      </c>
      <c r="D6574" s="2">
        <v>4.1599999999999998E-2</v>
      </c>
      <c r="E6574" s="2">
        <v>5.4079999999999997E-5</v>
      </c>
      <c r="F6574" s="2" t="s">
        <v>165</v>
      </c>
    </row>
    <row r="6575" spans="1:6" ht="22.5" hidden="1" customHeight="1" x14ac:dyDescent="0.25">
      <c r="A6575" s="3">
        <v>44593</v>
      </c>
      <c r="B6575" s="2" t="s">
        <v>262</v>
      </c>
      <c r="C6575" s="2">
        <v>0</v>
      </c>
      <c r="D6575" s="2">
        <v>3.5900000000000001E-2</v>
      </c>
      <c r="E6575" s="2">
        <v>0</v>
      </c>
      <c r="F6575" s="2" t="s">
        <v>168</v>
      </c>
    </row>
    <row r="6576" spans="1:6" ht="22.5" hidden="1" customHeight="1" x14ac:dyDescent="0.25">
      <c r="A6576" s="3">
        <v>44378</v>
      </c>
      <c r="B6576" s="2" t="s">
        <v>341</v>
      </c>
      <c r="C6576" s="2">
        <v>-1.66</v>
      </c>
      <c r="D6576" s="2">
        <v>1.12E-2</v>
      </c>
      <c r="E6576" s="2">
        <v>-1.8592000000000001E-4</v>
      </c>
      <c r="F6576" s="2" t="s">
        <v>174</v>
      </c>
    </row>
    <row r="6577" spans="1:6" ht="22.5" hidden="1" customHeight="1" x14ac:dyDescent="0.25">
      <c r="A6577" s="3">
        <v>44378</v>
      </c>
      <c r="B6577" s="2" t="s">
        <v>342</v>
      </c>
      <c r="C6577" s="2">
        <v>0.54</v>
      </c>
      <c r="D6577" s="2">
        <v>0.50390000000000001</v>
      </c>
      <c r="E6577" s="2">
        <v>2.72106E-3</v>
      </c>
      <c r="F6577" s="2" t="s">
        <v>165</v>
      </c>
    </row>
    <row r="6578" spans="1:6" ht="22.5" hidden="1" customHeight="1" x14ac:dyDescent="0.25">
      <c r="A6578" s="3">
        <v>44378</v>
      </c>
      <c r="B6578" s="2" t="s">
        <v>343</v>
      </c>
      <c r="C6578" s="2">
        <v>0.86</v>
      </c>
      <c r="D6578" s="2">
        <v>0.46529999999999999</v>
      </c>
      <c r="E6578" s="2">
        <v>4.0015800000000002E-3</v>
      </c>
      <c r="F6578" s="2" t="s">
        <v>165</v>
      </c>
    </row>
    <row r="6579" spans="1:6" ht="22.5" hidden="1" customHeight="1" x14ac:dyDescent="0.25">
      <c r="A6579" s="3">
        <v>44378</v>
      </c>
      <c r="B6579" s="2" t="s">
        <v>344</v>
      </c>
      <c r="C6579" s="2">
        <v>-0.01</v>
      </c>
      <c r="D6579" s="2">
        <v>0.14230000000000001</v>
      </c>
      <c r="E6579" s="2">
        <v>-1.4229999999999999E-5</v>
      </c>
      <c r="F6579" s="2" t="s">
        <v>165</v>
      </c>
    </row>
    <row r="6580" spans="1:6" ht="22.5" hidden="1" customHeight="1" x14ac:dyDescent="0.25">
      <c r="A6580" s="3">
        <v>44378</v>
      </c>
      <c r="B6580" s="2" t="s">
        <v>345</v>
      </c>
      <c r="C6580" s="2">
        <v>0.84</v>
      </c>
      <c r="D6580" s="2">
        <v>0.505</v>
      </c>
      <c r="E6580" s="2">
        <v>4.2420000000000001E-3</v>
      </c>
      <c r="F6580" s="2" t="s">
        <v>165</v>
      </c>
    </row>
    <row r="6581" spans="1:6" ht="22.5" hidden="1" customHeight="1" x14ac:dyDescent="0.25">
      <c r="A6581" s="3">
        <v>44378</v>
      </c>
      <c r="B6581" s="2" t="s">
        <v>346</v>
      </c>
      <c r="C6581" s="2">
        <v>-7.0000000000000007E-2</v>
      </c>
      <c r="D6581" s="2">
        <v>0.53649999999999998</v>
      </c>
      <c r="E6581" s="2">
        <v>-3.7554999999999999E-4</v>
      </c>
      <c r="F6581" s="2" t="s">
        <v>174</v>
      </c>
    </row>
    <row r="6582" spans="1:6" ht="22.5" hidden="1" customHeight="1" x14ac:dyDescent="0.25">
      <c r="A6582" s="3">
        <v>44378</v>
      </c>
      <c r="B6582" s="2" t="s">
        <v>347</v>
      </c>
      <c r="C6582" s="2">
        <v>0</v>
      </c>
      <c r="D6582" s="2">
        <v>0.1923</v>
      </c>
      <c r="E6582" s="2">
        <v>0</v>
      </c>
      <c r="F6582" s="2" t="s">
        <v>165</v>
      </c>
    </row>
    <row r="6583" spans="1:6" ht="22.5" hidden="1" customHeight="1" x14ac:dyDescent="0.25">
      <c r="A6583" s="3">
        <v>44378</v>
      </c>
      <c r="B6583" s="2" t="s">
        <v>348</v>
      </c>
      <c r="C6583" s="2">
        <v>0</v>
      </c>
      <c r="D6583" s="2">
        <v>0.31919999999999998</v>
      </c>
      <c r="E6583" s="2">
        <v>0</v>
      </c>
      <c r="F6583" s="2" t="s">
        <v>165</v>
      </c>
    </row>
    <row r="6584" spans="1:6" ht="22.5" hidden="1" customHeight="1" x14ac:dyDescent="0.25">
      <c r="A6584" s="3">
        <v>44378</v>
      </c>
      <c r="B6584" s="2" t="s">
        <v>349</v>
      </c>
      <c r="C6584" s="2">
        <v>0</v>
      </c>
      <c r="D6584" s="2">
        <v>1.5245</v>
      </c>
      <c r="E6584" s="2">
        <v>0</v>
      </c>
      <c r="F6584" s="2" t="s">
        <v>165</v>
      </c>
    </row>
    <row r="6585" spans="1:6" ht="22.5" hidden="1" customHeight="1" x14ac:dyDescent="0.25">
      <c r="A6585" s="3">
        <v>44378</v>
      </c>
      <c r="B6585" s="2" t="s">
        <v>350</v>
      </c>
      <c r="C6585" s="2">
        <v>0</v>
      </c>
      <c r="D6585" s="2">
        <v>0.38529999999999998</v>
      </c>
      <c r="E6585" s="2">
        <v>0</v>
      </c>
      <c r="F6585" s="2" t="s">
        <v>165</v>
      </c>
    </row>
    <row r="6586" spans="1:6" ht="22.5" hidden="1" customHeight="1" x14ac:dyDescent="0.25">
      <c r="A6586" s="3">
        <v>44378</v>
      </c>
      <c r="B6586" s="2" t="s">
        <v>351</v>
      </c>
      <c r="C6586" s="2">
        <v>0</v>
      </c>
      <c r="D6586" s="2">
        <v>1.7049000000000001</v>
      </c>
      <c r="E6586" s="2">
        <v>0</v>
      </c>
      <c r="F6586" s="2" t="s">
        <v>165</v>
      </c>
    </row>
    <row r="6587" spans="1:6" ht="22.5" hidden="1" customHeight="1" x14ac:dyDescent="0.25">
      <c r="A6587" s="3">
        <v>44378</v>
      </c>
      <c r="B6587" s="2" t="s">
        <v>352</v>
      </c>
      <c r="C6587" s="2">
        <v>0</v>
      </c>
      <c r="D6587" s="2">
        <v>0.27750000000000002</v>
      </c>
      <c r="E6587" s="2">
        <v>0</v>
      </c>
      <c r="F6587" s="2" t="s">
        <v>165</v>
      </c>
    </row>
    <row r="6588" spans="1:6" ht="22.5" hidden="1" customHeight="1" x14ac:dyDescent="0.25">
      <c r="A6588" s="3">
        <v>44378</v>
      </c>
      <c r="B6588" s="2" t="s">
        <v>353</v>
      </c>
      <c r="C6588" s="2">
        <v>0</v>
      </c>
      <c r="D6588" s="2">
        <v>4.1300000000000003E-2</v>
      </c>
      <c r="E6588" s="2">
        <v>0</v>
      </c>
      <c r="F6588" s="2" t="s">
        <v>165</v>
      </c>
    </row>
    <row r="6589" spans="1:6" ht="22.5" hidden="1" customHeight="1" x14ac:dyDescent="0.25">
      <c r="A6589" s="3">
        <v>44378</v>
      </c>
      <c r="B6589" s="2" t="s">
        <v>354</v>
      </c>
      <c r="C6589" s="2">
        <v>0</v>
      </c>
      <c r="D6589" s="2">
        <v>3.0300000000000001E-2</v>
      </c>
      <c r="E6589" s="2">
        <v>0</v>
      </c>
      <c r="F6589" s="2" t="s">
        <v>165</v>
      </c>
    </row>
    <row r="6590" spans="1:6" ht="22.5" hidden="1" customHeight="1" x14ac:dyDescent="0.25">
      <c r="A6590" s="3">
        <v>44378</v>
      </c>
      <c r="B6590" s="2" t="s">
        <v>355</v>
      </c>
      <c r="C6590" s="2">
        <v>0</v>
      </c>
      <c r="D6590" s="2">
        <v>2.8500000000000001E-2</v>
      </c>
      <c r="E6590" s="2">
        <v>0</v>
      </c>
      <c r="F6590" s="2" t="s">
        <v>174</v>
      </c>
    </row>
    <row r="6591" spans="1:6" ht="22.5" hidden="1" customHeight="1" x14ac:dyDescent="0.25">
      <c r="A6591" s="3">
        <v>44378</v>
      </c>
      <c r="B6591" s="2" t="s">
        <v>356</v>
      </c>
      <c r="C6591" s="2">
        <v>6.72</v>
      </c>
      <c r="D6591" s="2">
        <v>2.86E-2</v>
      </c>
      <c r="E6591" s="2">
        <v>1.9219199999999999E-3</v>
      </c>
      <c r="F6591" s="2" t="s">
        <v>174</v>
      </c>
    </row>
    <row r="6592" spans="1:6" ht="22.5" hidden="1" customHeight="1" x14ac:dyDescent="0.25">
      <c r="A6592" s="3">
        <v>44378</v>
      </c>
      <c r="B6592" s="2" t="s">
        <v>357</v>
      </c>
      <c r="C6592" s="2">
        <v>0.28999999999999998</v>
      </c>
      <c r="D6592" s="2">
        <v>0.36270000000000002</v>
      </c>
      <c r="E6592" s="2">
        <v>1.0518299999999999E-3</v>
      </c>
      <c r="F6592" s="2" t="s">
        <v>174</v>
      </c>
    </row>
    <row r="6593" spans="1:6" ht="22.5" hidden="1" customHeight="1" x14ac:dyDescent="0.25">
      <c r="A6593" s="3">
        <v>44378</v>
      </c>
      <c r="B6593" s="2" t="s">
        <v>358</v>
      </c>
      <c r="C6593" s="2">
        <v>1.23</v>
      </c>
      <c r="D6593" s="2">
        <v>9.2899999999999996E-2</v>
      </c>
      <c r="E6593" s="2">
        <v>1.1426699999999999E-3</v>
      </c>
      <c r="F6593" s="2" t="s">
        <v>174</v>
      </c>
    </row>
    <row r="6594" spans="1:6" ht="22.5" hidden="1" customHeight="1" x14ac:dyDescent="0.25">
      <c r="A6594" s="3">
        <v>44378</v>
      </c>
      <c r="B6594" s="2" t="s">
        <v>359</v>
      </c>
      <c r="C6594" s="2">
        <v>-0.57999999999999996</v>
      </c>
      <c r="D6594" s="2">
        <v>4.7600000000000003E-2</v>
      </c>
      <c r="E6594" s="2">
        <v>-2.7608E-4</v>
      </c>
      <c r="F6594" s="2" t="s">
        <v>174</v>
      </c>
    </row>
    <row r="6595" spans="1:6" ht="22.5" hidden="1" customHeight="1" x14ac:dyDescent="0.25">
      <c r="A6595" s="3">
        <v>44378</v>
      </c>
      <c r="B6595" s="2" t="s">
        <v>360</v>
      </c>
      <c r="C6595" s="2">
        <v>1.27</v>
      </c>
      <c r="D6595" s="2">
        <v>8.8700000000000001E-2</v>
      </c>
      <c r="E6595" s="2">
        <v>1.12649E-3</v>
      </c>
      <c r="F6595" s="2" t="s">
        <v>174</v>
      </c>
    </row>
    <row r="6596" spans="1:6" ht="22.5" hidden="1" customHeight="1" x14ac:dyDescent="0.25">
      <c r="A6596" s="3">
        <v>44378</v>
      </c>
      <c r="B6596" s="2" t="s">
        <v>361</v>
      </c>
      <c r="C6596" s="2">
        <v>0</v>
      </c>
      <c r="D6596" s="2">
        <v>7.4800000000000005E-2</v>
      </c>
      <c r="E6596" s="2">
        <v>0</v>
      </c>
      <c r="F6596" s="2" t="s">
        <v>165</v>
      </c>
    </row>
    <row r="6597" spans="1:6" ht="22.5" hidden="1" customHeight="1" x14ac:dyDescent="0.25">
      <c r="A6597" s="3">
        <v>44378</v>
      </c>
      <c r="B6597" s="2" t="s">
        <v>362</v>
      </c>
      <c r="C6597" s="2">
        <v>0</v>
      </c>
      <c r="D6597" s="2">
        <v>0.2999</v>
      </c>
      <c r="E6597" s="2">
        <v>0</v>
      </c>
      <c r="F6597" s="2" t="s">
        <v>165</v>
      </c>
    </row>
    <row r="6598" spans="1:6" ht="22.5" hidden="1" customHeight="1" x14ac:dyDescent="0.25">
      <c r="A6598" s="3">
        <v>44378</v>
      </c>
      <c r="B6598" s="2" t="s">
        <v>363</v>
      </c>
      <c r="C6598" s="2">
        <v>2.16</v>
      </c>
      <c r="D6598" s="2">
        <v>4.9099999999999998E-2</v>
      </c>
      <c r="E6598" s="2">
        <v>1.0605600000000001E-3</v>
      </c>
      <c r="F6598" s="2" t="s">
        <v>165</v>
      </c>
    </row>
    <row r="6599" spans="1:6" ht="22.5" hidden="1" customHeight="1" x14ac:dyDescent="0.25">
      <c r="A6599" s="3">
        <v>44378</v>
      </c>
      <c r="B6599" s="2" t="s">
        <v>364</v>
      </c>
      <c r="C6599" s="2">
        <v>0.2</v>
      </c>
      <c r="D6599" s="2">
        <v>0.39589999999999997</v>
      </c>
      <c r="E6599" s="2">
        <v>7.9179999999999995E-4</v>
      </c>
      <c r="F6599" s="2" t="s">
        <v>165</v>
      </c>
    </row>
    <row r="6600" spans="1:6" ht="22.5" hidden="1" customHeight="1" x14ac:dyDescent="0.25">
      <c r="A6600" s="3">
        <v>44593</v>
      </c>
      <c r="B6600" s="2" t="s">
        <v>266</v>
      </c>
      <c r="C6600" s="2">
        <v>0</v>
      </c>
      <c r="D6600" s="2">
        <v>6.8900000000000003E-2</v>
      </c>
      <c r="E6600" s="2">
        <v>0</v>
      </c>
      <c r="F6600" s="2" t="s">
        <v>168</v>
      </c>
    </row>
    <row r="6601" spans="1:6" ht="22.5" hidden="1" customHeight="1" x14ac:dyDescent="0.25">
      <c r="A6601" s="3">
        <v>44593</v>
      </c>
      <c r="B6601" s="2" t="s">
        <v>273</v>
      </c>
      <c r="C6601" s="2">
        <v>0</v>
      </c>
      <c r="D6601" s="2">
        <v>0.10970000000000001</v>
      </c>
      <c r="E6601" s="2">
        <v>0</v>
      </c>
      <c r="F6601" s="2" t="s">
        <v>168</v>
      </c>
    </row>
    <row r="6602" spans="1:6" ht="22.5" hidden="1" customHeight="1" x14ac:dyDescent="0.25">
      <c r="A6602" s="3">
        <v>44593</v>
      </c>
      <c r="B6602" s="2" t="s">
        <v>279</v>
      </c>
      <c r="C6602" s="2">
        <v>0</v>
      </c>
      <c r="D6602" s="2">
        <v>9.1899999999999996E-2</v>
      </c>
      <c r="E6602" s="2">
        <v>0</v>
      </c>
      <c r="F6602" s="2" t="s">
        <v>168</v>
      </c>
    </row>
    <row r="6603" spans="1:6" ht="22.5" hidden="1" customHeight="1" x14ac:dyDescent="0.25">
      <c r="A6603" s="3">
        <v>44378</v>
      </c>
      <c r="B6603" s="2" t="s">
        <v>368</v>
      </c>
      <c r="C6603" s="2">
        <v>0</v>
      </c>
      <c r="D6603" s="2">
        <v>0.37819999999999998</v>
      </c>
      <c r="E6603" s="2">
        <v>0</v>
      </c>
      <c r="F6603" s="2" t="s">
        <v>165</v>
      </c>
    </row>
    <row r="6604" spans="1:6" ht="22.5" hidden="1" customHeight="1" x14ac:dyDescent="0.25">
      <c r="A6604" s="3">
        <v>44378</v>
      </c>
      <c r="B6604" s="2" t="s">
        <v>369</v>
      </c>
      <c r="C6604" s="2">
        <v>0</v>
      </c>
      <c r="D6604" s="2">
        <v>0.54679999999999995</v>
      </c>
      <c r="E6604" s="2">
        <v>0</v>
      </c>
      <c r="F6604" s="2" t="s">
        <v>165</v>
      </c>
    </row>
    <row r="6605" spans="1:6" ht="22.5" hidden="1" customHeight="1" x14ac:dyDescent="0.25">
      <c r="A6605" s="3">
        <v>44378</v>
      </c>
      <c r="B6605" s="2" t="s">
        <v>370</v>
      </c>
      <c r="C6605" s="2">
        <v>-0.3</v>
      </c>
      <c r="D6605" s="2">
        <v>0.98340000000000005</v>
      </c>
      <c r="E6605" s="2">
        <v>-2.9502E-3</v>
      </c>
      <c r="F6605" s="2" t="s">
        <v>170</v>
      </c>
    </row>
    <row r="6606" spans="1:6" ht="22.5" hidden="1" customHeight="1" x14ac:dyDescent="0.25">
      <c r="A6606" s="3">
        <v>44378</v>
      </c>
      <c r="B6606" s="2" t="s">
        <v>371</v>
      </c>
      <c r="C6606" s="2">
        <v>0</v>
      </c>
      <c r="D6606" s="2">
        <v>6.8000000000000005E-2</v>
      </c>
      <c r="E6606" s="2">
        <v>0</v>
      </c>
      <c r="F6606" s="2" t="s">
        <v>165</v>
      </c>
    </row>
    <row r="6607" spans="1:6" ht="22.5" hidden="1" customHeight="1" x14ac:dyDescent="0.25">
      <c r="A6607" s="3">
        <v>44378</v>
      </c>
      <c r="B6607" s="2" t="s">
        <v>372</v>
      </c>
      <c r="C6607" s="2">
        <v>0</v>
      </c>
      <c r="D6607" s="2">
        <v>1.6555</v>
      </c>
      <c r="E6607" s="2">
        <v>0</v>
      </c>
      <c r="F6607" s="2" t="s">
        <v>165</v>
      </c>
    </row>
    <row r="6608" spans="1:6" ht="22.5" hidden="1" customHeight="1" x14ac:dyDescent="0.25">
      <c r="A6608" s="3">
        <v>44409</v>
      </c>
      <c r="B6608" s="2" t="s">
        <v>6</v>
      </c>
      <c r="C6608" s="2">
        <v>-2.39</v>
      </c>
      <c r="D6608" s="2">
        <v>0.67589999999999995</v>
      </c>
      <c r="E6608" s="2">
        <v>-1.615401E-2</v>
      </c>
      <c r="F6608" s="2" t="s">
        <v>7</v>
      </c>
    </row>
    <row r="6609" spans="1:6" ht="22.5" hidden="1" customHeight="1" x14ac:dyDescent="0.25">
      <c r="A6609" s="3">
        <v>44409</v>
      </c>
      <c r="B6609" s="2" t="s">
        <v>8</v>
      </c>
      <c r="C6609" s="2">
        <v>6.76</v>
      </c>
      <c r="D6609" s="2">
        <v>1.4E-2</v>
      </c>
      <c r="E6609" s="2">
        <v>9.4640000000000002E-4</v>
      </c>
      <c r="F6609" s="2" t="s">
        <v>7</v>
      </c>
    </row>
    <row r="6610" spans="1:6" ht="22.5" hidden="1" customHeight="1" x14ac:dyDescent="0.25">
      <c r="A6610" s="3">
        <v>44409</v>
      </c>
      <c r="B6610" s="2" t="s">
        <v>9</v>
      </c>
      <c r="C6610" s="2">
        <v>-4.04</v>
      </c>
      <c r="D6610" s="2">
        <v>7.0400000000000004E-2</v>
      </c>
      <c r="E6610" s="2">
        <v>-2.8441600000000001E-3</v>
      </c>
      <c r="F6610" s="2" t="s">
        <v>7</v>
      </c>
    </row>
    <row r="6611" spans="1:6" ht="22.5" hidden="1" customHeight="1" x14ac:dyDescent="0.25">
      <c r="A6611" s="3">
        <v>44409</v>
      </c>
      <c r="B6611" s="2" t="s">
        <v>10</v>
      </c>
      <c r="C6611" s="2">
        <v>-0.63</v>
      </c>
      <c r="D6611" s="2">
        <v>2.2599999999999999E-2</v>
      </c>
      <c r="E6611" s="2">
        <v>-1.4238E-4</v>
      </c>
      <c r="F6611" s="2" t="s">
        <v>7</v>
      </c>
    </row>
    <row r="6612" spans="1:6" ht="22.5" hidden="1" customHeight="1" x14ac:dyDescent="0.25">
      <c r="A6612" s="3">
        <v>44409</v>
      </c>
      <c r="B6612" s="2" t="s">
        <v>11</v>
      </c>
      <c r="C6612" s="2">
        <v>-1.52</v>
      </c>
      <c r="D6612" s="2">
        <v>0.14480000000000001</v>
      </c>
      <c r="E6612" s="2">
        <v>-2.2009600000000001E-3</v>
      </c>
      <c r="F6612" s="2" t="s">
        <v>7</v>
      </c>
    </row>
    <row r="6613" spans="1:6" ht="22.5" hidden="1" customHeight="1" x14ac:dyDescent="0.25">
      <c r="A6613" s="3">
        <v>44409</v>
      </c>
      <c r="B6613" s="2" t="s">
        <v>12</v>
      </c>
      <c r="C6613" s="2">
        <v>1.71</v>
      </c>
      <c r="D6613" s="2">
        <v>1.0500000000000001E-2</v>
      </c>
      <c r="E6613" s="2">
        <v>1.7955E-4</v>
      </c>
      <c r="F6613" s="2" t="s">
        <v>7</v>
      </c>
    </row>
    <row r="6614" spans="1:6" ht="22.5" hidden="1" customHeight="1" x14ac:dyDescent="0.25">
      <c r="A6614" s="3">
        <v>44409</v>
      </c>
      <c r="B6614" s="2" t="s">
        <v>13</v>
      </c>
      <c r="C6614" s="2">
        <v>1.07</v>
      </c>
      <c r="D6614" s="2">
        <v>2.8E-3</v>
      </c>
      <c r="E6614" s="2">
        <v>2.9960000000000001E-5</v>
      </c>
      <c r="F6614" s="2" t="s">
        <v>7</v>
      </c>
    </row>
    <row r="6615" spans="1:6" ht="22.5" hidden="1" customHeight="1" x14ac:dyDescent="0.25">
      <c r="A6615" s="3">
        <v>44409</v>
      </c>
      <c r="B6615" s="2" t="s">
        <v>14</v>
      </c>
      <c r="C6615" s="2">
        <v>2.0299999999999998</v>
      </c>
      <c r="D6615" s="2">
        <v>0.15049999999999999</v>
      </c>
      <c r="E6615" s="2">
        <v>3.05515E-3</v>
      </c>
      <c r="F6615" s="2" t="s">
        <v>7</v>
      </c>
    </row>
    <row r="6616" spans="1:6" ht="22.5" hidden="1" customHeight="1" x14ac:dyDescent="0.25">
      <c r="A6616" s="3">
        <v>44409</v>
      </c>
      <c r="B6616" s="2" t="s">
        <v>15</v>
      </c>
      <c r="C6616" s="2">
        <v>3.69</v>
      </c>
      <c r="D6616" s="2">
        <v>8.5000000000000006E-3</v>
      </c>
      <c r="E6616" s="2">
        <v>3.1365000000000001E-4</v>
      </c>
      <c r="F6616" s="2" t="s">
        <v>7</v>
      </c>
    </row>
    <row r="6617" spans="1:6" ht="22.5" hidden="1" customHeight="1" x14ac:dyDescent="0.25">
      <c r="A6617" s="3">
        <v>44409</v>
      </c>
      <c r="B6617" s="2" t="s">
        <v>16</v>
      </c>
      <c r="C6617" s="2">
        <v>1.31</v>
      </c>
      <c r="D6617" s="2">
        <v>9.1999999999999998E-3</v>
      </c>
      <c r="E6617" s="2">
        <v>1.2052E-4</v>
      </c>
      <c r="F6617" s="2" t="s">
        <v>7</v>
      </c>
    </row>
    <row r="6618" spans="1:6" ht="22.5" hidden="1" customHeight="1" x14ac:dyDescent="0.25">
      <c r="A6618" s="3">
        <v>44409</v>
      </c>
      <c r="B6618" s="2" t="s">
        <v>17</v>
      </c>
      <c r="C6618" s="2">
        <v>1.0900000000000001</v>
      </c>
      <c r="D6618" s="2">
        <v>5.2200000000000003E-2</v>
      </c>
      <c r="E6618" s="2">
        <v>5.6897999999999996E-4</v>
      </c>
      <c r="F6618" s="2" t="s">
        <v>7</v>
      </c>
    </row>
    <row r="6619" spans="1:6" ht="22.5" hidden="1" customHeight="1" x14ac:dyDescent="0.25">
      <c r="A6619" s="3">
        <v>44409</v>
      </c>
      <c r="B6619" s="2" t="s">
        <v>18</v>
      </c>
      <c r="C6619" s="2">
        <v>1.49</v>
      </c>
      <c r="D6619" s="2">
        <v>9.6100000000000005E-2</v>
      </c>
      <c r="E6619" s="2">
        <v>1.4318899999999999E-3</v>
      </c>
      <c r="F6619" s="2" t="s">
        <v>7</v>
      </c>
    </row>
    <row r="6620" spans="1:6" ht="22.5" hidden="1" customHeight="1" x14ac:dyDescent="0.25">
      <c r="A6620" s="3">
        <v>44409</v>
      </c>
      <c r="B6620" s="2" t="s">
        <v>19</v>
      </c>
      <c r="C6620" s="2">
        <v>2.36</v>
      </c>
      <c r="D6620" s="2">
        <v>0.121</v>
      </c>
      <c r="E6620" s="2">
        <v>2.8555999999999998E-3</v>
      </c>
      <c r="F6620" s="2" t="s">
        <v>7</v>
      </c>
    </row>
    <row r="6621" spans="1:6" ht="22.5" hidden="1" customHeight="1" x14ac:dyDescent="0.25">
      <c r="A6621" s="3">
        <v>44409</v>
      </c>
      <c r="B6621" s="2" t="s">
        <v>20</v>
      </c>
      <c r="C6621" s="2">
        <v>1.62</v>
      </c>
      <c r="D6621" s="2">
        <v>2.5600000000000001E-2</v>
      </c>
      <c r="E6621" s="2">
        <v>4.1471999999999999E-4</v>
      </c>
      <c r="F6621" s="2" t="s">
        <v>7</v>
      </c>
    </row>
    <row r="6622" spans="1:6" ht="22.5" hidden="1" customHeight="1" x14ac:dyDescent="0.25">
      <c r="A6622" s="3">
        <v>44409</v>
      </c>
      <c r="B6622" s="2" t="s">
        <v>21</v>
      </c>
      <c r="C6622" s="2">
        <v>4.5599999999999996</v>
      </c>
      <c r="D6622" s="2">
        <v>2.81E-2</v>
      </c>
      <c r="E6622" s="2">
        <v>1.2813600000000001E-3</v>
      </c>
      <c r="F6622" s="2" t="s">
        <v>7</v>
      </c>
    </row>
    <row r="6623" spans="1:6" ht="22.5" hidden="1" customHeight="1" x14ac:dyDescent="0.25">
      <c r="A6623" s="3">
        <v>44409</v>
      </c>
      <c r="B6623" s="2" t="s">
        <v>22</v>
      </c>
      <c r="C6623" s="2">
        <v>6.54</v>
      </c>
      <c r="D6623" s="2">
        <v>0.13450000000000001</v>
      </c>
      <c r="E6623" s="2">
        <v>8.7963E-3</v>
      </c>
      <c r="F6623" s="2" t="s">
        <v>7</v>
      </c>
    </row>
    <row r="6624" spans="1:6" ht="22.5" hidden="1" customHeight="1" x14ac:dyDescent="0.25">
      <c r="A6624" s="3">
        <v>44409</v>
      </c>
      <c r="B6624" s="2" t="s">
        <v>23</v>
      </c>
      <c r="C6624" s="2">
        <v>6.83</v>
      </c>
      <c r="D6624" s="2">
        <v>1.7000000000000001E-2</v>
      </c>
      <c r="E6624" s="2">
        <v>1.1611E-3</v>
      </c>
      <c r="F6624" s="2" t="s">
        <v>7</v>
      </c>
    </row>
    <row r="6625" spans="1:6" ht="22.5" hidden="1" customHeight="1" x14ac:dyDescent="0.25">
      <c r="A6625" s="3">
        <v>44409</v>
      </c>
      <c r="B6625" s="2" t="s">
        <v>24</v>
      </c>
      <c r="C6625" s="2">
        <v>42.94</v>
      </c>
      <c r="D6625" s="2">
        <v>8.6E-3</v>
      </c>
      <c r="E6625" s="2">
        <v>3.6928400000000002E-3</v>
      </c>
      <c r="F6625" s="2" t="s">
        <v>7</v>
      </c>
    </row>
    <row r="6626" spans="1:6" ht="22.5" hidden="1" customHeight="1" x14ac:dyDescent="0.25">
      <c r="A6626" s="3">
        <v>44409</v>
      </c>
      <c r="B6626" s="2" t="s">
        <v>25</v>
      </c>
      <c r="C6626" s="2">
        <v>43.95</v>
      </c>
      <c r="D6626" s="2">
        <v>2.8E-3</v>
      </c>
      <c r="E6626" s="2">
        <v>1.2306000000000001E-3</v>
      </c>
      <c r="F6626" s="2" t="s">
        <v>7</v>
      </c>
    </row>
    <row r="6627" spans="1:6" ht="22.5" hidden="1" customHeight="1" x14ac:dyDescent="0.25">
      <c r="A6627" s="3">
        <v>44409</v>
      </c>
      <c r="B6627" s="2" t="s">
        <v>26</v>
      </c>
      <c r="C6627" s="2">
        <v>20.63</v>
      </c>
      <c r="D6627" s="2">
        <v>1.66E-2</v>
      </c>
      <c r="E6627" s="2">
        <v>3.42458E-3</v>
      </c>
      <c r="F6627" s="2" t="s">
        <v>7</v>
      </c>
    </row>
    <row r="6628" spans="1:6" ht="22.5" hidden="1" customHeight="1" x14ac:dyDescent="0.25">
      <c r="A6628" s="3">
        <v>44409</v>
      </c>
      <c r="B6628" s="2" t="s">
        <v>27</v>
      </c>
      <c r="C6628" s="2">
        <v>16.059999999999999</v>
      </c>
      <c r="D6628" s="2">
        <v>0.20150000000000001</v>
      </c>
      <c r="E6628" s="2">
        <v>3.2360899999999998E-2</v>
      </c>
      <c r="F6628" s="2" t="s">
        <v>7</v>
      </c>
    </row>
    <row r="6629" spans="1:6" ht="22.5" hidden="1" customHeight="1" x14ac:dyDescent="0.25">
      <c r="A6629" s="3">
        <v>44409</v>
      </c>
      <c r="B6629" s="2" t="s">
        <v>28</v>
      </c>
      <c r="C6629" s="2">
        <v>-6.46</v>
      </c>
      <c r="D6629" s="2">
        <v>0.10730000000000001</v>
      </c>
      <c r="E6629" s="2">
        <v>-6.9315799999999997E-3</v>
      </c>
      <c r="F6629" s="2" t="s">
        <v>7</v>
      </c>
    </row>
    <row r="6630" spans="1:6" ht="22.5" hidden="1" customHeight="1" x14ac:dyDescent="0.25">
      <c r="A6630" s="3">
        <v>44409</v>
      </c>
      <c r="B6630" s="2" t="s">
        <v>29</v>
      </c>
      <c r="C6630" s="2">
        <v>22</v>
      </c>
      <c r="D6630" s="2">
        <v>4.1799999999999997E-2</v>
      </c>
      <c r="E6630" s="2">
        <v>9.1959999999999993E-3</v>
      </c>
      <c r="F6630" s="2" t="s">
        <v>7</v>
      </c>
    </row>
    <row r="6631" spans="1:6" ht="22.5" hidden="1" customHeight="1" x14ac:dyDescent="0.25">
      <c r="A6631" s="3">
        <v>44409</v>
      </c>
      <c r="B6631" s="2" t="s">
        <v>30</v>
      </c>
      <c r="C6631" s="2">
        <v>4.1900000000000004</v>
      </c>
      <c r="D6631" s="2">
        <v>0.1113</v>
      </c>
      <c r="E6631" s="2">
        <v>4.6634700000000003E-3</v>
      </c>
      <c r="F6631" s="2" t="s">
        <v>7</v>
      </c>
    </row>
    <row r="6632" spans="1:6" ht="22.5" hidden="1" customHeight="1" x14ac:dyDescent="0.25">
      <c r="A6632" s="3">
        <v>44409</v>
      </c>
      <c r="B6632" s="2" t="s">
        <v>31</v>
      </c>
      <c r="C6632" s="2">
        <v>2.5</v>
      </c>
      <c r="D6632" s="2">
        <v>0.1178</v>
      </c>
      <c r="E6632" s="2">
        <v>2.9450000000000001E-3</v>
      </c>
      <c r="F6632" s="2" t="s">
        <v>7</v>
      </c>
    </row>
    <row r="6633" spans="1:6" ht="22.5" hidden="1" customHeight="1" x14ac:dyDescent="0.25">
      <c r="A6633" s="3">
        <v>44409</v>
      </c>
      <c r="B6633" s="2" t="s">
        <v>32</v>
      </c>
      <c r="C6633" s="2">
        <v>3.32</v>
      </c>
      <c r="D6633" s="2">
        <v>1.5299999999999999E-2</v>
      </c>
      <c r="E6633" s="2">
        <v>5.0796000000000001E-4</v>
      </c>
      <c r="F6633" s="2" t="s">
        <v>7</v>
      </c>
    </row>
    <row r="6634" spans="1:6" ht="22.5" hidden="1" customHeight="1" x14ac:dyDescent="0.25">
      <c r="A6634" s="3">
        <v>44409</v>
      </c>
      <c r="B6634" s="2" t="s">
        <v>33</v>
      </c>
      <c r="C6634" s="2">
        <v>1.1000000000000001</v>
      </c>
      <c r="D6634" s="2">
        <v>0.18859999999999999</v>
      </c>
      <c r="E6634" s="2">
        <v>2.0745999999999998E-3</v>
      </c>
      <c r="F6634" s="2" t="s">
        <v>7</v>
      </c>
    </row>
    <row r="6635" spans="1:6" ht="22.5" hidden="1" customHeight="1" x14ac:dyDescent="0.25">
      <c r="A6635" s="3">
        <v>44409</v>
      </c>
      <c r="B6635" s="2" t="s">
        <v>34</v>
      </c>
      <c r="C6635" s="2">
        <v>0.54</v>
      </c>
      <c r="D6635" s="2">
        <v>0.14630000000000001</v>
      </c>
      <c r="E6635" s="2">
        <v>7.9002E-4</v>
      </c>
      <c r="F6635" s="2" t="s">
        <v>7</v>
      </c>
    </row>
    <row r="6636" spans="1:6" ht="22.5" hidden="1" customHeight="1" x14ac:dyDescent="0.25">
      <c r="A6636" s="3">
        <v>44409</v>
      </c>
      <c r="B6636" s="2" t="s">
        <v>35</v>
      </c>
      <c r="C6636" s="2">
        <v>0.78</v>
      </c>
      <c r="D6636" s="2">
        <v>0.1091</v>
      </c>
      <c r="E6636" s="2">
        <v>8.5097999999999999E-4</v>
      </c>
      <c r="F6636" s="2" t="s">
        <v>7</v>
      </c>
    </row>
    <row r="6637" spans="1:6" ht="22.5" hidden="1" customHeight="1" x14ac:dyDescent="0.25">
      <c r="A6637" s="3">
        <v>44409</v>
      </c>
      <c r="B6637" s="2" t="s">
        <v>36</v>
      </c>
      <c r="C6637" s="2">
        <v>0.94</v>
      </c>
      <c r="D6637" s="2">
        <v>1.6999999999999999E-3</v>
      </c>
      <c r="E6637" s="2">
        <v>1.5979999999999999E-5</v>
      </c>
      <c r="F6637" s="2" t="s">
        <v>7</v>
      </c>
    </row>
    <row r="6638" spans="1:6" ht="22.5" hidden="1" customHeight="1" x14ac:dyDescent="0.25">
      <c r="A6638" s="3">
        <v>44409</v>
      </c>
      <c r="B6638" s="2" t="s">
        <v>37</v>
      </c>
      <c r="C6638" s="2">
        <v>8.35</v>
      </c>
      <c r="D6638" s="2">
        <v>8.4199999999999997E-2</v>
      </c>
      <c r="E6638" s="2">
        <v>7.0307E-3</v>
      </c>
      <c r="F6638" s="2" t="s">
        <v>7</v>
      </c>
    </row>
    <row r="6639" spans="1:6" ht="22.5" hidden="1" customHeight="1" x14ac:dyDescent="0.25">
      <c r="A6639" s="3">
        <v>44409</v>
      </c>
      <c r="B6639" s="2" t="s">
        <v>38</v>
      </c>
      <c r="C6639" s="2">
        <v>0.03</v>
      </c>
      <c r="D6639" s="2">
        <v>1.01E-2</v>
      </c>
      <c r="E6639" s="2">
        <v>3.0299999999999998E-6</v>
      </c>
      <c r="F6639" s="2" t="s">
        <v>7</v>
      </c>
    </row>
    <row r="6640" spans="1:6" ht="22.5" hidden="1" customHeight="1" x14ac:dyDescent="0.25">
      <c r="A6640" s="3">
        <v>44409</v>
      </c>
      <c r="B6640" s="2" t="s">
        <v>39</v>
      </c>
      <c r="C6640" s="2">
        <v>6.81</v>
      </c>
      <c r="D6640" s="2">
        <v>1.4500000000000001E-2</v>
      </c>
      <c r="E6640" s="2">
        <v>9.8744999999999996E-4</v>
      </c>
      <c r="F6640" s="2" t="s">
        <v>7</v>
      </c>
    </row>
    <row r="6641" spans="1:6" ht="22.5" hidden="1" customHeight="1" x14ac:dyDescent="0.25">
      <c r="A6641" s="3">
        <v>44409</v>
      </c>
      <c r="B6641" s="2" t="s">
        <v>40</v>
      </c>
      <c r="C6641" s="2">
        <v>0.22</v>
      </c>
      <c r="D6641" s="2">
        <v>2.8999999999999998E-3</v>
      </c>
      <c r="E6641" s="2">
        <v>6.3799999999999999E-6</v>
      </c>
      <c r="F6641" s="2" t="s">
        <v>7</v>
      </c>
    </row>
    <row r="6642" spans="1:6" ht="22.5" hidden="1" customHeight="1" x14ac:dyDescent="0.25">
      <c r="A6642" s="3">
        <v>44409</v>
      </c>
      <c r="B6642" s="2" t="s">
        <v>41</v>
      </c>
      <c r="C6642" s="2">
        <v>11.66</v>
      </c>
      <c r="D6642" s="2">
        <v>2.07E-2</v>
      </c>
      <c r="E6642" s="2">
        <v>2.41362E-3</v>
      </c>
      <c r="F6642" s="2" t="s">
        <v>7</v>
      </c>
    </row>
    <row r="6643" spans="1:6" ht="22.5" hidden="1" customHeight="1" x14ac:dyDescent="0.25">
      <c r="A6643" s="3">
        <v>44409</v>
      </c>
      <c r="B6643" s="2" t="s">
        <v>42</v>
      </c>
      <c r="C6643" s="2">
        <v>5.46</v>
      </c>
      <c r="D6643" s="2">
        <v>4.1200000000000001E-2</v>
      </c>
      <c r="E6643" s="2">
        <v>2.2495200000000001E-3</v>
      </c>
      <c r="F6643" s="2" t="s">
        <v>7</v>
      </c>
    </row>
    <row r="6644" spans="1:6" ht="22.5" hidden="1" customHeight="1" x14ac:dyDescent="0.25">
      <c r="A6644" s="3">
        <v>44409</v>
      </c>
      <c r="B6644" s="2" t="s">
        <v>43</v>
      </c>
      <c r="C6644" s="2">
        <v>3.64</v>
      </c>
      <c r="D6644" s="2">
        <v>2.8899999999999999E-2</v>
      </c>
      <c r="E6644" s="2">
        <v>1.05196E-3</v>
      </c>
      <c r="F6644" s="2" t="s">
        <v>7</v>
      </c>
    </row>
    <row r="6645" spans="1:6" ht="22.5" hidden="1" customHeight="1" x14ac:dyDescent="0.25">
      <c r="A6645" s="3">
        <v>44409</v>
      </c>
      <c r="B6645" s="2" t="s">
        <v>44</v>
      </c>
      <c r="C6645" s="2">
        <v>5.74</v>
      </c>
      <c r="D6645" s="2">
        <v>1.54E-2</v>
      </c>
      <c r="E6645" s="2">
        <v>8.8396000000000004E-4</v>
      </c>
      <c r="F6645" s="2" t="s">
        <v>7</v>
      </c>
    </row>
    <row r="6646" spans="1:6" ht="22.5" hidden="1" customHeight="1" x14ac:dyDescent="0.25">
      <c r="A6646" s="3">
        <v>44409</v>
      </c>
      <c r="B6646" s="2" t="s">
        <v>45</v>
      </c>
      <c r="C6646" s="2">
        <v>-0.61</v>
      </c>
      <c r="D6646" s="2">
        <v>1.6299999999999999E-2</v>
      </c>
      <c r="E6646" s="2">
        <v>-9.9430000000000002E-5</v>
      </c>
      <c r="F6646" s="2" t="s">
        <v>7</v>
      </c>
    </row>
    <row r="6647" spans="1:6" ht="22.5" hidden="1" customHeight="1" x14ac:dyDescent="0.25">
      <c r="A6647" s="3">
        <v>44409</v>
      </c>
      <c r="B6647" s="2" t="s">
        <v>46</v>
      </c>
      <c r="C6647" s="2">
        <v>4.5</v>
      </c>
      <c r="D6647" s="2">
        <v>8.9999999999999998E-4</v>
      </c>
      <c r="E6647" s="2">
        <v>4.0500000000000002E-5</v>
      </c>
      <c r="F6647" s="2" t="s">
        <v>7</v>
      </c>
    </row>
    <row r="6648" spans="1:6" ht="22.5" hidden="1" customHeight="1" x14ac:dyDescent="0.25">
      <c r="A6648" s="3">
        <v>44409</v>
      </c>
      <c r="B6648" s="2" t="s">
        <v>47</v>
      </c>
      <c r="C6648" s="2">
        <v>7.51</v>
      </c>
      <c r="D6648" s="2">
        <v>8.0299999999999996E-2</v>
      </c>
      <c r="E6648" s="2">
        <v>6.0305300000000001E-3</v>
      </c>
      <c r="F6648" s="2" t="s">
        <v>7</v>
      </c>
    </row>
    <row r="6649" spans="1:6" ht="22.5" hidden="1" customHeight="1" x14ac:dyDescent="0.25">
      <c r="A6649" s="3">
        <v>44409</v>
      </c>
      <c r="B6649" s="2" t="s">
        <v>48</v>
      </c>
      <c r="C6649" s="2">
        <v>2.86</v>
      </c>
      <c r="D6649" s="2">
        <v>3.3999999999999998E-3</v>
      </c>
      <c r="E6649" s="2">
        <v>9.7239999999999997E-5</v>
      </c>
      <c r="F6649" s="2" t="s">
        <v>7</v>
      </c>
    </row>
    <row r="6650" spans="1:6" ht="22.5" hidden="1" customHeight="1" x14ac:dyDescent="0.25">
      <c r="A6650" s="3">
        <v>44409</v>
      </c>
      <c r="B6650" s="2" t="s">
        <v>49</v>
      </c>
      <c r="C6650" s="2">
        <v>-0.57999999999999996</v>
      </c>
      <c r="D6650" s="2">
        <v>0.1426</v>
      </c>
      <c r="E6650" s="2">
        <v>-8.2708E-4</v>
      </c>
      <c r="F6650" s="2" t="s">
        <v>7</v>
      </c>
    </row>
    <row r="6651" spans="1:6" ht="22.5" hidden="1" customHeight="1" x14ac:dyDescent="0.25">
      <c r="A6651" s="3">
        <v>44409</v>
      </c>
      <c r="B6651" s="2" t="s">
        <v>50</v>
      </c>
      <c r="C6651" s="2">
        <v>-0.54</v>
      </c>
      <c r="D6651" s="2">
        <v>4.4999999999999997E-3</v>
      </c>
      <c r="E6651" s="2">
        <v>-2.4300000000000001E-5</v>
      </c>
      <c r="F6651" s="2" t="s">
        <v>7</v>
      </c>
    </row>
    <row r="6652" spans="1:6" ht="22.5" hidden="1" customHeight="1" x14ac:dyDescent="0.25">
      <c r="A6652" s="3">
        <v>44409</v>
      </c>
      <c r="B6652" s="2" t="s">
        <v>51</v>
      </c>
      <c r="C6652" s="2">
        <v>4.62</v>
      </c>
      <c r="D6652" s="2">
        <v>4.1000000000000003E-3</v>
      </c>
      <c r="E6652" s="2">
        <v>1.8942000000000001E-4</v>
      </c>
      <c r="F6652" s="2" t="s">
        <v>7</v>
      </c>
    </row>
    <row r="6653" spans="1:6" ht="22.5" hidden="1" customHeight="1" x14ac:dyDescent="0.25">
      <c r="A6653" s="3">
        <v>44409</v>
      </c>
      <c r="B6653" s="2" t="s">
        <v>52</v>
      </c>
      <c r="C6653" s="2">
        <v>23.16</v>
      </c>
      <c r="D6653" s="2">
        <v>2.2800000000000001E-2</v>
      </c>
      <c r="E6653" s="2">
        <v>5.2804799999999997E-3</v>
      </c>
      <c r="F6653" s="2" t="s">
        <v>7</v>
      </c>
    </row>
    <row r="6654" spans="1:6" ht="22.5" hidden="1" customHeight="1" x14ac:dyDescent="0.25">
      <c r="A6654" s="3">
        <v>44409</v>
      </c>
      <c r="B6654" s="2" t="s">
        <v>53</v>
      </c>
      <c r="C6654" s="2">
        <v>2.78</v>
      </c>
      <c r="D6654" s="2">
        <v>0.13400000000000001</v>
      </c>
      <c r="E6654" s="2">
        <v>3.7252000000000001E-3</v>
      </c>
      <c r="F6654" s="2" t="s">
        <v>7</v>
      </c>
    </row>
    <row r="6655" spans="1:6" ht="22.5" hidden="1" customHeight="1" x14ac:dyDescent="0.25">
      <c r="A6655" s="3">
        <v>44409</v>
      </c>
      <c r="B6655" s="2" t="s">
        <v>54</v>
      </c>
      <c r="C6655" s="2">
        <v>-1.1299999999999999</v>
      </c>
      <c r="D6655" s="2">
        <v>8.43E-2</v>
      </c>
      <c r="E6655" s="2">
        <v>-9.5259000000000001E-4</v>
      </c>
      <c r="F6655" s="2" t="s">
        <v>7</v>
      </c>
    </row>
    <row r="6656" spans="1:6" ht="22.5" hidden="1" customHeight="1" x14ac:dyDescent="0.25">
      <c r="A6656" s="3">
        <v>44409</v>
      </c>
      <c r="B6656" s="2" t="s">
        <v>55</v>
      </c>
      <c r="C6656" s="2">
        <v>4.33</v>
      </c>
      <c r="D6656" s="2">
        <v>5.7799999999999997E-2</v>
      </c>
      <c r="E6656" s="2">
        <v>2.5027399999999998E-3</v>
      </c>
      <c r="F6656" s="2" t="s">
        <v>7</v>
      </c>
    </row>
    <row r="6657" spans="1:6" ht="22.5" hidden="1" customHeight="1" x14ac:dyDescent="0.25">
      <c r="A6657" s="3">
        <v>44409</v>
      </c>
      <c r="B6657" s="2" t="s">
        <v>56</v>
      </c>
      <c r="C6657" s="2">
        <v>-7.0000000000000007E-2</v>
      </c>
      <c r="D6657" s="2">
        <v>6.3E-3</v>
      </c>
      <c r="E6657" s="2">
        <v>-4.4100000000000001E-6</v>
      </c>
      <c r="F6657" s="2" t="s">
        <v>7</v>
      </c>
    </row>
    <row r="6658" spans="1:6" ht="22.5" hidden="1" customHeight="1" x14ac:dyDescent="0.25">
      <c r="A6658" s="3">
        <v>44409</v>
      </c>
      <c r="B6658" s="2" t="s">
        <v>57</v>
      </c>
      <c r="C6658" s="2">
        <v>1.74</v>
      </c>
      <c r="D6658" s="2">
        <v>2.7799999999999998E-2</v>
      </c>
      <c r="E6658" s="2">
        <v>4.8371999999999998E-4</v>
      </c>
      <c r="F6658" s="2" t="s">
        <v>7</v>
      </c>
    </row>
    <row r="6659" spans="1:6" ht="22.5" hidden="1" customHeight="1" x14ac:dyDescent="0.25">
      <c r="A6659" s="3">
        <v>44409</v>
      </c>
      <c r="B6659" s="2" t="s">
        <v>58</v>
      </c>
      <c r="C6659" s="2">
        <v>2.7</v>
      </c>
      <c r="D6659" s="2">
        <v>1.6500000000000001E-2</v>
      </c>
      <c r="E6659" s="2">
        <v>4.4549999999999999E-4</v>
      </c>
      <c r="F6659" s="2" t="s">
        <v>7</v>
      </c>
    </row>
    <row r="6660" spans="1:6" ht="22.5" hidden="1" customHeight="1" x14ac:dyDescent="0.25">
      <c r="A6660" s="3">
        <v>44409</v>
      </c>
      <c r="B6660" s="2" t="s">
        <v>59</v>
      </c>
      <c r="C6660" s="2">
        <v>2.46</v>
      </c>
      <c r="D6660" s="2">
        <v>2.1100000000000001E-2</v>
      </c>
      <c r="E6660" s="2">
        <v>5.1906000000000001E-4</v>
      </c>
      <c r="F6660" s="2" t="s">
        <v>7</v>
      </c>
    </row>
    <row r="6661" spans="1:6" ht="22.5" hidden="1" customHeight="1" x14ac:dyDescent="0.25">
      <c r="A6661" s="3">
        <v>44409</v>
      </c>
      <c r="B6661" s="2" t="s">
        <v>60</v>
      </c>
      <c r="C6661" s="2">
        <v>-0.31</v>
      </c>
      <c r="D6661" s="2">
        <v>2.58E-2</v>
      </c>
      <c r="E6661" s="2">
        <v>-7.9980000000000003E-5</v>
      </c>
      <c r="F6661" s="2" t="s">
        <v>7</v>
      </c>
    </row>
    <row r="6662" spans="1:6" ht="22.5" hidden="1" customHeight="1" x14ac:dyDescent="0.25">
      <c r="A6662" s="3">
        <v>44409</v>
      </c>
      <c r="B6662" s="2" t="s">
        <v>61</v>
      </c>
      <c r="C6662" s="2">
        <v>0.16</v>
      </c>
      <c r="D6662" s="2">
        <v>6.7900000000000002E-2</v>
      </c>
      <c r="E6662" s="2">
        <v>1.0864E-4</v>
      </c>
      <c r="F6662" s="2" t="s">
        <v>7</v>
      </c>
    </row>
    <row r="6663" spans="1:6" ht="22.5" hidden="1" customHeight="1" x14ac:dyDescent="0.25">
      <c r="A6663" s="3">
        <v>44409</v>
      </c>
      <c r="B6663" s="2" t="s">
        <v>62</v>
      </c>
      <c r="C6663" s="2">
        <v>-0.72</v>
      </c>
      <c r="D6663" s="2">
        <v>8.9099999999999999E-2</v>
      </c>
      <c r="E6663" s="2">
        <v>-6.4152000000000002E-4</v>
      </c>
      <c r="F6663" s="2" t="s">
        <v>7</v>
      </c>
    </row>
    <row r="6664" spans="1:6" ht="22.5" hidden="1" customHeight="1" x14ac:dyDescent="0.25">
      <c r="A6664" s="3">
        <v>44409</v>
      </c>
      <c r="B6664" s="2" t="s">
        <v>63</v>
      </c>
      <c r="C6664" s="2">
        <v>-1.41</v>
      </c>
      <c r="D6664" s="2">
        <v>8.8000000000000005E-3</v>
      </c>
      <c r="E6664" s="2">
        <v>-1.2407999999999999E-4</v>
      </c>
      <c r="F6664" s="2" t="s">
        <v>7</v>
      </c>
    </row>
    <row r="6665" spans="1:6" ht="22.5" hidden="1" customHeight="1" x14ac:dyDescent="0.25">
      <c r="A6665" s="3">
        <v>44409</v>
      </c>
      <c r="B6665" s="2" t="s">
        <v>64</v>
      </c>
      <c r="C6665" s="2">
        <v>-5.87</v>
      </c>
      <c r="D6665" s="2">
        <v>4.3E-3</v>
      </c>
      <c r="E6665" s="2">
        <v>-2.5241E-4</v>
      </c>
      <c r="F6665" s="2" t="s">
        <v>7</v>
      </c>
    </row>
    <row r="6666" spans="1:6" ht="22.5" hidden="1" customHeight="1" x14ac:dyDescent="0.25">
      <c r="A6666" s="3">
        <v>44409</v>
      </c>
      <c r="B6666" s="2" t="s">
        <v>65</v>
      </c>
      <c r="C6666" s="2">
        <v>2.92</v>
      </c>
      <c r="D6666" s="2">
        <v>2.23E-2</v>
      </c>
      <c r="E6666" s="2">
        <v>6.5116000000000002E-4</v>
      </c>
      <c r="F6666" s="2" t="s">
        <v>7</v>
      </c>
    </row>
    <row r="6667" spans="1:6" ht="22.5" hidden="1" customHeight="1" x14ac:dyDescent="0.25">
      <c r="A6667" s="3">
        <v>44409</v>
      </c>
      <c r="B6667" s="2" t="s">
        <v>66</v>
      </c>
      <c r="C6667" s="2">
        <v>-0.56000000000000005</v>
      </c>
      <c r="D6667" s="2">
        <v>0.37269999999999998</v>
      </c>
      <c r="E6667" s="2">
        <v>-2.08712E-3</v>
      </c>
      <c r="F6667" s="2" t="s">
        <v>7</v>
      </c>
    </row>
    <row r="6668" spans="1:6" ht="22.5" hidden="1" customHeight="1" x14ac:dyDescent="0.25">
      <c r="A6668" s="3">
        <v>44409</v>
      </c>
      <c r="B6668" s="2" t="s">
        <v>67</v>
      </c>
      <c r="C6668" s="2">
        <v>2.5099999999999998</v>
      </c>
      <c r="D6668" s="2">
        <v>3.8E-3</v>
      </c>
      <c r="E6668" s="2">
        <v>9.5379999999999998E-5</v>
      </c>
      <c r="F6668" s="2" t="s">
        <v>7</v>
      </c>
    </row>
    <row r="6669" spans="1:6" ht="22.5" hidden="1" customHeight="1" x14ac:dyDescent="0.25">
      <c r="A6669" s="3">
        <v>44409</v>
      </c>
      <c r="B6669" s="2" t="s">
        <v>68</v>
      </c>
      <c r="C6669" s="2">
        <v>0.89</v>
      </c>
      <c r="D6669" s="2">
        <v>1.21E-2</v>
      </c>
      <c r="E6669" s="2">
        <v>1.0768999999999999E-4</v>
      </c>
      <c r="F6669" s="2" t="s">
        <v>7</v>
      </c>
    </row>
    <row r="6670" spans="1:6" ht="22.5" hidden="1" customHeight="1" x14ac:dyDescent="0.25">
      <c r="A6670" s="3">
        <v>44409</v>
      </c>
      <c r="B6670" s="2" t="s">
        <v>69</v>
      </c>
      <c r="C6670" s="2">
        <v>-0.6</v>
      </c>
      <c r="D6670" s="2">
        <v>0.50219999999999998</v>
      </c>
      <c r="E6670" s="2">
        <v>-3.0132000000000002E-3</v>
      </c>
      <c r="F6670" s="2" t="s">
        <v>7</v>
      </c>
    </row>
    <row r="6671" spans="1:6" ht="22.5" hidden="1" customHeight="1" x14ac:dyDescent="0.25">
      <c r="A6671" s="3">
        <v>44409</v>
      </c>
      <c r="B6671" s="2" t="s">
        <v>70</v>
      </c>
      <c r="C6671" s="2">
        <v>2.3199999999999998</v>
      </c>
      <c r="D6671" s="2">
        <v>2.7799999999999998E-2</v>
      </c>
      <c r="E6671" s="2">
        <v>6.4495999999999998E-4</v>
      </c>
      <c r="F6671" s="2" t="s">
        <v>7</v>
      </c>
    </row>
    <row r="6672" spans="1:6" ht="22.5" hidden="1" customHeight="1" x14ac:dyDescent="0.25">
      <c r="A6672" s="3">
        <v>44409</v>
      </c>
      <c r="B6672" s="2" t="s">
        <v>71</v>
      </c>
      <c r="C6672" s="2">
        <v>0.48</v>
      </c>
      <c r="D6672" s="2">
        <v>0.35439999999999999</v>
      </c>
      <c r="E6672" s="2">
        <v>1.70112E-3</v>
      </c>
      <c r="F6672" s="2" t="s">
        <v>7</v>
      </c>
    </row>
    <row r="6673" spans="1:6" ht="22.5" hidden="1" customHeight="1" x14ac:dyDescent="0.25">
      <c r="A6673" s="3">
        <v>44409</v>
      </c>
      <c r="B6673" s="2" t="s">
        <v>72</v>
      </c>
      <c r="C6673" s="2">
        <v>1.0900000000000001</v>
      </c>
      <c r="D6673" s="2">
        <v>0.3765</v>
      </c>
      <c r="E6673" s="2">
        <v>4.10385E-3</v>
      </c>
      <c r="F6673" s="2" t="s">
        <v>7</v>
      </c>
    </row>
    <row r="6674" spans="1:6" ht="22.5" hidden="1" customHeight="1" x14ac:dyDescent="0.25">
      <c r="A6674" s="3">
        <v>44409</v>
      </c>
      <c r="B6674" s="2" t="s">
        <v>73</v>
      </c>
      <c r="C6674" s="2">
        <v>0.42</v>
      </c>
      <c r="D6674" s="2">
        <v>0.19450000000000001</v>
      </c>
      <c r="E6674" s="2">
        <v>8.1689999999999996E-4</v>
      </c>
      <c r="F6674" s="2" t="s">
        <v>7</v>
      </c>
    </row>
    <row r="6675" spans="1:6" ht="22.5" hidden="1" customHeight="1" x14ac:dyDescent="0.25">
      <c r="A6675" s="3">
        <v>44409</v>
      </c>
      <c r="B6675" s="2" t="s">
        <v>74</v>
      </c>
      <c r="C6675" s="2">
        <v>0</v>
      </c>
      <c r="D6675" s="2">
        <v>0.01</v>
      </c>
      <c r="E6675" s="2">
        <v>0</v>
      </c>
      <c r="F6675" s="2" t="s">
        <v>7</v>
      </c>
    </row>
    <row r="6676" spans="1:6" ht="22.5" hidden="1" customHeight="1" x14ac:dyDescent="0.25">
      <c r="A6676" s="3">
        <v>44409</v>
      </c>
      <c r="B6676" s="2" t="s">
        <v>75</v>
      </c>
      <c r="C6676" s="2">
        <v>1.62</v>
      </c>
      <c r="D6676" s="2">
        <v>8.2600000000000007E-2</v>
      </c>
      <c r="E6676" s="2">
        <v>1.3381199999999999E-3</v>
      </c>
      <c r="F6676" s="2" t="s">
        <v>7</v>
      </c>
    </row>
    <row r="6677" spans="1:6" ht="22.5" hidden="1" customHeight="1" x14ac:dyDescent="0.25">
      <c r="A6677" s="3">
        <v>44409</v>
      </c>
      <c r="B6677" s="2" t="s">
        <v>76</v>
      </c>
      <c r="C6677" s="2">
        <v>-0.47</v>
      </c>
      <c r="D6677" s="2">
        <v>0.183</v>
      </c>
      <c r="E6677" s="2">
        <v>-8.6010000000000004E-4</v>
      </c>
      <c r="F6677" s="2" t="s">
        <v>7</v>
      </c>
    </row>
    <row r="6678" spans="1:6" ht="22.5" hidden="1" customHeight="1" x14ac:dyDescent="0.25">
      <c r="A6678" s="3">
        <v>44409</v>
      </c>
      <c r="B6678" s="2" t="s">
        <v>77</v>
      </c>
      <c r="C6678" s="2">
        <v>-0.42</v>
      </c>
      <c r="D6678" s="2">
        <v>0.1237</v>
      </c>
      <c r="E6678" s="2">
        <v>-5.1953999999999998E-4</v>
      </c>
      <c r="F6678" s="2" t="s">
        <v>7</v>
      </c>
    </row>
    <row r="6679" spans="1:6" ht="22.5" hidden="1" customHeight="1" x14ac:dyDescent="0.25">
      <c r="A6679" s="3">
        <v>44409</v>
      </c>
      <c r="B6679" s="2" t="s">
        <v>78</v>
      </c>
      <c r="C6679" s="2">
        <v>0.14000000000000001</v>
      </c>
      <c r="D6679" s="2">
        <v>0.31859999999999999</v>
      </c>
      <c r="E6679" s="2">
        <v>4.4603999999999998E-4</v>
      </c>
      <c r="F6679" s="2" t="s">
        <v>7</v>
      </c>
    </row>
    <row r="6680" spans="1:6" ht="22.5" hidden="1" customHeight="1" x14ac:dyDescent="0.25">
      <c r="A6680" s="3">
        <v>44409</v>
      </c>
      <c r="B6680" s="2" t="s">
        <v>79</v>
      </c>
      <c r="C6680" s="2">
        <v>0</v>
      </c>
      <c r="D6680" s="2">
        <v>1.21E-2</v>
      </c>
      <c r="E6680" s="2">
        <v>0</v>
      </c>
      <c r="F6680" s="2" t="s">
        <v>7</v>
      </c>
    </row>
    <row r="6681" spans="1:6" ht="22.5" hidden="1" customHeight="1" x14ac:dyDescent="0.25">
      <c r="A6681" s="3">
        <v>44409</v>
      </c>
      <c r="B6681" s="2" t="s">
        <v>80</v>
      </c>
      <c r="C6681" s="2">
        <v>-4.42</v>
      </c>
      <c r="D6681" s="2">
        <v>3.9E-2</v>
      </c>
      <c r="E6681" s="2">
        <v>-1.7237999999999999E-3</v>
      </c>
      <c r="F6681" s="2" t="s">
        <v>7</v>
      </c>
    </row>
    <row r="6682" spans="1:6" ht="22.5" hidden="1" customHeight="1" x14ac:dyDescent="0.25">
      <c r="A6682" s="3">
        <v>44409</v>
      </c>
      <c r="B6682" s="2" t="s">
        <v>81</v>
      </c>
      <c r="C6682" s="2">
        <v>0.47</v>
      </c>
      <c r="D6682" s="2">
        <v>0.3957</v>
      </c>
      <c r="E6682" s="2">
        <v>1.8597900000000001E-3</v>
      </c>
      <c r="F6682" s="2" t="s">
        <v>7</v>
      </c>
    </row>
    <row r="6683" spans="1:6" ht="22.5" hidden="1" customHeight="1" x14ac:dyDescent="0.25">
      <c r="A6683" s="3">
        <v>44409</v>
      </c>
      <c r="B6683" s="2" t="s">
        <v>82</v>
      </c>
      <c r="C6683" s="2">
        <v>1.24</v>
      </c>
      <c r="D6683" s="2">
        <v>4.7100000000000003E-2</v>
      </c>
      <c r="E6683" s="2">
        <v>5.8403999999999997E-4</v>
      </c>
      <c r="F6683" s="2" t="s">
        <v>7</v>
      </c>
    </row>
    <row r="6684" spans="1:6" ht="22.5" hidden="1" customHeight="1" x14ac:dyDescent="0.25">
      <c r="A6684" s="3">
        <v>44409</v>
      </c>
      <c r="B6684" s="2" t="s">
        <v>83</v>
      </c>
      <c r="C6684" s="2">
        <v>1.82</v>
      </c>
      <c r="D6684" s="2">
        <v>6.9999999999999999E-4</v>
      </c>
      <c r="E6684" s="2">
        <v>1.274E-5</v>
      </c>
      <c r="F6684" s="2" t="s">
        <v>7</v>
      </c>
    </row>
    <row r="6685" spans="1:6" ht="22.5" hidden="1" customHeight="1" x14ac:dyDescent="0.25">
      <c r="A6685" s="3">
        <v>44409</v>
      </c>
      <c r="B6685" s="2" t="s">
        <v>84</v>
      </c>
      <c r="C6685" s="2">
        <v>0.26</v>
      </c>
      <c r="D6685" s="2">
        <v>2.23E-2</v>
      </c>
      <c r="E6685" s="2">
        <v>5.7979999999999997E-5</v>
      </c>
      <c r="F6685" s="2" t="s">
        <v>7</v>
      </c>
    </row>
    <row r="6686" spans="1:6" ht="22.5" hidden="1" customHeight="1" x14ac:dyDescent="0.25">
      <c r="A6686" s="3">
        <v>44409</v>
      </c>
      <c r="B6686" s="2" t="s">
        <v>85</v>
      </c>
      <c r="C6686" s="2">
        <v>1.54</v>
      </c>
      <c r="D6686" s="2">
        <v>5.4000000000000003E-3</v>
      </c>
      <c r="E6686" s="2">
        <v>8.3159999999999997E-5</v>
      </c>
      <c r="F6686" s="2" t="s">
        <v>7</v>
      </c>
    </row>
    <row r="6687" spans="1:6" ht="22.5" hidden="1" customHeight="1" x14ac:dyDescent="0.25">
      <c r="A6687" s="3">
        <v>44409</v>
      </c>
      <c r="B6687" s="2" t="s">
        <v>86</v>
      </c>
      <c r="C6687" s="2">
        <v>1.41</v>
      </c>
      <c r="D6687" s="2">
        <v>2.3800000000000002E-2</v>
      </c>
      <c r="E6687" s="2">
        <v>3.3557999999999998E-4</v>
      </c>
      <c r="F6687" s="2" t="s">
        <v>7</v>
      </c>
    </row>
    <row r="6688" spans="1:6" ht="22.5" hidden="1" customHeight="1" x14ac:dyDescent="0.25">
      <c r="A6688" s="3">
        <v>44409</v>
      </c>
      <c r="B6688" s="2" t="s">
        <v>87</v>
      </c>
      <c r="C6688" s="2">
        <v>5.61</v>
      </c>
      <c r="D6688" s="2">
        <v>1E-3</v>
      </c>
      <c r="E6688" s="2">
        <v>5.6100000000000002E-5</v>
      </c>
      <c r="F6688" s="2" t="s">
        <v>7</v>
      </c>
    </row>
    <row r="6689" spans="1:6" ht="22.5" hidden="1" customHeight="1" x14ac:dyDescent="0.25">
      <c r="A6689" s="3">
        <v>44409</v>
      </c>
      <c r="B6689" s="2" t="s">
        <v>88</v>
      </c>
      <c r="C6689" s="2">
        <v>-1.63</v>
      </c>
      <c r="D6689" s="2">
        <v>6.7000000000000002E-3</v>
      </c>
      <c r="E6689" s="2">
        <v>-1.0921000000000001E-4</v>
      </c>
      <c r="F6689" s="2" t="s">
        <v>7</v>
      </c>
    </row>
    <row r="6690" spans="1:6" ht="22.5" hidden="1" customHeight="1" x14ac:dyDescent="0.25">
      <c r="A6690" s="3">
        <v>44409</v>
      </c>
      <c r="B6690" s="2" t="s">
        <v>89</v>
      </c>
      <c r="C6690" s="2">
        <v>1.28</v>
      </c>
      <c r="D6690" s="2">
        <v>1.7100000000000001E-2</v>
      </c>
      <c r="E6690" s="2">
        <v>2.1887999999999999E-4</v>
      </c>
      <c r="F6690" s="2" t="s">
        <v>7</v>
      </c>
    </row>
    <row r="6691" spans="1:6" ht="22.5" hidden="1" customHeight="1" x14ac:dyDescent="0.25">
      <c r="A6691" s="3">
        <v>44409</v>
      </c>
      <c r="B6691" s="2" t="s">
        <v>90</v>
      </c>
      <c r="C6691" s="2">
        <v>0.18</v>
      </c>
      <c r="D6691" s="2">
        <v>1.6000000000000001E-3</v>
      </c>
      <c r="E6691" s="2">
        <v>2.88E-6</v>
      </c>
      <c r="F6691" s="2" t="s">
        <v>7</v>
      </c>
    </row>
    <row r="6692" spans="1:6" ht="22.5" hidden="1" customHeight="1" x14ac:dyDescent="0.25">
      <c r="A6692" s="3">
        <v>44409</v>
      </c>
      <c r="B6692" s="2" t="s">
        <v>91</v>
      </c>
      <c r="C6692" s="2">
        <v>1.4</v>
      </c>
      <c r="D6692" s="2">
        <v>2.4400000000000002E-2</v>
      </c>
      <c r="E6692" s="2">
        <v>3.4160000000000001E-4</v>
      </c>
      <c r="F6692" s="2" t="s">
        <v>7</v>
      </c>
    </row>
    <row r="6693" spans="1:6" ht="22.5" hidden="1" customHeight="1" x14ac:dyDescent="0.25">
      <c r="A6693" s="3">
        <v>44409</v>
      </c>
      <c r="B6693" s="2" t="s">
        <v>92</v>
      </c>
      <c r="C6693" s="2">
        <v>0</v>
      </c>
      <c r="D6693" s="2">
        <v>5.1000000000000004E-3</v>
      </c>
      <c r="E6693" s="2">
        <v>0</v>
      </c>
      <c r="F6693" s="2" t="s">
        <v>7</v>
      </c>
    </row>
    <row r="6694" spans="1:6" ht="22.5" hidden="1" customHeight="1" x14ac:dyDescent="0.25">
      <c r="A6694" s="3">
        <v>44409</v>
      </c>
      <c r="B6694" s="2" t="s">
        <v>93</v>
      </c>
      <c r="C6694" s="2">
        <v>1.1599999999999999</v>
      </c>
      <c r="D6694" s="2">
        <v>1.1000000000000001E-3</v>
      </c>
      <c r="E6694" s="2">
        <v>1.276E-5</v>
      </c>
      <c r="F6694" s="2" t="s">
        <v>7</v>
      </c>
    </row>
    <row r="6695" spans="1:6" ht="22.5" hidden="1" customHeight="1" x14ac:dyDescent="0.25">
      <c r="A6695" s="3">
        <v>44409</v>
      </c>
      <c r="B6695" s="2" t="s">
        <v>94</v>
      </c>
      <c r="C6695" s="2">
        <v>3.63</v>
      </c>
      <c r="D6695" s="2">
        <v>8.9999999999999998E-4</v>
      </c>
      <c r="E6695" s="2">
        <v>3.2669999999999997E-5</v>
      </c>
      <c r="F6695" s="2" t="s">
        <v>7</v>
      </c>
    </row>
    <row r="6696" spans="1:6" ht="22.5" hidden="1" customHeight="1" x14ac:dyDescent="0.25">
      <c r="A6696" s="3">
        <v>44409</v>
      </c>
      <c r="B6696" s="2" t="s">
        <v>95</v>
      </c>
      <c r="C6696" s="2">
        <v>0.48</v>
      </c>
      <c r="D6696" s="2">
        <v>1.6199999999999999E-2</v>
      </c>
      <c r="E6696" s="2">
        <v>7.7760000000000001E-5</v>
      </c>
      <c r="F6696" s="2" t="s">
        <v>7</v>
      </c>
    </row>
    <row r="6697" spans="1:6" ht="22.5" hidden="1" customHeight="1" x14ac:dyDescent="0.25">
      <c r="A6697" s="3">
        <v>44409</v>
      </c>
      <c r="B6697" s="2" t="s">
        <v>96</v>
      </c>
      <c r="C6697" s="2">
        <v>0.78</v>
      </c>
      <c r="D6697" s="2">
        <v>4.8300000000000003E-2</v>
      </c>
      <c r="E6697" s="2">
        <v>3.7673999999999997E-4</v>
      </c>
      <c r="F6697" s="2" t="s">
        <v>7</v>
      </c>
    </row>
    <row r="6698" spans="1:6" ht="22.5" hidden="1" customHeight="1" x14ac:dyDescent="0.25">
      <c r="A6698" s="3">
        <v>44409</v>
      </c>
      <c r="B6698" s="2" t="s">
        <v>97</v>
      </c>
      <c r="C6698" s="2">
        <v>1.05</v>
      </c>
      <c r="D6698" s="2">
        <v>1.03E-2</v>
      </c>
      <c r="E6698" s="2">
        <v>1.0815E-4</v>
      </c>
      <c r="F6698" s="2" t="s">
        <v>7</v>
      </c>
    </row>
    <row r="6699" spans="1:6" ht="22.5" hidden="1" customHeight="1" x14ac:dyDescent="0.25">
      <c r="A6699" s="3">
        <v>44409</v>
      </c>
      <c r="B6699" s="2" t="s">
        <v>98</v>
      </c>
      <c r="C6699" s="2">
        <v>1.32</v>
      </c>
      <c r="D6699" s="2">
        <v>6.1000000000000004E-3</v>
      </c>
      <c r="E6699" s="2">
        <v>8.0519999999999995E-5</v>
      </c>
      <c r="F6699" s="2" t="s">
        <v>7</v>
      </c>
    </row>
    <row r="6700" spans="1:6" ht="22.5" hidden="1" customHeight="1" x14ac:dyDescent="0.25">
      <c r="A6700" s="3">
        <v>44409</v>
      </c>
      <c r="B6700" s="2" t="s">
        <v>99</v>
      </c>
      <c r="C6700" s="2">
        <v>1.03</v>
      </c>
      <c r="D6700" s="2">
        <v>3.3999999999999998E-3</v>
      </c>
      <c r="E6700" s="2">
        <v>3.502E-5</v>
      </c>
      <c r="F6700" s="2" t="s">
        <v>7</v>
      </c>
    </row>
    <row r="6701" spans="1:6" ht="22.5" hidden="1" customHeight="1" x14ac:dyDescent="0.25">
      <c r="A6701" s="3">
        <v>44409</v>
      </c>
      <c r="B6701" s="2" t="s">
        <v>100</v>
      </c>
      <c r="C6701" s="2">
        <v>2.52</v>
      </c>
      <c r="D6701" s="2">
        <v>6.9999999999999999E-4</v>
      </c>
      <c r="E6701" s="2">
        <v>1.7640000000000001E-5</v>
      </c>
      <c r="F6701" s="2" t="s">
        <v>7</v>
      </c>
    </row>
    <row r="6702" spans="1:6" ht="22.5" hidden="1" customHeight="1" x14ac:dyDescent="0.25">
      <c r="A6702" s="3">
        <v>44409</v>
      </c>
      <c r="B6702" s="2" t="s">
        <v>101</v>
      </c>
      <c r="C6702" s="2">
        <v>1.1499999999999999</v>
      </c>
      <c r="D6702" s="2">
        <v>0.1013</v>
      </c>
      <c r="E6702" s="2">
        <v>1.1649500000000001E-3</v>
      </c>
      <c r="F6702" s="2" t="s">
        <v>7</v>
      </c>
    </row>
    <row r="6703" spans="1:6" ht="22.5" hidden="1" customHeight="1" x14ac:dyDescent="0.25">
      <c r="A6703" s="3">
        <v>44409</v>
      </c>
      <c r="B6703" s="2" t="s">
        <v>102</v>
      </c>
      <c r="C6703" s="2">
        <v>2.84</v>
      </c>
      <c r="D6703" s="2">
        <v>4.6800000000000001E-2</v>
      </c>
      <c r="E6703" s="2">
        <v>1.32912E-3</v>
      </c>
      <c r="F6703" s="2" t="s">
        <v>7</v>
      </c>
    </row>
    <row r="6704" spans="1:6" ht="22.5" hidden="1" customHeight="1" x14ac:dyDescent="0.25">
      <c r="A6704" s="3">
        <v>44409</v>
      </c>
      <c r="B6704" s="2" t="s">
        <v>103</v>
      </c>
      <c r="C6704" s="2">
        <v>2.6</v>
      </c>
      <c r="D6704" s="2">
        <v>0.35920000000000002</v>
      </c>
      <c r="E6704" s="2">
        <v>9.3392000000000006E-3</v>
      </c>
      <c r="F6704" s="2" t="s">
        <v>7</v>
      </c>
    </row>
    <row r="6705" spans="1:6" ht="22.5" hidden="1" customHeight="1" x14ac:dyDescent="0.25">
      <c r="A6705" s="3">
        <v>44409</v>
      </c>
      <c r="B6705" s="2" t="s">
        <v>104</v>
      </c>
      <c r="C6705" s="2">
        <v>1.23</v>
      </c>
      <c r="D6705" s="2">
        <v>5.4100000000000002E-2</v>
      </c>
      <c r="E6705" s="2">
        <v>6.6542999999999995E-4</v>
      </c>
      <c r="F6705" s="2" t="s">
        <v>7</v>
      </c>
    </row>
    <row r="6706" spans="1:6" ht="22.5" hidden="1" customHeight="1" x14ac:dyDescent="0.25">
      <c r="A6706" s="3">
        <v>44409</v>
      </c>
      <c r="B6706" s="2" t="s">
        <v>105</v>
      </c>
      <c r="C6706" s="2">
        <v>3.56</v>
      </c>
      <c r="D6706" s="2">
        <v>9.1000000000000004E-3</v>
      </c>
      <c r="E6706" s="2">
        <v>3.2395999999999998E-4</v>
      </c>
      <c r="F6706" s="2" t="s">
        <v>7</v>
      </c>
    </row>
    <row r="6707" spans="1:6" ht="22.5" hidden="1" customHeight="1" x14ac:dyDescent="0.25">
      <c r="A6707" s="3">
        <v>44409</v>
      </c>
      <c r="B6707" s="2" t="s">
        <v>106</v>
      </c>
      <c r="C6707" s="2">
        <v>1.86</v>
      </c>
      <c r="D6707" s="2">
        <v>8.3000000000000001E-3</v>
      </c>
      <c r="E6707" s="2">
        <v>1.5438E-4</v>
      </c>
      <c r="F6707" s="2" t="s">
        <v>7</v>
      </c>
    </row>
    <row r="6708" spans="1:6" ht="22.5" hidden="1" customHeight="1" x14ac:dyDescent="0.25">
      <c r="A6708" s="3">
        <v>44409</v>
      </c>
      <c r="B6708" s="2" t="s">
        <v>107</v>
      </c>
      <c r="C6708" s="2">
        <v>1.76</v>
      </c>
      <c r="D6708" s="2">
        <v>0.1208</v>
      </c>
      <c r="E6708" s="2">
        <v>2.1260799999999998E-3</v>
      </c>
      <c r="F6708" s="2" t="s">
        <v>7</v>
      </c>
    </row>
    <row r="6709" spans="1:6" ht="22.5" hidden="1" customHeight="1" x14ac:dyDescent="0.25">
      <c r="A6709" s="3">
        <v>44409</v>
      </c>
      <c r="B6709" s="2" t="s">
        <v>108</v>
      </c>
      <c r="C6709" s="2">
        <v>-1.41</v>
      </c>
      <c r="D6709" s="2">
        <v>7.7999999999999996E-3</v>
      </c>
      <c r="E6709" s="2">
        <v>-1.0998E-4</v>
      </c>
      <c r="F6709" s="2" t="s">
        <v>7</v>
      </c>
    </row>
    <row r="6710" spans="1:6" ht="22.5" hidden="1" customHeight="1" x14ac:dyDescent="0.25">
      <c r="A6710" s="3">
        <v>44409</v>
      </c>
      <c r="B6710" s="2" t="s">
        <v>109</v>
      </c>
      <c r="C6710" s="2">
        <v>2.5499999999999998</v>
      </c>
      <c r="D6710" s="2">
        <v>0.3634</v>
      </c>
      <c r="E6710" s="2">
        <v>9.2666999999999992E-3</v>
      </c>
      <c r="F6710" s="2" t="s">
        <v>7</v>
      </c>
    </row>
    <row r="6711" spans="1:6" ht="22.5" hidden="1" customHeight="1" x14ac:dyDescent="0.25">
      <c r="A6711" s="3">
        <v>44409</v>
      </c>
      <c r="B6711" s="2" t="s">
        <v>110</v>
      </c>
      <c r="C6711" s="2">
        <v>4.4800000000000004</v>
      </c>
      <c r="D6711" s="2">
        <v>0.6321</v>
      </c>
      <c r="E6711" s="2">
        <v>2.8318079999999999E-2</v>
      </c>
      <c r="F6711" s="2" t="s">
        <v>7</v>
      </c>
    </row>
    <row r="6712" spans="1:6" ht="22.5" hidden="1" customHeight="1" x14ac:dyDescent="0.25">
      <c r="A6712" s="3">
        <v>44409</v>
      </c>
      <c r="B6712" s="2" t="s">
        <v>111</v>
      </c>
      <c r="C6712" s="2">
        <v>0.96</v>
      </c>
      <c r="D6712" s="2">
        <v>0.2432</v>
      </c>
      <c r="E6712" s="2">
        <v>2.3347200000000002E-3</v>
      </c>
      <c r="F6712" s="2" t="s">
        <v>7</v>
      </c>
    </row>
    <row r="6713" spans="1:6" ht="22.5" hidden="1" customHeight="1" x14ac:dyDescent="0.25">
      <c r="A6713" s="3">
        <v>44409</v>
      </c>
      <c r="B6713" s="2" t="s">
        <v>112</v>
      </c>
      <c r="C6713" s="2">
        <v>2.0699999999999998</v>
      </c>
      <c r="D6713" s="2">
        <v>0.72750000000000004</v>
      </c>
      <c r="E6713" s="2">
        <v>1.505925E-2</v>
      </c>
      <c r="F6713" s="2" t="s">
        <v>7</v>
      </c>
    </row>
    <row r="6714" spans="1:6" ht="22.5" hidden="1" customHeight="1" x14ac:dyDescent="0.25">
      <c r="A6714" s="3">
        <v>44409</v>
      </c>
      <c r="B6714" s="2" t="s">
        <v>113</v>
      </c>
      <c r="C6714" s="2">
        <v>-0.04</v>
      </c>
      <c r="D6714" s="2">
        <v>2.2100000000000002E-2</v>
      </c>
      <c r="E6714" s="2">
        <v>-8.8400000000000001E-6</v>
      </c>
      <c r="F6714" s="2" t="s">
        <v>7</v>
      </c>
    </row>
    <row r="6715" spans="1:6" ht="22.5" hidden="1" customHeight="1" x14ac:dyDescent="0.25">
      <c r="A6715" s="3">
        <v>44409</v>
      </c>
      <c r="B6715" s="2" t="s">
        <v>114</v>
      </c>
      <c r="C6715" s="2">
        <v>1.04</v>
      </c>
      <c r="D6715" s="2">
        <v>0.20349999999999999</v>
      </c>
      <c r="E6715" s="2">
        <v>2.1164000000000001E-3</v>
      </c>
      <c r="F6715" s="2" t="s">
        <v>7</v>
      </c>
    </row>
    <row r="6716" spans="1:6" ht="22.5" hidden="1" customHeight="1" x14ac:dyDescent="0.25">
      <c r="A6716" s="3">
        <v>44409</v>
      </c>
      <c r="B6716" s="2" t="s">
        <v>115</v>
      </c>
      <c r="C6716" s="2">
        <v>0.01</v>
      </c>
      <c r="D6716" s="2">
        <v>0.52039999999999997</v>
      </c>
      <c r="E6716" s="2">
        <v>5.2040000000000003E-5</v>
      </c>
      <c r="F6716" s="2" t="s">
        <v>7</v>
      </c>
    </row>
    <row r="6717" spans="1:6" ht="22.5" hidden="1" customHeight="1" x14ac:dyDescent="0.25">
      <c r="A6717" s="3">
        <v>44409</v>
      </c>
      <c r="B6717" s="2" t="s">
        <v>116</v>
      </c>
      <c r="C6717" s="2">
        <v>-0.22</v>
      </c>
      <c r="D6717" s="2">
        <v>0.15210000000000001</v>
      </c>
      <c r="E6717" s="2">
        <v>-3.3461999999999999E-4</v>
      </c>
      <c r="F6717" s="2" t="s">
        <v>7</v>
      </c>
    </row>
    <row r="6718" spans="1:6" ht="22.5" hidden="1" customHeight="1" x14ac:dyDescent="0.25">
      <c r="A6718" s="3">
        <v>44409</v>
      </c>
      <c r="B6718" s="2" t="s">
        <v>117</v>
      </c>
      <c r="C6718" s="2">
        <v>-0.99</v>
      </c>
      <c r="D6718" s="2">
        <v>5.67E-2</v>
      </c>
      <c r="E6718" s="2">
        <v>-5.6132999999999997E-4</v>
      </c>
      <c r="F6718" s="2" t="s">
        <v>7</v>
      </c>
    </row>
    <row r="6719" spans="1:6" ht="22.5" hidden="1" customHeight="1" x14ac:dyDescent="0.25">
      <c r="A6719" s="3">
        <v>44409</v>
      </c>
      <c r="B6719" s="2" t="s">
        <v>118</v>
      </c>
      <c r="C6719" s="2">
        <v>1.31</v>
      </c>
      <c r="D6719" s="2">
        <v>6.2E-2</v>
      </c>
      <c r="E6719" s="2">
        <v>8.1220000000000001E-4</v>
      </c>
      <c r="F6719" s="2" t="s">
        <v>7</v>
      </c>
    </row>
    <row r="6720" spans="1:6" ht="22.5" hidden="1" customHeight="1" x14ac:dyDescent="0.25">
      <c r="A6720" s="3">
        <v>44409</v>
      </c>
      <c r="B6720" s="2" t="s">
        <v>119</v>
      </c>
      <c r="C6720" s="2">
        <v>1.42</v>
      </c>
      <c r="D6720" s="2">
        <v>1.0999999999999999E-2</v>
      </c>
      <c r="E6720" s="2">
        <v>1.562E-4</v>
      </c>
      <c r="F6720" s="2" t="s">
        <v>7</v>
      </c>
    </row>
    <row r="6721" spans="1:6" ht="22.5" hidden="1" customHeight="1" x14ac:dyDescent="0.25">
      <c r="A6721" s="3">
        <v>44409</v>
      </c>
      <c r="B6721" s="2" t="s">
        <v>120</v>
      </c>
      <c r="C6721" s="2">
        <v>1.05</v>
      </c>
      <c r="D6721" s="2">
        <v>0.44590000000000002</v>
      </c>
      <c r="E6721" s="2">
        <v>4.6819499999999998E-3</v>
      </c>
      <c r="F6721" s="2" t="s">
        <v>7</v>
      </c>
    </row>
    <row r="6722" spans="1:6" ht="22.5" hidden="1" customHeight="1" x14ac:dyDescent="0.25">
      <c r="A6722" s="3">
        <v>44409</v>
      </c>
      <c r="B6722" s="2" t="s">
        <v>121</v>
      </c>
      <c r="C6722" s="2">
        <v>0.69</v>
      </c>
      <c r="D6722" s="2">
        <v>0.79039999999999999</v>
      </c>
      <c r="E6722" s="2">
        <v>5.4537600000000002E-3</v>
      </c>
      <c r="F6722" s="2" t="s">
        <v>7</v>
      </c>
    </row>
    <row r="6723" spans="1:6" ht="22.5" hidden="1" customHeight="1" x14ac:dyDescent="0.25">
      <c r="A6723" s="3">
        <v>44409</v>
      </c>
      <c r="B6723" s="2" t="s">
        <v>122</v>
      </c>
      <c r="C6723" s="2">
        <v>0.04</v>
      </c>
      <c r="D6723" s="2">
        <v>8.2299999999999998E-2</v>
      </c>
      <c r="E6723" s="2">
        <v>3.2920000000000003E-5</v>
      </c>
      <c r="F6723" s="2" t="s">
        <v>7</v>
      </c>
    </row>
    <row r="6724" spans="1:6" ht="22.5" hidden="1" customHeight="1" x14ac:dyDescent="0.25">
      <c r="A6724" s="3">
        <v>44409</v>
      </c>
      <c r="B6724" s="2" t="s">
        <v>123</v>
      </c>
      <c r="C6724" s="2">
        <v>-0.5</v>
      </c>
      <c r="D6724" s="2">
        <v>0.10059999999999999</v>
      </c>
      <c r="E6724" s="2">
        <v>-5.0299999999999997E-4</v>
      </c>
      <c r="F6724" s="2" t="s">
        <v>7</v>
      </c>
    </row>
    <row r="6725" spans="1:6" ht="22.5" hidden="1" customHeight="1" x14ac:dyDescent="0.25">
      <c r="A6725" s="3">
        <v>44409</v>
      </c>
      <c r="B6725" s="2" t="s">
        <v>124</v>
      </c>
      <c r="C6725" s="2">
        <v>0.33</v>
      </c>
      <c r="D6725" s="2">
        <v>0.1358</v>
      </c>
      <c r="E6725" s="2">
        <v>4.4813999999999997E-4</v>
      </c>
      <c r="F6725" s="2" t="s">
        <v>7</v>
      </c>
    </row>
    <row r="6726" spans="1:6" ht="22.5" hidden="1" customHeight="1" x14ac:dyDescent="0.25">
      <c r="A6726" s="3">
        <v>44409</v>
      </c>
      <c r="B6726" s="2" t="s">
        <v>125</v>
      </c>
      <c r="C6726" s="2">
        <v>1.1000000000000001</v>
      </c>
      <c r="D6726" s="2">
        <v>3.1300000000000001E-2</v>
      </c>
      <c r="E6726" s="2">
        <v>3.4430000000000002E-4</v>
      </c>
      <c r="F6726" s="2" t="s">
        <v>7</v>
      </c>
    </row>
    <row r="6727" spans="1:6" ht="22.5" hidden="1" customHeight="1" x14ac:dyDescent="0.25">
      <c r="A6727" s="3">
        <v>44409</v>
      </c>
      <c r="B6727" s="2" t="s">
        <v>126</v>
      </c>
      <c r="C6727" s="2">
        <v>-0.61</v>
      </c>
      <c r="D6727" s="2">
        <v>0.31459999999999999</v>
      </c>
      <c r="E6727" s="2">
        <v>-1.91906E-3</v>
      </c>
      <c r="F6727" s="2" t="s">
        <v>7</v>
      </c>
    </row>
    <row r="6728" spans="1:6" ht="22.5" hidden="1" customHeight="1" x14ac:dyDescent="0.25">
      <c r="A6728" s="3">
        <v>44409</v>
      </c>
      <c r="B6728" s="2" t="s">
        <v>127</v>
      </c>
      <c r="C6728" s="2">
        <v>1.02</v>
      </c>
      <c r="D6728" s="2">
        <v>6.7400000000000002E-2</v>
      </c>
      <c r="E6728" s="2">
        <v>6.8747999999999997E-4</v>
      </c>
      <c r="F6728" s="2" t="s">
        <v>7</v>
      </c>
    </row>
    <row r="6729" spans="1:6" ht="22.5" hidden="1" customHeight="1" x14ac:dyDescent="0.25">
      <c r="A6729" s="3">
        <v>44409</v>
      </c>
      <c r="B6729" s="2" t="s">
        <v>128</v>
      </c>
      <c r="C6729" s="2">
        <v>2.75</v>
      </c>
      <c r="D6729" s="2">
        <v>0.10249999999999999</v>
      </c>
      <c r="E6729" s="2">
        <v>2.8187500000000001E-3</v>
      </c>
      <c r="F6729" s="2" t="s">
        <v>7</v>
      </c>
    </row>
    <row r="6730" spans="1:6" ht="22.5" hidden="1" customHeight="1" x14ac:dyDescent="0.25">
      <c r="A6730" s="3">
        <v>44409</v>
      </c>
      <c r="B6730" s="2" t="s">
        <v>129</v>
      </c>
      <c r="C6730" s="2">
        <v>-0.43</v>
      </c>
      <c r="D6730" s="2">
        <v>0.12620000000000001</v>
      </c>
      <c r="E6730" s="2">
        <v>-5.4266000000000004E-4</v>
      </c>
      <c r="F6730" s="2" t="s">
        <v>7</v>
      </c>
    </row>
    <row r="6731" spans="1:6" ht="22.5" hidden="1" customHeight="1" x14ac:dyDescent="0.25">
      <c r="A6731" s="3">
        <v>44409</v>
      </c>
      <c r="B6731" s="2" t="s">
        <v>130</v>
      </c>
      <c r="C6731" s="2">
        <v>2.0699999999999998</v>
      </c>
      <c r="D6731" s="2">
        <v>1.26E-2</v>
      </c>
      <c r="E6731" s="2">
        <v>2.6081999999999999E-4</v>
      </c>
      <c r="F6731" s="2" t="s">
        <v>7</v>
      </c>
    </row>
    <row r="6732" spans="1:6" ht="22.5" hidden="1" customHeight="1" x14ac:dyDescent="0.25">
      <c r="A6732" s="3">
        <v>44409</v>
      </c>
      <c r="B6732" s="2" t="s">
        <v>131</v>
      </c>
      <c r="C6732" s="2">
        <v>-6.91</v>
      </c>
      <c r="D6732" s="2">
        <v>6.7000000000000004E-2</v>
      </c>
      <c r="E6732" s="2">
        <v>-4.6296999999999996E-3</v>
      </c>
      <c r="F6732" s="2" t="s">
        <v>7</v>
      </c>
    </row>
    <row r="6733" spans="1:6" ht="22.5" hidden="1" customHeight="1" x14ac:dyDescent="0.25">
      <c r="A6733" s="3">
        <v>44409</v>
      </c>
      <c r="B6733" s="2" t="s">
        <v>132</v>
      </c>
      <c r="C6733" s="2">
        <v>4.67</v>
      </c>
      <c r="D6733" s="2">
        <v>0.30099999999999999</v>
      </c>
      <c r="E6733" s="2">
        <v>1.40567E-2</v>
      </c>
      <c r="F6733" s="2" t="s">
        <v>7</v>
      </c>
    </row>
    <row r="6734" spans="1:6" ht="22.5" hidden="1" customHeight="1" x14ac:dyDescent="0.25">
      <c r="A6734" s="3">
        <v>44409</v>
      </c>
      <c r="B6734" s="2" t="s">
        <v>133</v>
      </c>
      <c r="C6734" s="2">
        <v>-1.63</v>
      </c>
      <c r="D6734" s="2">
        <v>8.6999999999999994E-3</v>
      </c>
      <c r="E6734" s="2">
        <v>-1.4181E-4</v>
      </c>
      <c r="F6734" s="2" t="s">
        <v>7</v>
      </c>
    </row>
    <row r="6735" spans="1:6" ht="22.5" hidden="1" customHeight="1" x14ac:dyDescent="0.25">
      <c r="A6735" s="3">
        <v>44409</v>
      </c>
      <c r="B6735" s="2" t="s">
        <v>134</v>
      </c>
      <c r="C6735" s="2">
        <v>0.54</v>
      </c>
      <c r="D6735" s="2">
        <v>0.49380000000000002</v>
      </c>
      <c r="E6735" s="2">
        <v>2.6665199999999999E-3</v>
      </c>
      <c r="F6735" s="2" t="s">
        <v>7</v>
      </c>
    </row>
    <row r="6736" spans="1:6" ht="22.5" hidden="1" customHeight="1" x14ac:dyDescent="0.25">
      <c r="A6736" s="3">
        <v>44409</v>
      </c>
      <c r="B6736" s="2" t="s">
        <v>135</v>
      </c>
      <c r="C6736" s="2">
        <v>0.82</v>
      </c>
      <c r="D6736" s="2">
        <v>0.39800000000000002</v>
      </c>
      <c r="E6736" s="2">
        <v>3.2636000000000002E-3</v>
      </c>
      <c r="F6736" s="2" t="s">
        <v>7</v>
      </c>
    </row>
    <row r="6737" spans="1:6" ht="22.5" hidden="1" customHeight="1" x14ac:dyDescent="0.25">
      <c r="A6737" s="3">
        <v>44409</v>
      </c>
      <c r="B6737" s="2" t="s">
        <v>136</v>
      </c>
      <c r="C6737" s="2">
        <v>-1.32</v>
      </c>
      <c r="D6737" s="2">
        <v>3.8100000000000002E-2</v>
      </c>
      <c r="E6737" s="2">
        <v>-5.0292000000000002E-4</v>
      </c>
      <c r="F6737" s="2" t="s">
        <v>7</v>
      </c>
    </row>
    <row r="6738" spans="1:6" ht="22.5" hidden="1" customHeight="1" x14ac:dyDescent="0.25">
      <c r="A6738" s="3">
        <v>44409</v>
      </c>
      <c r="B6738" s="2" t="s">
        <v>137</v>
      </c>
      <c r="C6738" s="2">
        <v>-0.48</v>
      </c>
      <c r="D6738" s="2">
        <v>6.8199999999999997E-2</v>
      </c>
      <c r="E6738" s="2">
        <v>-3.2736000000000001E-4</v>
      </c>
      <c r="F6738" s="2" t="s">
        <v>7</v>
      </c>
    </row>
    <row r="6739" spans="1:6" ht="22.5" hidden="1" customHeight="1" x14ac:dyDescent="0.25">
      <c r="A6739" s="3">
        <v>44409</v>
      </c>
      <c r="B6739" s="2" t="s">
        <v>138</v>
      </c>
      <c r="C6739" s="2">
        <v>0.24</v>
      </c>
      <c r="D6739" s="2">
        <v>4.6600000000000003E-2</v>
      </c>
      <c r="E6739" s="2">
        <v>1.1184E-4</v>
      </c>
      <c r="F6739" s="2" t="s">
        <v>7</v>
      </c>
    </row>
    <row r="6740" spans="1:6" ht="22.5" hidden="1" customHeight="1" x14ac:dyDescent="0.25">
      <c r="A6740" s="3">
        <v>44409</v>
      </c>
      <c r="B6740" s="2" t="s">
        <v>139</v>
      </c>
      <c r="C6740" s="2">
        <v>1.32</v>
      </c>
      <c r="D6740" s="2">
        <v>2.6700000000000002E-2</v>
      </c>
      <c r="E6740" s="2">
        <v>3.5243999999999998E-4</v>
      </c>
      <c r="F6740" s="2" t="s">
        <v>7</v>
      </c>
    </row>
    <row r="6741" spans="1:6" ht="22.5" hidden="1" customHeight="1" x14ac:dyDescent="0.25">
      <c r="A6741" s="3">
        <v>44409</v>
      </c>
      <c r="B6741" s="2" t="s">
        <v>140</v>
      </c>
      <c r="C6741" s="2">
        <v>4.2300000000000004</v>
      </c>
      <c r="D6741" s="2">
        <v>2.3E-3</v>
      </c>
      <c r="E6741" s="2">
        <v>9.7289999999999999E-5</v>
      </c>
      <c r="F6741" s="2" t="s">
        <v>7</v>
      </c>
    </row>
    <row r="6742" spans="1:6" ht="22.5" hidden="1" customHeight="1" x14ac:dyDescent="0.25">
      <c r="A6742" s="3">
        <v>44409</v>
      </c>
      <c r="B6742" s="2" t="s">
        <v>141</v>
      </c>
      <c r="C6742" s="2">
        <v>1.23</v>
      </c>
      <c r="D6742" s="2">
        <v>1.9900000000000001E-2</v>
      </c>
      <c r="E6742" s="2">
        <v>2.4477E-4</v>
      </c>
      <c r="F6742" s="2" t="s">
        <v>7</v>
      </c>
    </row>
    <row r="6743" spans="1:6" ht="22.5" hidden="1" customHeight="1" x14ac:dyDescent="0.25">
      <c r="A6743" s="3">
        <v>44409</v>
      </c>
      <c r="B6743" s="2" t="s">
        <v>142</v>
      </c>
      <c r="C6743" s="2">
        <v>1.1399999999999999</v>
      </c>
      <c r="D6743" s="2">
        <v>4.3E-3</v>
      </c>
      <c r="E6743" s="2">
        <v>4.9020000000000002E-5</v>
      </c>
      <c r="F6743" s="2" t="s">
        <v>7</v>
      </c>
    </row>
    <row r="6744" spans="1:6" ht="22.5" hidden="1" customHeight="1" x14ac:dyDescent="0.25">
      <c r="A6744" s="3">
        <v>44409</v>
      </c>
      <c r="B6744" s="2" t="s">
        <v>143</v>
      </c>
      <c r="C6744" s="2">
        <v>0.28999999999999998</v>
      </c>
      <c r="D6744" s="2">
        <v>4.2500000000000003E-2</v>
      </c>
      <c r="E6744" s="2">
        <v>1.2324999999999999E-4</v>
      </c>
      <c r="F6744" s="2" t="s">
        <v>7</v>
      </c>
    </row>
    <row r="6745" spans="1:6" ht="22.5" hidden="1" customHeight="1" x14ac:dyDescent="0.25">
      <c r="A6745" s="3">
        <v>44409</v>
      </c>
      <c r="B6745" s="2" t="s">
        <v>144</v>
      </c>
      <c r="C6745" s="2">
        <v>4.4400000000000004</v>
      </c>
      <c r="D6745" s="2">
        <v>1.6999999999999999E-3</v>
      </c>
      <c r="E6745" s="2">
        <v>7.5480000000000002E-5</v>
      </c>
      <c r="F6745" s="2" t="s">
        <v>7</v>
      </c>
    </row>
    <row r="6746" spans="1:6" ht="22.5" hidden="1" customHeight="1" x14ac:dyDescent="0.25">
      <c r="A6746" s="3">
        <v>44409</v>
      </c>
      <c r="B6746" s="2" t="s">
        <v>145</v>
      </c>
      <c r="C6746" s="2">
        <v>-1.39</v>
      </c>
      <c r="D6746" s="2">
        <v>1.5E-3</v>
      </c>
      <c r="E6746" s="2">
        <v>-2.0849999999999999E-5</v>
      </c>
      <c r="F6746" s="2" t="s">
        <v>7</v>
      </c>
    </row>
    <row r="6747" spans="1:6" ht="22.5" hidden="1" customHeight="1" x14ac:dyDescent="0.25">
      <c r="A6747" s="3">
        <v>44409</v>
      </c>
      <c r="B6747" s="2" t="s">
        <v>146</v>
      </c>
      <c r="C6747" s="2">
        <v>-0.36</v>
      </c>
      <c r="D6747" s="2">
        <v>3.39E-2</v>
      </c>
      <c r="E6747" s="2">
        <v>-1.2204E-4</v>
      </c>
      <c r="F6747" s="2" t="s">
        <v>7</v>
      </c>
    </row>
    <row r="6748" spans="1:6" ht="22.5" hidden="1" customHeight="1" x14ac:dyDescent="0.25">
      <c r="A6748" s="3">
        <v>44409</v>
      </c>
      <c r="B6748" s="2" t="s">
        <v>147</v>
      </c>
      <c r="C6748" s="2">
        <v>-0.43</v>
      </c>
      <c r="D6748" s="2">
        <v>2.6800000000000001E-2</v>
      </c>
      <c r="E6748" s="2">
        <v>-1.1524E-4</v>
      </c>
      <c r="F6748" s="2" t="s">
        <v>7</v>
      </c>
    </row>
    <row r="6749" spans="1:6" ht="22.5" hidden="1" customHeight="1" x14ac:dyDescent="0.25">
      <c r="A6749" s="3">
        <v>44409</v>
      </c>
      <c r="B6749" s="2" t="s">
        <v>148</v>
      </c>
      <c r="C6749" s="2">
        <v>-1.3</v>
      </c>
      <c r="D6749" s="2">
        <v>2.3099999999999999E-2</v>
      </c>
      <c r="E6749" s="2">
        <v>-3.0029999999999998E-4</v>
      </c>
      <c r="F6749" s="2" t="s">
        <v>7</v>
      </c>
    </row>
    <row r="6750" spans="1:6" ht="22.5" hidden="1" customHeight="1" x14ac:dyDescent="0.25">
      <c r="A6750" s="3">
        <v>44409</v>
      </c>
      <c r="B6750" s="2" t="s">
        <v>149</v>
      </c>
      <c r="C6750" s="2">
        <v>1.99</v>
      </c>
      <c r="D6750" s="2">
        <v>2.3999999999999998E-3</v>
      </c>
      <c r="E6750" s="2">
        <v>4.7759999999999997E-5</v>
      </c>
      <c r="F6750" s="2" t="s">
        <v>7</v>
      </c>
    </row>
    <row r="6751" spans="1:6" ht="22.5" hidden="1" customHeight="1" x14ac:dyDescent="0.25">
      <c r="A6751" s="3">
        <v>44409</v>
      </c>
      <c r="B6751" s="2" t="s">
        <v>150</v>
      </c>
      <c r="C6751" s="2">
        <v>0.71</v>
      </c>
      <c r="D6751" s="2">
        <v>0.11219999999999999</v>
      </c>
      <c r="E6751" s="2">
        <v>7.9662000000000005E-4</v>
      </c>
      <c r="F6751" s="2" t="s">
        <v>7</v>
      </c>
    </row>
    <row r="6752" spans="1:6" ht="22.5" hidden="1" customHeight="1" x14ac:dyDescent="0.25">
      <c r="A6752" s="3">
        <v>44409</v>
      </c>
      <c r="B6752" s="2" t="s">
        <v>151</v>
      </c>
      <c r="C6752" s="2">
        <v>-0.42</v>
      </c>
      <c r="D6752" s="2">
        <v>0.1133</v>
      </c>
      <c r="E6752" s="2">
        <v>-4.7585999999999999E-4</v>
      </c>
      <c r="F6752" s="2" t="s">
        <v>7</v>
      </c>
    </row>
    <row r="6753" spans="1:6" ht="22.5" hidden="1" customHeight="1" x14ac:dyDescent="0.25">
      <c r="A6753" s="3">
        <v>44409</v>
      </c>
      <c r="B6753" s="2" t="s">
        <v>152</v>
      </c>
      <c r="C6753" s="2">
        <v>1.1100000000000001</v>
      </c>
      <c r="D6753" s="2">
        <v>3.0999999999999999E-3</v>
      </c>
      <c r="E6753" s="2">
        <v>3.4409999999999998E-5</v>
      </c>
      <c r="F6753" s="2" t="s">
        <v>7</v>
      </c>
    </row>
    <row r="6754" spans="1:6" ht="22.5" hidden="1" customHeight="1" x14ac:dyDescent="0.25">
      <c r="A6754" s="3">
        <v>44409</v>
      </c>
      <c r="B6754" s="2" t="s">
        <v>153</v>
      </c>
      <c r="C6754" s="2">
        <v>0.4</v>
      </c>
      <c r="D6754" s="2">
        <v>8.9999999999999998E-4</v>
      </c>
      <c r="E6754" s="2">
        <v>3.5999999999999998E-6</v>
      </c>
      <c r="F6754" s="2" t="s">
        <v>7</v>
      </c>
    </row>
    <row r="6755" spans="1:6" ht="22.5" hidden="1" customHeight="1" x14ac:dyDescent="0.25">
      <c r="A6755" s="3">
        <v>44409</v>
      </c>
      <c r="B6755" s="2" t="s">
        <v>154</v>
      </c>
      <c r="C6755" s="2">
        <v>0.26</v>
      </c>
      <c r="D6755" s="2">
        <v>1E-3</v>
      </c>
      <c r="E6755" s="2">
        <v>2.6000000000000001E-6</v>
      </c>
      <c r="F6755" s="2" t="s">
        <v>7</v>
      </c>
    </row>
    <row r="6756" spans="1:6" ht="22.5" hidden="1" customHeight="1" x14ac:dyDescent="0.25">
      <c r="A6756" s="3">
        <v>44409</v>
      </c>
      <c r="B6756" s="2" t="s">
        <v>155</v>
      </c>
      <c r="C6756" s="2">
        <v>0.02</v>
      </c>
      <c r="D6756" s="2">
        <v>5.7999999999999996E-3</v>
      </c>
      <c r="E6756" s="2">
        <v>1.1599999999999999E-6</v>
      </c>
      <c r="F6756" s="2" t="s">
        <v>7</v>
      </c>
    </row>
    <row r="6757" spans="1:6" ht="22.5" hidden="1" customHeight="1" x14ac:dyDescent="0.25">
      <c r="A6757" s="3">
        <v>44409</v>
      </c>
      <c r="B6757" s="2" t="s">
        <v>156</v>
      </c>
      <c r="C6757" s="2">
        <v>0.56999999999999995</v>
      </c>
      <c r="D6757" s="2">
        <v>4.5199999999999997E-2</v>
      </c>
      <c r="E6757" s="2">
        <v>2.5764000000000001E-4</v>
      </c>
      <c r="F6757" s="2" t="s">
        <v>7</v>
      </c>
    </row>
    <row r="6758" spans="1:6" ht="22.5" hidden="1" customHeight="1" x14ac:dyDescent="0.25">
      <c r="A6758" s="3">
        <v>44409</v>
      </c>
      <c r="B6758" s="2" t="s">
        <v>157</v>
      </c>
      <c r="C6758" s="2">
        <v>-0.25</v>
      </c>
      <c r="D6758" s="2">
        <v>1.7600000000000001E-2</v>
      </c>
      <c r="E6758" s="2">
        <v>-4.3999999999999999E-5</v>
      </c>
      <c r="F6758" s="2" t="s">
        <v>7</v>
      </c>
    </row>
    <row r="6759" spans="1:6" ht="22.5" hidden="1" customHeight="1" x14ac:dyDescent="0.25">
      <c r="A6759" s="3">
        <v>44409</v>
      </c>
      <c r="B6759" s="2" t="s">
        <v>158</v>
      </c>
      <c r="C6759" s="2">
        <v>2.44</v>
      </c>
      <c r="D6759" s="2">
        <v>9.9000000000000008E-3</v>
      </c>
      <c r="E6759" s="2">
        <v>2.4156000000000001E-4</v>
      </c>
      <c r="F6759" s="2" t="s">
        <v>7</v>
      </c>
    </row>
    <row r="6760" spans="1:6" ht="22.5" hidden="1" customHeight="1" x14ac:dyDescent="0.25">
      <c r="A6760" s="3">
        <v>44409</v>
      </c>
      <c r="B6760" s="2" t="s">
        <v>159</v>
      </c>
      <c r="C6760" s="2">
        <v>0.54</v>
      </c>
      <c r="D6760" s="2">
        <v>5.3600000000000002E-2</v>
      </c>
      <c r="E6760" s="2">
        <v>2.8944000000000002E-4</v>
      </c>
      <c r="F6760" s="2" t="s">
        <v>7</v>
      </c>
    </row>
    <row r="6761" spans="1:6" ht="22.5" hidden="1" customHeight="1" x14ac:dyDescent="0.25">
      <c r="A6761" s="3">
        <v>44409</v>
      </c>
      <c r="B6761" s="2" t="s">
        <v>160</v>
      </c>
      <c r="C6761" s="2">
        <v>0.1</v>
      </c>
      <c r="D6761" s="2">
        <v>3.6996000000000002</v>
      </c>
      <c r="E6761" s="2">
        <v>3.6995999999999999E-3</v>
      </c>
      <c r="F6761" s="2" t="s">
        <v>7</v>
      </c>
    </row>
    <row r="6762" spans="1:6" ht="22.5" hidden="1" customHeight="1" x14ac:dyDescent="0.25">
      <c r="A6762" s="3">
        <v>44409</v>
      </c>
      <c r="B6762" s="2" t="s">
        <v>161</v>
      </c>
      <c r="C6762" s="2">
        <v>0.75</v>
      </c>
      <c r="D6762" s="2">
        <v>1.754</v>
      </c>
      <c r="E6762" s="2">
        <v>1.3155E-2</v>
      </c>
      <c r="F6762" s="2" t="s">
        <v>7</v>
      </c>
    </row>
    <row r="6763" spans="1:6" ht="22.5" hidden="1" customHeight="1" x14ac:dyDescent="0.25">
      <c r="A6763" s="3">
        <v>44409</v>
      </c>
      <c r="B6763" s="2" t="s">
        <v>134</v>
      </c>
      <c r="C6763" s="2">
        <v>-0.14000000000000001</v>
      </c>
      <c r="D6763" s="2">
        <v>0.126</v>
      </c>
      <c r="E6763" s="2">
        <v>-1.7640000000000001E-4</v>
      </c>
      <c r="F6763" s="2" t="s">
        <v>7</v>
      </c>
    </row>
    <row r="6764" spans="1:6" ht="22.5" hidden="1" customHeight="1" x14ac:dyDescent="0.25">
      <c r="A6764" s="3">
        <v>44409</v>
      </c>
      <c r="B6764" s="2" t="s">
        <v>162</v>
      </c>
      <c r="C6764" s="2">
        <v>1.28</v>
      </c>
      <c r="D6764" s="2">
        <v>4.1700000000000001E-2</v>
      </c>
      <c r="E6764" s="2">
        <v>5.3375999999999999E-4</v>
      </c>
      <c r="F6764" s="2" t="s">
        <v>7</v>
      </c>
    </row>
    <row r="6765" spans="1:6" ht="22.5" hidden="1" customHeight="1" x14ac:dyDescent="0.25">
      <c r="A6765" s="3">
        <v>44409</v>
      </c>
      <c r="B6765" s="2" t="s">
        <v>135</v>
      </c>
      <c r="C6765" s="2">
        <v>1.17</v>
      </c>
      <c r="D6765" s="2">
        <v>0.28849999999999998</v>
      </c>
      <c r="E6765" s="2">
        <v>3.3754499999999999E-3</v>
      </c>
      <c r="F6765" s="2" t="s">
        <v>7</v>
      </c>
    </row>
    <row r="6766" spans="1:6" ht="22.5" hidden="1" customHeight="1" x14ac:dyDescent="0.25">
      <c r="A6766" s="3">
        <v>44409</v>
      </c>
      <c r="B6766" s="2" t="s">
        <v>136</v>
      </c>
      <c r="C6766" s="2">
        <v>-0.06</v>
      </c>
      <c r="D6766" s="2">
        <v>4.1000000000000003E-3</v>
      </c>
      <c r="E6766" s="2">
        <v>-2.4600000000000002E-6</v>
      </c>
      <c r="F6766" s="2" t="s">
        <v>7</v>
      </c>
    </row>
    <row r="6767" spans="1:6" ht="22.5" hidden="1" customHeight="1" x14ac:dyDescent="0.25">
      <c r="A6767" s="3">
        <v>44409</v>
      </c>
      <c r="B6767" s="2" t="s">
        <v>137</v>
      </c>
      <c r="C6767" s="2">
        <v>-0.23</v>
      </c>
      <c r="D6767" s="2">
        <v>1.0500000000000001E-2</v>
      </c>
      <c r="E6767" s="2">
        <v>-2.4150000000000001E-5</v>
      </c>
      <c r="F6767" s="2" t="s">
        <v>7</v>
      </c>
    </row>
    <row r="6768" spans="1:6" ht="22.5" hidden="1" customHeight="1" x14ac:dyDescent="0.25">
      <c r="A6768" s="3">
        <v>44409</v>
      </c>
      <c r="B6768" s="2" t="s">
        <v>163</v>
      </c>
      <c r="C6768" s="2">
        <v>0.86</v>
      </c>
      <c r="D6768" s="2">
        <v>4.4000000000000003E-3</v>
      </c>
      <c r="E6768" s="2">
        <v>3.7839999999999997E-5</v>
      </c>
      <c r="F6768" s="2" t="s">
        <v>7</v>
      </c>
    </row>
    <row r="6769" spans="1:6" ht="22.5" hidden="1" customHeight="1" x14ac:dyDescent="0.25">
      <c r="A6769" s="3">
        <v>44409</v>
      </c>
      <c r="B6769" s="2" t="s">
        <v>34</v>
      </c>
      <c r="C6769" s="2">
        <v>0.72</v>
      </c>
      <c r="D6769" s="2">
        <v>5.21E-2</v>
      </c>
      <c r="E6769" s="2">
        <v>3.7512E-4</v>
      </c>
      <c r="F6769" s="2" t="s">
        <v>7</v>
      </c>
    </row>
    <row r="6770" spans="1:6" ht="22.5" hidden="1" customHeight="1" x14ac:dyDescent="0.25">
      <c r="A6770" s="3">
        <v>44409</v>
      </c>
      <c r="B6770" s="2" t="s">
        <v>164</v>
      </c>
      <c r="C6770" s="2">
        <v>0.36</v>
      </c>
      <c r="D6770" s="2">
        <v>3.7241</v>
      </c>
      <c r="E6770" s="2">
        <v>1.340676E-2</v>
      </c>
      <c r="F6770" s="2" t="s">
        <v>165</v>
      </c>
    </row>
    <row r="6771" spans="1:6" ht="22.5" hidden="1" customHeight="1" x14ac:dyDescent="0.25">
      <c r="A6771" s="3">
        <v>44409</v>
      </c>
      <c r="B6771" s="2" t="s">
        <v>166</v>
      </c>
      <c r="C6771" s="2">
        <v>0.56000000000000005</v>
      </c>
      <c r="D6771" s="2">
        <v>2.2799</v>
      </c>
      <c r="E6771" s="2">
        <v>1.276744E-2</v>
      </c>
      <c r="F6771" s="2" t="s">
        <v>165</v>
      </c>
    </row>
    <row r="6772" spans="1:6" ht="22.5" hidden="1" customHeight="1" x14ac:dyDescent="0.25">
      <c r="A6772" s="3">
        <v>44593</v>
      </c>
      <c r="B6772" s="2" t="s">
        <v>296</v>
      </c>
      <c r="C6772" s="2">
        <v>0</v>
      </c>
      <c r="D6772" s="2">
        <v>0.1852</v>
      </c>
      <c r="E6772" s="2">
        <v>0</v>
      </c>
      <c r="F6772" s="2" t="s">
        <v>168</v>
      </c>
    </row>
    <row r="6773" spans="1:6" ht="22.5" hidden="1" customHeight="1" x14ac:dyDescent="0.25">
      <c r="A6773" s="3">
        <v>44409</v>
      </c>
      <c r="B6773" s="2" t="s">
        <v>169</v>
      </c>
      <c r="C6773" s="2">
        <v>4.04</v>
      </c>
      <c r="D6773" s="2">
        <v>1.11E-2</v>
      </c>
      <c r="E6773" s="2">
        <v>4.4843999999999998E-4</v>
      </c>
      <c r="F6773" s="2" t="s">
        <v>170</v>
      </c>
    </row>
    <row r="6774" spans="1:6" ht="22.5" hidden="1" customHeight="1" x14ac:dyDescent="0.25">
      <c r="A6774" s="3">
        <v>44409</v>
      </c>
      <c r="B6774" s="2" t="s">
        <v>171</v>
      </c>
      <c r="C6774" s="2">
        <v>7.0000000000000007E-2</v>
      </c>
      <c r="D6774" s="2">
        <v>1.43E-2</v>
      </c>
      <c r="E6774" s="2">
        <v>1.0010000000000001E-5</v>
      </c>
      <c r="F6774" s="2" t="s">
        <v>170</v>
      </c>
    </row>
    <row r="6775" spans="1:6" ht="22.5" hidden="1" customHeight="1" x14ac:dyDescent="0.25">
      <c r="A6775" s="3">
        <v>44409</v>
      </c>
      <c r="B6775" s="2" t="s">
        <v>172</v>
      </c>
      <c r="C6775" s="2">
        <v>1.1499999999999999</v>
      </c>
      <c r="D6775" s="2">
        <v>3.3999999999999998E-3</v>
      </c>
      <c r="E6775" s="2">
        <v>3.9100000000000002E-5</v>
      </c>
      <c r="F6775" s="2" t="s">
        <v>170</v>
      </c>
    </row>
    <row r="6776" spans="1:6" ht="22.5" hidden="1" customHeight="1" x14ac:dyDescent="0.25">
      <c r="A6776" s="3">
        <v>44409</v>
      </c>
      <c r="B6776" s="2" t="s">
        <v>173</v>
      </c>
      <c r="C6776" s="2">
        <v>1.92</v>
      </c>
      <c r="D6776" s="2">
        <v>0.26519999999999999</v>
      </c>
      <c r="E6776" s="2">
        <v>5.0918400000000003E-3</v>
      </c>
      <c r="F6776" s="2" t="s">
        <v>174</v>
      </c>
    </row>
    <row r="6777" spans="1:6" ht="22.5" hidden="1" customHeight="1" x14ac:dyDescent="0.25">
      <c r="A6777" s="3">
        <v>44409</v>
      </c>
      <c r="B6777" s="2" t="s">
        <v>175</v>
      </c>
      <c r="C6777" s="2">
        <v>1.1200000000000001</v>
      </c>
      <c r="D6777" s="2">
        <v>0.2651</v>
      </c>
      <c r="E6777" s="2">
        <v>2.96912E-3</v>
      </c>
      <c r="F6777" s="2" t="s">
        <v>174</v>
      </c>
    </row>
    <row r="6778" spans="1:6" ht="22.5" hidden="1" customHeight="1" x14ac:dyDescent="0.25">
      <c r="A6778" s="3">
        <v>44409</v>
      </c>
      <c r="B6778" s="2" t="s">
        <v>176</v>
      </c>
      <c r="C6778" s="2">
        <v>1.07</v>
      </c>
      <c r="D6778" s="2">
        <v>1.34E-2</v>
      </c>
      <c r="E6778" s="2">
        <v>1.4338E-4</v>
      </c>
      <c r="F6778" s="2" t="s">
        <v>170</v>
      </c>
    </row>
    <row r="6779" spans="1:6" ht="22.5" hidden="1" customHeight="1" x14ac:dyDescent="0.25">
      <c r="A6779" s="3">
        <v>44409</v>
      </c>
      <c r="B6779" s="2" t="s">
        <v>177</v>
      </c>
      <c r="C6779" s="2">
        <v>-0.75</v>
      </c>
      <c r="D6779" s="2">
        <v>2.3099999999999999E-2</v>
      </c>
      <c r="E6779" s="2">
        <v>-1.7325000000000001E-4</v>
      </c>
      <c r="F6779" s="2" t="s">
        <v>170</v>
      </c>
    </row>
    <row r="6780" spans="1:6" ht="22.5" hidden="1" customHeight="1" x14ac:dyDescent="0.25">
      <c r="A6780" s="3">
        <v>44409</v>
      </c>
      <c r="B6780" s="2" t="s">
        <v>178</v>
      </c>
      <c r="C6780" s="2">
        <v>1.45</v>
      </c>
      <c r="D6780" s="2">
        <v>2.0500000000000001E-2</v>
      </c>
      <c r="E6780" s="2">
        <v>2.9724999999999999E-4</v>
      </c>
      <c r="F6780" s="2" t="s">
        <v>170</v>
      </c>
    </row>
    <row r="6781" spans="1:6" ht="22.5" hidden="1" customHeight="1" x14ac:dyDescent="0.25">
      <c r="A6781" s="3">
        <v>44409</v>
      </c>
      <c r="B6781" s="2" t="s">
        <v>179</v>
      </c>
      <c r="C6781" s="2">
        <v>2.79</v>
      </c>
      <c r="D6781" s="2">
        <v>4.7300000000000002E-2</v>
      </c>
      <c r="E6781" s="2">
        <v>1.31967E-3</v>
      </c>
      <c r="F6781" s="2" t="s">
        <v>170</v>
      </c>
    </row>
    <row r="6782" spans="1:6" ht="22.5" hidden="1" customHeight="1" x14ac:dyDescent="0.25">
      <c r="A6782" s="3">
        <v>44409</v>
      </c>
      <c r="B6782" s="2" t="s">
        <v>180</v>
      </c>
      <c r="C6782" s="2">
        <v>0.14000000000000001</v>
      </c>
      <c r="D6782" s="2">
        <v>0.61780000000000002</v>
      </c>
      <c r="E6782" s="2">
        <v>8.6492000000000003E-4</v>
      </c>
      <c r="F6782" s="2" t="s">
        <v>165</v>
      </c>
    </row>
    <row r="6783" spans="1:6" ht="22.5" hidden="1" customHeight="1" x14ac:dyDescent="0.25">
      <c r="A6783" s="3">
        <v>44409</v>
      </c>
      <c r="B6783" s="2" t="s">
        <v>181</v>
      </c>
      <c r="C6783" s="2">
        <v>2.62</v>
      </c>
      <c r="D6783" s="2">
        <v>1.29E-2</v>
      </c>
      <c r="E6783" s="2">
        <v>3.3797999999999999E-4</v>
      </c>
      <c r="F6783" s="2" t="s">
        <v>174</v>
      </c>
    </row>
    <row r="6784" spans="1:6" ht="22.5" hidden="1" customHeight="1" x14ac:dyDescent="0.25">
      <c r="A6784" s="3">
        <v>44409</v>
      </c>
      <c r="B6784" s="2" t="s">
        <v>182</v>
      </c>
      <c r="C6784" s="2">
        <v>0.18</v>
      </c>
      <c r="D6784" s="2">
        <v>4.2700000000000002E-2</v>
      </c>
      <c r="E6784" s="2">
        <v>7.6860000000000006E-5</v>
      </c>
      <c r="F6784" s="2" t="s">
        <v>170</v>
      </c>
    </row>
    <row r="6785" spans="1:6" ht="22.5" hidden="1" customHeight="1" x14ac:dyDescent="0.25">
      <c r="A6785" s="3">
        <v>44409</v>
      </c>
      <c r="B6785" s="2" t="s">
        <v>183</v>
      </c>
      <c r="C6785" s="2">
        <v>1</v>
      </c>
      <c r="D6785" s="2">
        <v>4.0000000000000001E-3</v>
      </c>
      <c r="E6785" s="2">
        <v>4.0000000000000003E-5</v>
      </c>
      <c r="F6785" s="2" t="s">
        <v>174</v>
      </c>
    </row>
    <row r="6786" spans="1:6" ht="22.5" hidden="1" customHeight="1" x14ac:dyDescent="0.25">
      <c r="A6786" s="3">
        <v>44409</v>
      </c>
      <c r="B6786" s="2" t="s">
        <v>184</v>
      </c>
      <c r="C6786" s="2">
        <v>0.99</v>
      </c>
      <c r="D6786" s="2">
        <v>6.4600000000000005E-2</v>
      </c>
      <c r="E6786" s="2">
        <v>6.3953999999999997E-4</v>
      </c>
      <c r="F6786" s="2" t="s">
        <v>174</v>
      </c>
    </row>
    <row r="6787" spans="1:6" ht="22.5" hidden="1" customHeight="1" x14ac:dyDescent="0.25">
      <c r="A6787" s="3">
        <v>44409</v>
      </c>
      <c r="B6787" s="2" t="s">
        <v>185</v>
      </c>
      <c r="C6787" s="2">
        <v>0.54</v>
      </c>
      <c r="D6787" s="2">
        <v>0.15490000000000001</v>
      </c>
      <c r="E6787" s="2">
        <v>8.3646000000000002E-4</v>
      </c>
      <c r="F6787" s="2" t="s">
        <v>174</v>
      </c>
    </row>
    <row r="6788" spans="1:6" ht="22.5" hidden="1" customHeight="1" x14ac:dyDescent="0.25">
      <c r="A6788" s="3">
        <v>44409</v>
      </c>
      <c r="B6788" s="2" t="s">
        <v>186</v>
      </c>
      <c r="C6788" s="2">
        <v>0.94</v>
      </c>
      <c r="D6788" s="2">
        <v>0.2145</v>
      </c>
      <c r="E6788" s="2">
        <v>2.0162999999999999E-3</v>
      </c>
      <c r="F6788" s="2" t="s">
        <v>174</v>
      </c>
    </row>
    <row r="6789" spans="1:6" ht="22.5" hidden="1" customHeight="1" x14ac:dyDescent="0.25">
      <c r="A6789" s="3">
        <v>44409</v>
      </c>
      <c r="B6789" s="2" t="s">
        <v>187</v>
      </c>
      <c r="C6789" s="2">
        <v>1.26</v>
      </c>
      <c r="D6789" s="2">
        <v>5.8500000000000003E-2</v>
      </c>
      <c r="E6789" s="2">
        <v>7.3709999999999997E-4</v>
      </c>
      <c r="F6789" s="2" t="s">
        <v>174</v>
      </c>
    </row>
    <row r="6790" spans="1:6" ht="22.5" hidden="1" customHeight="1" x14ac:dyDescent="0.25">
      <c r="A6790" s="3">
        <v>44409</v>
      </c>
      <c r="B6790" s="2" t="s">
        <v>188</v>
      </c>
      <c r="C6790" s="2">
        <v>1.39</v>
      </c>
      <c r="D6790" s="2">
        <v>2.8400000000000002E-2</v>
      </c>
      <c r="E6790" s="2">
        <v>3.9476000000000002E-4</v>
      </c>
      <c r="F6790" s="2" t="s">
        <v>174</v>
      </c>
    </row>
    <row r="6791" spans="1:6" ht="22.5" hidden="1" customHeight="1" x14ac:dyDescent="0.25">
      <c r="A6791" s="3">
        <v>44409</v>
      </c>
      <c r="B6791" s="2" t="s">
        <v>189</v>
      </c>
      <c r="C6791" s="2">
        <v>0.44</v>
      </c>
      <c r="D6791" s="2">
        <v>3.8E-3</v>
      </c>
      <c r="E6791" s="2">
        <v>1.6719999999999999E-5</v>
      </c>
      <c r="F6791" s="2" t="s">
        <v>174</v>
      </c>
    </row>
    <row r="6792" spans="1:6" ht="22.5" hidden="1" customHeight="1" x14ac:dyDescent="0.25">
      <c r="A6792" s="3">
        <v>44409</v>
      </c>
      <c r="B6792" s="2" t="s">
        <v>190</v>
      </c>
      <c r="C6792" s="2">
        <v>1.93</v>
      </c>
      <c r="D6792" s="2">
        <v>4.7999999999999996E-3</v>
      </c>
      <c r="E6792" s="2">
        <v>9.2639999999999994E-5</v>
      </c>
      <c r="F6792" s="2" t="s">
        <v>174</v>
      </c>
    </row>
    <row r="6793" spans="1:6" ht="22.5" hidden="1" customHeight="1" x14ac:dyDescent="0.25">
      <c r="A6793" s="3">
        <v>44409</v>
      </c>
      <c r="B6793" s="2" t="s">
        <v>191</v>
      </c>
      <c r="C6793" s="2">
        <v>0.9</v>
      </c>
      <c r="D6793" s="2">
        <v>2.76E-2</v>
      </c>
      <c r="E6793" s="2">
        <v>2.4840000000000002E-4</v>
      </c>
      <c r="F6793" s="2" t="s">
        <v>174</v>
      </c>
    </row>
    <row r="6794" spans="1:6" ht="22.5" hidden="1" customHeight="1" x14ac:dyDescent="0.25">
      <c r="A6794" s="3">
        <v>44409</v>
      </c>
      <c r="B6794" s="2" t="s">
        <v>192</v>
      </c>
      <c r="C6794" s="2">
        <v>0.15</v>
      </c>
      <c r="D6794" s="2">
        <v>5.1000000000000004E-3</v>
      </c>
      <c r="E6794" s="2">
        <v>7.6499999999999996E-6</v>
      </c>
      <c r="F6794" s="2" t="s">
        <v>174</v>
      </c>
    </row>
    <row r="6795" spans="1:6" ht="22.5" hidden="1" customHeight="1" x14ac:dyDescent="0.25">
      <c r="A6795" s="3">
        <v>44409</v>
      </c>
      <c r="B6795" s="2" t="s">
        <v>193</v>
      </c>
      <c r="C6795" s="2">
        <v>-0.17</v>
      </c>
      <c r="D6795" s="2">
        <v>0.16450000000000001</v>
      </c>
      <c r="E6795" s="2">
        <v>-2.7964999999999999E-4</v>
      </c>
      <c r="F6795" s="2" t="s">
        <v>174</v>
      </c>
    </row>
    <row r="6796" spans="1:6" ht="22.5" hidden="1" customHeight="1" x14ac:dyDescent="0.25">
      <c r="A6796" s="3">
        <v>44409</v>
      </c>
      <c r="B6796" s="2" t="s">
        <v>194</v>
      </c>
      <c r="C6796" s="2">
        <v>1.7</v>
      </c>
      <c r="D6796" s="2">
        <v>3.3E-3</v>
      </c>
      <c r="E6796" s="2">
        <v>5.6100000000000002E-5</v>
      </c>
      <c r="F6796" s="2" t="s">
        <v>174</v>
      </c>
    </row>
    <row r="6797" spans="1:6" ht="22.5" hidden="1" customHeight="1" x14ac:dyDescent="0.25">
      <c r="A6797" s="3">
        <v>44593</v>
      </c>
      <c r="B6797" s="2" t="s">
        <v>340</v>
      </c>
      <c r="C6797" s="2">
        <v>0</v>
      </c>
      <c r="D6797" s="2">
        <v>0.4597</v>
      </c>
      <c r="E6797" s="2">
        <v>0</v>
      </c>
      <c r="F6797" s="2" t="s">
        <v>168</v>
      </c>
    </row>
    <row r="6798" spans="1:6" ht="22.5" hidden="1" customHeight="1" x14ac:dyDescent="0.25">
      <c r="A6798" s="3">
        <v>44593</v>
      </c>
      <c r="B6798" s="2" t="s">
        <v>365</v>
      </c>
      <c r="C6798" s="2">
        <v>0</v>
      </c>
      <c r="D6798" s="2">
        <v>6.3E-2</v>
      </c>
      <c r="E6798" s="2">
        <v>0</v>
      </c>
      <c r="F6798" s="2" t="s">
        <v>168</v>
      </c>
    </row>
    <row r="6799" spans="1:6" ht="22.5" hidden="1" customHeight="1" x14ac:dyDescent="0.25">
      <c r="A6799" s="3">
        <v>43891</v>
      </c>
      <c r="B6799" s="2" t="s">
        <v>301</v>
      </c>
      <c r="C6799" s="2">
        <v>-0.01</v>
      </c>
      <c r="D6799" s="2">
        <v>0.16120000000000001</v>
      </c>
      <c r="E6799" s="2">
        <v>-1.6120000000000002E-5</v>
      </c>
      <c r="F6799" s="2" t="s">
        <v>168</v>
      </c>
    </row>
    <row r="6800" spans="1:6" ht="22.5" hidden="1" customHeight="1" x14ac:dyDescent="0.25">
      <c r="A6800" s="3">
        <v>44409</v>
      </c>
      <c r="B6800" s="2" t="s">
        <v>198</v>
      </c>
      <c r="C6800" s="2">
        <v>1.07</v>
      </c>
      <c r="D6800" s="2">
        <v>0.3397</v>
      </c>
      <c r="E6800" s="2">
        <v>3.6347900000000002E-3</v>
      </c>
      <c r="F6800" s="2" t="s">
        <v>170</v>
      </c>
    </row>
    <row r="6801" spans="1:6" ht="22.5" hidden="1" customHeight="1" x14ac:dyDescent="0.25">
      <c r="A6801" s="3">
        <v>44409</v>
      </c>
      <c r="B6801" s="2" t="s">
        <v>199</v>
      </c>
      <c r="C6801" s="2">
        <v>2.23</v>
      </c>
      <c r="D6801" s="2">
        <v>0.47910000000000003</v>
      </c>
      <c r="E6801" s="2">
        <v>1.0683929999999999E-2</v>
      </c>
      <c r="F6801" s="2" t="s">
        <v>170</v>
      </c>
    </row>
    <row r="6802" spans="1:6" ht="22.5" hidden="1" customHeight="1" x14ac:dyDescent="0.25">
      <c r="A6802" s="3">
        <v>44409</v>
      </c>
      <c r="B6802" s="2" t="s">
        <v>200</v>
      </c>
      <c r="C6802" s="2">
        <v>2.75</v>
      </c>
      <c r="D6802" s="2">
        <v>0.18740000000000001</v>
      </c>
      <c r="E6802" s="2">
        <v>5.1535000000000001E-3</v>
      </c>
      <c r="F6802" s="2" t="s">
        <v>170</v>
      </c>
    </row>
    <row r="6803" spans="1:6" ht="22.5" hidden="1" customHeight="1" x14ac:dyDescent="0.25">
      <c r="A6803" s="3">
        <v>44409</v>
      </c>
      <c r="B6803" s="2" t="s">
        <v>201</v>
      </c>
      <c r="C6803" s="2">
        <v>-1.17</v>
      </c>
      <c r="D6803" s="2">
        <v>2.53E-2</v>
      </c>
      <c r="E6803" s="2">
        <v>-2.9600999999999998E-4</v>
      </c>
      <c r="F6803" s="2" t="s">
        <v>170</v>
      </c>
    </row>
    <row r="6804" spans="1:6" ht="22.5" hidden="1" customHeight="1" x14ac:dyDescent="0.25">
      <c r="A6804" s="3">
        <v>44409</v>
      </c>
      <c r="B6804" s="2" t="s">
        <v>202</v>
      </c>
      <c r="C6804" s="2">
        <v>0.59</v>
      </c>
      <c r="D6804" s="2">
        <v>1.72E-2</v>
      </c>
      <c r="E6804" s="2">
        <v>1.0148E-4</v>
      </c>
      <c r="F6804" s="2" t="s">
        <v>170</v>
      </c>
    </row>
    <row r="6805" spans="1:6" ht="22.5" hidden="1" customHeight="1" x14ac:dyDescent="0.25">
      <c r="A6805" s="3">
        <v>44409</v>
      </c>
      <c r="B6805" s="2" t="s">
        <v>203</v>
      </c>
      <c r="C6805" s="2">
        <v>-0.41</v>
      </c>
      <c r="D6805" s="2">
        <v>8.0100000000000005E-2</v>
      </c>
      <c r="E6805" s="2">
        <v>-3.2841000000000001E-4</v>
      </c>
      <c r="F6805" s="2" t="s">
        <v>170</v>
      </c>
    </row>
    <row r="6806" spans="1:6" ht="22.5" hidden="1" customHeight="1" x14ac:dyDescent="0.25">
      <c r="A6806" s="3">
        <v>44409</v>
      </c>
      <c r="B6806" s="2" t="s">
        <v>204</v>
      </c>
      <c r="C6806" s="2">
        <v>0.44</v>
      </c>
      <c r="D6806" s="2">
        <v>5.9700000000000003E-2</v>
      </c>
      <c r="E6806" s="2">
        <v>2.6268E-4</v>
      </c>
      <c r="F6806" s="2" t="s">
        <v>174</v>
      </c>
    </row>
    <row r="6807" spans="1:6" ht="22.5" hidden="1" customHeight="1" x14ac:dyDescent="0.25">
      <c r="A6807" s="3">
        <v>44409</v>
      </c>
      <c r="B6807" s="2" t="s">
        <v>205</v>
      </c>
      <c r="C6807" s="2">
        <v>0.34</v>
      </c>
      <c r="D6807" s="2">
        <v>9.6199999999999994E-2</v>
      </c>
      <c r="E6807" s="2">
        <v>3.2707999999999999E-4</v>
      </c>
      <c r="F6807" s="2" t="s">
        <v>174</v>
      </c>
    </row>
    <row r="6808" spans="1:6" ht="22.5" hidden="1" customHeight="1" x14ac:dyDescent="0.25">
      <c r="A6808" s="3">
        <v>44409</v>
      </c>
      <c r="B6808" s="2" t="s">
        <v>206</v>
      </c>
      <c r="C6808" s="2">
        <v>1.41</v>
      </c>
      <c r="D6808" s="2">
        <v>0.16200000000000001</v>
      </c>
      <c r="E6808" s="2">
        <v>2.2842000000000001E-3</v>
      </c>
      <c r="F6808" s="2" t="s">
        <v>174</v>
      </c>
    </row>
    <row r="6809" spans="1:6" ht="22.5" hidden="1" customHeight="1" x14ac:dyDescent="0.25">
      <c r="A6809" s="3">
        <v>44409</v>
      </c>
      <c r="B6809" s="2" t="s">
        <v>207</v>
      </c>
      <c r="C6809" s="2">
        <v>1.55</v>
      </c>
      <c r="D6809" s="2">
        <v>4.9500000000000002E-2</v>
      </c>
      <c r="E6809" s="2">
        <v>7.6725000000000003E-4</v>
      </c>
      <c r="F6809" s="2" t="s">
        <v>174</v>
      </c>
    </row>
    <row r="6810" spans="1:6" ht="22.5" hidden="1" customHeight="1" x14ac:dyDescent="0.25">
      <c r="A6810" s="3">
        <v>44409</v>
      </c>
      <c r="B6810" s="2" t="s">
        <v>208</v>
      </c>
      <c r="C6810" s="2">
        <v>0.35</v>
      </c>
      <c r="D6810" s="2">
        <v>8.8999999999999999E-3</v>
      </c>
      <c r="E6810" s="2">
        <v>3.1149999999999998E-5</v>
      </c>
      <c r="F6810" s="2" t="s">
        <v>174</v>
      </c>
    </row>
    <row r="6811" spans="1:6" ht="22.5" hidden="1" customHeight="1" x14ac:dyDescent="0.25">
      <c r="A6811" s="3">
        <v>44409</v>
      </c>
      <c r="B6811" s="2" t="s">
        <v>209</v>
      </c>
      <c r="C6811" s="2">
        <v>0.67</v>
      </c>
      <c r="D6811" s="2">
        <v>6.1999999999999998E-3</v>
      </c>
      <c r="E6811" s="2">
        <v>4.1539999999999999E-5</v>
      </c>
      <c r="F6811" s="2" t="s">
        <v>174</v>
      </c>
    </row>
    <row r="6812" spans="1:6" ht="22.5" hidden="1" customHeight="1" x14ac:dyDescent="0.25">
      <c r="A6812" s="3">
        <v>44409</v>
      </c>
      <c r="B6812" s="2" t="s">
        <v>210</v>
      </c>
      <c r="C6812" s="2">
        <v>0.23</v>
      </c>
      <c r="D6812" s="2">
        <v>1.43E-2</v>
      </c>
      <c r="E6812" s="2">
        <v>3.2889999999999999E-5</v>
      </c>
      <c r="F6812" s="2" t="s">
        <v>170</v>
      </c>
    </row>
    <row r="6813" spans="1:6" ht="22.5" hidden="1" customHeight="1" x14ac:dyDescent="0.25">
      <c r="A6813" s="3">
        <v>44409</v>
      </c>
      <c r="B6813" s="2" t="s">
        <v>211</v>
      </c>
      <c r="C6813" s="2">
        <v>0.13</v>
      </c>
      <c r="D6813" s="2">
        <v>0.19889999999999999</v>
      </c>
      <c r="E6813" s="2">
        <v>2.5857000000000001E-4</v>
      </c>
      <c r="F6813" s="2" t="s">
        <v>174</v>
      </c>
    </row>
    <row r="6814" spans="1:6" ht="22.5" hidden="1" customHeight="1" x14ac:dyDescent="0.25">
      <c r="A6814" s="3">
        <v>44409</v>
      </c>
      <c r="B6814" s="2" t="s">
        <v>212</v>
      </c>
      <c r="C6814" s="2">
        <v>0.02</v>
      </c>
      <c r="D6814" s="2">
        <v>4.4999999999999997E-3</v>
      </c>
      <c r="E6814" s="2">
        <v>8.9999999999999996E-7</v>
      </c>
      <c r="F6814" s="2" t="s">
        <v>174</v>
      </c>
    </row>
    <row r="6815" spans="1:6" ht="22.5" hidden="1" customHeight="1" x14ac:dyDescent="0.25">
      <c r="A6815" s="3">
        <v>44409</v>
      </c>
      <c r="B6815" s="2" t="s">
        <v>213</v>
      </c>
      <c r="C6815" s="2">
        <v>1.35</v>
      </c>
      <c r="D6815" s="2">
        <v>0.35110000000000002</v>
      </c>
      <c r="E6815" s="2">
        <v>4.7398500000000003E-3</v>
      </c>
      <c r="F6815" s="2" t="s">
        <v>170</v>
      </c>
    </row>
    <row r="6816" spans="1:6" ht="22.5" hidden="1" customHeight="1" x14ac:dyDescent="0.25">
      <c r="A6816" s="3">
        <v>44409</v>
      </c>
      <c r="B6816" s="2" t="s">
        <v>214</v>
      </c>
      <c r="C6816" s="2">
        <v>0.44</v>
      </c>
      <c r="D6816" s="2">
        <v>0.1013</v>
      </c>
      <c r="E6816" s="2">
        <v>4.4571999999999998E-4</v>
      </c>
      <c r="F6816" s="2" t="s">
        <v>170</v>
      </c>
    </row>
    <row r="6817" spans="1:6" ht="22.5" hidden="1" customHeight="1" x14ac:dyDescent="0.25">
      <c r="A6817" s="3">
        <v>44409</v>
      </c>
      <c r="B6817" s="2" t="s">
        <v>215</v>
      </c>
      <c r="C6817" s="2">
        <v>0.3</v>
      </c>
      <c r="D6817" s="2">
        <v>0.2495</v>
      </c>
      <c r="E6817" s="2">
        <v>7.4850000000000003E-4</v>
      </c>
      <c r="F6817" s="2" t="s">
        <v>170</v>
      </c>
    </row>
    <row r="6818" spans="1:6" ht="22.5" hidden="1" customHeight="1" x14ac:dyDescent="0.25">
      <c r="A6818" s="3">
        <v>44409</v>
      </c>
      <c r="B6818" s="2" t="s">
        <v>216</v>
      </c>
      <c r="C6818" s="2">
        <v>-0.6</v>
      </c>
      <c r="D6818" s="2">
        <v>1.4500000000000001E-2</v>
      </c>
      <c r="E6818" s="2">
        <v>-8.7000000000000001E-5</v>
      </c>
      <c r="F6818" s="2" t="s">
        <v>170</v>
      </c>
    </row>
    <row r="6819" spans="1:6" ht="22.5" hidden="1" customHeight="1" x14ac:dyDescent="0.25">
      <c r="A6819" s="3">
        <v>44409</v>
      </c>
      <c r="B6819" s="2" t="s">
        <v>217</v>
      </c>
      <c r="C6819" s="2">
        <v>1.72</v>
      </c>
      <c r="D6819" s="2">
        <v>0.1651</v>
      </c>
      <c r="E6819" s="2">
        <v>2.83972E-3</v>
      </c>
      <c r="F6819" s="2" t="s">
        <v>170</v>
      </c>
    </row>
    <row r="6820" spans="1:6" ht="22.5" hidden="1" customHeight="1" x14ac:dyDescent="0.25">
      <c r="A6820" s="3">
        <v>44409</v>
      </c>
      <c r="B6820" s="2" t="s">
        <v>218</v>
      </c>
      <c r="C6820" s="2">
        <v>0.52</v>
      </c>
      <c r="D6820" s="2">
        <v>7.7000000000000002E-3</v>
      </c>
      <c r="E6820" s="2">
        <v>4.0040000000000003E-5</v>
      </c>
      <c r="F6820" s="2" t="s">
        <v>170</v>
      </c>
    </row>
    <row r="6821" spans="1:6" ht="22.5" hidden="1" customHeight="1" x14ac:dyDescent="0.25">
      <c r="A6821" s="3">
        <v>44409</v>
      </c>
      <c r="B6821" s="2" t="s">
        <v>219</v>
      </c>
      <c r="C6821" s="2">
        <v>0.62</v>
      </c>
      <c r="D6821" s="2">
        <v>0.52929999999999999</v>
      </c>
      <c r="E6821" s="2">
        <v>3.28166E-3</v>
      </c>
      <c r="F6821" s="2" t="s">
        <v>170</v>
      </c>
    </row>
    <row r="6822" spans="1:6" ht="22.5" hidden="1" customHeight="1" x14ac:dyDescent="0.25">
      <c r="A6822" s="3">
        <v>44409</v>
      </c>
      <c r="B6822" s="2" t="s">
        <v>220</v>
      </c>
      <c r="C6822" s="2">
        <v>-1.38</v>
      </c>
      <c r="D6822" s="2">
        <v>1.0500000000000001E-2</v>
      </c>
      <c r="E6822" s="2">
        <v>-1.449E-4</v>
      </c>
      <c r="F6822" s="2" t="s">
        <v>170</v>
      </c>
    </row>
    <row r="6823" spans="1:6" ht="22.5" hidden="1" customHeight="1" x14ac:dyDescent="0.25">
      <c r="A6823" s="3">
        <v>44409</v>
      </c>
      <c r="B6823" s="2" t="s">
        <v>221</v>
      </c>
      <c r="C6823" s="2">
        <v>-0.24</v>
      </c>
      <c r="D6823" s="2">
        <v>3.8E-3</v>
      </c>
      <c r="E6823" s="2">
        <v>-9.1200000000000008E-6</v>
      </c>
      <c r="F6823" s="2" t="s">
        <v>170</v>
      </c>
    </row>
    <row r="6824" spans="1:6" ht="22.5" hidden="1" customHeight="1" x14ac:dyDescent="0.25">
      <c r="A6824" s="3">
        <v>44409</v>
      </c>
      <c r="B6824" s="2" t="s">
        <v>222</v>
      </c>
      <c r="C6824" s="2">
        <v>0.26</v>
      </c>
      <c r="D6824" s="2">
        <v>0.34699999999999998</v>
      </c>
      <c r="E6824" s="2">
        <v>9.0220000000000003E-4</v>
      </c>
      <c r="F6824" s="2" t="s">
        <v>170</v>
      </c>
    </row>
    <row r="6825" spans="1:6" ht="22.5" hidden="1" customHeight="1" x14ac:dyDescent="0.25">
      <c r="A6825" s="3">
        <v>44409</v>
      </c>
      <c r="B6825" s="2" t="s">
        <v>223</v>
      </c>
      <c r="C6825" s="2">
        <v>-0.18</v>
      </c>
      <c r="D6825" s="2">
        <v>1.6199999999999999E-2</v>
      </c>
      <c r="E6825" s="2">
        <v>-2.9159999999999999E-5</v>
      </c>
      <c r="F6825" s="2" t="s">
        <v>165</v>
      </c>
    </row>
    <row r="6826" spans="1:6" ht="22.5" hidden="1" customHeight="1" x14ac:dyDescent="0.25">
      <c r="A6826" s="3">
        <v>44409</v>
      </c>
      <c r="B6826" s="2" t="s">
        <v>224</v>
      </c>
      <c r="C6826" s="2">
        <v>1.59</v>
      </c>
      <c r="D6826" s="2">
        <v>2.0999999999999999E-3</v>
      </c>
      <c r="E6826" s="2">
        <v>3.3389999999999997E-5</v>
      </c>
      <c r="F6826" s="2" t="s">
        <v>165</v>
      </c>
    </row>
    <row r="6827" spans="1:6" ht="22.5" hidden="1" customHeight="1" x14ac:dyDescent="0.25">
      <c r="A6827" s="3">
        <v>44409</v>
      </c>
      <c r="B6827" s="2" t="s">
        <v>225</v>
      </c>
      <c r="C6827" s="2">
        <v>0.25</v>
      </c>
      <c r="D6827" s="2">
        <v>4.5999999999999999E-3</v>
      </c>
      <c r="E6827" s="2">
        <v>1.15E-5</v>
      </c>
      <c r="F6827" s="2" t="s">
        <v>165</v>
      </c>
    </row>
    <row r="6828" spans="1:6" ht="22.5" hidden="1" customHeight="1" x14ac:dyDescent="0.25">
      <c r="A6828" s="3">
        <v>44409</v>
      </c>
      <c r="B6828" s="2" t="s">
        <v>226</v>
      </c>
      <c r="C6828" s="2">
        <v>1.24</v>
      </c>
      <c r="D6828" s="2">
        <v>4.6899999999999997E-2</v>
      </c>
      <c r="E6828" s="2">
        <v>5.8155999999999995E-4</v>
      </c>
      <c r="F6828" s="2" t="s">
        <v>165</v>
      </c>
    </row>
    <row r="6829" spans="1:6" ht="22.5" hidden="1" customHeight="1" x14ac:dyDescent="0.25">
      <c r="A6829" s="3">
        <v>44409</v>
      </c>
      <c r="B6829" s="2" t="s">
        <v>227</v>
      </c>
      <c r="C6829" s="2">
        <v>1.3</v>
      </c>
      <c r="D6829" s="2">
        <v>6.4199999999999993E-2</v>
      </c>
      <c r="E6829" s="2">
        <v>8.3460000000000001E-4</v>
      </c>
      <c r="F6829" s="2" t="s">
        <v>165</v>
      </c>
    </row>
    <row r="6830" spans="1:6" ht="22.5" hidden="1" customHeight="1" x14ac:dyDescent="0.25">
      <c r="A6830" s="3">
        <v>44409</v>
      </c>
      <c r="B6830" s="2" t="s">
        <v>228</v>
      </c>
      <c r="C6830" s="2">
        <v>1.6</v>
      </c>
      <c r="D6830" s="2">
        <v>0.1956</v>
      </c>
      <c r="E6830" s="2">
        <v>3.1296000000000002E-3</v>
      </c>
      <c r="F6830" s="2" t="s">
        <v>165</v>
      </c>
    </row>
    <row r="6831" spans="1:6" ht="22.5" hidden="1" customHeight="1" x14ac:dyDescent="0.25">
      <c r="A6831" s="3">
        <v>44409</v>
      </c>
      <c r="B6831" s="2" t="s">
        <v>229</v>
      </c>
      <c r="C6831" s="2">
        <v>0.85</v>
      </c>
      <c r="D6831" s="2">
        <v>0.28060000000000002</v>
      </c>
      <c r="E6831" s="2">
        <v>2.3850999999999998E-3</v>
      </c>
      <c r="F6831" s="2" t="s">
        <v>174</v>
      </c>
    </row>
    <row r="6832" spans="1:6" ht="22.5" hidden="1" customHeight="1" x14ac:dyDescent="0.25">
      <c r="A6832" s="3">
        <v>44409</v>
      </c>
      <c r="B6832" s="2" t="s">
        <v>230</v>
      </c>
      <c r="C6832" s="2">
        <v>-1.76</v>
      </c>
      <c r="D6832" s="2">
        <v>2.1999999999999999E-2</v>
      </c>
      <c r="E6832" s="2">
        <v>-3.8719999999999998E-4</v>
      </c>
      <c r="F6832" s="2" t="s">
        <v>174</v>
      </c>
    </row>
    <row r="6833" spans="1:6" ht="22.5" hidden="1" customHeight="1" x14ac:dyDescent="0.25">
      <c r="A6833" s="3">
        <v>44409</v>
      </c>
      <c r="B6833" s="2" t="s">
        <v>231</v>
      </c>
      <c r="C6833" s="2">
        <v>0.89</v>
      </c>
      <c r="D6833" s="2">
        <v>0.1656</v>
      </c>
      <c r="E6833" s="2">
        <v>1.4738399999999999E-3</v>
      </c>
      <c r="F6833" s="2" t="s">
        <v>174</v>
      </c>
    </row>
    <row r="6834" spans="1:6" ht="22.5" hidden="1" customHeight="1" x14ac:dyDescent="0.25">
      <c r="A6834" s="3">
        <v>44409</v>
      </c>
      <c r="B6834" s="2" t="s">
        <v>232</v>
      </c>
      <c r="C6834" s="2">
        <v>2.0099999999999998</v>
      </c>
      <c r="D6834" s="2">
        <v>5.7000000000000002E-3</v>
      </c>
      <c r="E6834" s="2">
        <v>1.1457E-4</v>
      </c>
      <c r="F6834" s="2" t="s">
        <v>174</v>
      </c>
    </row>
    <row r="6835" spans="1:6" ht="22.5" hidden="1" customHeight="1" x14ac:dyDescent="0.25">
      <c r="A6835" s="3">
        <v>44409</v>
      </c>
      <c r="B6835" s="2" t="s">
        <v>233</v>
      </c>
      <c r="C6835" s="2">
        <v>1.52</v>
      </c>
      <c r="D6835" s="2">
        <v>0.55740000000000001</v>
      </c>
      <c r="E6835" s="2">
        <v>8.4724799999999992E-3</v>
      </c>
      <c r="F6835" s="2" t="s">
        <v>174</v>
      </c>
    </row>
    <row r="6836" spans="1:6" ht="22.5" hidden="1" customHeight="1" x14ac:dyDescent="0.25">
      <c r="A6836" s="3">
        <v>44409</v>
      </c>
      <c r="B6836" s="2" t="s">
        <v>234</v>
      </c>
      <c r="C6836" s="2">
        <v>1.58</v>
      </c>
      <c r="D6836" s="2">
        <v>0.30009999999999998</v>
      </c>
      <c r="E6836" s="2">
        <v>4.7415799999999996E-3</v>
      </c>
      <c r="F6836" s="2" t="s">
        <v>174</v>
      </c>
    </row>
    <row r="6837" spans="1:6" ht="22.5" hidden="1" customHeight="1" x14ac:dyDescent="0.25">
      <c r="A6837" s="3">
        <v>44409</v>
      </c>
      <c r="B6837" s="2" t="s">
        <v>235</v>
      </c>
      <c r="C6837" s="2">
        <v>-1.06</v>
      </c>
      <c r="D6837" s="2">
        <v>2.5499999999999998E-2</v>
      </c>
      <c r="E6837" s="2">
        <v>-2.7030000000000001E-4</v>
      </c>
      <c r="F6837" s="2" t="s">
        <v>174</v>
      </c>
    </row>
    <row r="6838" spans="1:6" ht="22.5" hidden="1" customHeight="1" x14ac:dyDescent="0.25">
      <c r="A6838" s="3">
        <v>44409</v>
      </c>
      <c r="B6838" s="2" t="s">
        <v>236</v>
      </c>
      <c r="C6838" s="2">
        <v>-1.54</v>
      </c>
      <c r="D6838" s="2">
        <v>6.8999999999999999E-3</v>
      </c>
      <c r="E6838" s="2">
        <v>-1.0626E-4</v>
      </c>
      <c r="F6838" s="2" t="s">
        <v>174</v>
      </c>
    </row>
    <row r="6839" spans="1:6" ht="22.5" hidden="1" customHeight="1" x14ac:dyDescent="0.25">
      <c r="A6839" s="3">
        <v>44409</v>
      </c>
      <c r="B6839" s="2" t="s">
        <v>237</v>
      </c>
      <c r="C6839" s="2">
        <v>1.43</v>
      </c>
      <c r="D6839" s="2">
        <v>0.27689999999999998</v>
      </c>
      <c r="E6839" s="2">
        <v>3.9596700000000002E-3</v>
      </c>
      <c r="F6839" s="2" t="s">
        <v>174</v>
      </c>
    </row>
    <row r="6840" spans="1:6" ht="22.5" hidden="1" customHeight="1" x14ac:dyDescent="0.25">
      <c r="A6840" s="3">
        <v>44409</v>
      </c>
      <c r="B6840" s="2" t="s">
        <v>238</v>
      </c>
      <c r="C6840" s="2">
        <v>2.16</v>
      </c>
      <c r="D6840" s="2">
        <v>0.49399999999999999</v>
      </c>
      <c r="E6840" s="2">
        <v>1.06704E-2</v>
      </c>
      <c r="F6840" s="2" t="s">
        <v>174</v>
      </c>
    </row>
    <row r="6841" spans="1:6" ht="22.5" hidden="1" customHeight="1" x14ac:dyDescent="0.25">
      <c r="A6841" s="3">
        <v>44409</v>
      </c>
      <c r="B6841" s="2" t="s">
        <v>239</v>
      </c>
      <c r="C6841" s="2">
        <v>1.65</v>
      </c>
      <c r="D6841" s="2">
        <v>0.1089</v>
      </c>
      <c r="E6841" s="2">
        <v>1.79685E-3</v>
      </c>
      <c r="F6841" s="2" t="s">
        <v>174</v>
      </c>
    </row>
    <row r="6842" spans="1:6" ht="22.5" hidden="1" customHeight="1" x14ac:dyDescent="0.25">
      <c r="A6842" s="3">
        <v>44409</v>
      </c>
      <c r="B6842" s="2" t="s">
        <v>240</v>
      </c>
      <c r="C6842" s="2">
        <v>0.42</v>
      </c>
      <c r="D6842" s="2">
        <v>6.08E-2</v>
      </c>
      <c r="E6842" s="2">
        <v>2.5535999999999999E-4</v>
      </c>
      <c r="F6842" s="2" t="s">
        <v>174</v>
      </c>
    </row>
    <row r="6843" spans="1:6" ht="22.5" hidden="1" customHeight="1" x14ac:dyDescent="0.25">
      <c r="A6843" s="3">
        <v>44409</v>
      </c>
      <c r="B6843" s="2" t="s">
        <v>241</v>
      </c>
      <c r="C6843" s="2">
        <v>-0.43</v>
      </c>
      <c r="D6843" s="2">
        <v>8.6300000000000002E-2</v>
      </c>
      <c r="E6843" s="2">
        <v>-3.7109000000000003E-4</v>
      </c>
      <c r="F6843" s="2" t="s">
        <v>174</v>
      </c>
    </row>
    <row r="6844" spans="1:6" ht="22.5" hidden="1" customHeight="1" x14ac:dyDescent="0.25">
      <c r="A6844" s="3">
        <v>44409</v>
      </c>
      <c r="B6844" s="2" t="s">
        <v>242</v>
      </c>
      <c r="C6844" s="2">
        <v>-0.46</v>
      </c>
      <c r="D6844" s="2">
        <v>7.3099999999999998E-2</v>
      </c>
      <c r="E6844" s="2">
        <v>-3.3626000000000001E-4</v>
      </c>
      <c r="F6844" s="2" t="s">
        <v>174</v>
      </c>
    </row>
    <row r="6845" spans="1:6" ht="22.5" hidden="1" customHeight="1" x14ac:dyDescent="0.25">
      <c r="A6845" s="3">
        <v>44409</v>
      </c>
      <c r="B6845" s="2" t="s">
        <v>243</v>
      </c>
      <c r="C6845" s="2">
        <v>-1.25</v>
      </c>
      <c r="D6845" s="2">
        <v>8.0000000000000002E-3</v>
      </c>
      <c r="E6845" s="2">
        <v>-1E-4</v>
      </c>
      <c r="F6845" s="2" t="s">
        <v>174</v>
      </c>
    </row>
    <row r="6846" spans="1:6" ht="22.5" hidden="1" customHeight="1" x14ac:dyDescent="0.25">
      <c r="A6846" s="3">
        <v>44409</v>
      </c>
      <c r="B6846" s="2" t="s">
        <v>244</v>
      </c>
      <c r="C6846" s="2">
        <v>0.49</v>
      </c>
      <c r="D6846" s="2">
        <v>4.8300000000000003E-2</v>
      </c>
      <c r="E6846" s="2">
        <v>2.3667E-4</v>
      </c>
      <c r="F6846" s="2" t="s">
        <v>174</v>
      </c>
    </row>
    <row r="6847" spans="1:6" ht="22.5" hidden="1" customHeight="1" x14ac:dyDescent="0.25">
      <c r="A6847" s="3">
        <v>44409</v>
      </c>
      <c r="B6847" s="2" t="s">
        <v>245</v>
      </c>
      <c r="C6847" s="2">
        <v>0.54</v>
      </c>
      <c r="D6847" s="2">
        <v>4.8300000000000003E-2</v>
      </c>
      <c r="E6847" s="2">
        <v>2.6081999999999999E-4</v>
      </c>
      <c r="F6847" s="2" t="s">
        <v>174</v>
      </c>
    </row>
    <row r="6848" spans="1:6" ht="22.5" hidden="1" customHeight="1" x14ac:dyDescent="0.25">
      <c r="A6848" s="3">
        <v>44409</v>
      </c>
      <c r="B6848" s="2" t="s">
        <v>246</v>
      </c>
      <c r="C6848" s="2">
        <v>0.87</v>
      </c>
      <c r="D6848" s="2">
        <v>0.18129999999999999</v>
      </c>
      <c r="E6848" s="2">
        <v>1.57731E-3</v>
      </c>
      <c r="F6848" s="2" t="s">
        <v>174</v>
      </c>
    </row>
    <row r="6849" spans="1:6" ht="22.5" hidden="1" customHeight="1" x14ac:dyDescent="0.25">
      <c r="A6849" s="3">
        <v>44409</v>
      </c>
      <c r="B6849" s="2" t="s">
        <v>247</v>
      </c>
      <c r="C6849" s="2">
        <v>1.39</v>
      </c>
      <c r="D6849" s="2">
        <v>0.128</v>
      </c>
      <c r="E6849" s="2">
        <v>1.7792000000000001E-3</v>
      </c>
      <c r="F6849" s="2" t="s">
        <v>174</v>
      </c>
    </row>
    <row r="6850" spans="1:6" ht="22.5" hidden="1" customHeight="1" x14ac:dyDescent="0.25">
      <c r="A6850" s="3">
        <v>44409</v>
      </c>
      <c r="B6850" s="2" t="s">
        <v>248</v>
      </c>
      <c r="C6850" s="2">
        <v>1.59</v>
      </c>
      <c r="D6850" s="2">
        <v>0.14560000000000001</v>
      </c>
      <c r="E6850" s="2">
        <v>2.31504E-3</v>
      </c>
      <c r="F6850" s="2" t="s">
        <v>174</v>
      </c>
    </row>
    <row r="6851" spans="1:6" ht="22.5" hidden="1" customHeight="1" x14ac:dyDescent="0.25">
      <c r="A6851" s="3">
        <v>44409</v>
      </c>
      <c r="B6851" s="2" t="s">
        <v>249</v>
      </c>
      <c r="C6851" s="2">
        <v>0.16</v>
      </c>
      <c r="D6851" s="2">
        <v>0.26300000000000001</v>
      </c>
      <c r="E6851" s="2">
        <v>4.2079999999999998E-4</v>
      </c>
      <c r="F6851" s="2" t="s">
        <v>174</v>
      </c>
    </row>
    <row r="6852" spans="1:6" ht="22.5" hidden="1" customHeight="1" x14ac:dyDescent="0.25">
      <c r="A6852" s="3">
        <v>44409</v>
      </c>
      <c r="B6852" s="2" t="s">
        <v>250</v>
      </c>
      <c r="C6852" s="2">
        <v>-0.41</v>
      </c>
      <c r="D6852" s="2">
        <v>2.52E-2</v>
      </c>
      <c r="E6852" s="2">
        <v>-1.0331999999999999E-4</v>
      </c>
      <c r="F6852" s="2" t="s">
        <v>174</v>
      </c>
    </row>
    <row r="6853" spans="1:6" ht="22.5" hidden="1" customHeight="1" x14ac:dyDescent="0.25">
      <c r="A6853" s="3">
        <v>44409</v>
      </c>
      <c r="B6853" s="2" t="s">
        <v>251</v>
      </c>
      <c r="C6853" s="2">
        <v>0.18</v>
      </c>
      <c r="D6853" s="2">
        <v>5.96E-2</v>
      </c>
      <c r="E6853" s="2">
        <v>1.0728E-4</v>
      </c>
      <c r="F6853" s="2" t="s">
        <v>174</v>
      </c>
    </row>
    <row r="6854" spans="1:6" ht="22.5" hidden="1" customHeight="1" x14ac:dyDescent="0.25">
      <c r="A6854" s="3">
        <v>44409</v>
      </c>
      <c r="B6854" s="2" t="s">
        <v>252</v>
      </c>
      <c r="C6854" s="2">
        <v>-1.24</v>
      </c>
      <c r="D6854" s="2">
        <v>8.0999999999999996E-3</v>
      </c>
      <c r="E6854" s="2">
        <v>-1.0043999999999999E-4</v>
      </c>
      <c r="F6854" s="2" t="s">
        <v>174</v>
      </c>
    </row>
    <row r="6855" spans="1:6" ht="22.5" hidden="1" customHeight="1" x14ac:dyDescent="0.25">
      <c r="A6855" s="3">
        <v>44409</v>
      </c>
      <c r="B6855" s="2" t="s">
        <v>253</v>
      </c>
      <c r="C6855" s="2">
        <v>7.0000000000000007E-2</v>
      </c>
      <c r="D6855" s="2">
        <v>0.43730000000000002</v>
      </c>
      <c r="E6855" s="2">
        <v>3.0611000000000001E-4</v>
      </c>
      <c r="F6855" s="2" t="s">
        <v>174</v>
      </c>
    </row>
    <row r="6856" spans="1:6" ht="22.5" hidden="1" customHeight="1" x14ac:dyDescent="0.25">
      <c r="A6856" s="3">
        <v>44409</v>
      </c>
      <c r="B6856" s="2" t="s">
        <v>254</v>
      </c>
      <c r="C6856" s="2">
        <v>0.68</v>
      </c>
      <c r="D6856" s="2">
        <v>0.17760000000000001</v>
      </c>
      <c r="E6856" s="2">
        <v>1.20768E-3</v>
      </c>
      <c r="F6856" s="2" t="s">
        <v>174</v>
      </c>
    </row>
    <row r="6857" spans="1:6" ht="22.5" hidden="1" customHeight="1" x14ac:dyDescent="0.25">
      <c r="A6857" s="3">
        <v>44409</v>
      </c>
      <c r="B6857" s="2" t="s">
        <v>255</v>
      </c>
      <c r="C6857" s="2">
        <v>1.67</v>
      </c>
      <c r="D6857" s="2">
        <v>1.61E-2</v>
      </c>
      <c r="E6857" s="2">
        <v>2.6886999999999999E-4</v>
      </c>
      <c r="F6857" s="2" t="s">
        <v>170</v>
      </c>
    </row>
    <row r="6858" spans="1:6" ht="22.5" hidden="1" customHeight="1" x14ac:dyDescent="0.25">
      <c r="A6858" s="3">
        <v>44409</v>
      </c>
      <c r="B6858" s="2" t="s">
        <v>256</v>
      </c>
      <c r="C6858" s="2">
        <v>-0.9</v>
      </c>
      <c r="D6858" s="2">
        <v>0.15390000000000001</v>
      </c>
      <c r="E6858" s="2">
        <v>-1.3851E-3</v>
      </c>
      <c r="F6858" s="2" t="s">
        <v>170</v>
      </c>
    </row>
    <row r="6859" spans="1:6" ht="22.5" hidden="1" customHeight="1" x14ac:dyDescent="0.25">
      <c r="A6859" s="3">
        <v>44409</v>
      </c>
      <c r="B6859" s="2" t="s">
        <v>257</v>
      </c>
      <c r="C6859" s="2">
        <v>1.45</v>
      </c>
      <c r="D6859" s="2">
        <v>5.0700000000000002E-2</v>
      </c>
      <c r="E6859" s="2">
        <v>7.3514999999999995E-4</v>
      </c>
      <c r="F6859" s="2" t="s">
        <v>170</v>
      </c>
    </row>
    <row r="6860" spans="1:6" ht="22.5" hidden="1" customHeight="1" x14ac:dyDescent="0.25">
      <c r="A6860" s="3">
        <v>44409</v>
      </c>
      <c r="B6860" s="2" t="s">
        <v>258</v>
      </c>
      <c r="C6860" s="2">
        <v>0.64</v>
      </c>
      <c r="D6860" s="2">
        <v>4.6199999999999998E-2</v>
      </c>
      <c r="E6860" s="2">
        <v>2.9567999999999999E-4</v>
      </c>
      <c r="F6860" s="2" t="s">
        <v>174</v>
      </c>
    </row>
    <row r="6861" spans="1:6" ht="22.5" hidden="1" customHeight="1" x14ac:dyDescent="0.25">
      <c r="A6861" s="3">
        <v>44409</v>
      </c>
      <c r="B6861" s="2" t="s">
        <v>259</v>
      </c>
      <c r="C6861" s="2">
        <v>0.69</v>
      </c>
      <c r="D6861" s="2">
        <v>0.01</v>
      </c>
      <c r="E6861" s="2">
        <v>6.8999999999999997E-5</v>
      </c>
      <c r="F6861" s="2" t="s">
        <v>174</v>
      </c>
    </row>
    <row r="6862" spans="1:6" ht="22.5" hidden="1" customHeight="1" x14ac:dyDescent="0.25">
      <c r="A6862" s="3">
        <v>44197</v>
      </c>
      <c r="B6862" s="2" t="s">
        <v>295</v>
      </c>
      <c r="C6862" s="2">
        <v>-0.01</v>
      </c>
      <c r="D6862" s="2">
        <v>0.22140000000000001</v>
      </c>
      <c r="E6862" s="2">
        <v>-2.2140000000000001E-5</v>
      </c>
      <c r="F6862" s="2" t="s">
        <v>168</v>
      </c>
    </row>
    <row r="6863" spans="1:6" ht="22.5" hidden="1" customHeight="1" x14ac:dyDescent="0.25">
      <c r="A6863" s="3">
        <v>43891</v>
      </c>
      <c r="B6863" s="2" t="s">
        <v>292</v>
      </c>
      <c r="C6863" s="2">
        <v>-0.03</v>
      </c>
      <c r="D6863" s="2">
        <v>0.12820000000000001</v>
      </c>
      <c r="E6863" s="2">
        <v>-3.8460000000000001E-5</v>
      </c>
      <c r="F6863" s="2" t="s">
        <v>168</v>
      </c>
    </row>
    <row r="6864" spans="1:6" ht="22.5" hidden="1" customHeight="1" x14ac:dyDescent="0.25">
      <c r="A6864" s="3">
        <v>43891</v>
      </c>
      <c r="B6864" s="2" t="s">
        <v>291</v>
      </c>
      <c r="C6864" s="2">
        <v>-0.02</v>
      </c>
      <c r="D6864" s="2">
        <v>0.20039999999999999</v>
      </c>
      <c r="E6864" s="2">
        <v>-4.0080000000000003E-5</v>
      </c>
      <c r="F6864" s="2" t="s">
        <v>168</v>
      </c>
    </row>
    <row r="6865" spans="1:6" ht="22.5" hidden="1" customHeight="1" x14ac:dyDescent="0.25">
      <c r="A6865" s="3">
        <v>43922</v>
      </c>
      <c r="B6865" s="2" t="s">
        <v>291</v>
      </c>
      <c r="C6865" s="2">
        <v>-0.03</v>
      </c>
      <c r="D6865" s="2">
        <v>0.20039999999999999</v>
      </c>
      <c r="E6865" s="2">
        <v>-6.012E-5</v>
      </c>
      <c r="F6865" s="2" t="s">
        <v>168</v>
      </c>
    </row>
    <row r="6866" spans="1:6" ht="22.5" hidden="1" customHeight="1" x14ac:dyDescent="0.25">
      <c r="A6866" s="3">
        <v>43862</v>
      </c>
      <c r="B6866" s="2" t="s">
        <v>294</v>
      </c>
      <c r="C6866" s="2">
        <v>-0.06</v>
      </c>
      <c r="D6866" s="2">
        <v>0.13850000000000001</v>
      </c>
      <c r="E6866" s="2">
        <v>-8.3100000000000001E-5</v>
      </c>
      <c r="F6866" s="2" t="s">
        <v>168</v>
      </c>
    </row>
    <row r="6867" spans="1:6" ht="22.5" hidden="1" customHeight="1" x14ac:dyDescent="0.25">
      <c r="A6867" s="3">
        <v>44562</v>
      </c>
      <c r="B6867" s="2" t="s">
        <v>299</v>
      </c>
      <c r="C6867" s="2">
        <v>-0.11</v>
      </c>
      <c r="D6867" s="2">
        <v>8.6599999999999996E-2</v>
      </c>
      <c r="E6867" s="2">
        <v>-9.5260000000000006E-5</v>
      </c>
      <c r="F6867" s="2" t="s">
        <v>168</v>
      </c>
    </row>
    <row r="6868" spans="1:6" ht="22.5" hidden="1" customHeight="1" x14ac:dyDescent="0.25">
      <c r="A6868" s="3">
        <v>43983</v>
      </c>
      <c r="B6868" s="2" t="s">
        <v>293</v>
      </c>
      <c r="C6868" s="2">
        <v>-0.06</v>
      </c>
      <c r="D6868" s="2">
        <v>0.17599999999999999</v>
      </c>
      <c r="E6868" s="2">
        <v>-1.0560000000000001E-4</v>
      </c>
      <c r="F6868" s="2" t="s">
        <v>168</v>
      </c>
    </row>
    <row r="6869" spans="1:6" ht="22.5" hidden="1" customHeight="1" x14ac:dyDescent="0.25">
      <c r="A6869" s="3">
        <v>44409</v>
      </c>
      <c r="B6869" s="2" t="s">
        <v>267</v>
      </c>
      <c r="C6869" s="2">
        <v>0.09</v>
      </c>
      <c r="D6869" s="2">
        <v>0.12529999999999999</v>
      </c>
      <c r="E6869" s="2">
        <v>1.1277000000000001E-4</v>
      </c>
      <c r="F6869" s="2" t="s">
        <v>165</v>
      </c>
    </row>
    <row r="6870" spans="1:6" ht="22.5" hidden="1" customHeight="1" x14ac:dyDescent="0.25">
      <c r="A6870" s="3">
        <v>44409</v>
      </c>
      <c r="B6870" s="2" t="s">
        <v>268</v>
      </c>
      <c r="C6870" s="2">
        <v>9.1199999999999992</v>
      </c>
      <c r="D6870" s="2">
        <v>0.15260000000000001</v>
      </c>
      <c r="E6870" s="2">
        <v>1.391712E-2</v>
      </c>
      <c r="F6870" s="2" t="s">
        <v>165</v>
      </c>
    </row>
    <row r="6871" spans="1:6" ht="22.5" hidden="1" customHeight="1" x14ac:dyDescent="0.25">
      <c r="A6871" s="3">
        <v>44409</v>
      </c>
      <c r="B6871" s="2" t="s">
        <v>269</v>
      </c>
      <c r="C6871" s="2">
        <v>0</v>
      </c>
      <c r="D6871" s="2">
        <v>6.5299999999999997E-2</v>
      </c>
      <c r="E6871" s="2">
        <v>0</v>
      </c>
      <c r="F6871" s="2" t="s">
        <v>165</v>
      </c>
    </row>
    <row r="6872" spans="1:6" ht="22.5" hidden="1" customHeight="1" x14ac:dyDescent="0.25">
      <c r="A6872" s="3">
        <v>44409</v>
      </c>
      <c r="B6872" s="2" t="s">
        <v>270</v>
      </c>
      <c r="C6872" s="2">
        <v>1.52</v>
      </c>
      <c r="D6872" s="2">
        <v>2.9519000000000002</v>
      </c>
      <c r="E6872" s="2">
        <v>4.486888E-2</v>
      </c>
      <c r="F6872" s="2" t="s">
        <v>170</v>
      </c>
    </row>
    <row r="6873" spans="1:6" ht="22.5" hidden="1" customHeight="1" x14ac:dyDescent="0.25">
      <c r="A6873" s="3">
        <v>44136</v>
      </c>
      <c r="B6873" s="2" t="s">
        <v>290</v>
      </c>
      <c r="C6873" s="2">
        <v>-7.0000000000000007E-2</v>
      </c>
      <c r="D6873" s="2">
        <v>0.1532</v>
      </c>
      <c r="E6873" s="2">
        <v>-1.0724E-4</v>
      </c>
      <c r="F6873" s="2" t="s">
        <v>168</v>
      </c>
    </row>
    <row r="6874" spans="1:6" ht="22.5" hidden="1" customHeight="1" x14ac:dyDescent="0.25">
      <c r="A6874" s="3">
        <v>44409</v>
      </c>
      <c r="B6874" s="2" t="s">
        <v>272</v>
      </c>
      <c r="C6874" s="2">
        <v>0</v>
      </c>
      <c r="D6874" s="2">
        <v>0.70269999999999999</v>
      </c>
      <c r="E6874" s="2">
        <v>0</v>
      </c>
      <c r="F6874" s="2" t="s">
        <v>165</v>
      </c>
    </row>
    <row r="6875" spans="1:6" ht="22.5" hidden="1" customHeight="1" x14ac:dyDescent="0.25">
      <c r="A6875" s="3">
        <v>44013</v>
      </c>
      <c r="B6875" s="2" t="s">
        <v>196</v>
      </c>
      <c r="C6875" s="2">
        <v>-0.08</v>
      </c>
      <c r="D6875" s="2">
        <v>0.13780000000000001</v>
      </c>
      <c r="E6875" s="2">
        <v>-1.1024E-4</v>
      </c>
      <c r="F6875" s="2" t="s">
        <v>168</v>
      </c>
    </row>
    <row r="6876" spans="1:6" ht="22.5" hidden="1" customHeight="1" x14ac:dyDescent="0.25">
      <c r="A6876" s="3">
        <v>44409</v>
      </c>
      <c r="B6876" s="2" t="s">
        <v>274</v>
      </c>
      <c r="C6876" s="2">
        <v>1.68</v>
      </c>
      <c r="D6876" s="2">
        <v>0.13439999999999999</v>
      </c>
      <c r="E6876" s="2">
        <v>2.2579200000000001E-3</v>
      </c>
      <c r="F6876" s="2" t="s">
        <v>170</v>
      </c>
    </row>
    <row r="6877" spans="1:6" ht="22.5" hidden="1" customHeight="1" x14ac:dyDescent="0.25">
      <c r="A6877" s="3">
        <v>44409</v>
      </c>
      <c r="B6877" s="2" t="s">
        <v>275</v>
      </c>
      <c r="C6877" s="2">
        <v>0.98</v>
      </c>
      <c r="D6877" s="2">
        <v>0.1729</v>
      </c>
      <c r="E6877" s="2">
        <v>1.6944200000000001E-3</v>
      </c>
      <c r="F6877" s="2" t="s">
        <v>170</v>
      </c>
    </row>
    <row r="6878" spans="1:6" ht="22.5" hidden="1" customHeight="1" x14ac:dyDescent="0.25">
      <c r="A6878" s="3">
        <v>44409</v>
      </c>
      <c r="B6878" s="2" t="s">
        <v>276</v>
      </c>
      <c r="C6878" s="2">
        <v>1.02</v>
      </c>
      <c r="D6878" s="2">
        <v>0.2472</v>
      </c>
      <c r="E6878" s="2">
        <v>2.5214399999999998E-3</v>
      </c>
      <c r="F6878" s="2" t="s">
        <v>170</v>
      </c>
    </row>
    <row r="6879" spans="1:6" ht="22.5" hidden="1" customHeight="1" x14ac:dyDescent="0.25">
      <c r="A6879" s="3">
        <v>44409</v>
      </c>
      <c r="B6879" s="2" t="s">
        <v>277</v>
      </c>
      <c r="C6879" s="2">
        <v>0.37</v>
      </c>
      <c r="D6879" s="2">
        <v>1.6429</v>
      </c>
      <c r="E6879" s="2">
        <v>6.0787300000000001E-3</v>
      </c>
      <c r="F6879" s="2" t="s">
        <v>165</v>
      </c>
    </row>
    <row r="6880" spans="1:6" ht="22.5" hidden="1" customHeight="1" x14ac:dyDescent="0.25">
      <c r="A6880" s="3">
        <v>44409</v>
      </c>
      <c r="B6880" s="2" t="s">
        <v>278</v>
      </c>
      <c r="C6880" s="2">
        <v>1.1299999999999999</v>
      </c>
      <c r="D6880" s="2">
        <v>6.6799999999999998E-2</v>
      </c>
      <c r="E6880" s="2">
        <v>7.5484E-4</v>
      </c>
      <c r="F6880" s="2" t="s">
        <v>165</v>
      </c>
    </row>
    <row r="6881" spans="1:6" ht="22.5" hidden="1" customHeight="1" x14ac:dyDescent="0.25">
      <c r="A6881" s="3">
        <v>43983</v>
      </c>
      <c r="B6881" s="2" t="s">
        <v>299</v>
      </c>
      <c r="C6881" s="2">
        <v>-0.12</v>
      </c>
      <c r="D6881" s="2">
        <v>9.4600000000000004E-2</v>
      </c>
      <c r="E6881" s="2">
        <v>-1.1352E-4</v>
      </c>
      <c r="F6881" s="2" t="s">
        <v>168</v>
      </c>
    </row>
    <row r="6882" spans="1:6" ht="22.5" hidden="1" customHeight="1" x14ac:dyDescent="0.25">
      <c r="A6882" s="3">
        <v>44409</v>
      </c>
      <c r="B6882" s="2" t="s">
        <v>280</v>
      </c>
      <c r="C6882" s="2">
        <v>2.58</v>
      </c>
      <c r="D6882" s="2">
        <v>1.8829</v>
      </c>
      <c r="E6882" s="2">
        <v>4.8578820000000002E-2</v>
      </c>
      <c r="F6882" s="2" t="s">
        <v>170</v>
      </c>
    </row>
    <row r="6883" spans="1:6" ht="22.5" hidden="1" customHeight="1" x14ac:dyDescent="0.25">
      <c r="A6883" s="3">
        <v>44409</v>
      </c>
      <c r="B6883" s="2" t="s">
        <v>281</v>
      </c>
      <c r="C6883" s="2">
        <v>0.04</v>
      </c>
      <c r="D6883" s="2">
        <v>1.6500000000000001E-2</v>
      </c>
      <c r="E6883" s="2">
        <v>6.6000000000000003E-6</v>
      </c>
      <c r="F6883" s="2" t="s">
        <v>165</v>
      </c>
    </row>
    <row r="6884" spans="1:6" ht="22.5" hidden="1" customHeight="1" x14ac:dyDescent="0.25">
      <c r="A6884" s="3">
        <v>44409</v>
      </c>
      <c r="B6884" s="2" t="s">
        <v>282</v>
      </c>
      <c r="C6884" s="2">
        <v>9.5299999999999994</v>
      </c>
      <c r="D6884" s="2">
        <v>2.2700000000000001E-2</v>
      </c>
      <c r="E6884" s="2">
        <v>2.1633099999999999E-3</v>
      </c>
      <c r="F6884" s="2" t="s">
        <v>165</v>
      </c>
    </row>
    <row r="6885" spans="1:6" ht="22.5" hidden="1" customHeight="1" x14ac:dyDescent="0.25">
      <c r="A6885" s="3">
        <v>44409</v>
      </c>
      <c r="B6885" s="2" t="s">
        <v>283</v>
      </c>
      <c r="C6885" s="2">
        <v>0.27</v>
      </c>
      <c r="D6885" s="2">
        <v>0.57210000000000005</v>
      </c>
      <c r="E6885" s="2">
        <v>1.5446699999999999E-3</v>
      </c>
      <c r="F6885" s="2" t="s">
        <v>170</v>
      </c>
    </row>
    <row r="6886" spans="1:6" ht="22.5" hidden="1" customHeight="1" x14ac:dyDescent="0.25">
      <c r="A6886" s="3">
        <v>44228</v>
      </c>
      <c r="B6886" s="2" t="s">
        <v>291</v>
      </c>
      <c r="C6886" s="2">
        <v>-0.08</v>
      </c>
      <c r="D6886" s="2">
        <v>0.1865</v>
      </c>
      <c r="E6886" s="2">
        <v>-1.4919999999999999E-4</v>
      </c>
      <c r="F6886" s="2" t="s">
        <v>168</v>
      </c>
    </row>
    <row r="6887" spans="1:6" ht="22.5" hidden="1" customHeight="1" x14ac:dyDescent="0.25">
      <c r="A6887" s="3">
        <v>44136</v>
      </c>
      <c r="B6887" s="2" t="s">
        <v>301</v>
      </c>
      <c r="C6887" s="2">
        <v>-0.1</v>
      </c>
      <c r="D6887" s="2">
        <v>0.15060000000000001</v>
      </c>
      <c r="E6887" s="2">
        <v>-1.506E-4</v>
      </c>
      <c r="F6887" s="2" t="s">
        <v>168</v>
      </c>
    </row>
    <row r="6888" spans="1:6" ht="22.5" hidden="1" customHeight="1" x14ac:dyDescent="0.25">
      <c r="A6888" s="3">
        <v>44562</v>
      </c>
      <c r="B6888" s="2" t="s">
        <v>289</v>
      </c>
      <c r="C6888" s="2">
        <v>-0.03</v>
      </c>
      <c r="D6888" s="2">
        <v>0.52700000000000002</v>
      </c>
      <c r="E6888" s="2">
        <v>-1.5809999999999999E-4</v>
      </c>
      <c r="F6888" s="2" t="s">
        <v>168</v>
      </c>
    </row>
    <row r="6889" spans="1:6" ht="22.5" hidden="1" customHeight="1" x14ac:dyDescent="0.25">
      <c r="A6889" s="3">
        <v>43891</v>
      </c>
      <c r="B6889" s="2" t="s">
        <v>299</v>
      </c>
      <c r="C6889" s="2">
        <v>-0.18</v>
      </c>
      <c r="D6889" s="2">
        <v>9.6299999999999997E-2</v>
      </c>
      <c r="E6889" s="2">
        <v>-1.7333999999999999E-4</v>
      </c>
      <c r="F6889" s="2" t="s">
        <v>168</v>
      </c>
    </row>
    <row r="6890" spans="1:6" ht="22.5" hidden="1" customHeight="1" x14ac:dyDescent="0.25">
      <c r="A6890" s="3">
        <v>44197</v>
      </c>
      <c r="B6890" s="2" t="s">
        <v>293</v>
      </c>
      <c r="C6890" s="2">
        <v>-0.11</v>
      </c>
      <c r="D6890" s="2">
        <v>0.16639999999999999</v>
      </c>
      <c r="E6890" s="2">
        <v>-1.8304000000000001E-4</v>
      </c>
      <c r="F6890" s="2" t="s">
        <v>168</v>
      </c>
    </row>
    <row r="6891" spans="1:6" ht="22.5" hidden="1" customHeight="1" x14ac:dyDescent="0.25">
      <c r="A6891" s="3">
        <v>43952</v>
      </c>
      <c r="B6891" s="2" t="s">
        <v>293</v>
      </c>
      <c r="C6891" s="2">
        <v>-0.11</v>
      </c>
      <c r="D6891" s="2">
        <v>0.17519999999999999</v>
      </c>
      <c r="E6891" s="2">
        <v>-1.9272000000000001E-4</v>
      </c>
      <c r="F6891" s="2" t="s">
        <v>168</v>
      </c>
    </row>
    <row r="6892" spans="1:6" ht="22.5" hidden="1" customHeight="1" x14ac:dyDescent="0.25">
      <c r="A6892" s="3">
        <v>44013</v>
      </c>
      <c r="B6892" s="2" t="s">
        <v>261</v>
      </c>
      <c r="C6892" s="2">
        <v>-0.1</v>
      </c>
      <c r="D6892" s="2">
        <v>0.20119999999999999</v>
      </c>
      <c r="E6892" s="2">
        <v>-2.0120000000000001E-4</v>
      </c>
      <c r="F6892" s="2" t="s">
        <v>168</v>
      </c>
    </row>
    <row r="6893" spans="1:6" ht="22.5" hidden="1" customHeight="1" x14ac:dyDescent="0.25">
      <c r="A6893" s="3">
        <v>44378</v>
      </c>
      <c r="B6893" s="2" t="s">
        <v>292</v>
      </c>
      <c r="C6893" s="2">
        <v>-0.16</v>
      </c>
      <c r="D6893" s="2">
        <v>0.12909999999999999</v>
      </c>
      <c r="E6893" s="2">
        <v>-2.0656E-4</v>
      </c>
      <c r="F6893" s="2" t="s">
        <v>168</v>
      </c>
    </row>
    <row r="6894" spans="1:6" ht="22.5" hidden="1" customHeight="1" x14ac:dyDescent="0.25">
      <c r="A6894" s="3">
        <v>44075</v>
      </c>
      <c r="B6894" s="2" t="s">
        <v>293</v>
      </c>
      <c r="C6894" s="2">
        <v>-0.12</v>
      </c>
      <c r="D6894" s="2">
        <v>0.1726</v>
      </c>
      <c r="E6894" s="2">
        <v>-2.0712000000000001E-4</v>
      </c>
      <c r="F6894" s="2" t="s">
        <v>168</v>
      </c>
    </row>
    <row r="6895" spans="1:6" ht="22.5" hidden="1" customHeight="1" x14ac:dyDescent="0.25">
      <c r="A6895" s="3">
        <v>44562</v>
      </c>
      <c r="B6895" s="2" t="s">
        <v>287</v>
      </c>
      <c r="C6895" s="2">
        <v>-0.26</v>
      </c>
      <c r="D6895" s="2">
        <v>8.0799999999999997E-2</v>
      </c>
      <c r="E6895" s="2">
        <v>-2.1007999999999999E-4</v>
      </c>
      <c r="F6895" s="2" t="s">
        <v>168</v>
      </c>
    </row>
    <row r="6896" spans="1:6" ht="22.5" hidden="1" customHeight="1" x14ac:dyDescent="0.25">
      <c r="A6896" s="3">
        <v>44440</v>
      </c>
      <c r="B6896" s="2" t="s">
        <v>279</v>
      </c>
      <c r="C6896" s="2">
        <v>-0.22</v>
      </c>
      <c r="D6896" s="2">
        <v>9.6500000000000002E-2</v>
      </c>
      <c r="E6896" s="2">
        <v>-2.1230000000000001E-4</v>
      </c>
      <c r="F6896" s="2" t="s">
        <v>168</v>
      </c>
    </row>
    <row r="6897" spans="1:6" ht="22.5" hidden="1" customHeight="1" x14ac:dyDescent="0.25">
      <c r="A6897" s="3">
        <v>43891</v>
      </c>
      <c r="B6897" s="2" t="s">
        <v>289</v>
      </c>
      <c r="C6897" s="2">
        <v>-0.04</v>
      </c>
      <c r="D6897" s="2">
        <v>0.5494</v>
      </c>
      <c r="E6897" s="2">
        <v>-2.1976E-4</v>
      </c>
      <c r="F6897" s="2" t="s">
        <v>168</v>
      </c>
    </row>
    <row r="6898" spans="1:6" ht="22.5" hidden="1" customHeight="1" x14ac:dyDescent="0.25">
      <c r="A6898" s="3">
        <v>44105</v>
      </c>
      <c r="B6898" s="2" t="s">
        <v>196</v>
      </c>
      <c r="C6898" s="2">
        <v>-0.17</v>
      </c>
      <c r="D6898" s="2">
        <v>0.13350000000000001</v>
      </c>
      <c r="E6898" s="2">
        <v>-2.2694999999999999E-4</v>
      </c>
      <c r="F6898" s="2" t="s">
        <v>168</v>
      </c>
    </row>
    <row r="6899" spans="1:6" ht="22.5" hidden="1" customHeight="1" x14ac:dyDescent="0.25">
      <c r="A6899" s="3">
        <v>44075</v>
      </c>
      <c r="B6899" s="2" t="s">
        <v>294</v>
      </c>
      <c r="C6899" s="2">
        <v>-0.17</v>
      </c>
      <c r="D6899" s="2">
        <v>0.13730000000000001</v>
      </c>
      <c r="E6899" s="2">
        <v>-2.3341E-4</v>
      </c>
      <c r="F6899" s="2" t="s">
        <v>168</v>
      </c>
    </row>
    <row r="6900" spans="1:6" ht="22.5" hidden="1" customHeight="1" x14ac:dyDescent="0.25">
      <c r="A6900" s="3">
        <v>44136</v>
      </c>
      <c r="B6900" s="2" t="s">
        <v>288</v>
      </c>
      <c r="C6900" s="2">
        <v>-0.1</v>
      </c>
      <c r="D6900" s="2">
        <v>0.23830000000000001</v>
      </c>
      <c r="E6900" s="2">
        <v>-2.3829999999999999E-4</v>
      </c>
      <c r="F6900" s="2" t="s">
        <v>168</v>
      </c>
    </row>
    <row r="6901" spans="1:6" ht="22.5" hidden="1" customHeight="1" x14ac:dyDescent="0.25">
      <c r="A6901" s="3">
        <v>44470</v>
      </c>
      <c r="B6901" s="2" t="s">
        <v>292</v>
      </c>
      <c r="C6901" s="2">
        <v>-0.19</v>
      </c>
      <c r="D6901" s="2">
        <v>0.1278</v>
      </c>
      <c r="E6901" s="2">
        <v>-2.4282000000000001E-4</v>
      </c>
      <c r="F6901" s="2" t="s">
        <v>168</v>
      </c>
    </row>
    <row r="6902" spans="1:6" ht="22.5" hidden="1" customHeight="1" x14ac:dyDescent="0.25">
      <c r="A6902" s="3">
        <v>44166</v>
      </c>
      <c r="B6902" s="2" t="s">
        <v>299</v>
      </c>
      <c r="C6902" s="2">
        <v>-0.26</v>
      </c>
      <c r="D6902" s="2">
        <v>9.3600000000000003E-2</v>
      </c>
      <c r="E6902" s="2">
        <v>-2.4336E-4</v>
      </c>
      <c r="F6902" s="2" t="s">
        <v>168</v>
      </c>
    </row>
    <row r="6903" spans="1:6" ht="22.5" hidden="1" customHeight="1" x14ac:dyDescent="0.25">
      <c r="A6903" s="3">
        <v>44287</v>
      </c>
      <c r="B6903" s="2" t="s">
        <v>299</v>
      </c>
      <c r="C6903" s="2">
        <v>-0.27</v>
      </c>
      <c r="D6903" s="2">
        <v>9.0800000000000006E-2</v>
      </c>
      <c r="E6903" s="2">
        <v>-2.4516000000000002E-4</v>
      </c>
      <c r="F6903" s="2" t="s">
        <v>168</v>
      </c>
    </row>
    <row r="6904" spans="1:6" ht="22.5" hidden="1" customHeight="1" x14ac:dyDescent="0.25">
      <c r="A6904" s="3">
        <v>44409</v>
      </c>
      <c r="B6904" s="2" t="s">
        <v>302</v>
      </c>
      <c r="C6904" s="2">
        <v>0.27</v>
      </c>
      <c r="D6904" s="2">
        <v>0.27200000000000002</v>
      </c>
      <c r="E6904" s="2">
        <v>7.3439999999999996E-4</v>
      </c>
      <c r="F6904" s="2" t="s">
        <v>170</v>
      </c>
    </row>
    <row r="6905" spans="1:6" ht="22.5" hidden="1" customHeight="1" x14ac:dyDescent="0.25">
      <c r="A6905" s="3">
        <v>44409</v>
      </c>
      <c r="B6905" s="2" t="s">
        <v>303</v>
      </c>
      <c r="C6905" s="2">
        <v>0.35</v>
      </c>
      <c r="D6905" s="2">
        <v>0.53069999999999995</v>
      </c>
      <c r="E6905" s="2">
        <v>1.8574500000000001E-3</v>
      </c>
      <c r="F6905" s="2" t="s">
        <v>165</v>
      </c>
    </row>
    <row r="6906" spans="1:6" ht="22.5" hidden="1" customHeight="1" x14ac:dyDescent="0.25">
      <c r="A6906" s="3">
        <v>44409</v>
      </c>
      <c r="B6906" s="2" t="s">
        <v>304</v>
      </c>
      <c r="C6906" s="2">
        <v>0.56000000000000005</v>
      </c>
      <c r="D6906" s="2">
        <v>0.51400000000000001</v>
      </c>
      <c r="E6906" s="2">
        <v>2.8784000000000001E-3</v>
      </c>
      <c r="F6906" s="2" t="s">
        <v>165</v>
      </c>
    </row>
    <row r="6907" spans="1:6" ht="22.5" hidden="1" customHeight="1" x14ac:dyDescent="0.25">
      <c r="A6907" s="3">
        <v>44409</v>
      </c>
      <c r="B6907" s="2" t="s">
        <v>305</v>
      </c>
      <c r="C6907" s="2">
        <v>0.14000000000000001</v>
      </c>
      <c r="D6907" s="2">
        <v>1.8100000000000002E-2</v>
      </c>
      <c r="E6907" s="2">
        <v>2.5340000000000001E-5</v>
      </c>
      <c r="F6907" s="2" t="s">
        <v>170</v>
      </c>
    </row>
    <row r="6908" spans="1:6" ht="22.5" hidden="1" customHeight="1" x14ac:dyDescent="0.25">
      <c r="A6908" s="3">
        <v>44409</v>
      </c>
      <c r="B6908" s="2" t="s">
        <v>306</v>
      </c>
      <c r="C6908" s="2">
        <v>-0.03</v>
      </c>
      <c r="D6908" s="2">
        <v>4.7899999999999998E-2</v>
      </c>
      <c r="E6908" s="2">
        <v>-1.437E-5</v>
      </c>
      <c r="F6908" s="2" t="s">
        <v>165</v>
      </c>
    </row>
    <row r="6909" spans="1:6" ht="22.5" hidden="1" customHeight="1" x14ac:dyDescent="0.25">
      <c r="A6909" s="3">
        <v>44409</v>
      </c>
      <c r="B6909" s="2" t="s">
        <v>307</v>
      </c>
      <c r="C6909" s="2">
        <v>0.02</v>
      </c>
      <c r="D6909" s="2">
        <v>0.106</v>
      </c>
      <c r="E6909" s="2">
        <v>2.12E-5</v>
      </c>
      <c r="F6909" s="2" t="s">
        <v>165</v>
      </c>
    </row>
    <row r="6910" spans="1:6" ht="22.5" hidden="1" customHeight="1" x14ac:dyDescent="0.25">
      <c r="A6910" s="3">
        <v>44409</v>
      </c>
      <c r="B6910" s="2" t="s">
        <v>308</v>
      </c>
      <c r="C6910" s="2">
        <v>0.59</v>
      </c>
      <c r="D6910" s="2">
        <v>0.36249999999999999</v>
      </c>
      <c r="E6910" s="2">
        <v>2.13875E-3</v>
      </c>
      <c r="F6910" s="2" t="s">
        <v>165</v>
      </c>
    </row>
    <row r="6911" spans="1:6" ht="22.5" hidden="1" customHeight="1" x14ac:dyDescent="0.25">
      <c r="A6911" s="3">
        <v>44409</v>
      </c>
      <c r="B6911" s="2" t="s">
        <v>309</v>
      </c>
      <c r="C6911" s="2">
        <v>0.56999999999999995</v>
      </c>
      <c r="D6911" s="2">
        <v>0.12709999999999999</v>
      </c>
      <c r="E6911" s="2">
        <v>7.2446999999999995E-4</v>
      </c>
      <c r="F6911" s="2" t="s">
        <v>165</v>
      </c>
    </row>
    <row r="6912" spans="1:6" ht="22.5" hidden="1" customHeight="1" x14ac:dyDescent="0.25">
      <c r="A6912" s="3">
        <v>44562</v>
      </c>
      <c r="B6912" s="2" t="s">
        <v>290</v>
      </c>
      <c r="C6912" s="2">
        <v>-0.17</v>
      </c>
      <c r="D6912" s="2">
        <v>0.14530000000000001</v>
      </c>
      <c r="E6912" s="2">
        <v>-2.4700999999999998E-4</v>
      </c>
      <c r="F6912" s="2" t="s">
        <v>168</v>
      </c>
    </row>
    <row r="6913" spans="1:6" ht="22.5" hidden="1" customHeight="1" x14ac:dyDescent="0.25">
      <c r="A6913" s="3">
        <v>44409</v>
      </c>
      <c r="B6913" s="2" t="s">
        <v>311</v>
      </c>
      <c r="C6913" s="2">
        <v>-1.43</v>
      </c>
      <c r="D6913" s="2">
        <v>0.59570000000000001</v>
      </c>
      <c r="E6913" s="2">
        <v>-8.51851E-3</v>
      </c>
      <c r="F6913" s="2" t="s">
        <v>174</v>
      </c>
    </row>
    <row r="6914" spans="1:6" ht="22.5" hidden="1" customHeight="1" x14ac:dyDescent="0.25">
      <c r="A6914" s="3">
        <v>44409</v>
      </c>
      <c r="B6914" s="2" t="s">
        <v>312</v>
      </c>
      <c r="C6914" s="2">
        <v>-0.27</v>
      </c>
      <c r="D6914" s="2">
        <v>0.20760000000000001</v>
      </c>
      <c r="E6914" s="2">
        <v>-5.6052000000000001E-4</v>
      </c>
      <c r="F6914" s="2" t="s">
        <v>174</v>
      </c>
    </row>
    <row r="6915" spans="1:6" ht="22.5" hidden="1" customHeight="1" x14ac:dyDescent="0.25">
      <c r="A6915" s="3">
        <v>44409</v>
      </c>
      <c r="B6915" s="2" t="s">
        <v>313</v>
      </c>
      <c r="C6915" s="2">
        <v>1.05</v>
      </c>
      <c r="D6915" s="2">
        <v>0.1249</v>
      </c>
      <c r="E6915" s="2">
        <v>1.31145E-3</v>
      </c>
      <c r="F6915" s="2" t="s">
        <v>174</v>
      </c>
    </row>
    <row r="6916" spans="1:6" ht="22.5" hidden="1" customHeight="1" x14ac:dyDescent="0.25">
      <c r="A6916" s="3">
        <v>44409</v>
      </c>
      <c r="B6916" s="2" t="s">
        <v>314</v>
      </c>
      <c r="C6916" s="2">
        <v>-2.37</v>
      </c>
      <c r="D6916" s="2">
        <v>0.38550000000000001</v>
      </c>
      <c r="E6916" s="2">
        <v>-9.1363499999999997E-3</v>
      </c>
      <c r="F6916" s="2" t="s">
        <v>174</v>
      </c>
    </row>
    <row r="6917" spans="1:6" ht="22.5" hidden="1" customHeight="1" x14ac:dyDescent="0.25">
      <c r="A6917" s="3">
        <v>44409</v>
      </c>
      <c r="B6917" s="2" t="s">
        <v>315</v>
      </c>
      <c r="C6917" s="2">
        <v>0.1</v>
      </c>
      <c r="D6917" s="2">
        <v>0.26319999999999999</v>
      </c>
      <c r="E6917" s="2">
        <v>2.632E-4</v>
      </c>
      <c r="F6917" s="2" t="s">
        <v>174</v>
      </c>
    </row>
    <row r="6918" spans="1:6" ht="22.5" hidden="1" customHeight="1" x14ac:dyDescent="0.25">
      <c r="A6918" s="3">
        <v>44409</v>
      </c>
      <c r="B6918" s="2" t="s">
        <v>316</v>
      </c>
      <c r="C6918" s="2">
        <v>2.4900000000000002</v>
      </c>
      <c r="D6918" s="2">
        <v>3.8E-3</v>
      </c>
      <c r="E6918" s="2">
        <v>9.4619999999999999E-5</v>
      </c>
      <c r="F6918" s="2" t="s">
        <v>174</v>
      </c>
    </row>
    <row r="6919" spans="1:6" ht="22.5" hidden="1" customHeight="1" x14ac:dyDescent="0.25">
      <c r="A6919" s="3">
        <v>44409</v>
      </c>
      <c r="B6919" s="2" t="s">
        <v>317</v>
      </c>
      <c r="C6919" s="2">
        <v>-1.37</v>
      </c>
      <c r="D6919" s="2">
        <v>1.0330999999999999</v>
      </c>
      <c r="E6919" s="2">
        <v>-1.415347E-2</v>
      </c>
      <c r="F6919" s="2" t="s">
        <v>174</v>
      </c>
    </row>
    <row r="6920" spans="1:6" ht="22.5" hidden="1" customHeight="1" x14ac:dyDescent="0.25">
      <c r="A6920" s="3">
        <v>44409</v>
      </c>
      <c r="B6920" s="2" t="s">
        <v>318</v>
      </c>
      <c r="C6920" s="2">
        <v>0.45</v>
      </c>
      <c r="D6920" s="2">
        <v>0.42949999999999999</v>
      </c>
      <c r="E6920" s="2">
        <v>1.93275E-3</v>
      </c>
      <c r="F6920" s="2" t="s">
        <v>174</v>
      </c>
    </row>
    <row r="6921" spans="1:6" ht="22.5" hidden="1" customHeight="1" x14ac:dyDescent="0.25">
      <c r="A6921" s="3">
        <v>44409</v>
      </c>
      <c r="B6921" s="2" t="s">
        <v>319</v>
      </c>
      <c r="C6921" s="2">
        <v>1.07</v>
      </c>
      <c r="D6921" s="2">
        <v>0.10730000000000001</v>
      </c>
      <c r="E6921" s="2">
        <v>1.1481099999999999E-3</v>
      </c>
      <c r="F6921" s="2" t="s">
        <v>174</v>
      </c>
    </row>
    <row r="6922" spans="1:6" ht="22.5" hidden="1" customHeight="1" x14ac:dyDescent="0.25">
      <c r="A6922" s="3">
        <v>44409</v>
      </c>
      <c r="B6922" s="2" t="s">
        <v>320</v>
      </c>
      <c r="C6922" s="2">
        <v>1.45</v>
      </c>
      <c r="D6922" s="2">
        <v>0.30399999999999999</v>
      </c>
      <c r="E6922" s="2">
        <v>4.4079999999999996E-3</v>
      </c>
      <c r="F6922" s="2" t="s">
        <v>174</v>
      </c>
    </row>
    <row r="6923" spans="1:6" ht="22.5" hidden="1" customHeight="1" x14ac:dyDescent="0.25">
      <c r="A6923" s="3">
        <v>44409</v>
      </c>
      <c r="B6923" s="2" t="s">
        <v>321</v>
      </c>
      <c r="C6923" s="2">
        <v>0.68</v>
      </c>
      <c r="D6923" s="2">
        <v>0.20530000000000001</v>
      </c>
      <c r="E6923" s="2">
        <v>1.3960400000000001E-3</v>
      </c>
      <c r="F6923" s="2" t="s">
        <v>174</v>
      </c>
    </row>
    <row r="6924" spans="1:6" ht="22.5" hidden="1" customHeight="1" x14ac:dyDescent="0.25">
      <c r="A6924" s="3">
        <v>44409</v>
      </c>
      <c r="B6924" s="2" t="s">
        <v>322</v>
      </c>
      <c r="C6924" s="2">
        <v>-2.2999999999999998</v>
      </c>
      <c r="D6924" s="2">
        <v>0.15989999999999999</v>
      </c>
      <c r="E6924" s="2">
        <v>-3.6776999999999999E-3</v>
      </c>
      <c r="F6924" s="2" t="s">
        <v>174</v>
      </c>
    </row>
    <row r="6925" spans="1:6" ht="22.5" hidden="1" customHeight="1" x14ac:dyDescent="0.25">
      <c r="A6925" s="3">
        <v>44409</v>
      </c>
      <c r="B6925" s="2" t="s">
        <v>323</v>
      </c>
      <c r="C6925" s="2">
        <v>-1.66</v>
      </c>
      <c r="D6925" s="2">
        <v>1.0699999999999999E-2</v>
      </c>
      <c r="E6925" s="2">
        <v>-1.7762E-4</v>
      </c>
      <c r="F6925" s="2" t="s">
        <v>165</v>
      </c>
    </row>
    <row r="6926" spans="1:6" ht="22.5" hidden="1" customHeight="1" x14ac:dyDescent="0.25">
      <c r="A6926" s="3">
        <v>44409</v>
      </c>
      <c r="B6926" s="2" t="s">
        <v>324</v>
      </c>
      <c r="C6926" s="2">
        <v>0.2</v>
      </c>
      <c r="D6926" s="2">
        <v>0.38250000000000001</v>
      </c>
      <c r="E6926" s="2">
        <v>7.6499999999999995E-4</v>
      </c>
      <c r="F6926" s="2" t="s">
        <v>165</v>
      </c>
    </row>
    <row r="6927" spans="1:6" ht="22.5" hidden="1" customHeight="1" x14ac:dyDescent="0.25">
      <c r="A6927" s="3">
        <v>44409</v>
      </c>
      <c r="B6927" s="2" t="s">
        <v>325</v>
      </c>
      <c r="C6927" s="2">
        <v>0.13</v>
      </c>
      <c r="D6927" s="2">
        <v>2.9834999999999998</v>
      </c>
      <c r="E6927" s="2">
        <v>3.8785500000000001E-3</v>
      </c>
      <c r="F6927" s="2" t="s">
        <v>165</v>
      </c>
    </row>
    <row r="6928" spans="1:6" ht="22.5" hidden="1" customHeight="1" x14ac:dyDescent="0.25">
      <c r="A6928" s="3">
        <v>44409</v>
      </c>
      <c r="B6928" s="2" t="s">
        <v>326</v>
      </c>
      <c r="C6928" s="2">
        <v>0.56000000000000005</v>
      </c>
      <c r="D6928" s="2">
        <v>1.0079</v>
      </c>
      <c r="E6928" s="2">
        <v>5.64424E-3</v>
      </c>
      <c r="F6928" s="2" t="s">
        <v>165</v>
      </c>
    </row>
    <row r="6929" spans="1:6" ht="22.5" hidden="1" customHeight="1" x14ac:dyDescent="0.25">
      <c r="A6929" s="3">
        <v>44409</v>
      </c>
      <c r="B6929" s="2" t="s">
        <v>327</v>
      </c>
      <c r="C6929" s="2">
        <v>0.67</v>
      </c>
      <c r="D6929" s="2">
        <v>5.9799999999999999E-2</v>
      </c>
      <c r="E6929" s="2">
        <v>4.0066E-4</v>
      </c>
      <c r="F6929" s="2" t="s">
        <v>165</v>
      </c>
    </row>
    <row r="6930" spans="1:6" ht="22.5" hidden="1" customHeight="1" x14ac:dyDescent="0.25">
      <c r="A6930" s="3">
        <v>44409</v>
      </c>
      <c r="B6930" s="2" t="s">
        <v>328</v>
      </c>
      <c r="C6930" s="2">
        <v>0</v>
      </c>
      <c r="D6930" s="2">
        <v>1.8700000000000001E-2</v>
      </c>
      <c r="E6930" s="2">
        <v>0</v>
      </c>
      <c r="F6930" s="2" t="s">
        <v>165</v>
      </c>
    </row>
    <row r="6931" spans="1:6" ht="22.5" hidden="1" customHeight="1" x14ac:dyDescent="0.25">
      <c r="A6931" s="3">
        <v>44409</v>
      </c>
      <c r="B6931" s="2" t="s">
        <v>329</v>
      </c>
      <c r="C6931" s="2">
        <v>-0.21</v>
      </c>
      <c r="D6931" s="2">
        <v>9.69E-2</v>
      </c>
      <c r="E6931" s="2">
        <v>-2.0348999999999999E-4</v>
      </c>
      <c r="F6931" s="2" t="s">
        <v>165</v>
      </c>
    </row>
    <row r="6932" spans="1:6" ht="22.5" hidden="1" customHeight="1" x14ac:dyDescent="0.25">
      <c r="A6932" s="3">
        <v>44409</v>
      </c>
      <c r="B6932" s="2" t="s">
        <v>330</v>
      </c>
      <c r="C6932" s="2">
        <v>0.19</v>
      </c>
      <c r="D6932" s="2">
        <v>1.7083999999999999</v>
      </c>
      <c r="E6932" s="2">
        <v>3.24596E-3</v>
      </c>
      <c r="F6932" s="2" t="s">
        <v>165</v>
      </c>
    </row>
    <row r="6933" spans="1:6" ht="22.5" hidden="1" customHeight="1" x14ac:dyDescent="0.25">
      <c r="A6933" s="3">
        <v>44409</v>
      </c>
      <c r="B6933" s="2" t="s">
        <v>331</v>
      </c>
      <c r="C6933" s="2">
        <v>0.06</v>
      </c>
      <c r="D6933" s="2">
        <v>5.5399999999999998E-2</v>
      </c>
      <c r="E6933" s="2">
        <v>3.324E-5</v>
      </c>
      <c r="F6933" s="2" t="s">
        <v>165</v>
      </c>
    </row>
    <row r="6934" spans="1:6" ht="22.5" hidden="1" customHeight="1" x14ac:dyDescent="0.25">
      <c r="A6934" s="3">
        <v>44409</v>
      </c>
      <c r="B6934" s="2" t="s">
        <v>332</v>
      </c>
      <c r="C6934" s="2">
        <v>0.44</v>
      </c>
      <c r="D6934" s="2">
        <v>0.1076</v>
      </c>
      <c r="E6934" s="2">
        <v>4.7343999999999999E-4</v>
      </c>
      <c r="F6934" s="2" t="s">
        <v>165</v>
      </c>
    </row>
    <row r="6935" spans="1:6" ht="22.5" hidden="1" customHeight="1" x14ac:dyDescent="0.25">
      <c r="A6935" s="3">
        <v>44409</v>
      </c>
      <c r="B6935" s="2" t="s">
        <v>333</v>
      </c>
      <c r="C6935" s="2">
        <v>0</v>
      </c>
      <c r="D6935" s="2">
        <v>8.0799999999999997E-2</v>
      </c>
      <c r="E6935" s="2">
        <v>0</v>
      </c>
      <c r="F6935" s="2" t="s">
        <v>165</v>
      </c>
    </row>
    <row r="6936" spans="1:6" ht="22.5" hidden="1" customHeight="1" x14ac:dyDescent="0.25">
      <c r="A6936" s="3">
        <v>44409</v>
      </c>
      <c r="B6936" s="2" t="s">
        <v>334</v>
      </c>
      <c r="C6936" s="2">
        <v>0.27</v>
      </c>
      <c r="D6936" s="2">
        <v>2.1100000000000001E-2</v>
      </c>
      <c r="E6936" s="2">
        <v>5.6969999999999998E-5</v>
      </c>
      <c r="F6936" s="2" t="s">
        <v>170</v>
      </c>
    </row>
    <row r="6937" spans="1:6" ht="22.5" hidden="1" customHeight="1" x14ac:dyDescent="0.25">
      <c r="A6937" s="3">
        <v>44409</v>
      </c>
      <c r="B6937" s="2" t="s">
        <v>335</v>
      </c>
      <c r="C6937" s="2">
        <v>1.48</v>
      </c>
      <c r="D6937" s="2">
        <v>0.28320000000000001</v>
      </c>
      <c r="E6937" s="2">
        <v>4.1913599999999999E-3</v>
      </c>
      <c r="F6937" s="2" t="s">
        <v>165</v>
      </c>
    </row>
    <row r="6938" spans="1:6" ht="22.5" hidden="1" customHeight="1" x14ac:dyDescent="0.25">
      <c r="A6938" s="3">
        <v>44409</v>
      </c>
      <c r="B6938" s="2" t="s">
        <v>336</v>
      </c>
      <c r="C6938" s="2">
        <v>1.93</v>
      </c>
      <c r="D6938" s="2">
        <v>0.1032</v>
      </c>
      <c r="E6938" s="2">
        <v>1.99176E-3</v>
      </c>
      <c r="F6938" s="2" t="s">
        <v>170</v>
      </c>
    </row>
    <row r="6939" spans="1:6" ht="22.5" hidden="1" customHeight="1" x14ac:dyDescent="0.25">
      <c r="A6939" s="3">
        <v>44409</v>
      </c>
      <c r="B6939" s="2" t="s">
        <v>337</v>
      </c>
      <c r="C6939" s="2">
        <v>2.91</v>
      </c>
      <c r="D6939" s="2">
        <v>0.36259999999999998</v>
      </c>
      <c r="E6939" s="2">
        <v>1.0551659999999999E-2</v>
      </c>
      <c r="F6939" s="2" t="s">
        <v>174</v>
      </c>
    </row>
    <row r="6940" spans="1:6" ht="22.5" hidden="1" customHeight="1" x14ac:dyDescent="0.25">
      <c r="A6940" s="3">
        <v>44409</v>
      </c>
      <c r="B6940" s="2" t="s">
        <v>338</v>
      </c>
      <c r="C6940" s="2">
        <v>1.71</v>
      </c>
      <c r="D6940" s="2">
        <v>0.19570000000000001</v>
      </c>
      <c r="E6940" s="2">
        <v>3.3464699999999998E-3</v>
      </c>
      <c r="F6940" s="2" t="s">
        <v>174</v>
      </c>
    </row>
    <row r="6941" spans="1:6" ht="22.5" hidden="1" customHeight="1" x14ac:dyDescent="0.25">
      <c r="A6941" s="3">
        <v>44409</v>
      </c>
      <c r="B6941" s="2" t="s">
        <v>339</v>
      </c>
      <c r="C6941" s="2">
        <v>0.78</v>
      </c>
      <c r="D6941" s="2">
        <v>4.1399999999999999E-2</v>
      </c>
      <c r="E6941" s="2">
        <v>3.2291999999999998E-4</v>
      </c>
      <c r="F6941" s="2" t="s">
        <v>165</v>
      </c>
    </row>
    <row r="6942" spans="1:6" ht="22.5" hidden="1" customHeight="1" x14ac:dyDescent="0.25">
      <c r="A6942" s="3">
        <v>44287</v>
      </c>
      <c r="B6942" s="2" t="s">
        <v>263</v>
      </c>
      <c r="C6942" s="2">
        <v>-7.0000000000000007E-2</v>
      </c>
      <c r="D6942" s="2">
        <v>0.41110000000000002</v>
      </c>
      <c r="E6942" s="2">
        <v>-2.8777000000000002E-4</v>
      </c>
      <c r="F6942" s="2" t="s">
        <v>168</v>
      </c>
    </row>
    <row r="6943" spans="1:6" ht="22.5" hidden="1" customHeight="1" x14ac:dyDescent="0.25">
      <c r="A6943" s="3">
        <v>44409</v>
      </c>
      <c r="B6943" s="2" t="s">
        <v>341</v>
      </c>
      <c r="C6943" s="2">
        <v>2.0299999999999998</v>
      </c>
      <c r="D6943" s="2">
        <v>1.09E-2</v>
      </c>
      <c r="E6943" s="2">
        <v>2.2127E-4</v>
      </c>
      <c r="F6943" s="2" t="s">
        <v>174</v>
      </c>
    </row>
    <row r="6944" spans="1:6" ht="22.5" hidden="1" customHeight="1" x14ac:dyDescent="0.25">
      <c r="A6944" s="3">
        <v>44409</v>
      </c>
      <c r="B6944" s="2" t="s">
        <v>342</v>
      </c>
      <c r="C6944" s="2">
        <v>0.81</v>
      </c>
      <c r="D6944" s="2">
        <v>0.503</v>
      </c>
      <c r="E6944" s="2">
        <v>4.0743000000000003E-3</v>
      </c>
      <c r="F6944" s="2" t="s">
        <v>165</v>
      </c>
    </row>
    <row r="6945" spans="1:6" ht="22.5" hidden="1" customHeight="1" x14ac:dyDescent="0.25">
      <c r="A6945" s="3">
        <v>44409</v>
      </c>
      <c r="B6945" s="2" t="s">
        <v>343</v>
      </c>
      <c r="C6945" s="2">
        <v>2.85</v>
      </c>
      <c r="D6945" s="2">
        <v>0.46589999999999998</v>
      </c>
      <c r="E6945" s="2">
        <v>1.3278150000000001E-2</v>
      </c>
      <c r="F6945" s="2" t="s">
        <v>165</v>
      </c>
    </row>
    <row r="6946" spans="1:6" ht="22.5" hidden="1" customHeight="1" x14ac:dyDescent="0.25">
      <c r="A6946" s="3">
        <v>44409</v>
      </c>
      <c r="B6946" s="2" t="s">
        <v>344</v>
      </c>
      <c r="C6946" s="2">
        <v>1.9</v>
      </c>
      <c r="D6946" s="2">
        <v>0.14119999999999999</v>
      </c>
      <c r="E6946" s="2">
        <v>2.6827999999999999E-3</v>
      </c>
      <c r="F6946" s="2" t="s">
        <v>165</v>
      </c>
    </row>
    <row r="6947" spans="1:6" ht="22.5" hidden="1" customHeight="1" x14ac:dyDescent="0.25">
      <c r="A6947" s="3">
        <v>44409</v>
      </c>
      <c r="B6947" s="2" t="s">
        <v>345</v>
      </c>
      <c r="C6947" s="2">
        <v>2.19</v>
      </c>
      <c r="D6947" s="2">
        <v>0.50560000000000005</v>
      </c>
      <c r="E6947" s="2">
        <v>1.107264E-2</v>
      </c>
      <c r="F6947" s="2" t="s">
        <v>165</v>
      </c>
    </row>
    <row r="6948" spans="1:6" ht="22.5" hidden="1" customHeight="1" x14ac:dyDescent="0.25">
      <c r="A6948" s="3">
        <v>44409</v>
      </c>
      <c r="B6948" s="2" t="s">
        <v>346</v>
      </c>
      <c r="C6948" s="2">
        <v>0.53</v>
      </c>
      <c r="D6948" s="2">
        <v>0.53220000000000001</v>
      </c>
      <c r="E6948" s="2">
        <v>2.82066E-3</v>
      </c>
      <c r="F6948" s="2" t="s">
        <v>174</v>
      </c>
    </row>
    <row r="6949" spans="1:6" ht="22.5" hidden="1" customHeight="1" x14ac:dyDescent="0.25">
      <c r="A6949" s="3">
        <v>44409</v>
      </c>
      <c r="B6949" s="2" t="s">
        <v>347</v>
      </c>
      <c r="C6949" s="2">
        <v>1.1000000000000001</v>
      </c>
      <c r="D6949" s="2">
        <v>0.19089999999999999</v>
      </c>
      <c r="E6949" s="2">
        <v>2.0999E-3</v>
      </c>
      <c r="F6949" s="2" t="s">
        <v>165</v>
      </c>
    </row>
    <row r="6950" spans="1:6" ht="22.5" hidden="1" customHeight="1" x14ac:dyDescent="0.25">
      <c r="A6950" s="3">
        <v>44409</v>
      </c>
      <c r="B6950" s="2" t="s">
        <v>348</v>
      </c>
      <c r="C6950" s="2">
        <v>0.28000000000000003</v>
      </c>
      <c r="D6950" s="2">
        <v>0.317</v>
      </c>
      <c r="E6950" s="2">
        <v>8.876E-4</v>
      </c>
      <c r="F6950" s="2" t="s">
        <v>165</v>
      </c>
    </row>
    <row r="6951" spans="1:6" ht="22.5" hidden="1" customHeight="1" x14ac:dyDescent="0.25">
      <c r="A6951" s="3">
        <v>44409</v>
      </c>
      <c r="B6951" s="2" t="s">
        <v>349</v>
      </c>
      <c r="C6951" s="2">
        <v>0.76</v>
      </c>
      <c r="D6951" s="2">
        <v>1.5136000000000001</v>
      </c>
      <c r="E6951" s="2">
        <v>1.1503360000000001E-2</v>
      </c>
      <c r="F6951" s="2" t="s">
        <v>165</v>
      </c>
    </row>
    <row r="6952" spans="1:6" ht="22.5" hidden="1" customHeight="1" x14ac:dyDescent="0.25">
      <c r="A6952" s="3">
        <v>44409</v>
      </c>
      <c r="B6952" s="2" t="s">
        <v>350</v>
      </c>
      <c r="C6952" s="2">
        <v>0.7</v>
      </c>
      <c r="D6952" s="2">
        <v>0.3826</v>
      </c>
      <c r="E6952" s="2">
        <v>2.6781999999999999E-3</v>
      </c>
      <c r="F6952" s="2" t="s">
        <v>165</v>
      </c>
    </row>
    <row r="6953" spans="1:6" ht="22.5" hidden="1" customHeight="1" x14ac:dyDescent="0.25">
      <c r="A6953" s="3">
        <v>44409</v>
      </c>
      <c r="B6953" s="2" t="s">
        <v>351</v>
      </c>
      <c r="C6953" s="2">
        <v>-0.31</v>
      </c>
      <c r="D6953" s="2">
        <v>1.6926000000000001</v>
      </c>
      <c r="E6953" s="2">
        <v>-5.2470599999999996E-3</v>
      </c>
      <c r="F6953" s="2" t="s">
        <v>165</v>
      </c>
    </row>
    <row r="6954" spans="1:6" ht="22.5" hidden="1" customHeight="1" x14ac:dyDescent="0.25">
      <c r="A6954" s="3">
        <v>44409</v>
      </c>
      <c r="B6954" s="2" t="s">
        <v>352</v>
      </c>
      <c r="C6954" s="2">
        <v>0.91</v>
      </c>
      <c r="D6954" s="2">
        <v>0.27550000000000002</v>
      </c>
      <c r="E6954" s="2">
        <v>2.5070499999999998E-3</v>
      </c>
      <c r="F6954" s="2" t="s">
        <v>165</v>
      </c>
    </row>
    <row r="6955" spans="1:6" ht="22.5" hidden="1" customHeight="1" x14ac:dyDescent="0.25">
      <c r="A6955" s="3">
        <v>44409</v>
      </c>
      <c r="B6955" s="2" t="s">
        <v>353</v>
      </c>
      <c r="C6955" s="2">
        <v>-1.56</v>
      </c>
      <c r="D6955" s="2">
        <v>4.1000000000000002E-2</v>
      </c>
      <c r="E6955" s="2">
        <v>-6.3960000000000004E-4</v>
      </c>
      <c r="F6955" s="2" t="s">
        <v>165</v>
      </c>
    </row>
    <row r="6956" spans="1:6" ht="22.5" hidden="1" customHeight="1" x14ac:dyDescent="0.25">
      <c r="A6956" s="3">
        <v>44409</v>
      </c>
      <c r="B6956" s="2" t="s">
        <v>354</v>
      </c>
      <c r="C6956" s="2">
        <v>1.01</v>
      </c>
      <c r="D6956" s="2">
        <v>0.03</v>
      </c>
      <c r="E6956" s="2">
        <v>3.0299999999999999E-4</v>
      </c>
      <c r="F6956" s="2" t="s">
        <v>165</v>
      </c>
    </row>
    <row r="6957" spans="1:6" ht="22.5" hidden="1" customHeight="1" x14ac:dyDescent="0.25">
      <c r="A6957" s="3">
        <v>44409</v>
      </c>
      <c r="B6957" s="2" t="s">
        <v>355</v>
      </c>
      <c r="C6957" s="2">
        <v>0</v>
      </c>
      <c r="D6957" s="2">
        <v>2.8299999999999999E-2</v>
      </c>
      <c r="E6957" s="2">
        <v>0</v>
      </c>
      <c r="F6957" s="2" t="s">
        <v>174</v>
      </c>
    </row>
    <row r="6958" spans="1:6" ht="22.5" hidden="1" customHeight="1" x14ac:dyDescent="0.25">
      <c r="A6958" s="3">
        <v>44409</v>
      </c>
      <c r="B6958" s="2" t="s">
        <v>356</v>
      </c>
      <c r="C6958" s="2">
        <v>18.32</v>
      </c>
      <c r="D6958" s="2">
        <v>3.0300000000000001E-2</v>
      </c>
      <c r="E6958" s="2">
        <v>5.5509599999999997E-3</v>
      </c>
      <c r="F6958" s="2" t="s">
        <v>174</v>
      </c>
    </row>
    <row r="6959" spans="1:6" ht="22.5" hidden="1" customHeight="1" x14ac:dyDescent="0.25">
      <c r="A6959" s="3">
        <v>44409</v>
      </c>
      <c r="B6959" s="2" t="s">
        <v>357</v>
      </c>
      <c r="C6959" s="2">
        <v>0</v>
      </c>
      <c r="D6959" s="2">
        <v>0.36120000000000002</v>
      </c>
      <c r="E6959" s="2">
        <v>0</v>
      </c>
      <c r="F6959" s="2" t="s">
        <v>174</v>
      </c>
    </row>
    <row r="6960" spans="1:6" ht="22.5" hidden="1" customHeight="1" x14ac:dyDescent="0.25">
      <c r="A6960" s="3">
        <v>44409</v>
      </c>
      <c r="B6960" s="2" t="s">
        <v>358</v>
      </c>
      <c r="C6960" s="2">
        <v>1.39</v>
      </c>
      <c r="D6960" s="2">
        <v>9.3299999999999994E-2</v>
      </c>
      <c r="E6960" s="2">
        <v>1.2968700000000001E-3</v>
      </c>
      <c r="F6960" s="2" t="s">
        <v>174</v>
      </c>
    </row>
    <row r="6961" spans="1:6" ht="22.5" hidden="1" customHeight="1" x14ac:dyDescent="0.25">
      <c r="A6961" s="3">
        <v>44409</v>
      </c>
      <c r="B6961" s="2" t="s">
        <v>359</v>
      </c>
      <c r="C6961" s="2">
        <v>0.42</v>
      </c>
      <c r="D6961" s="2">
        <v>4.6899999999999997E-2</v>
      </c>
      <c r="E6961" s="2">
        <v>1.9698E-4</v>
      </c>
      <c r="F6961" s="2" t="s">
        <v>174</v>
      </c>
    </row>
    <row r="6962" spans="1:6" ht="22.5" hidden="1" customHeight="1" x14ac:dyDescent="0.25">
      <c r="A6962" s="3">
        <v>44409</v>
      </c>
      <c r="B6962" s="2" t="s">
        <v>360</v>
      </c>
      <c r="C6962" s="2">
        <v>0.41</v>
      </c>
      <c r="D6962" s="2">
        <v>8.9200000000000002E-2</v>
      </c>
      <c r="E6962" s="2">
        <v>3.6571999999999999E-4</v>
      </c>
      <c r="F6962" s="2" t="s">
        <v>174</v>
      </c>
    </row>
    <row r="6963" spans="1:6" ht="22.5" hidden="1" customHeight="1" x14ac:dyDescent="0.25">
      <c r="A6963" s="3">
        <v>44409</v>
      </c>
      <c r="B6963" s="2" t="s">
        <v>361</v>
      </c>
      <c r="C6963" s="2">
        <v>1.1499999999999999</v>
      </c>
      <c r="D6963" s="2">
        <v>7.4399999999999994E-2</v>
      </c>
      <c r="E6963" s="2">
        <v>8.5559999999999998E-4</v>
      </c>
      <c r="F6963" s="2" t="s">
        <v>165</v>
      </c>
    </row>
    <row r="6964" spans="1:6" ht="22.5" hidden="1" customHeight="1" x14ac:dyDescent="0.25">
      <c r="A6964" s="3">
        <v>44409</v>
      </c>
      <c r="B6964" s="2" t="s">
        <v>362</v>
      </c>
      <c r="C6964" s="2">
        <v>-1.93</v>
      </c>
      <c r="D6964" s="2">
        <v>0.29780000000000001</v>
      </c>
      <c r="E6964" s="2">
        <v>-5.7475399999999998E-3</v>
      </c>
      <c r="F6964" s="2" t="s">
        <v>165</v>
      </c>
    </row>
    <row r="6965" spans="1:6" ht="22.5" hidden="1" customHeight="1" x14ac:dyDescent="0.25">
      <c r="A6965" s="3">
        <v>44409</v>
      </c>
      <c r="B6965" s="2" t="s">
        <v>363</v>
      </c>
      <c r="C6965" s="2">
        <v>0.22</v>
      </c>
      <c r="D6965" s="2">
        <v>4.9700000000000001E-2</v>
      </c>
      <c r="E6965" s="2">
        <v>1.0933999999999999E-4</v>
      </c>
      <c r="F6965" s="2" t="s">
        <v>165</v>
      </c>
    </row>
    <row r="6966" spans="1:6" ht="22.5" hidden="1" customHeight="1" x14ac:dyDescent="0.25">
      <c r="A6966" s="3">
        <v>44409</v>
      </c>
      <c r="B6966" s="2" t="s">
        <v>364</v>
      </c>
      <c r="C6966" s="2">
        <v>0.21</v>
      </c>
      <c r="D6966" s="2">
        <v>0.39389999999999997</v>
      </c>
      <c r="E6966" s="2">
        <v>8.2719E-4</v>
      </c>
      <c r="F6966" s="2" t="s">
        <v>165</v>
      </c>
    </row>
    <row r="6967" spans="1:6" ht="22.5" hidden="1" customHeight="1" x14ac:dyDescent="0.25">
      <c r="A6967" s="3">
        <v>44593</v>
      </c>
      <c r="B6967" s="2" t="s">
        <v>287</v>
      </c>
      <c r="C6967" s="2">
        <v>-0.36</v>
      </c>
      <c r="D6967" s="2">
        <v>8.0100000000000005E-2</v>
      </c>
      <c r="E6967" s="2">
        <v>-2.8835999999999998E-4</v>
      </c>
      <c r="F6967" s="2" t="s">
        <v>168</v>
      </c>
    </row>
    <row r="6968" spans="1:6" ht="22.5" hidden="1" customHeight="1" x14ac:dyDescent="0.25">
      <c r="A6968" s="3">
        <v>43862</v>
      </c>
      <c r="B6968" s="2" t="s">
        <v>292</v>
      </c>
      <c r="C6968" s="2">
        <v>-0.23</v>
      </c>
      <c r="D6968" s="2">
        <v>0.1288</v>
      </c>
      <c r="E6968" s="2">
        <v>-2.9624000000000002E-4</v>
      </c>
      <c r="F6968" s="2" t="s">
        <v>168</v>
      </c>
    </row>
    <row r="6969" spans="1:6" ht="22.5" hidden="1" customHeight="1" x14ac:dyDescent="0.25">
      <c r="A6969" s="3">
        <v>44470</v>
      </c>
      <c r="B6969" s="2" t="s">
        <v>301</v>
      </c>
      <c r="C6969" s="2">
        <v>-0.22</v>
      </c>
      <c r="D6969" s="2">
        <v>0.1376</v>
      </c>
      <c r="E6969" s="2">
        <v>-3.0271999999999997E-4</v>
      </c>
      <c r="F6969" s="2" t="s">
        <v>168</v>
      </c>
    </row>
    <row r="6970" spans="1:6" ht="22.5" hidden="1" customHeight="1" x14ac:dyDescent="0.25">
      <c r="A6970" s="3">
        <v>44409</v>
      </c>
      <c r="B6970" s="2" t="s">
        <v>368</v>
      </c>
      <c r="C6970" s="2">
        <v>0</v>
      </c>
      <c r="D6970" s="2">
        <v>0.37559999999999999</v>
      </c>
      <c r="E6970" s="2">
        <v>0</v>
      </c>
      <c r="F6970" s="2" t="s">
        <v>165</v>
      </c>
    </row>
    <row r="6971" spans="1:6" ht="22.5" hidden="1" customHeight="1" x14ac:dyDescent="0.25">
      <c r="A6971" s="3">
        <v>44409</v>
      </c>
      <c r="B6971" s="2" t="s">
        <v>369</v>
      </c>
      <c r="C6971" s="2">
        <v>0</v>
      </c>
      <c r="D6971" s="2">
        <v>0.54290000000000005</v>
      </c>
      <c r="E6971" s="2">
        <v>0</v>
      </c>
      <c r="F6971" s="2" t="s">
        <v>165</v>
      </c>
    </row>
    <row r="6972" spans="1:6" ht="22.5" hidden="1" customHeight="1" x14ac:dyDescent="0.25">
      <c r="A6972" s="3">
        <v>44409</v>
      </c>
      <c r="B6972" s="2" t="s">
        <v>370</v>
      </c>
      <c r="C6972" s="2">
        <v>0.33</v>
      </c>
      <c r="D6972" s="2">
        <v>0.97350000000000003</v>
      </c>
      <c r="E6972" s="2">
        <v>3.2125500000000002E-3</v>
      </c>
      <c r="F6972" s="2" t="s">
        <v>170</v>
      </c>
    </row>
    <row r="6973" spans="1:6" ht="22.5" hidden="1" customHeight="1" x14ac:dyDescent="0.25">
      <c r="A6973" s="3">
        <v>44409</v>
      </c>
      <c r="B6973" s="2" t="s">
        <v>371</v>
      </c>
      <c r="C6973" s="2">
        <v>6.39</v>
      </c>
      <c r="D6973" s="2">
        <v>6.7500000000000004E-2</v>
      </c>
      <c r="E6973" s="2">
        <v>4.3132500000000002E-3</v>
      </c>
      <c r="F6973" s="2" t="s">
        <v>165</v>
      </c>
    </row>
    <row r="6974" spans="1:6" ht="22.5" hidden="1" customHeight="1" x14ac:dyDescent="0.25">
      <c r="A6974" s="3">
        <v>44409</v>
      </c>
      <c r="B6974" s="2" t="s">
        <v>372</v>
      </c>
      <c r="C6974" s="2">
        <v>0</v>
      </c>
      <c r="D6974" s="2">
        <v>1.6436999999999999</v>
      </c>
      <c r="E6974" s="2">
        <v>0</v>
      </c>
      <c r="F6974" s="2" t="s">
        <v>165</v>
      </c>
    </row>
    <row r="6975" spans="1:6" ht="22.5" hidden="1" customHeight="1" x14ac:dyDescent="0.25">
      <c r="A6975" s="3">
        <v>44440</v>
      </c>
      <c r="B6975" s="2" t="s">
        <v>6</v>
      </c>
      <c r="C6975" s="2">
        <v>-1.03</v>
      </c>
      <c r="D6975" s="2">
        <v>0.65390000000000004</v>
      </c>
      <c r="E6975" s="2">
        <v>-6.7351700000000004E-3</v>
      </c>
      <c r="F6975" s="2" t="s">
        <v>7</v>
      </c>
    </row>
    <row r="6976" spans="1:6" ht="22.5" hidden="1" customHeight="1" x14ac:dyDescent="0.25">
      <c r="A6976" s="3">
        <v>44440</v>
      </c>
      <c r="B6976" s="2" t="s">
        <v>8</v>
      </c>
      <c r="C6976" s="2">
        <v>-0.87</v>
      </c>
      <c r="D6976" s="2">
        <v>1.4800000000000001E-2</v>
      </c>
      <c r="E6976" s="2">
        <v>-1.2876000000000001E-4</v>
      </c>
      <c r="F6976" s="2" t="s">
        <v>7</v>
      </c>
    </row>
    <row r="6977" spans="1:6" ht="22.5" hidden="1" customHeight="1" x14ac:dyDescent="0.25">
      <c r="A6977" s="3">
        <v>44440</v>
      </c>
      <c r="B6977" s="2" t="s">
        <v>9</v>
      </c>
      <c r="C6977" s="2">
        <v>0.47</v>
      </c>
      <c r="D6977" s="2">
        <v>6.7000000000000004E-2</v>
      </c>
      <c r="E6977" s="2">
        <v>3.1490000000000001E-4</v>
      </c>
      <c r="F6977" s="2" t="s">
        <v>7</v>
      </c>
    </row>
    <row r="6978" spans="1:6" ht="22.5" hidden="1" customHeight="1" x14ac:dyDescent="0.25">
      <c r="A6978" s="3">
        <v>44440</v>
      </c>
      <c r="B6978" s="2" t="s">
        <v>10</v>
      </c>
      <c r="C6978" s="2">
        <v>1</v>
      </c>
      <c r="D6978" s="2">
        <v>2.23E-2</v>
      </c>
      <c r="E6978" s="2">
        <v>2.23E-4</v>
      </c>
      <c r="F6978" s="2" t="s">
        <v>7</v>
      </c>
    </row>
    <row r="6979" spans="1:6" ht="22.5" hidden="1" customHeight="1" x14ac:dyDescent="0.25">
      <c r="A6979" s="3">
        <v>44440</v>
      </c>
      <c r="B6979" s="2" t="s">
        <v>11</v>
      </c>
      <c r="C6979" s="2">
        <v>0.91</v>
      </c>
      <c r="D6979" s="2">
        <v>0.1414</v>
      </c>
      <c r="E6979" s="2">
        <v>1.28674E-3</v>
      </c>
      <c r="F6979" s="2" t="s">
        <v>7</v>
      </c>
    </row>
    <row r="6980" spans="1:6" ht="22.5" hidden="1" customHeight="1" x14ac:dyDescent="0.25">
      <c r="A6980" s="3">
        <v>44440</v>
      </c>
      <c r="B6980" s="2" t="s">
        <v>12</v>
      </c>
      <c r="C6980" s="2">
        <v>1.7</v>
      </c>
      <c r="D6980" s="2">
        <v>1.06E-2</v>
      </c>
      <c r="E6980" s="2">
        <v>1.8019999999999999E-4</v>
      </c>
      <c r="F6980" s="2" t="s">
        <v>7</v>
      </c>
    </row>
    <row r="6981" spans="1:6" ht="22.5" hidden="1" customHeight="1" x14ac:dyDescent="0.25">
      <c r="A6981" s="3">
        <v>44440</v>
      </c>
      <c r="B6981" s="2" t="s">
        <v>13</v>
      </c>
      <c r="C6981" s="2">
        <v>-2.52</v>
      </c>
      <c r="D6981" s="2">
        <v>2.8E-3</v>
      </c>
      <c r="E6981" s="2">
        <v>-7.0560000000000002E-5</v>
      </c>
      <c r="F6981" s="2" t="s">
        <v>7</v>
      </c>
    </row>
    <row r="6982" spans="1:6" ht="22.5" hidden="1" customHeight="1" x14ac:dyDescent="0.25">
      <c r="A6982" s="3">
        <v>44440</v>
      </c>
      <c r="B6982" s="2" t="s">
        <v>14</v>
      </c>
      <c r="C6982" s="2">
        <v>0.9</v>
      </c>
      <c r="D6982" s="2">
        <v>0.1522</v>
      </c>
      <c r="E6982" s="2">
        <v>1.3698E-3</v>
      </c>
      <c r="F6982" s="2" t="s">
        <v>7</v>
      </c>
    </row>
    <row r="6983" spans="1:6" ht="22.5" hidden="1" customHeight="1" x14ac:dyDescent="0.25">
      <c r="A6983" s="3">
        <v>44440</v>
      </c>
      <c r="B6983" s="2" t="s">
        <v>15</v>
      </c>
      <c r="C6983" s="2">
        <v>0.35</v>
      </c>
      <c r="D6983" s="2">
        <v>8.6999999999999994E-3</v>
      </c>
      <c r="E6983" s="2">
        <v>3.0450000000000002E-5</v>
      </c>
      <c r="F6983" s="2" t="s">
        <v>7</v>
      </c>
    </row>
    <row r="6984" spans="1:6" ht="22.5" hidden="1" customHeight="1" x14ac:dyDescent="0.25">
      <c r="A6984" s="3">
        <v>44440</v>
      </c>
      <c r="B6984" s="2" t="s">
        <v>16</v>
      </c>
      <c r="C6984" s="2">
        <v>1.41</v>
      </c>
      <c r="D6984" s="2">
        <v>9.1999999999999998E-3</v>
      </c>
      <c r="E6984" s="2">
        <v>1.2972E-4</v>
      </c>
      <c r="F6984" s="2" t="s">
        <v>7</v>
      </c>
    </row>
    <row r="6985" spans="1:6" ht="22.5" hidden="1" customHeight="1" x14ac:dyDescent="0.25">
      <c r="A6985" s="3">
        <v>44440</v>
      </c>
      <c r="B6985" s="2" t="s">
        <v>17</v>
      </c>
      <c r="C6985" s="2">
        <v>0.2</v>
      </c>
      <c r="D6985" s="2">
        <v>5.2299999999999999E-2</v>
      </c>
      <c r="E6985" s="2">
        <v>1.0459999999999999E-4</v>
      </c>
      <c r="F6985" s="2" t="s">
        <v>7</v>
      </c>
    </row>
    <row r="6986" spans="1:6" ht="22.5" hidden="1" customHeight="1" x14ac:dyDescent="0.25">
      <c r="A6986" s="3">
        <v>44440</v>
      </c>
      <c r="B6986" s="2" t="s">
        <v>18</v>
      </c>
      <c r="C6986" s="2">
        <v>0.69</v>
      </c>
      <c r="D6986" s="2">
        <v>9.6699999999999994E-2</v>
      </c>
      <c r="E6986" s="2">
        <v>6.6722999999999999E-4</v>
      </c>
      <c r="F6986" s="2" t="s">
        <v>7</v>
      </c>
    </row>
    <row r="6987" spans="1:6" ht="22.5" hidden="1" customHeight="1" x14ac:dyDescent="0.25">
      <c r="A6987" s="3">
        <v>44440</v>
      </c>
      <c r="B6987" s="2" t="s">
        <v>19</v>
      </c>
      <c r="C6987" s="2">
        <v>2.0099999999999998</v>
      </c>
      <c r="D6987" s="2">
        <v>0.1227</v>
      </c>
      <c r="E6987" s="2">
        <v>2.46627E-3</v>
      </c>
      <c r="F6987" s="2" t="s">
        <v>7</v>
      </c>
    </row>
    <row r="6988" spans="1:6" ht="22.5" hidden="1" customHeight="1" x14ac:dyDescent="0.25">
      <c r="A6988" s="3">
        <v>44440</v>
      </c>
      <c r="B6988" s="2" t="s">
        <v>20</v>
      </c>
      <c r="C6988" s="2">
        <v>3.13</v>
      </c>
      <c r="D6988" s="2">
        <v>2.5700000000000001E-2</v>
      </c>
      <c r="E6988" s="2">
        <v>8.0440999999999998E-4</v>
      </c>
      <c r="F6988" s="2" t="s">
        <v>7</v>
      </c>
    </row>
    <row r="6989" spans="1:6" ht="22.5" hidden="1" customHeight="1" x14ac:dyDescent="0.25">
      <c r="A6989" s="3">
        <v>44440</v>
      </c>
      <c r="B6989" s="2" t="s">
        <v>21</v>
      </c>
      <c r="C6989" s="2">
        <v>15.58</v>
      </c>
      <c r="D6989" s="2">
        <v>2.92E-2</v>
      </c>
      <c r="E6989" s="2">
        <v>4.5493599999999997E-3</v>
      </c>
      <c r="F6989" s="2" t="s">
        <v>7</v>
      </c>
    </row>
    <row r="6990" spans="1:6" ht="22.5" hidden="1" customHeight="1" x14ac:dyDescent="0.25">
      <c r="A6990" s="3">
        <v>44440</v>
      </c>
      <c r="B6990" s="2" t="s">
        <v>22</v>
      </c>
      <c r="C6990" s="2">
        <v>10.41</v>
      </c>
      <c r="D6990" s="2">
        <v>0.1421</v>
      </c>
      <c r="E6990" s="2">
        <v>1.4792609999999999E-2</v>
      </c>
      <c r="F6990" s="2" t="s">
        <v>7</v>
      </c>
    </row>
    <row r="6991" spans="1:6" ht="22.5" hidden="1" customHeight="1" x14ac:dyDescent="0.25">
      <c r="A6991" s="3">
        <v>44440</v>
      </c>
      <c r="B6991" s="2" t="s">
        <v>23</v>
      </c>
      <c r="C6991" s="2">
        <v>10.14</v>
      </c>
      <c r="D6991" s="2">
        <v>1.7999999999999999E-2</v>
      </c>
      <c r="E6991" s="2">
        <v>1.8251999999999999E-3</v>
      </c>
      <c r="F6991" s="2" t="s">
        <v>7</v>
      </c>
    </row>
    <row r="6992" spans="1:6" ht="22.5" hidden="1" customHeight="1" x14ac:dyDescent="0.25">
      <c r="A6992" s="3">
        <v>44440</v>
      </c>
      <c r="B6992" s="2" t="s">
        <v>24</v>
      </c>
      <c r="C6992" s="2">
        <v>28.06</v>
      </c>
      <c r="D6992" s="2">
        <v>1.2200000000000001E-2</v>
      </c>
      <c r="E6992" s="2">
        <v>3.4233200000000001E-3</v>
      </c>
      <c r="F6992" s="2" t="s">
        <v>7</v>
      </c>
    </row>
    <row r="6993" spans="1:6" ht="22.5" hidden="1" customHeight="1" x14ac:dyDescent="0.25">
      <c r="A6993" s="3">
        <v>44440</v>
      </c>
      <c r="B6993" s="2" t="s">
        <v>25</v>
      </c>
      <c r="C6993" s="2">
        <v>16.34</v>
      </c>
      <c r="D6993" s="2">
        <v>4.0000000000000001E-3</v>
      </c>
      <c r="E6993" s="2">
        <v>6.5359999999999995E-4</v>
      </c>
      <c r="F6993" s="2" t="s">
        <v>7</v>
      </c>
    </row>
    <row r="6994" spans="1:6" ht="22.5" hidden="1" customHeight="1" x14ac:dyDescent="0.25">
      <c r="A6994" s="3">
        <v>44440</v>
      </c>
      <c r="B6994" s="2" t="s">
        <v>26</v>
      </c>
      <c r="C6994" s="2">
        <v>31.15</v>
      </c>
      <c r="D6994" s="2">
        <v>1.9900000000000001E-2</v>
      </c>
      <c r="E6994" s="2">
        <v>6.1988499999999997E-3</v>
      </c>
      <c r="F6994" s="2" t="s">
        <v>7</v>
      </c>
    </row>
    <row r="6995" spans="1:6" ht="22.5" hidden="1" customHeight="1" x14ac:dyDescent="0.25">
      <c r="A6995" s="3">
        <v>44440</v>
      </c>
      <c r="B6995" s="2" t="s">
        <v>27</v>
      </c>
      <c r="C6995" s="2">
        <v>-0.62</v>
      </c>
      <c r="D6995" s="2">
        <v>0.23180000000000001</v>
      </c>
      <c r="E6995" s="2">
        <v>-1.43716E-3</v>
      </c>
      <c r="F6995" s="2" t="s">
        <v>7</v>
      </c>
    </row>
    <row r="6996" spans="1:6" ht="22.5" hidden="1" customHeight="1" x14ac:dyDescent="0.25">
      <c r="A6996" s="3">
        <v>44440</v>
      </c>
      <c r="B6996" s="2" t="s">
        <v>28</v>
      </c>
      <c r="C6996" s="2">
        <v>-7.51</v>
      </c>
      <c r="D6996" s="2">
        <v>9.9500000000000005E-2</v>
      </c>
      <c r="E6996" s="2">
        <v>-7.4724500000000003E-3</v>
      </c>
      <c r="F6996" s="2" t="s">
        <v>7</v>
      </c>
    </row>
    <row r="6997" spans="1:6" ht="22.5" hidden="1" customHeight="1" x14ac:dyDescent="0.25">
      <c r="A6997" s="3">
        <v>44440</v>
      </c>
      <c r="B6997" s="2" t="s">
        <v>29</v>
      </c>
      <c r="C6997" s="2">
        <v>-4.17</v>
      </c>
      <c r="D6997" s="2">
        <v>5.0599999999999999E-2</v>
      </c>
      <c r="E6997" s="2">
        <v>-2.1100200000000002E-3</v>
      </c>
      <c r="F6997" s="2" t="s">
        <v>7</v>
      </c>
    </row>
    <row r="6998" spans="1:6" ht="22.5" hidden="1" customHeight="1" x14ac:dyDescent="0.25">
      <c r="A6998" s="3">
        <v>44440</v>
      </c>
      <c r="B6998" s="2" t="s">
        <v>30</v>
      </c>
      <c r="C6998" s="2">
        <v>3.13</v>
      </c>
      <c r="D6998" s="2">
        <v>0.1149</v>
      </c>
      <c r="E6998" s="2">
        <v>3.5963700000000002E-3</v>
      </c>
      <c r="F6998" s="2" t="s">
        <v>7</v>
      </c>
    </row>
    <row r="6999" spans="1:6" ht="22.5" hidden="1" customHeight="1" x14ac:dyDescent="0.25">
      <c r="A6999" s="3">
        <v>44440</v>
      </c>
      <c r="B6999" s="2" t="s">
        <v>31</v>
      </c>
      <c r="C6999" s="2">
        <v>4.5599999999999996</v>
      </c>
      <c r="D6999" s="2">
        <v>0.1198</v>
      </c>
      <c r="E6999" s="2">
        <v>5.4628799999999998E-3</v>
      </c>
      <c r="F6999" s="2" t="s">
        <v>7</v>
      </c>
    </row>
    <row r="7000" spans="1:6" ht="22.5" hidden="1" customHeight="1" x14ac:dyDescent="0.25">
      <c r="A7000" s="3">
        <v>44440</v>
      </c>
      <c r="B7000" s="2" t="s">
        <v>32</v>
      </c>
      <c r="C7000" s="2">
        <v>-7.0000000000000007E-2</v>
      </c>
      <c r="D7000" s="2">
        <v>1.5599999999999999E-2</v>
      </c>
      <c r="E7000" s="2">
        <v>-1.092E-5</v>
      </c>
      <c r="F7000" s="2" t="s">
        <v>7</v>
      </c>
    </row>
    <row r="7001" spans="1:6" ht="22.5" hidden="1" customHeight="1" x14ac:dyDescent="0.25">
      <c r="A7001" s="3">
        <v>44440</v>
      </c>
      <c r="B7001" s="2" t="s">
        <v>33</v>
      </c>
      <c r="C7001" s="2">
        <v>1</v>
      </c>
      <c r="D7001" s="2">
        <v>0.18890000000000001</v>
      </c>
      <c r="E7001" s="2">
        <v>1.8890000000000001E-3</v>
      </c>
      <c r="F7001" s="2" t="s">
        <v>7</v>
      </c>
    </row>
    <row r="7002" spans="1:6" ht="22.5" hidden="1" customHeight="1" x14ac:dyDescent="0.25">
      <c r="A7002" s="3">
        <v>44440</v>
      </c>
      <c r="B7002" s="2" t="s">
        <v>34</v>
      </c>
      <c r="C7002" s="2">
        <v>0.88</v>
      </c>
      <c r="D7002" s="2">
        <v>0.1457</v>
      </c>
      <c r="E7002" s="2">
        <v>1.2821600000000001E-3</v>
      </c>
      <c r="F7002" s="2" t="s">
        <v>7</v>
      </c>
    </row>
    <row r="7003" spans="1:6" ht="22.5" hidden="1" customHeight="1" x14ac:dyDescent="0.25">
      <c r="A7003" s="3">
        <v>44440</v>
      </c>
      <c r="B7003" s="2" t="s">
        <v>35</v>
      </c>
      <c r="C7003" s="2">
        <v>1.44</v>
      </c>
      <c r="D7003" s="2">
        <v>0.109</v>
      </c>
      <c r="E7003" s="2">
        <v>1.5696E-3</v>
      </c>
      <c r="F7003" s="2" t="s">
        <v>7</v>
      </c>
    </row>
    <row r="7004" spans="1:6" ht="22.5" hidden="1" customHeight="1" x14ac:dyDescent="0.25">
      <c r="A7004" s="3">
        <v>44440</v>
      </c>
      <c r="B7004" s="2" t="s">
        <v>36</v>
      </c>
      <c r="C7004" s="2">
        <v>2.37</v>
      </c>
      <c r="D7004" s="2">
        <v>1.6999999999999999E-3</v>
      </c>
      <c r="E7004" s="2">
        <v>4.0290000000000002E-5</v>
      </c>
      <c r="F7004" s="2" t="s">
        <v>7</v>
      </c>
    </row>
    <row r="7005" spans="1:6" ht="22.5" hidden="1" customHeight="1" x14ac:dyDescent="0.25">
      <c r="A7005" s="3">
        <v>44440</v>
      </c>
      <c r="B7005" s="2" t="s">
        <v>37</v>
      </c>
      <c r="C7005" s="2">
        <v>1.29</v>
      </c>
      <c r="D7005" s="2">
        <v>9.0399999999999994E-2</v>
      </c>
      <c r="E7005" s="2">
        <v>1.1661600000000001E-3</v>
      </c>
      <c r="F7005" s="2" t="s">
        <v>7</v>
      </c>
    </row>
    <row r="7006" spans="1:6" ht="22.5" hidden="1" customHeight="1" x14ac:dyDescent="0.25">
      <c r="A7006" s="3">
        <v>44440</v>
      </c>
      <c r="B7006" s="2" t="s">
        <v>38</v>
      </c>
      <c r="C7006" s="2">
        <v>-8.6</v>
      </c>
      <c r="D7006" s="2">
        <v>1.01E-2</v>
      </c>
      <c r="E7006" s="2">
        <v>-8.6859999999999997E-4</v>
      </c>
      <c r="F7006" s="2" t="s">
        <v>7</v>
      </c>
    </row>
    <row r="7007" spans="1:6" ht="22.5" hidden="1" customHeight="1" x14ac:dyDescent="0.25">
      <c r="A7007" s="3">
        <v>44440</v>
      </c>
      <c r="B7007" s="2" t="s">
        <v>39</v>
      </c>
      <c r="C7007" s="2">
        <v>-5.27</v>
      </c>
      <c r="D7007" s="2">
        <v>1.54E-2</v>
      </c>
      <c r="E7007" s="2">
        <v>-8.1158000000000001E-4</v>
      </c>
      <c r="F7007" s="2" t="s">
        <v>7</v>
      </c>
    </row>
    <row r="7008" spans="1:6" ht="22.5" hidden="1" customHeight="1" x14ac:dyDescent="0.25">
      <c r="A7008" s="3">
        <v>44440</v>
      </c>
      <c r="B7008" s="2" t="s">
        <v>40</v>
      </c>
      <c r="C7008" s="2">
        <v>-3.7</v>
      </c>
      <c r="D7008" s="2">
        <v>2.8999999999999998E-3</v>
      </c>
      <c r="E7008" s="2">
        <v>-1.0730000000000001E-4</v>
      </c>
      <c r="F7008" s="2" t="s">
        <v>7</v>
      </c>
    </row>
    <row r="7009" spans="1:6" ht="22.5" hidden="1" customHeight="1" x14ac:dyDescent="0.25">
      <c r="A7009" s="3">
        <v>44440</v>
      </c>
      <c r="B7009" s="2" t="s">
        <v>41</v>
      </c>
      <c r="C7009" s="2">
        <v>-0.28000000000000003</v>
      </c>
      <c r="D7009" s="2">
        <v>2.2800000000000001E-2</v>
      </c>
      <c r="E7009" s="2">
        <v>-6.3839999999999999E-5</v>
      </c>
      <c r="F7009" s="2" t="s">
        <v>7</v>
      </c>
    </row>
    <row r="7010" spans="1:6" ht="22.5" hidden="1" customHeight="1" x14ac:dyDescent="0.25">
      <c r="A7010" s="3">
        <v>44440</v>
      </c>
      <c r="B7010" s="2" t="s">
        <v>42</v>
      </c>
      <c r="C7010" s="2">
        <v>-2.2400000000000002</v>
      </c>
      <c r="D7010" s="2">
        <v>4.3099999999999999E-2</v>
      </c>
      <c r="E7010" s="2">
        <v>-9.6544000000000003E-4</v>
      </c>
      <c r="F7010" s="2" t="s">
        <v>7</v>
      </c>
    </row>
    <row r="7011" spans="1:6" ht="22.5" hidden="1" customHeight="1" x14ac:dyDescent="0.25">
      <c r="A7011" s="3">
        <v>44440</v>
      </c>
      <c r="B7011" s="2" t="s">
        <v>43</v>
      </c>
      <c r="C7011" s="2">
        <v>-7.11</v>
      </c>
      <c r="D7011" s="2">
        <v>2.9700000000000001E-2</v>
      </c>
      <c r="E7011" s="2">
        <v>-2.11167E-3</v>
      </c>
      <c r="F7011" s="2" t="s">
        <v>7</v>
      </c>
    </row>
    <row r="7012" spans="1:6" ht="22.5" hidden="1" customHeight="1" x14ac:dyDescent="0.25">
      <c r="A7012" s="3">
        <v>44440</v>
      </c>
      <c r="B7012" s="2" t="s">
        <v>44</v>
      </c>
      <c r="C7012" s="2">
        <v>-1.02</v>
      </c>
      <c r="D7012" s="2">
        <v>1.61E-2</v>
      </c>
      <c r="E7012" s="2">
        <v>-1.6422E-4</v>
      </c>
      <c r="F7012" s="2" t="s">
        <v>7</v>
      </c>
    </row>
    <row r="7013" spans="1:6" ht="22.5" hidden="1" customHeight="1" x14ac:dyDescent="0.25">
      <c r="A7013" s="3">
        <v>44440</v>
      </c>
      <c r="B7013" s="2" t="s">
        <v>45</v>
      </c>
      <c r="C7013" s="2">
        <v>-2.46</v>
      </c>
      <c r="D7013" s="2">
        <v>1.6E-2</v>
      </c>
      <c r="E7013" s="2">
        <v>-3.9360000000000003E-4</v>
      </c>
      <c r="F7013" s="2" t="s">
        <v>7</v>
      </c>
    </row>
    <row r="7014" spans="1:6" ht="22.5" hidden="1" customHeight="1" x14ac:dyDescent="0.25">
      <c r="A7014" s="3">
        <v>44440</v>
      </c>
      <c r="B7014" s="2" t="s">
        <v>46</v>
      </c>
      <c r="C7014" s="2">
        <v>3.93</v>
      </c>
      <c r="D7014" s="2">
        <v>8.9999999999999998E-4</v>
      </c>
      <c r="E7014" s="2">
        <v>3.5370000000000002E-5</v>
      </c>
      <c r="F7014" s="2" t="s">
        <v>7</v>
      </c>
    </row>
    <row r="7015" spans="1:6" ht="22.5" hidden="1" customHeight="1" x14ac:dyDescent="0.25">
      <c r="A7015" s="3">
        <v>44440</v>
      </c>
      <c r="B7015" s="2" t="s">
        <v>47</v>
      </c>
      <c r="C7015" s="2">
        <v>3.47</v>
      </c>
      <c r="D7015" s="2">
        <v>8.5500000000000007E-2</v>
      </c>
      <c r="E7015" s="2">
        <v>2.96685E-3</v>
      </c>
      <c r="F7015" s="2" t="s">
        <v>7</v>
      </c>
    </row>
    <row r="7016" spans="1:6" ht="22.5" hidden="1" customHeight="1" x14ac:dyDescent="0.25">
      <c r="A7016" s="3">
        <v>44440</v>
      </c>
      <c r="B7016" s="2" t="s">
        <v>48</v>
      </c>
      <c r="C7016" s="2">
        <v>0.61</v>
      </c>
      <c r="D7016" s="2">
        <v>3.3999999999999998E-3</v>
      </c>
      <c r="E7016" s="2">
        <v>2.0740000000000001E-5</v>
      </c>
      <c r="F7016" s="2" t="s">
        <v>7</v>
      </c>
    </row>
    <row r="7017" spans="1:6" ht="22.5" hidden="1" customHeight="1" x14ac:dyDescent="0.25">
      <c r="A7017" s="3">
        <v>44440</v>
      </c>
      <c r="B7017" s="2" t="s">
        <v>49</v>
      </c>
      <c r="C7017" s="2">
        <v>8.09</v>
      </c>
      <c r="D7017" s="2">
        <v>0.1406</v>
      </c>
      <c r="E7017" s="2">
        <v>1.1374540000000001E-2</v>
      </c>
      <c r="F7017" s="2" t="s">
        <v>7</v>
      </c>
    </row>
    <row r="7018" spans="1:6" ht="22.5" hidden="1" customHeight="1" x14ac:dyDescent="0.25">
      <c r="A7018" s="3">
        <v>44440</v>
      </c>
      <c r="B7018" s="2" t="s">
        <v>50</v>
      </c>
      <c r="C7018" s="2">
        <v>-4.5999999999999996</v>
      </c>
      <c r="D7018" s="2">
        <v>4.4000000000000003E-3</v>
      </c>
      <c r="E7018" s="2">
        <v>-2.0239999999999999E-4</v>
      </c>
      <c r="F7018" s="2" t="s">
        <v>7</v>
      </c>
    </row>
    <row r="7019" spans="1:6" ht="22.5" hidden="1" customHeight="1" x14ac:dyDescent="0.25">
      <c r="A7019" s="3">
        <v>44440</v>
      </c>
      <c r="B7019" s="2" t="s">
        <v>51</v>
      </c>
      <c r="C7019" s="2">
        <v>19.579999999999998</v>
      </c>
      <c r="D7019" s="2">
        <v>4.3E-3</v>
      </c>
      <c r="E7019" s="2">
        <v>8.4194000000000001E-4</v>
      </c>
      <c r="F7019" s="2" t="s">
        <v>7</v>
      </c>
    </row>
    <row r="7020" spans="1:6" ht="22.5" hidden="1" customHeight="1" x14ac:dyDescent="0.25">
      <c r="A7020" s="3">
        <v>44440</v>
      </c>
      <c r="B7020" s="2" t="s">
        <v>52</v>
      </c>
      <c r="C7020" s="2">
        <v>6.45</v>
      </c>
      <c r="D7020" s="2">
        <v>2.7799999999999998E-2</v>
      </c>
      <c r="E7020" s="2">
        <v>1.7930999999999999E-3</v>
      </c>
      <c r="F7020" s="2" t="s">
        <v>7</v>
      </c>
    </row>
    <row r="7021" spans="1:6" ht="22.5" hidden="1" customHeight="1" x14ac:dyDescent="0.25">
      <c r="A7021" s="3">
        <v>44440</v>
      </c>
      <c r="B7021" s="2" t="s">
        <v>53</v>
      </c>
      <c r="C7021" s="2">
        <v>-0.67</v>
      </c>
      <c r="D7021" s="2">
        <v>0.13650000000000001</v>
      </c>
      <c r="E7021" s="2">
        <v>-9.1454999999999998E-4</v>
      </c>
      <c r="F7021" s="2" t="s">
        <v>7</v>
      </c>
    </row>
    <row r="7022" spans="1:6" ht="22.5" hidden="1" customHeight="1" x14ac:dyDescent="0.25">
      <c r="A7022" s="3">
        <v>44440</v>
      </c>
      <c r="B7022" s="2" t="s">
        <v>54</v>
      </c>
      <c r="C7022" s="2">
        <v>6.15</v>
      </c>
      <c r="D7022" s="2">
        <v>8.2600000000000007E-2</v>
      </c>
      <c r="E7022" s="2">
        <v>5.0799E-3</v>
      </c>
      <c r="F7022" s="2" t="s">
        <v>7</v>
      </c>
    </row>
    <row r="7023" spans="1:6" ht="22.5" hidden="1" customHeight="1" x14ac:dyDescent="0.25">
      <c r="A7023" s="3">
        <v>44440</v>
      </c>
      <c r="B7023" s="2" t="s">
        <v>55</v>
      </c>
      <c r="C7023" s="2">
        <v>-11.19</v>
      </c>
      <c r="D7023" s="2">
        <v>5.9799999999999999E-2</v>
      </c>
      <c r="E7023" s="2">
        <v>-6.6916199999999997E-3</v>
      </c>
      <c r="F7023" s="2" t="s">
        <v>7</v>
      </c>
    </row>
    <row r="7024" spans="1:6" ht="22.5" hidden="1" customHeight="1" x14ac:dyDescent="0.25">
      <c r="A7024" s="3">
        <v>44440</v>
      </c>
      <c r="B7024" s="2" t="s">
        <v>56</v>
      </c>
      <c r="C7024" s="2">
        <v>0.84</v>
      </c>
      <c r="D7024" s="2">
        <v>6.1999999999999998E-3</v>
      </c>
      <c r="E7024" s="2">
        <v>5.2080000000000003E-5</v>
      </c>
      <c r="F7024" s="2" t="s">
        <v>7</v>
      </c>
    </row>
    <row r="7025" spans="1:6" ht="22.5" hidden="1" customHeight="1" x14ac:dyDescent="0.25">
      <c r="A7025" s="3">
        <v>44440</v>
      </c>
      <c r="B7025" s="2" t="s">
        <v>57</v>
      </c>
      <c r="C7025" s="2">
        <v>6.06</v>
      </c>
      <c r="D7025" s="2">
        <v>2.81E-2</v>
      </c>
      <c r="E7025" s="2">
        <v>1.7028600000000001E-3</v>
      </c>
      <c r="F7025" s="2" t="s">
        <v>7</v>
      </c>
    </row>
    <row r="7026" spans="1:6" ht="22.5" hidden="1" customHeight="1" x14ac:dyDescent="0.25">
      <c r="A7026" s="3">
        <v>44440</v>
      </c>
      <c r="B7026" s="2" t="s">
        <v>58</v>
      </c>
      <c r="C7026" s="2">
        <v>3.2</v>
      </c>
      <c r="D7026" s="2">
        <v>1.6799999999999999E-2</v>
      </c>
      <c r="E7026" s="2">
        <v>5.3759999999999995E-4</v>
      </c>
      <c r="F7026" s="2" t="s">
        <v>7</v>
      </c>
    </row>
    <row r="7027" spans="1:6" ht="22.5" hidden="1" customHeight="1" x14ac:dyDescent="0.25">
      <c r="A7027" s="3">
        <v>44440</v>
      </c>
      <c r="B7027" s="2" t="s">
        <v>59</v>
      </c>
      <c r="C7027" s="2">
        <v>7.09</v>
      </c>
      <c r="D7027" s="2">
        <v>2.1399999999999999E-2</v>
      </c>
      <c r="E7027" s="2">
        <v>1.5172600000000001E-3</v>
      </c>
      <c r="F7027" s="2" t="s">
        <v>7</v>
      </c>
    </row>
    <row r="7028" spans="1:6" ht="22.5" hidden="1" customHeight="1" x14ac:dyDescent="0.25">
      <c r="A7028" s="3">
        <v>44440</v>
      </c>
      <c r="B7028" s="2" t="s">
        <v>60</v>
      </c>
      <c r="C7028" s="2">
        <v>9.0399999999999991</v>
      </c>
      <c r="D7028" s="2">
        <v>2.5399999999999999E-2</v>
      </c>
      <c r="E7028" s="2">
        <v>2.2961600000000002E-3</v>
      </c>
      <c r="F7028" s="2" t="s">
        <v>7</v>
      </c>
    </row>
    <row r="7029" spans="1:6" ht="22.5" hidden="1" customHeight="1" x14ac:dyDescent="0.25">
      <c r="A7029" s="3">
        <v>44440</v>
      </c>
      <c r="B7029" s="2" t="s">
        <v>61</v>
      </c>
      <c r="C7029" s="2">
        <v>3.16</v>
      </c>
      <c r="D7029" s="2">
        <v>6.7400000000000002E-2</v>
      </c>
      <c r="E7029" s="2">
        <v>2.12984E-3</v>
      </c>
      <c r="F7029" s="2" t="s">
        <v>7</v>
      </c>
    </row>
    <row r="7030" spans="1:6" ht="22.5" hidden="1" customHeight="1" x14ac:dyDescent="0.25">
      <c r="A7030" s="3">
        <v>44440</v>
      </c>
      <c r="B7030" s="2" t="s">
        <v>62</v>
      </c>
      <c r="C7030" s="2">
        <v>1.73</v>
      </c>
      <c r="D7030" s="2">
        <v>8.77E-2</v>
      </c>
      <c r="E7030" s="2">
        <v>1.51721E-3</v>
      </c>
      <c r="F7030" s="2" t="s">
        <v>7</v>
      </c>
    </row>
    <row r="7031" spans="1:6" ht="22.5" hidden="1" customHeight="1" x14ac:dyDescent="0.25">
      <c r="A7031" s="3">
        <v>44440</v>
      </c>
      <c r="B7031" s="2" t="s">
        <v>63</v>
      </c>
      <c r="C7031" s="2">
        <v>1.07</v>
      </c>
      <c r="D7031" s="2">
        <v>8.6E-3</v>
      </c>
      <c r="E7031" s="2">
        <v>9.2020000000000003E-5</v>
      </c>
      <c r="F7031" s="2" t="s">
        <v>7</v>
      </c>
    </row>
    <row r="7032" spans="1:6" ht="22.5" hidden="1" customHeight="1" x14ac:dyDescent="0.25">
      <c r="A7032" s="3">
        <v>44440</v>
      </c>
      <c r="B7032" s="2" t="s">
        <v>64</v>
      </c>
      <c r="C7032" s="2">
        <v>3.24</v>
      </c>
      <c r="D7032" s="2">
        <v>4.0000000000000001E-3</v>
      </c>
      <c r="E7032" s="2">
        <v>1.2960000000000001E-4</v>
      </c>
      <c r="F7032" s="2" t="s">
        <v>7</v>
      </c>
    </row>
    <row r="7033" spans="1:6" ht="22.5" hidden="1" customHeight="1" x14ac:dyDescent="0.25">
      <c r="A7033" s="3">
        <v>44440</v>
      </c>
      <c r="B7033" s="2" t="s">
        <v>65</v>
      </c>
      <c r="C7033" s="2">
        <v>-1.1299999999999999</v>
      </c>
      <c r="D7033" s="2">
        <v>2.2800000000000001E-2</v>
      </c>
      <c r="E7033" s="2">
        <v>-2.5764000000000001E-4</v>
      </c>
      <c r="F7033" s="2" t="s">
        <v>7</v>
      </c>
    </row>
    <row r="7034" spans="1:6" ht="22.5" hidden="1" customHeight="1" x14ac:dyDescent="0.25">
      <c r="A7034" s="3">
        <v>44440</v>
      </c>
      <c r="B7034" s="2" t="s">
        <v>66</v>
      </c>
      <c r="C7034" s="2">
        <v>1.21</v>
      </c>
      <c r="D7034" s="2">
        <v>0.36749999999999999</v>
      </c>
      <c r="E7034" s="2">
        <v>4.4467500000000002E-3</v>
      </c>
      <c r="F7034" s="2" t="s">
        <v>7</v>
      </c>
    </row>
    <row r="7035" spans="1:6" ht="22.5" hidden="1" customHeight="1" x14ac:dyDescent="0.25">
      <c r="A7035" s="3">
        <v>44440</v>
      </c>
      <c r="B7035" s="2" t="s">
        <v>67</v>
      </c>
      <c r="C7035" s="2">
        <v>1.23</v>
      </c>
      <c r="D7035" s="2">
        <v>3.8E-3</v>
      </c>
      <c r="E7035" s="2">
        <v>4.6740000000000003E-5</v>
      </c>
      <c r="F7035" s="2" t="s">
        <v>7</v>
      </c>
    </row>
    <row r="7036" spans="1:6" ht="22.5" hidden="1" customHeight="1" x14ac:dyDescent="0.25">
      <c r="A7036" s="3">
        <v>44440</v>
      </c>
      <c r="B7036" s="2" t="s">
        <v>68</v>
      </c>
      <c r="C7036" s="2">
        <v>-1.89</v>
      </c>
      <c r="D7036" s="2">
        <v>1.21E-2</v>
      </c>
      <c r="E7036" s="2">
        <v>-2.2869000000000001E-4</v>
      </c>
      <c r="F7036" s="2" t="s">
        <v>7</v>
      </c>
    </row>
    <row r="7037" spans="1:6" ht="22.5" hidden="1" customHeight="1" x14ac:dyDescent="0.25">
      <c r="A7037" s="3">
        <v>44440</v>
      </c>
      <c r="B7037" s="2" t="s">
        <v>69</v>
      </c>
      <c r="C7037" s="2">
        <v>2.04</v>
      </c>
      <c r="D7037" s="2">
        <v>0.4945</v>
      </c>
      <c r="E7037" s="2">
        <v>1.0087799999999999E-2</v>
      </c>
      <c r="F7037" s="2" t="s">
        <v>7</v>
      </c>
    </row>
    <row r="7038" spans="1:6" ht="22.5" hidden="1" customHeight="1" x14ac:dyDescent="0.25">
      <c r="A7038" s="3">
        <v>44440</v>
      </c>
      <c r="B7038" s="2" t="s">
        <v>70</v>
      </c>
      <c r="C7038" s="2">
        <v>2.13</v>
      </c>
      <c r="D7038" s="2">
        <v>2.8199999999999999E-2</v>
      </c>
      <c r="E7038" s="2">
        <v>6.0066000000000004E-4</v>
      </c>
      <c r="F7038" s="2" t="s">
        <v>7</v>
      </c>
    </row>
    <row r="7039" spans="1:6" ht="22.5" hidden="1" customHeight="1" x14ac:dyDescent="0.25">
      <c r="A7039" s="3">
        <v>44440</v>
      </c>
      <c r="B7039" s="2" t="s">
        <v>71</v>
      </c>
      <c r="C7039" s="2">
        <v>0.02</v>
      </c>
      <c r="D7039" s="2">
        <v>0.35289999999999999</v>
      </c>
      <c r="E7039" s="2">
        <v>7.0580000000000005E-5</v>
      </c>
      <c r="F7039" s="2" t="s">
        <v>7</v>
      </c>
    </row>
    <row r="7040" spans="1:6" ht="22.5" hidden="1" customHeight="1" x14ac:dyDescent="0.25">
      <c r="A7040" s="3">
        <v>44440</v>
      </c>
      <c r="B7040" s="2" t="s">
        <v>72</v>
      </c>
      <c r="C7040" s="2">
        <v>0.56000000000000005</v>
      </c>
      <c r="D7040" s="2">
        <v>0.37740000000000001</v>
      </c>
      <c r="E7040" s="2">
        <v>2.1134399999999998E-3</v>
      </c>
      <c r="F7040" s="2" t="s">
        <v>7</v>
      </c>
    </row>
    <row r="7041" spans="1:6" ht="22.5" hidden="1" customHeight="1" x14ac:dyDescent="0.25">
      <c r="A7041" s="3">
        <v>44440</v>
      </c>
      <c r="B7041" s="2" t="s">
        <v>73</v>
      </c>
      <c r="C7041" s="2">
        <v>-1.39</v>
      </c>
      <c r="D7041" s="2">
        <v>0.19359999999999999</v>
      </c>
      <c r="E7041" s="2">
        <v>-2.69104E-3</v>
      </c>
      <c r="F7041" s="2" t="s">
        <v>7</v>
      </c>
    </row>
    <row r="7042" spans="1:6" ht="22.5" hidden="1" customHeight="1" x14ac:dyDescent="0.25">
      <c r="A7042" s="3">
        <v>44440</v>
      </c>
      <c r="B7042" s="2" t="s">
        <v>74</v>
      </c>
      <c r="C7042" s="2">
        <v>1.0900000000000001</v>
      </c>
      <c r="D7042" s="2">
        <v>0.01</v>
      </c>
      <c r="E7042" s="2">
        <v>1.0900000000000001E-4</v>
      </c>
      <c r="F7042" s="2" t="s">
        <v>7</v>
      </c>
    </row>
    <row r="7043" spans="1:6" ht="22.5" hidden="1" customHeight="1" x14ac:dyDescent="0.25">
      <c r="A7043" s="3">
        <v>44440</v>
      </c>
      <c r="B7043" s="2" t="s">
        <v>75</v>
      </c>
      <c r="C7043" s="2">
        <v>0.93</v>
      </c>
      <c r="D7043" s="2">
        <v>8.3099999999999993E-2</v>
      </c>
      <c r="E7043" s="2">
        <v>7.7282999999999996E-4</v>
      </c>
      <c r="F7043" s="2" t="s">
        <v>7</v>
      </c>
    </row>
    <row r="7044" spans="1:6" ht="22.5" hidden="1" customHeight="1" x14ac:dyDescent="0.25">
      <c r="A7044" s="3">
        <v>44440</v>
      </c>
      <c r="B7044" s="2" t="s">
        <v>76</v>
      </c>
      <c r="C7044" s="2">
        <v>0.35</v>
      </c>
      <c r="D7044" s="2">
        <v>0.18060000000000001</v>
      </c>
      <c r="E7044" s="2">
        <v>6.3210000000000002E-4</v>
      </c>
      <c r="F7044" s="2" t="s">
        <v>7</v>
      </c>
    </row>
    <row r="7045" spans="1:6" ht="22.5" hidden="1" customHeight="1" x14ac:dyDescent="0.25">
      <c r="A7045" s="3">
        <v>44440</v>
      </c>
      <c r="B7045" s="2" t="s">
        <v>77</v>
      </c>
      <c r="C7045" s="2">
        <v>1.21</v>
      </c>
      <c r="D7045" s="2">
        <v>0.1221</v>
      </c>
      <c r="E7045" s="2">
        <v>1.47741E-3</v>
      </c>
      <c r="F7045" s="2" t="s">
        <v>7</v>
      </c>
    </row>
    <row r="7046" spans="1:6" ht="22.5" hidden="1" customHeight="1" x14ac:dyDescent="0.25">
      <c r="A7046" s="3">
        <v>44440</v>
      </c>
      <c r="B7046" s="2" t="s">
        <v>78</v>
      </c>
      <c r="C7046" s="2">
        <v>2.62</v>
      </c>
      <c r="D7046" s="2">
        <v>0.31630000000000003</v>
      </c>
      <c r="E7046" s="2">
        <v>8.2870600000000006E-3</v>
      </c>
      <c r="F7046" s="2" t="s">
        <v>7</v>
      </c>
    </row>
    <row r="7047" spans="1:6" ht="22.5" hidden="1" customHeight="1" x14ac:dyDescent="0.25">
      <c r="A7047" s="3">
        <v>44440</v>
      </c>
      <c r="B7047" s="2" t="s">
        <v>79</v>
      </c>
      <c r="C7047" s="2">
        <v>1.0900000000000001</v>
      </c>
      <c r="D7047" s="2">
        <v>1.2E-2</v>
      </c>
      <c r="E7047" s="2">
        <v>1.3080000000000001E-4</v>
      </c>
      <c r="F7047" s="2" t="s">
        <v>7</v>
      </c>
    </row>
    <row r="7048" spans="1:6" ht="22.5" hidden="1" customHeight="1" x14ac:dyDescent="0.25">
      <c r="A7048" s="3">
        <v>44440</v>
      </c>
      <c r="B7048" s="2" t="s">
        <v>80</v>
      </c>
      <c r="C7048" s="2">
        <v>0.97</v>
      </c>
      <c r="D7048" s="2">
        <v>3.6900000000000002E-2</v>
      </c>
      <c r="E7048" s="2">
        <v>3.5793000000000001E-4</v>
      </c>
      <c r="F7048" s="2" t="s">
        <v>7</v>
      </c>
    </row>
    <row r="7049" spans="1:6" ht="22.5" hidden="1" customHeight="1" x14ac:dyDescent="0.25">
      <c r="A7049" s="3">
        <v>44440</v>
      </c>
      <c r="B7049" s="2" t="s">
        <v>81</v>
      </c>
      <c r="C7049" s="2">
        <v>2.21</v>
      </c>
      <c r="D7049" s="2">
        <v>0.39389999999999997</v>
      </c>
      <c r="E7049" s="2">
        <v>8.7051899999999998E-3</v>
      </c>
      <c r="F7049" s="2" t="s">
        <v>7</v>
      </c>
    </row>
    <row r="7050" spans="1:6" ht="22.5" hidden="1" customHeight="1" x14ac:dyDescent="0.25">
      <c r="A7050" s="3">
        <v>44440</v>
      </c>
      <c r="B7050" s="2" t="s">
        <v>82</v>
      </c>
      <c r="C7050" s="2">
        <v>-2.57</v>
      </c>
      <c r="D7050" s="2">
        <v>4.7300000000000002E-2</v>
      </c>
      <c r="E7050" s="2">
        <v>-1.21561E-3</v>
      </c>
      <c r="F7050" s="2" t="s">
        <v>7</v>
      </c>
    </row>
    <row r="7051" spans="1:6" ht="22.5" hidden="1" customHeight="1" x14ac:dyDescent="0.25">
      <c r="A7051" s="3">
        <v>44440</v>
      </c>
      <c r="B7051" s="2" t="s">
        <v>83</v>
      </c>
      <c r="C7051" s="2">
        <v>-0.41</v>
      </c>
      <c r="D7051" s="2">
        <v>6.9999999999999999E-4</v>
      </c>
      <c r="E7051" s="2">
        <v>-2.8700000000000001E-6</v>
      </c>
      <c r="F7051" s="2" t="s">
        <v>7</v>
      </c>
    </row>
    <row r="7052" spans="1:6" ht="22.5" hidden="1" customHeight="1" x14ac:dyDescent="0.25">
      <c r="A7052" s="3">
        <v>44440</v>
      </c>
      <c r="B7052" s="2" t="s">
        <v>84</v>
      </c>
      <c r="C7052" s="2">
        <v>-0.51</v>
      </c>
      <c r="D7052" s="2">
        <v>2.2200000000000001E-2</v>
      </c>
      <c r="E7052" s="2">
        <v>-1.1322E-4</v>
      </c>
      <c r="F7052" s="2" t="s">
        <v>7</v>
      </c>
    </row>
    <row r="7053" spans="1:6" ht="22.5" hidden="1" customHeight="1" x14ac:dyDescent="0.25">
      <c r="A7053" s="3">
        <v>44440</v>
      </c>
      <c r="B7053" s="2" t="s">
        <v>85</v>
      </c>
      <c r="C7053" s="2">
        <v>0.65</v>
      </c>
      <c r="D7053" s="2">
        <v>5.4999999999999997E-3</v>
      </c>
      <c r="E7053" s="2">
        <v>3.5750000000000002E-5</v>
      </c>
      <c r="F7053" s="2" t="s">
        <v>7</v>
      </c>
    </row>
    <row r="7054" spans="1:6" ht="22.5" hidden="1" customHeight="1" x14ac:dyDescent="0.25">
      <c r="A7054" s="3">
        <v>44440</v>
      </c>
      <c r="B7054" s="2" t="s">
        <v>86</v>
      </c>
      <c r="C7054" s="2">
        <v>-0.13</v>
      </c>
      <c r="D7054" s="2">
        <v>2.4E-2</v>
      </c>
      <c r="E7054" s="2">
        <v>-3.1199999999999999E-5</v>
      </c>
      <c r="F7054" s="2" t="s">
        <v>7</v>
      </c>
    </row>
    <row r="7055" spans="1:6" ht="22.5" hidden="1" customHeight="1" x14ac:dyDescent="0.25">
      <c r="A7055" s="3">
        <v>44440</v>
      </c>
      <c r="B7055" s="2" t="s">
        <v>87</v>
      </c>
      <c r="C7055" s="2">
        <v>1.1599999999999999</v>
      </c>
      <c r="D7055" s="2">
        <v>1.1000000000000001E-3</v>
      </c>
      <c r="E7055" s="2">
        <v>1.276E-5</v>
      </c>
      <c r="F7055" s="2" t="s">
        <v>7</v>
      </c>
    </row>
    <row r="7056" spans="1:6" ht="22.5" hidden="1" customHeight="1" x14ac:dyDescent="0.25">
      <c r="A7056" s="3">
        <v>44440</v>
      </c>
      <c r="B7056" s="2" t="s">
        <v>88</v>
      </c>
      <c r="C7056" s="2">
        <v>-0.16</v>
      </c>
      <c r="D7056" s="2">
        <v>6.4999999999999997E-3</v>
      </c>
      <c r="E7056" s="2">
        <v>-1.04E-5</v>
      </c>
      <c r="F7056" s="2" t="s">
        <v>7</v>
      </c>
    </row>
    <row r="7057" spans="1:6" ht="22.5" hidden="1" customHeight="1" x14ac:dyDescent="0.25">
      <c r="A7057" s="3">
        <v>44440</v>
      </c>
      <c r="B7057" s="2" t="s">
        <v>89</v>
      </c>
      <c r="C7057" s="2">
        <v>1.42</v>
      </c>
      <c r="D7057" s="2">
        <v>1.72E-2</v>
      </c>
      <c r="E7057" s="2">
        <v>2.4424000000000001E-4</v>
      </c>
      <c r="F7057" s="2" t="s">
        <v>7</v>
      </c>
    </row>
    <row r="7058" spans="1:6" ht="22.5" hidden="1" customHeight="1" x14ac:dyDescent="0.25">
      <c r="A7058" s="3">
        <v>44440</v>
      </c>
      <c r="B7058" s="2" t="s">
        <v>90</v>
      </c>
      <c r="C7058" s="2">
        <v>1.82</v>
      </c>
      <c r="D7058" s="2">
        <v>1.6000000000000001E-3</v>
      </c>
      <c r="E7058" s="2">
        <v>2.9119999999999999E-5</v>
      </c>
      <c r="F7058" s="2" t="s">
        <v>7</v>
      </c>
    </row>
    <row r="7059" spans="1:6" ht="22.5" hidden="1" customHeight="1" x14ac:dyDescent="0.25">
      <c r="A7059" s="3">
        <v>44440</v>
      </c>
      <c r="B7059" s="2" t="s">
        <v>91</v>
      </c>
      <c r="C7059" s="2">
        <v>1.76</v>
      </c>
      <c r="D7059" s="2">
        <v>2.4500000000000001E-2</v>
      </c>
      <c r="E7059" s="2">
        <v>4.3120000000000002E-4</v>
      </c>
      <c r="F7059" s="2" t="s">
        <v>7</v>
      </c>
    </row>
    <row r="7060" spans="1:6" ht="22.5" hidden="1" customHeight="1" x14ac:dyDescent="0.25">
      <c r="A7060" s="3">
        <v>44440</v>
      </c>
      <c r="B7060" s="2" t="s">
        <v>92</v>
      </c>
      <c r="C7060" s="2">
        <v>0</v>
      </c>
      <c r="D7060" s="2">
        <v>5.1000000000000004E-3</v>
      </c>
      <c r="E7060" s="2">
        <v>0</v>
      </c>
      <c r="F7060" s="2" t="s">
        <v>7</v>
      </c>
    </row>
    <row r="7061" spans="1:6" ht="22.5" hidden="1" customHeight="1" x14ac:dyDescent="0.25">
      <c r="A7061" s="3">
        <v>44440</v>
      </c>
      <c r="B7061" s="2" t="s">
        <v>93</v>
      </c>
      <c r="C7061" s="2">
        <v>-1.54</v>
      </c>
      <c r="D7061" s="2">
        <v>1.1000000000000001E-3</v>
      </c>
      <c r="E7061" s="2">
        <v>-1.694E-5</v>
      </c>
      <c r="F7061" s="2" t="s">
        <v>7</v>
      </c>
    </row>
    <row r="7062" spans="1:6" ht="22.5" hidden="1" customHeight="1" x14ac:dyDescent="0.25">
      <c r="A7062" s="3">
        <v>44440</v>
      </c>
      <c r="B7062" s="2" t="s">
        <v>94</v>
      </c>
      <c r="C7062" s="2">
        <v>-0.15</v>
      </c>
      <c r="D7062" s="2">
        <v>8.9999999999999998E-4</v>
      </c>
      <c r="E7062" s="2">
        <v>-1.35E-6</v>
      </c>
      <c r="F7062" s="2" t="s">
        <v>7</v>
      </c>
    </row>
    <row r="7063" spans="1:6" ht="22.5" hidden="1" customHeight="1" x14ac:dyDescent="0.25">
      <c r="A7063" s="3">
        <v>44440</v>
      </c>
      <c r="B7063" s="2" t="s">
        <v>95</v>
      </c>
      <c r="C7063" s="2">
        <v>2.04</v>
      </c>
      <c r="D7063" s="2">
        <v>1.61E-2</v>
      </c>
      <c r="E7063" s="2">
        <v>3.2843999999999999E-4</v>
      </c>
      <c r="F7063" s="2" t="s">
        <v>7</v>
      </c>
    </row>
    <row r="7064" spans="1:6" ht="22.5" hidden="1" customHeight="1" x14ac:dyDescent="0.25">
      <c r="A7064" s="3">
        <v>44440</v>
      </c>
      <c r="B7064" s="2" t="s">
        <v>96</v>
      </c>
      <c r="C7064" s="2">
        <v>1.17</v>
      </c>
      <c r="D7064" s="2">
        <v>4.8300000000000003E-2</v>
      </c>
      <c r="E7064" s="2">
        <v>5.6510999999999996E-4</v>
      </c>
      <c r="F7064" s="2" t="s">
        <v>7</v>
      </c>
    </row>
    <row r="7065" spans="1:6" ht="22.5" hidden="1" customHeight="1" x14ac:dyDescent="0.25">
      <c r="A7065" s="3">
        <v>44440</v>
      </c>
      <c r="B7065" s="2" t="s">
        <v>97</v>
      </c>
      <c r="C7065" s="2">
        <v>1.77</v>
      </c>
      <c r="D7065" s="2">
        <v>1.04E-2</v>
      </c>
      <c r="E7065" s="2">
        <v>1.8408000000000001E-4</v>
      </c>
      <c r="F7065" s="2" t="s">
        <v>7</v>
      </c>
    </row>
    <row r="7066" spans="1:6" ht="22.5" hidden="1" customHeight="1" x14ac:dyDescent="0.25">
      <c r="A7066" s="3">
        <v>44440</v>
      </c>
      <c r="B7066" s="2" t="s">
        <v>98</v>
      </c>
      <c r="C7066" s="2">
        <v>1.52</v>
      </c>
      <c r="D7066" s="2">
        <v>6.1000000000000004E-3</v>
      </c>
      <c r="E7066" s="2">
        <v>9.2720000000000007E-5</v>
      </c>
      <c r="F7066" s="2" t="s">
        <v>7</v>
      </c>
    </row>
    <row r="7067" spans="1:6" ht="22.5" hidden="1" customHeight="1" x14ac:dyDescent="0.25">
      <c r="A7067" s="3">
        <v>44440</v>
      </c>
      <c r="B7067" s="2" t="s">
        <v>99</v>
      </c>
      <c r="C7067" s="2">
        <v>0.94</v>
      </c>
      <c r="D7067" s="2">
        <v>3.3999999999999998E-3</v>
      </c>
      <c r="E7067" s="2">
        <v>3.1959999999999999E-5</v>
      </c>
      <c r="F7067" s="2" t="s">
        <v>7</v>
      </c>
    </row>
    <row r="7068" spans="1:6" ht="22.5" hidden="1" customHeight="1" x14ac:dyDescent="0.25">
      <c r="A7068" s="3">
        <v>44440</v>
      </c>
      <c r="B7068" s="2" t="s">
        <v>100</v>
      </c>
      <c r="C7068" s="2">
        <v>0.24</v>
      </c>
      <c r="D7068" s="2">
        <v>6.9999999999999999E-4</v>
      </c>
      <c r="E7068" s="2">
        <v>1.68E-6</v>
      </c>
      <c r="F7068" s="2" t="s">
        <v>7</v>
      </c>
    </row>
    <row r="7069" spans="1:6" ht="22.5" hidden="1" customHeight="1" x14ac:dyDescent="0.25">
      <c r="A7069" s="3">
        <v>44440</v>
      </c>
      <c r="B7069" s="2" t="s">
        <v>101</v>
      </c>
      <c r="C7069" s="2">
        <v>0.49</v>
      </c>
      <c r="D7069" s="2">
        <v>0.10150000000000001</v>
      </c>
      <c r="E7069" s="2">
        <v>4.9735000000000003E-4</v>
      </c>
      <c r="F7069" s="2" t="s">
        <v>7</v>
      </c>
    </row>
    <row r="7070" spans="1:6" ht="22.5" hidden="1" customHeight="1" x14ac:dyDescent="0.25">
      <c r="A7070" s="3">
        <v>44440</v>
      </c>
      <c r="B7070" s="2" t="s">
        <v>102</v>
      </c>
      <c r="C7070" s="2">
        <v>0.87</v>
      </c>
      <c r="D7070" s="2">
        <v>4.7699999999999999E-2</v>
      </c>
      <c r="E7070" s="2">
        <v>4.1499000000000001E-4</v>
      </c>
      <c r="F7070" s="2" t="s">
        <v>7</v>
      </c>
    </row>
    <row r="7071" spans="1:6" ht="22.5" hidden="1" customHeight="1" x14ac:dyDescent="0.25">
      <c r="A7071" s="3">
        <v>44440</v>
      </c>
      <c r="B7071" s="2" t="s">
        <v>103</v>
      </c>
      <c r="C7071" s="2">
        <v>-0.03</v>
      </c>
      <c r="D7071" s="2">
        <v>0.36520000000000002</v>
      </c>
      <c r="E7071" s="2">
        <v>-1.0956E-4</v>
      </c>
      <c r="F7071" s="2" t="s">
        <v>7</v>
      </c>
    </row>
    <row r="7072" spans="1:6" ht="22.5" hidden="1" customHeight="1" x14ac:dyDescent="0.25">
      <c r="A7072" s="3">
        <v>44440</v>
      </c>
      <c r="B7072" s="2" t="s">
        <v>104</v>
      </c>
      <c r="C7072" s="2">
        <v>1.03</v>
      </c>
      <c r="D7072" s="2">
        <v>5.4300000000000001E-2</v>
      </c>
      <c r="E7072" s="2">
        <v>5.5929000000000005E-4</v>
      </c>
      <c r="F7072" s="2" t="s">
        <v>7</v>
      </c>
    </row>
    <row r="7073" spans="1:6" ht="22.5" hidden="1" customHeight="1" x14ac:dyDescent="0.25">
      <c r="A7073" s="3">
        <v>44440</v>
      </c>
      <c r="B7073" s="2" t="s">
        <v>105</v>
      </c>
      <c r="C7073" s="2">
        <v>2.2599999999999998</v>
      </c>
      <c r="D7073" s="2">
        <v>9.4000000000000004E-3</v>
      </c>
      <c r="E7073" s="2">
        <v>2.1243999999999999E-4</v>
      </c>
      <c r="F7073" s="2" t="s">
        <v>7</v>
      </c>
    </row>
    <row r="7074" spans="1:6" ht="22.5" hidden="1" customHeight="1" x14ac:dyDescent="0.25">
      <c r="A7074" s="3">
        <v>44440</v>
      </c>
      <c r="B7074" s="2" t="s">
        <v>106</v>
      </c>
      <c r="C7074" s="2">
        <v>1.42</v>
      </c>
      <c r="D7074" s="2">
        <v>8.3999999999999995E-3</v>
      </c>
      <c r="E7074" s="2">
        <v>1.1928E-4</v>
      </c>
      <c r="F7074" s="2" t="s">
        <v>7</v>
      </c>
    </row>
    <row r="7075" spans="1:6" ht="22.5" hidden="1" customHeight="1" x14ac:dyDescent="0.25">
      <c r="A7075" s="3">
        <v>44440</v>
      </c>
      <c r="B7075" s="2" t="s">
        <v>107</v>
      </c>
      <c r="C7075" s="2">
        <v>0.16</v>
      </c>
      <c r="D7075" s="2">
        <v>0.122</v>
      </c>
      <c r="E7075" s="2">
        <v>1.952E-4</v>
      </c>
      <c r="F7075" s="2" t="s">
        <v>7</v>
      </c>
    </row>
    <row r="7076" spans="1:6" ht="22.5" hidden="1" customHeight="1" x14ac:dyDescent="0.25">
      <c r="A7076" s="3">
        <v>44440</v>
      </c>
      <c r="B7076" s="2" t="s">
        <v>108</v>
      </c>
      <c r="C7076" s="2">
        <v>0.67</v>
      </c>
      <c r="D7076" s="2">
        <v>7.7000000000000002E-3</v>
      </c>
      <c r="E7076" s="2">
        <v>5.1589999999999999E-5</v>
      </c>
      <c r="F7076" s="2" t="s">
        <v>7</v>
      </c>
    </row>
    <row r="7077" spans="1:6" ht="22.5" hidden="1" customHeight="1" x14ac:dyDescent="0.25">
      <c r="A7077" s="3">
        <v>44440</v>
      </c>
      <c r="B7077" s="2" t="s">
        <v>109</v>
      </c>
      <c r="C7077" s="2">
        <v>3.53</v>
      </c>
      <c r="D7077" s="2">
        <v>0.3695</v>
      </c>
      <c r="E7077" s="2">
        <v>1.304335E-2</v>
      </c>
      <c r="F7077" s="2" t="s">
        <v>7</v>
      </c>
    </row>
    <row r="7078" spans="1:6" ht="22.5" hidden="1" customHeight="1" x14ac:dyDescent="0.25">
      <c r="A7078" s="3">
        <v>44440</v>
      </c>
      <c r="B7078" s="2" t="s">
        <v>110</v>
      </c>
      <c r="C7078" s="2">
        <v>4.7</v>
      </c>
      <c r="D7078" s="2">
        <v>0.65469999999999995</v>
      </c>
      <c r="E7078" s="2">
        <v>3.07709E-2</v>
      </c>
      <c r="F7078" s="2" t="s">
        <v>7</v>
      </c>
    </row>
    <row r="7079" spans="1:6" ht="22.5" hidden="1" customHeight="1" x14ac:dyDescent="0.25">
      <c r="A7079" s="3">
        <v>44440</v>
      </c>
      <c r="B7079" s="2" t="s">
        <v>111</v>
      </c>
      <c r="C7079" s="2">
        <v>2.1800000000000002</v>
      </c>
      <c r="D7079" s="2">
        <v>0.24340000000000001</v>
      </c>
      <c r="E7079" s="2">
        <v>5.3061200000000001E-3</v>
      </c>
      <c r="F7079" s="2" t="s">
        <v>7</v>
      </c>
    </row>
    <row r="7080" spans="1:6" ht="22.5" hidden="1" customHeight="1" x14ac:dyDescent="0.25">
      <c r="A7080" s="3">
        <v>44440</v>
      </c>
      <c r="B7080" s="2" t="s">
        <v>112</v>
      </c>
      <c r="C7080" s="2">
        <v>2.0099999999999998</v>
      </c>
      <c r="D7080" s="2">
        <v>0.73599999999999999</v>
      </c>
      <c r="E7080" s="2">
        <v>1.47936E-2</v>
      </c>
      <c r="F7080" s="2" t="s">
        <v>7</v>
      </c>
    </row>
    <row r="7081" spans="1:6" ht="22.5" hidden="1" customHeight="1" x14ac:dyDescent="0.25">
      <c r="A7081" s="3">
        <v>44440</v>
      </c>
      <c r="B7081" s="2" t="s">
        <v>113</v>
      </c>
      <c r="C7081" s="2">
        <v>-1.1200000000000001</v>
      </c>
      <c r="D7081" s="2">
        <v>2.1899999999999999E-2</v>
      </c>
      <c r="E7081" s="2">
        <v>-2.4528000000000001E-4</v>
      </c>
      <c r="F7081" s="2" t="s">
        <v>7</v>
      </c>
    </row>
    <row r="7082" spans="1:6" ht="22.5" hidden="1" customHeight="1" x14ac:dyDescent="0.25">
      <c r="A7082" s="3">
        <v>44440</v>
      </c>
      <c r="B7082" s="2" t="s">
        <v>114</v>
      </c>
      <c r="C7082" s="2">
        <v>1.03</v>
      </c>
      <c r="D7082" s="2">
        <v>0.2039</v>
      </c>
      <c r="E7082" s="2">
        <v>2.1001700000000002E-3</v>
      </c>
      <c r="F7082" s="2" t="s">
        <v>7</v>
      </c>
    </row>
    <row r="7083" spans="1:6" ht="22.5" hidden="1" customHeight="1" x14ac:dyDescent="0.25">
      <c r="A7083" s="3">
        <v>44440</v>
      </c>
      <c r="B7083" s="2" t="s">
        <v>115</v>
      </c>
      <c r="C7083" s="2">
        <v>2.76</v>
      </c>
      <c r="D7083" s="2">
        <v>0.51590000000000003</v>
      </c>
      <c r="E7083" s="2">
        <v>1.4238839999999999E-2</v>
      </c>
      <c r="F7083" s="2" t="s">
        <v>7</v>
      </c>
    </row>
    <row r="7084" spans="1:6" ht="22.5" hidden="1" customHeight="1" x14ac:dyDescent="0.25">
      <c r="A7084" s="3">
        <v>44440</v>
      </c>
      <c r="B7084" s="2" t="s">
        <v>116</v>
      </c>
      <c r="C7084" s="2">
        <v>2.23</v>
      </c>
      <c r="D7084" s="2">
        <v>0.15040000000000001</v>
      </c>
      <c r="E7084" s="2">
        <v>3.3539199999999998E-3</v>
      </c>
      <c r="F7084" s="2" t="s">
        <v>7</v>
      </c>
    </row>
    <row r="7085" spans="1:6" ht="22.5" hidden="1" customHeight="1" x14ac:dyDescent="0.25">
      <c r="A7085" s="3">
        <v>44440</v>
      </c>
      <c r="B7085" s="2" t="s">
        <v>117</v>
      </c>
      <c r="C7085" s="2">
        <v>2.06</v>
      </c>
      <c r="D7085" s="2">
        <v>5.57E-2</v>
      </c>
      <c r="E7085" s="2">
        <v>1.1474199999999999E-3</v>
      </c>
      <c r="F7085" s="2" t="s">
        <v>7</v>
      </c>
    </row>
    <row r="7086" spans="1:6" ht="22.5" hidden="1" customHeight="1" x14ac:dyDescent="0.25">
      <c r="A7086" s="3">
        <v>44440</v>
      </c>
      <c r="B7086" s="2" t="s">
        <v>118</v>
      </c>
      <c r="C7086" s="2">
        <v>1.01</v>
      </c>
      <c r="D7086" s="2">
        <v>6.2300000000000001E-2</v>
      </c>
      <c r="E7086" s="2">
        <v>6.2923000000000005E-4</v>
      </c>
      <c r="F7086" s="2" t="s">
        <v>7</v>
      </c>
    </row>
    <row r="7087" spans="1:6" ht="22.5" hidden="1" customHeight="1" x14ac:dyDescent="0.25">
      <c r="A7087" s="3">
        <v>44440</v>
      </c>
      <c r="B7087" s="2" t="s">
        <v>119</v>
      </c>
      <c r="C7087" s="2">
        <v>1.23</v>
      </c>
      <c r="D7087" s="2">
        <v>1.0999999999999999E-2</v>
      </c>
      <c r="E7087" s="2">
        <v>1.3530000000000001E-4</v>
      </c>
      <c r="F7087" s="2" t="s">
        <v>7</v>
      </c>
    </row>
    <row r="7088" spans="1:6" ht="22.5" hidden="1" customHeight="1" x14ac:dyDescent="0.25">
      <c r="A7088" s="3">
        <v>44440</v>
      </c>
      <c r="B7088" s="2" t="s">
        <v>120</v>
      </c>
      <c r="C7088" s="2">
        <v>1.05</v>
      </c>
      <c r="D7088" s="2">
        <v>0.44669999999999999</v>
      </c>
      <c r="E7088" s="2">
        <v>4.6903500000000002E-3</v>
      </c>
      <c r="F7088" s="2" t="s">
        <v>7</v>
      </c>
    </row>
    <row r="7089" spans="1:6" ht="22.5" hidden="1" customHeight="1" x14ac:dyDescent="0.25">
      <c r="A7089" s="3">
        <v>44440</v>
      </c>
      <c r="B7089" s="2" t="s">
        <v>121</v>
      </c>
      <c r="C7089" s="2">
        <v>0.4</v>
      </c>
      <c r="D7089" s="2">
        <v>0.78900000000000003</v>
      </c>
      <c r="E7089" s="2">
        <v>3.156E-3</v>
      </c>
      <c r="F7089" s="2" t="s">
        <v>7</v>
      </c>
    </row>
    <row r="7090" spans="1:6" ht="22.5" hidden="1" customHeight="1" x14ac:dyDescent="0.25">
      <c r="A7090" s="3">
        <v>44440</v>
      </c>
      <c r="B7090" s="2" t="s">
        <v>122</v>
      </c>
      <c r="C7090" s="2">
        <v>0.85</v>
      </c>
      <c r="D7090" s="2">
        <v>8.1600000000000006E-2</v>
      </c>
      <c r="E7090" s="2">
        <v>6.9360000000000005E-4</v>
      </c>
      <c r="F7090" s="2" t="s">
        <v>7</v>
      </c>
    </row>
    <row r="7091" spans="1:6" ht="22.5" hidden="1" customHeight="1" x14ac:dyDescent="0.25">
      <c r="A7091" s="3">
        <v>44440</v>
      </c>
      <c r="B7091" s="2" t="s">
        <v>123</v>
      </c>
      <c r="C7091" s="2">
        <v>0.93</v>
      </c>
      <c r="D7091" s="2">
        <v>9.9199999999999997E-2</v>
      </c>
      <c r="E7091" s="2">
        <v>9.2256E-4</v>
      </c>
      <c r="F7091" s="2" t="s">
        <v>7</v>
      </c>
    </row>
    <row r="7092" spans="1:6" ht="22.5" hidden="1" customHeight="1" x14ac:dyDescent="0.25">
      <c r="A7092" s="3">
        <v>44440</v>
      </c>
      <c r="B7092" s="2" t="s">
        <v>124</v>
      </c>
      <c r="C7092" s="2">
        <v>-0.05</v>
      </c>
      <c r="D7092" s="2">
        <v>0.1351</v>
      </c>
      <c r="E7092" s="2">
        <v>-6.7550000000000002E-5</v>
      </c>
      <c r="F7092" s="2" t="s">
        <v>7</v>
      </c>
    </row>
    <row r="7093" spans="1:6" ht="22.5" hidden="1" customHeight="1" x14ac:dyDescent="0.25">
      <c r="A7093" s="3">
        <v>44440</v>
      </c>
      <c r="B7093" s="2" t="s">
        <v>125</v>
      </c>
      <c r="C7093" s="2">
        <v>2.4900000000000002</v>
      </c>
      <c r="D7093" s="2">
        <v>3.1399999999999997E-2</v>
      </c>
      <c r="E7093" s="2">
        <v>7.8186E-4</v>
      </c>
      <c r="F7093" s="2" t="s">
        <v>7</v>
      </c>
    </row>
    <row r="7094" spans="1:6" ht="22.5" hidden="1" customHeight="1" x14ac:dyDescent="0.25">
      <c r="A7094" s="3">
        <v>44440</v>
      </c>
      <c r="B7094" s="2" t="s">
        <v>126</v>
      </c>
      <c r="C7094" s="2">
        <v>1.37</v>
      </c>
      <c r="D7094" s="2">
        <v>0.31</v>
      </c>
      <c r="E7094" s="2">
        <v>4.2469999999999999E-3</v>
      </c>
      <c r="F7094" s="2" t="s">
        <v>7</v>
      </c>
    </row>
    <row r="7095" spans="1:6" ht="22.5" hidden="1" customHeight="1" x14ac:dyDescent="0.25">
      <c r="A7095" s="3">
        <v>44440</v>
      </c>
      <c r="B7095" s="2" t="s">
        <v>127</v>
      </c>
      <c r="C7095" s="2">
        <v>0.23</v>
      </c>
      <c r="D7095" s="2">
        <v>6.7400000000000002E-2</v>
      </c>
      <c r="E7095" s="2">
        <v>1.5501999999999999E-4</v>
      </c>
      <c r="F7095" s="2" t="s">
        <v>7</v>
      </c>
    </row>
    <row r="7096" spans="1:6" ht="22.5" hidden="1" customHeight="1" x14ac:dyDescent="0.25">
      <c r="A7096" s="3">
        <v>44440</v>
      </c>
      <c r="B7096" s="2" t="s">
        <v>128</v>
      </c>
      <c r="C7096" s="2">
        <v>2.4900000000000002</v>
      </c>
      <c r="D7096" s="2">
        <v>0.10440000000000001</v>
      </c>
      <c r="E7096" s="2">
        <v>2.5995599999999999E-3</v>
      </c>
      <c r="F7096" s="2" t="s">
        <v>7</v>
      </c>
    </row>
    <row r="7097" spans="1:6" ht="22.5" hidden="1" customHeight="1" x14ac:dyDescent="0.25">
      <c r="A7097" s="3">
        <v>44440</v>
      </c>
      <c r="B7097" s="2" t="s">
        <v>129</v>
      </c>
      <c r="C7097" s="2">
        <v>0.77</v>
      </c>
      <c r="D7097" s="2">
        <v>0.1245</v>
      </c>
      <c r="E7097" s="2">
        <v>9.5865000000000002E-4</v>
      </c>
      <c r="F7097" s="2" t="s">
        <v>7</v>
      </c>
    </row>
    <row r="7098" spans="1:6" ht="22.5" hidden="1" customHeight="1" x14ac:dyDescent="0.25">
      <c r="A7098" s="3">
        <v>44440</v>
      </c>
      <c r="B7098" s="2" t="s">
        <v>130</v>
      </c>
      <c r="C7098" s="2">
        <v>1.3</v>
      </c>
      <c r="D7098" s="2">
        <v>1.2800000000000001E-2</v>
      </c>
      <c r="E7098" s="2">
        <v>1.6640000000000001E-4</v>
      </c>
      <c r="F7098" s="2" t="s">
        <v>7</v>
      </c>
    </row>
    <row r="7099" spans="1:6" ht="22.5" hidden="1" customHeight="1" x14ac:dyDescent="0.25">
      <c r="A7099" s="3">
        <v>44440</v>
      </c>
      <c r="B7099" s="2" t="s">
        <v>131</v>
      </c>
      <c r="C7099" s="2">
        <v>-6.33</v>
      </c>
      <c r="D7099" s="2">
        <v>6.1800000000000001E-2</v>
      </c>
      <c r="E7099" s="2">
        <v>-3.91194E-3</v>
      </c>
      <c r="F7099" s="2" t="s">
        <v>7</v>
      </c>
    </row>
    <row r="7100" spans="1:6" ht="22.5" hidden="1" customHeight="1" x14ac:dyDescent="0.25">
      <c r="A7100" s="3">
        <v>44440</v>
      </c>
      <c r="B7100" s="2" t="s">
        <v>132</v>
      </c>
      <c r="C7100" s="2">
        <v>7.8</v>
      </c>
      <c r="D7100" s="2">
        <v>0.31230000000000002</v>
      </c>
      <c r="E7100" s="2">
        <v>2.43594E-2</v>
      </c>
      <c r="F7100" s="2" t="s">
        <v>7</v>
      </c>
    </row>
    <row r="7101" spans="1:6" ht="22.5" hidden="1" customHeight="1" x14ac:dyDescent="0.25">
      <c r="A7101" s="3">
        <v>44440</v>
      </c>
      <c r="B7101" s="2" t="s">
        <v>133</v>
      </c>
      <c r="C7101" s="2">
        <v>1.87</v>
      </c>
      <c r="D7101" s="2">
        <v>8.5000000000000006E-3</v>
      </c>
      <c r="E7101" s="2">
        <v>1.5894999999999999E-4</v>
      </c>
      <c r="F7101" s="2" t="s">
        <v>7</v>
      </c>
    </row>
    <row r="7102" spans="1:6" ht="22.5" hidden="1" customHeight="1" x14ac:dyDescent="0.25">
      <c r="A7102" s="3">
        <v>44440</v>
      </c>
      <c r="B7102" s="2" t="s">
        <v>134</v>
      </c>
      <c r="C7102" s="2">
        <v>1.28</v>
      </c>
      <c r="D7102" s="2">
        <v>0.49209999999999998</v>
      </c>
      <c r="E7102" s="2">
        <v>6.2988799999999998E-3</v>
      </c>
      <c r="F7102" s="2" t="s">
        <v>7</v>
      </c>
    </row>
    <row r="7103" spans="1:6" ht="22.5" hidden="1" customHeight="1" x14ac:dyDescent="0.25">
      <c r="A7103" s="3">
        <v>44440</v>
      </c>
      <c r="B7103" s="2" t="s">
        <v>135</v>
      </c>
      <c r="C7103" s="2">
        <v>-0.24</v>
      </c>
      <c r="D7103" s="2">
        <v>0.39760000000000001</v>
      </c>
      <c r="E7103" s="2">
        <v>-9.5423999999999997E-4</v>
      </c>
      <c r="F7103" s="2" t="s">
        <v>7</v>
      </c>
    </row>
    <row r="7104" spans="1:6" ht="22.5" hidden="1" customHeight="1" x14ac:dyDescent="0.25">
      <c r="A7104" s="3">
        <v>44440</v>
      </c>
      <c r="B7104" s="2" t="s">
        <v>136</v>
      </c>
      <c r="C7104" s="2">
        <v>-2.5299999999999998</v>
      </c>
      <c r="D7104" s="2">
        <v>3.73E-2</v>
      </c>
      <c r="E7104" s="2">
        <v>-9.4368999999999996E-4</v>
      </c>
      <c r="F7104" s="2" t="s">
        <v>7</v>
      </c>
    </row>
    <row r="7105" spans="1:6" ht="22.5" hidden="1" customHeight="1" x14ac:dyDescent="0.25">
      <c r="A7105" s="3">
        <v>44440</v>
      </c>
      <c r="B7105" s="2" t="s">
        <v>137</v>
      </c>
      <c r="C7105" s="2">
        <v>0.81</v>
      </c>
      <c r="D7105" s="2">
        <v>6.7299999999999999E-2</v>
      </c>
      <c r="E7105" s="2">
        <v>5.4513000000000001E-4</v>
      </c>
      <c r="F7105" s="2" t="s">
        <v>7</v>
      </c>
    </row>
    <row r="7106" spans="1:6" ht="22.5" hidden="1" customHeight="1" x14ac:dyDescent="0.25">
      <c r="A7106" s="3">
        <v>44440</v>
      </c>
      <c r="B7106" s="2" t="s">
        <v>138</v>
      </c>
      <c r="C7106" s="2">
        <v>-0.55000000000000004</v>
      </c>
      <c r="D7106" s="2">
        <v>4.6300000000000001E-2</v>
      </c>
      <c r="E7106" s="2">
        <v>-2.5464999999999998E-4</v>
      </c>
      <c r="F7106" s="2" t="s">
        <v>7</v>
      </c>
    </row>
    <row r="7107" spans="1:6" ht="22.5" hidden="1" customHeight="1" x14ac:dyDescent="0.25">
      <c r="A7107" s="3">
        <v>44440</v>
      </c>
      <c r="B7107" s="2" t="s">
        <v>139</v>
      </c>
      <c r="C7107" s="2">
        <v>-1.93</v>
      </c>
      <c r="D7107" s="2">
        <v>2.6800000000000001E-2</v>
      </c>
      <c r="E7107" s="2">
        <v>-5.1723999999999997E-4</v>
      </c>
      <c r="F7107" s="2" t="s">
        <v>7</v>
      </c>
    </row>
    <row r="7108" spans="1:6" ht="22.5" hidden="1" customHeight="1" x14ac:dyDescent="0.25">
      <c r="A7108" s="3">
        <v>44440</v>
      </c>
      <c r="B7108" s="2" t="s">
        <v>140</v>
      </c>
      <c r="C7108" s="2">
        <v>-0.12</v>
      </c>
      <c r="D7108" s="2">
        <v>2.3999999999999998E-3</v>
      </c>
      <c r="E7108" s="2">
        <v>-2.88E-6</v>
      </c>
      <c r="F7108" s="2" t="s">
        <v>7</v>
      </c>
    </row>
    <row r="7109" spans="1:6" ht="22.5" hidden="1" customHeight="1" x14ac:dyDescent="0.25">
      <c r="A7109" s="3">
        <v>44440</v>
      </c>
      <c r="B7109" s="2" t="s">
        <v>141</v>
      </c>
      <c r="C7109" s="2">
        <v>0.71</v>
      </c>
      <c r="D7109" s="2">
        <v>1.9900000000000001E-2</v>
      </c>
      <c r="E7109" s="2">
        <v>1.4129E-4</v>
      </c>
      <c r="F7109" s="2" t="s">
        <v>7</v>
      </c>
    </row>
    <row r="7110" spans="1:6" ht="22.5" hidden="1" customHeight="1" x14ac:dyDescent="0.25">
      <c r="A7110" s="3">
        <v>44440</v>
      </c>
      <c r="B7110" s="2" t="s">
        <v>142</v>
      </c>
      <c r="C7110" s="2">
        <v>-0.68</v>
      </c>
      <c r="D7110" s="2">
        <v>4.3E-3</v>
      </c>
      <c r="E7110" s="2">
        <v>-2.9240000000000001E-5</v>
      </c>
      <c r="F7110" s="2" t="s">
        <v>7</v>
      </c>
    </row>
    <row r="7111" spans="1:6" ht="22.5" hidden="1" customHeight="1" x14ac:dyDescent="0.25">
      <c r="A7111" s="3">
        <v>44440</v>
      </c>
      <c r="B7111" s="2" t="s">
        <v>143</v>
      </c>
      <c r="C7111" s="2">
        <v>1.1200000000000001</v>
      </c>
      <c r="D7111" s="2">
        <v>4.2200000000000001E-2</v>
      </c>
      <c r="E7111" s="2">
        <v>4.7263999999999997E-4</v>
      </c>
      <c r="F7111" s="2" t="s">
        <v>7</v>
      </c>
    </row>
    <row r="7112" spans="1:6" ht="22.5" hidden="1" customHeight="1" x14ac:dyDescent="0.25">
      <c r="A7112" s="3">
        <v>44440</v>
      </c>
      <c r="B7112" s="2" t="s">
        <v>144</v>
      </c>
      <c r="C7112" s="2">
        <v>-2.34</v>
      </c>
      <c r="D7112" s="2">
        <v>1.8E-3</v>
      </c>
      <c r="E7112" s="2">
        <v>-4.2120000000000003E-5</v>
      </c>
      <c r="F7112" s="2" t="s">
        <v>7</v>
      </c>
    </row>
    <row r="7113" spans="1:6" ht="22.5" hidden="1" customHeight="1" x14ac:dyDescent="0.25">
      <c r="A7113" s="3">
        <v>44440</v>
      </c>
      <c r="B7113" s="2" t="s">
        <v>145</v>
      </c>
      <c r="C7113" s="2">
        <v>5.15</v>
      </c>
      <c r="D7113" s="2">
        <v>1.5E-3</v>
      </c>
      <c r="E7113" s="2">
        <v>7.7249999999999994E-5</v>
      </c>
      <c r="F7113" s="2" t="s">
        <v>7</v>
      </c>
    </row>
    <row r="7114" spans="1:6" ht="22.5" hidden="1" customHeight="1" x14ac:dyDescent="0.25">
      <c r="A7114" s="3">
        <v>44440</v>
      </c>
      <c r="B7114" s="2" t="s">
        <v>146</v>
      </c>
      <c r="C7114" s="2">
        <v>0.47</v>
      </c>
      <c r="D7114" s="2">
        <v>3.3500000000000002E-2</v>
      </c>
      <c r="E7114" s="2">
        <v>1.5745000000000001E-4</v>
      </c>
      <c r="F7114" s="2" t="s">
        <v>7</v>
      </c>
    </row>
    <row r="7115" spans="1:6" ht="22.5" hidden="1" customHeight="1" x14ac:dyDescent="0.25">
      <c r="A7115" s="3">
        <v>44440</v>
      </c>
      <c r="B7115" s="2" t="s">
        <v>147</v>
      </c>
      <c r="C7115" s="2">
        <v>1.92</v>
      </c>
      <c r="D7115" s="2">
        <v>2.6499999999999999E-2</v>
      </c>
      <c r="E7115" s="2">
        <v>5.0880000000000001E-4</v>
      </c>
      <c r="F7115" s="2" t="s">
        <v>7</v>
      </c>
    </row>
    <row r="7116" spans="1:6" ht="22.5" hidden="1" customHeight="1" x14ac:dyDescent="0.25">
      <c r="A7116" s="3">
        <v>44440</v>
      </c>
      <c r="B7116" s="2" t="s">
        <v>148</v>
      </c>
      <c r="C7116" s="2">
        <v>0.55000000000000004</v>
      </c>
      <c r="D7116" s="2">
        <v>2.2499999999999999E-2</v>
      </c>
      <c r="E7116" s="2">
        <v>1.2375E-4</v>
      </c>
      <c r="F7116" s="2" t="s">
        <v>7</v>
      </c>
    </row>
    <row r="7117" spans="1:6" ht="22.5" hidden="1" customHeight="1" x14ac:dyDescent="0.25">
      <c r="A7117" s="3">
        <v>44440</v>
      </c>
      <c r="B7117" s="2" t="s">
        <v>149</v>
      </c>
      <c r="C7117" s="2">
        <v>-3.06</v>
      </c>
      <c r="D7117" s="2">
        <v>2.3999999999999998E-3</v>
      </c>
      <c r="E7117" s="2">
        <v>-7.3440000000000002E-5</v>
      </c>
      <c r="F7117" s="2" t="s">
        <v>7</v>
      </c>
    </row>
    <row r="7118" spans="1:6" ht="22.5" hidden="1" customHeight="1" x14ac:dyDescent="0.25">
      <c r="A7118" s="3">
        <v>44440</v>
      </c>
      <c r="B7118" s="2" t="s">
        <v>150</v>
      </c>
      <c r="C7118" s="2">
        <v>1.74</v>
      </c>
      <c r="D7118" s="2">
        <v>0.112</v>
      </c>
      <c r="E7118" s="2">
        <v>1.9488000000000001E-3</v>
      </c>
      <c r="F7118" s="2" t="s">
        <v>7</v>
      </c>
    </row>
    <row r="7119" spans="1:6" ht="22.5" hidden="1" customHeight="1" x14ac:dyDescent="0.25">
      <c r="A7119" s="3">
        <v>44440</v>
      </c>
      <c r="B7119" s="2" t="s">
        <v>151</v>
      </c>
      <c r="C7119" s="2">
        <v>-1.63</v>
      </c>
      <c r="D7119" s="2">
        <v>0.1118</v>
      </c>
      <c r="E7119" s="2">
        <v>-1.82234E-3</v>
      </c>
      <c r="F7119" s="2" t="s">
        <v>7</v>
      </c>
    </row>
    <row r="7120" spans="1:6" ht="22.5" hidden="1" customHeight="1" x14ac:dyDescent="0.25">
      <c r="A7120" s="3">
        <v>44440</v>
      </c>
      <c r="B7120" s="2" t="s">
        <v>152</v>
      </c>
      <c r="C7120" s="2">
        <v>0.73</v>
      </c>
      <c r="D7120" s="2">
        <v>3.0999999999999999E-3</v>
      </c>
      <c r="E7120" s="2">
        <v>2.2629999999999998E-5</v>
      </c>
      <c r="F7120" s="2" t="s">
        <v>7</v>
      </c>
    </row>
    <row r="7121" spans="1:6" ht="22.5" hidden="1" customHeight="1" x14ac:dyDescent="0.25">
      <c r="A7121" s="3">
        <v>44440</v>
      </c>
      <c r="B7121" s="2" t="s">
        <v>153</v>
      </c>
      <c r="C7121" s="2">
        <v>-2.02</v>
      </c>
      <c r="D7121" s="2">
        <v>8.9999999999999998E-4</v>
      </c>
      <c r="E7121" s="2">
        <v>-1.8179999999999999E-5</v>
      </c>
      <c r="F7121" s="2" t="s">
        <v>7</v>
      </c>
    </row>
    <row r="7122" spans="1:6" ht="22.5" hidden="1" customHeight="1" x14ac:dyDescent="0.25">
      <c r="A7122" s="3">
        <v>44440</v>
      </c>
      <c r="B7122" s="2" t="s">
        <v>154</v>
      </c>
      <c r="C7122" s="2">
        <v>2.79</v>
      </c>
      <c r="D7122" s="2">
        <v>1E-3</v>
      </c>
      <c r="E7122" s="2">
        <v>2.7900000000000001E-5</v>
      </c>
      <c r="F7122" s="2" t="s">
        <v>7</v>
      </c>
    </row>
    <row r="7123" spans="1:6" ht="22.5" hidden="1" customHeight="1" x14ac:dyDescent="0.25">
      <c r="A7123" s="3">
        <v>44440</v>
      </c>
      <c r="B7123" s="2" t="s">
        <v>155</v>
      </c>
      <c r="C7123" s="2">
        <v>-0.45</v>
      </c>
      <c r="D7123" s="2">
        <v>5.7999999999999996E-3</v>
      </c>
      <c r="E7123" s="2">
        <v>-2.6100000000000001E-5</v>
      </c>
      <c r="F7123" s="2" t="s">
        <v>7</v>
      </c>
    </row>
    <row r="7124" spans="1:6" ht="22.5" hidden="1" customHeight="1" x14ac:dyDescent="0.25">
      <c r="A7124" s="3">
        <v>44440</v>
      </c>
      <c r="B7124" s="2" t="s">
        <v>156</v>
      </c>
      <c r="C7124" s="2">
        <v>3.27</v>
      </c>
      <c r="D7124" s="2">
        <v>4.4999999999999998E-2</v>
      </c>
      <c r="E7124" s="2">
        <v>1.4714999999999999E-3</v>
      </c>
      <c r="F7124" s="2" t="s">
        <v>7</v>
      </c>
    </row>
    <row r="7125" spans="1:6" ht="22.5" hidden="1" customHeight="1" x14ac:dyDescent="0.25">
      <c r="A7125" s="3">
        <v>44440</v>
      </c>
      <c r="B7125" s="2" t="s">
        <v>157</v>
      </c>
      <c r="C7125" s="2">
        <v>-0.44</v>
      </c>
      <c r="D7125" s="2">
        <v>1.7399999999999999E-2</v>
      </c>
      <c r="E7125" s="2">
        <v>-7.6559999999999999E-5</v>
      </c>
      <c r="F7125" s="2" t="s">
        <v>7</v>
      </c>
    </row>
    <row r="7126" spans="1:6" ht="22.5" hidden="1" customHeight="1" x14ac:dyDescent="0.25">
      <c r="A7126" s="3">
        <v>44440</v>
      </c>
      <c r="B7126" s="2" t="s">
        <v>158</v>
      </c>
      <c r="C7126" s="2">
        <v>0.86</v>
      </c>
      <c r="D7126" s="2">
        <v>0.01</v>
      </c>
      <c r="E7126" s="2">
        <v>8.6000000000000003E-5</v>
      </c>
      <c r="F7126" s="2" t="s">
        <v>7</v>
      </c>
    </row>
    <row r="7127" spans="1:6" ht="22.5" hidden="1" customHeight="1" x14ac:dyDescent="0.25">
      <c r="A7127" s="3">
        <v>44440</v>
      </c>
      <c r="B7127" s="2" t="s">
        <v>159</v>
      </c>
      <c r="C7127" s="2">
        <v>2.15</v>
      </c>
      <c r="D7127" s="2">
        <v>5.3400000000000003E-2</v>
      </c>
      <c r="E7127" s="2">
        <v>1.1481E-3</v>
      </c>
      <c r="F7127" s="2" t="s">
        <v>7</v>
      </c>
    </row>
    <row r="7128" spans="1:6" ht="22.5" hidden="1" customHeight="1" x14ac:dyDescent="0.25">
      <c r="A7128" s="3">
        <v>44440</v>
      </c>
      <c r="B7128" s="2" t="s">
        <v>160</v>
      </c>
      <c r="C7128" s="2">
        <v>1.31</v>
      </c>
      <c r="D7128" s="2">
        <v>3.6707000000000001</v>
      </c>
      <c r="E7128" s="2">
        <v>4.8086169999999998E-2</v>
      </c>
      <c r="F7128" s="2" t="s">
        <v>7</v>
      </c>
    </row>
    <row r="7129" spans="1:6" ht="22.5" hidden="1" customHeight="1" x14ac:dyDescent="0.25">
      <c r="A7129" s="3">
        <v>44440</v>
      </c>
      <c r="B7129" s="2" t="s">
        <v>161</v>
      </c>
      <c r="C7129" s="2">
        <v>-0.46</v>
      </c>
      <c r="D7129" s="2">
        <v>1.7515000000000001</v>
      </c>
      <c r="E7129" s="2">
        <v>-8.0569000000000005E-3</v>
      </c>
      <c r="F7129" s="2" t="s">
        <v>7</v>
      </c>
    </row>
    <row r="7130" spans="1:6" ht="22.5" hidden="1" customHeight="1" x14ac:dyDescent="0.25">
      <c r="A7130" s="3">
        <v>44440</v>
      </c>
      <c r="B7130" s="2" t="s">
        <v>134</v>
      </c>
      <c r="C7130" s="2">
        <v>-0.36</v>
      </c>
      <c r="D7130" s="2">
        <v>0.12470000000000001</v>
      </c>
      <c r="E7130" s="2">
        <v>-4.4892E-4</v>
      </c>
      <c r="F7130" s="2" t="s">
        <v>7</v>
      </c>
    </row>
    <row r="7131" spans="1:6" ht="22.5" hidden="1" customHeight="1" x14ac:dyDescent="0.25">
      <c r="A7131" s="3">
        <v>44440</v>
      </c>
      <c r="B7131" s="2" t="s">
        <v>162</v>
      </c>
      <c r="C7131" s="2">
        <v>-0.36</v>
      </c>
      <c r="D7131" s="2">
        <v>4.1799999999999997E-2</v>
      </c>
      <c r="E7131" s="2">
        <v>-1.5048000000000001E-4</v>
      </c>
      <c r="F7131" s="2" t="s">
        <v>7</v>
      </c>
    </row>
    <row r="7132" spans="1:6" ht="22.5" hidden="1" customHeight="1" x14ac:dyDescent="0.25">
      <c r="A7132" s="3">
        <v>44440</v>
      </c>
      <c r="B7132" s="2" t="s">
        <v>135</v>
      </c>
      <c r="C7132" s="2">
        <v>0.3</v>
      </c>
      <c r="D7132" s="2">
        <v>0.2893</v>
      </c>
      <c r="E7132" s="2">
        <v>8.6790000000000001E-4</v>
      </c>
      <c r="F7132" s="2" t="s">
        <v>7</v>
      </c>
    </row>
    <row r="7133" spans="1:6" ht="22.5" hidden="1" customHeight="1" x14ac:dyDescent="0.25">
      <c r="A7133" s="3">
        <v>44440</v>
      </c>
      <c r="B7133" s="2" t="s">
        <v>136</v>
      </c>
      <c r="C7133" s="2">
        <v>0.17</v>
      </c>
      <c r="D7133" s="2">
        <v>4.1000000000000003E-3</v>
      </c>
      <c r="E7133" s="2">
        <v>6.9700000000000002E-6</v>
      </c>
      <c r="F7133" s="2" t="s">
        <v>7</v>
      </c>
    </row>
    <row r="7134" spans="1:6" ht="22.5" hidden="1" customHeight="1" x14ac:dyDescent="0.25">
      <c r="A7134" s="3">
        <v>44440</v>
      </c>
      <c r="B7134" s="2" t="s">
        <v>137</v>
      </c>
      <c r="C7134" s="2">
        <v>1.08</v>
      </c>
      <c r="D7134" s="2">
        <v>1.04E-2</v>
      </c>
      <c r="E7134" s="2">
        <v>1.1232E-4</v>
      </c>
      <c r="F7134" s="2" t="s">
        <v>7</v>
      </c>
    </row>
    <row r="7135" spans="1:6" ht="22.5" hidden="1" customHeight="1" x14ac:dyDescent="0.25">
      <c r="A7135" s="3">
        <v>44440</v>
      </c>
      <c r="B7135" s="2" t="s">
        <v>163</v>
      </c>
      <c r="C7135" s="2">
        <v>1.03</v>
      </c>
      <c r="D7135" s="2">
        <v>4.4000000000000003E-3</v>
      </c>
      <c r="E7135" s="2">
        <v>4.532E-5</v>
      </c>
      <c r="F7135" s="2" t="s">
        <v>7</v>
      </c>
    </row>
    <row r="7136" spans="1:6" ht="22.5" hidden="1" customHeight="1" x14ac:dyDescent="0.25">
      <c r="A7136" s="3">
        <v>44440</v>
      </c>
      <c r="B7136" s="2" t="s">
        <v>34</v>
      </c>
      <c r="C7136" s="2">
        <v>1.1000000000000001</v>
      </c>
      <c r="D7136" s="2">
        <v>5.1900000000000002E-2</v>
      </c>
      <c r="E7136" s="2">
        <v>5.7090000000000005E-4</v>
      </c>
      <c r="F7136" s="2" t="s">
        <v>7</v>
      </c>
    </row>
    <row r="7137" spans="1:6" ht="22.5" hidden="1" customHeight="1" x14ac:dyDescent="0.25">
      <c r="A7137" s="3">
        <v>44440</v>
      </c>
      <c r="B7137" s="2" t="s">
        <v>164</v>
      </c>
      <c r="C7137" s="2">
        <v>1</v>
      </c>
      <c r="D7137" s="2">
        <v>3.7042999999999999</v>
      </c>
      <c r="E7137" s="2">
        <v>3.7043E-2</v>
      </c>
      <c r="F7137" s="2" t="s">
        <v>165</v>
      </c>
    </row>
    <row r="7138" spans="1:6" ht="22.5" hidden="1" customHeight="1" x14ac:dyDescent="0.25">
      <c r="A7138" s="3">
        <v>44440</v>
      </c>
      <c r="B7138" s="2" t="s">
        <v>166</v>
      </c>
      <c r="C7138" s="2">
        <v>-0.53</v>
      </c>
      <c r="D7138" s="2">
        <v>2.2722000000000002</v>
      </c>
      <c r="E7138" s="2">
        <v>-1.204266E-2</v>
      </c>
      <c r="F7138" s="2" t="s">
        <v>165</v>
      </c>
    </row>
    <row r="7139" spans="1:6" ht="22.5" hidden="1" customHeight="1" x14ac:dyDescent="0.25">
      <c r="A7139" s="3">
        <v>44166</v>
      </c>
      <c r="B7139" s="2" t="s">
        <v>293</v>
      </c>
      <c r="C7139" s="2">
        <v>-0.19</v>
      </c>
      <c r="D7139" s="2">
        <v>0.16850000000000001</v>
      </c>
      <c r="E7139" s="2">
        <v>-3.2015E-4</v>
      </c>
      <c r="F7139" s="2" t="s">
        <v>168</v>
      </c>
    </row>
    <row r="7140" spans="1:6" ht="22.5" hidden="1" customHeight="1" x14ac:dyDescent="0.25">
      <c r="A7140" s="3">
        <v>44440</v>
      </c>
      <c r="B7140" s="2" t="s">
        <v>169</v>
      </c>
      <c r="C7140" s="2">
        <v>2.14</v>
      </c>
      <c r="D7140" s="2">
        <v>1.14E-2</v>
      </c>
      <c r="E7140" s="2">
        <v>2.4395999999999999E-4</v>
      </c>
      <c r="F7140" s="2" t="s">
        <v>170</v>
      </c>
    </row>
    <row r="7141" spans="1:6" ht="22.5" hidden="1" customHeight="1" x14ac:dyDescent="0.25">
      <c r="A7141" s="3">
        <v>44440</v>
      </c>
      <c r="B7141" s="2" t="s">
        <v>171</v>
      </c>
      <c r="C7141" s="2">
        <v>0.03</v>
      </c>
      <c r="D7141" s="2">
        <v>1.41E-2</v>
      </c>
      <c r="E7141" s="2">
        <v>4.2300000000000002E-6</v>
      </c>
      <c r="F7141" s="2" t="s">
        <v>170</v>
      </c>
    </row>
    <row r="7142" spans="1:6" ht="22.5" hidden="1" customHeight="1" x14ac:dyDescent="0.25">
      <c r="A7142" s="3">
        <v>44440</v>
      </c>
      <c r="B7142" s="2" t="s">
        <v>172</v>
      </c>
      <c r="C7142" s="2">
        <v>0.26</v>
      </c>
      <c r="D7142" s="2">
        <v>3.3999999999999998E-3</v>
      </c>
      <c r="E7142" s="2">
        <v>8.8400000000000001E-6</v>
      </c>
      <c r="F7142" s="2" t="s">
        <v>170</v>
      </c>
    </row>
    <row r="7143" spans="1:6" ht="22.5" hidden="1" customHeight="1" x14ac:dyDescent="0.25">
      <c r="A7143" s="3">
        <v>44440</v>
      </c>
      <c r="B7143" s="2" t="s">
        <v>173</v>
      </c>
      <c r="C7143" s="2">
        <v>1.82</v>
      </c>
      <c r="D7143" s="2">
        <v>0.26790000000000003</v>
      </c>
      <c r="E7143" s="2">
        <v>4.8757799999999997E-3</v>
      </c>
      <c r="F7143" s="2" t="s">
        <v>174</v>
      </c>
    </row>
    <row r="7144" spans="1:6" ht="22.5" hidden="1" customHeight="1" x14ac:dyDescent="0.25">
      <c r="A7144" s="3">
        <v>44440</v>
      </c>
      <c r="B7144" s="2" t="s">
        <v>175</v>
      </c>
      <c r="C7144" s="2">
        <v>3.55</v>
      </c>
      <c r="D7144" s="2">
        <v>0.2656</v>
      </c>
      <c r="E7144" s="2">
        <v>9.4287999999999993E-3</v>
      </c>
      <c r="F7144" s="2" t="s">
        <v>174</v>
      </c>
    </row>
    <row r="7145" spans="1:6" ht="22.5" hidden="1" customHeight="1" x14ac:dyDescent="0.25">
      <c r="A7145" s="3">
        <v>44440</v>
      </c>
      <c r="B7145" s="2" t="s">
        <v>176</v>
      </c>
      <c r="C7145" s="2">
        <v>0.4</v>
      </c>
      <c r="D7145" s="2">
        <v>1.34E-2</v>
      </c>
      <c r="E7145" s="2">
        <v>5.3600000000000002E-5</v>
      </c>
      <c r="F7145" s="2" t="s">
        <v>170</v>
      </c>
    </row>
    <row r="7146" spans="1:6" ht="22.5" hidden="1" customHeight="1" x14ac:dyDescent="0.25">
      <c r="A7146" s="3">
        <v>44440</v>
      </c>
      <c r="B7146" s="2" t="s">
        <v>177</v>
      </c>
      <c r="C7146" s="2">
        <v>0.03</v>
      </c>
      <c r="D7146" s="2">
        <v>2.2800000000000001E-2</v>
      </c>
      <c r="E7146" s="2">
        <v>6.8399999999999997E-6</v>
      </c>
      <c r="F7146" s="2" t="s">
        <v>170</v>
      </c>
    </row>
    <row r="7147" spans="1:6" ht="22.5" hidden="1" customHeight="1" x14ac:dyDescent="0.25">
      <c r="A7147" s="3">
        <v>44440</v>
      </c>
      <c r="B7147" s="2" t="s">
        <v>178</v>
      </c>
      <c r="C7147" s="2">
        <v>0.34</v>
      </c>
      <c r="D7147" s="2">
        <v>2.06E-2</v>
      </c>
      <c r="E7147" s="2">
        <v>7.004E-5</v>
      </c>
      <c r="F7147" s="2" t="s">
        <v>170</v>
      </c>
    </row>
    <row r="7148" spans="1:6" ht="22.5" hidden="1" customHeight="1" x14ac:dyDescent="0.25">
      <c r="A7148" s="3">
        <v>44440</v>
      </c>
      <c r="B7148" s="2" t="s">
        <v>179</v>
      </c>
      <c r="C7148" s="2">
        <v>-0.26</v>
      </c>
      <c r="D7148" s="2">
        <v>4.8099999999999997E-2</v>
      </c>
      <c r="E7148" s="2">
        <v>-1.2506E-4</v>
      </c>
      <c r="F7148" s="2" t="s">
        <v>170</v>
      </c>
    </row>
    <row r="7149" spans="1:6" ht="22.5" hidden="1" customHeight="1" x14ac:dyDescent="0.25">
      <c r="A7149" s="3">
        <v>44440</v>
      </c>
      <c r="B7149" s="2" t="s">
        <v>180</v>
      </c>
      <c r="C7149" s="2">
        <v>0.21</v>
      </c>
      <c r="D7149" s="2">
        <v>0.61319999999999997</v>
      </c>
      <c r="E7149" s="2">
        <v>1.28772E-3</v>
      </c>
      <c r="F7149" s="2" t="s">
        <v>165</v>
      </c>
    </row>
    <row r="7150" spans="1:6" ht="22.5" hidden="1" customHeight="1" x14ac:dyDescent="0.25">
      <c r="A7150" s="3">
        <v>44440</v>
      </c>
      <c r="B7150" s="2" t="s">
        <v>181</v>
      </c>
      <c r="C7150" s="2">
        <v>2.02</v>
      </c>
      <c r="D7150" s="2">
        <v>1.32E-2</v>
      </c>
      <c r="E7150" s="2">
        <v>2.6664000000000001E-4</v>
      </c>
      <c r="F7150" s="2" t="s">
        <v>174</v>
      </c>
    </row>
    <row r="7151" spans="1:6" ht="22.5" hidden="1" customHeight="1" x14ac:dyDescent="0.25">
      <c r="A7151" s="3">
        <v>44440</v>
      </c>
      <c r="B7151" s="2" t="s">
        <v>182</v>
      </c>
      <c r="C7151" s="2">
        <v>0.54</v>
      </c>
      <c r="D7151" s="2">
        <v>4.24E-2</v>
      </c>
      <c r="E7151" s="2">
        <v>2.2896E-4</v>
      </c>
      <c r="F7151" s="2" t="s">
        <v>170</v>
      </c>
    </row>
    <row r="7152" spans="1:6" ht="22.5" hidden="1" customHeight="1" x14ac:dyDescent="0.25">
      <c r="A7152" s="3">
        <v>44440</v>
      </c>
      <c r="B7152" s="2" t="s">
        <v>183</v>
      </c>
      <c r="C7152" s="2">
        <v>-2.09</v>
      </c>
      <c r="D7152" s="2">
        <v>4.0000000000000001E-3</v>
      </c>
      <c r="E7152" s="2">
        <v>-8.3599999999999999E-5</v>
      </c>
      <c r="F7152" s="2" t="s">
        <v>174</v>
      </c>
    </row>
    <row r="7153" spans="1:6" ht="22.5" hidden="1" customHeight="1" x14ac:dyDescent="0.25">
      <c r="A7153" s="3">
        <v>44440</v>
      </c>
      <c r="B7153" s="2" t="s">
        <v>184</v>
      </c>
      <c r="C7153" s="2">
        <v>1.23</v>
      </c>
      <c r="D7153" s="2">
        <v>6.4699999999999994E-2</v>
      </c>
      <c r="E7153" s="2">
        <v>7.9580999999999999E-4</v>
      </c>
      <c r="F7153" s="2" t="s">
        <v>174</v>
      </c>
    </row>
    <row r="7154" spans="1:6" ht="22.5" hidden="1" customHeight="1" x14ac:dyDescent="0.25">
      <c r="A7154" s="3">
        <v>44440</v>
      </c>
      <c r="B7154" s="2" t="s">
        <v>185</v>
      </c>
      <c r="C7154" s="2">
        <v>-0.06</v>
      </c>
      <c r="D7154" s="2">
        <v>0.15429999999999999</v>
      </c>
      <c r="E7154" s="2">
        <v>-9.2579999999999998E-5</v>
      </c>
      <c r="F7154" s="2" t="s">
        <v>174</v>
      </c>
    </row>
    <row r="7155" spans="1:6" ht="22.5" hidden="1" customHeight="1" x14ac:dyDescent="0.25">
      <c r="A7155" s="3">
        <v>44440</v>
      </c>
      <c r="B7155" s="2" t="s">
        <v>186</v>
      </c>
      <c r="C7155" s="2">
        <v>-0.24</v>
      </c>
      <c r="D7155" s="2">
        <v>0.21460000000000001</v>
      </c>
      <c r="E7155" s="2">
        <v>-5.1504000000000003E-4</v>
      </c>
      <c r="F7155" s="2" t="s">
        <v>174</v>
      </c>
    </row>
    <row r="7156" spans="1:6" ht="22.5" hidden="1" customHeight="1" x14ac:dyDescent="0.25">
      <c r="A7156" s="3">
        <v>44440</v>
      </c>
      <c r="B7156" s="2" t="s">
        <v>187</v>
      </c>
      <c r="C7156" s="2">
        <v>1.1100000000000001</v>
      </c>
      <c r="D7156" s="2">
        <v>5.8700000000000002E-2</v>
      </c>
      <c r="E7156" s="2">
        <v>6.5156999999999997E-4</v>
      </c>
      <c r="F7156" s="2" t="s">
        <v>174</v>
      </c>
    </row>
    <row r="7157" spans="1:6" ht="22.5" hidden="1" customHeight="1" x14ac:dyDescent="0.25">
      <c r="A7157" s="3">
        <v>44440</v>
      </c>
      <c r="B7157" s="2" t="s">
        <v>188</v>
      </c>
      <c r="C7157" s="2">
        <v>-0.05</v>
      </c>
      <c r="D7157" s="2">
        <v>2.86E-2</v>
      </c>
      <c r="E7157" s="2">
        <v>-1.43E-5</v>
      </c>
      <c r="F7157" s="2" t="s">
        <v>174</v>
      </c>
    </row>
    <row r="7158" spans="1:6" ht="22.5" hidden="1" customHeight="1" x14ac:dyDescent="0.25">
      <c r="A7158" s="3">
        <v>44440</v>
      </c>
      <c r="B7158" s="2" t="s">
        <v>189</v>
      </c>
      <c r="C7158" s="2">
        <v>2.5099999999999998</v>
      </c>
      <c r="D7158" s="2">
        <v>3.8E-3</v>
      </c>
      <c r="E7158" s="2">
        <v>9.5379999999999998E-5</v>
      </c>
      <c r="F7158" s="2" t="s">
        <v>174</v>
      </c>
    </row>
    <row r="7159" spans="1:6" ht="22.5" hidden="1" customHeight="1" x14ac:dyDescent="0.25">
      <c r="A7159" s="3">
        <v>44440</v>
      </c>
      <c r="B7159" s="2" t="s">
        <v>190</v>
      </c>
      <c r="C7159" s="2">
        <v>2.67</v>
      </c>
      <c r="D7159" s="2">
        <v>4.8999999999999998E-3</v>
      </c>
      <c r="E7159" s="2">
        <v>1.3082999999999999E-4</v>
      </c>
      <c r="F7159" s="2" t="s">
        <v>174</v>
      </c>
    </row>
    <row r="7160" spans="1:6" ht="22.5" hidden="1" customHeight="1" x14ac:dyDescent="0.25">
      <c r="A7160" s="3">
        <v>44440</v>
      </c>
      <c r="B7160" s="2" t="s">
        <v>191</v>
      </c>
      <c r="C7160" s="2">
        <v>0.05</v>
      </c>
      <c r="D7160" s="2">
        <v>2.75E-2</v>
      </c>
      <c r="E7160" s="2">
        <v>1.375E-5</v>
      </c>
      <c r="F7160" s="2" t="s">
        <v>174</v>
      </c>
    </row>
    <row r="7161" spans="1:6" ht="22.5" hidden="1" customHeight="1" x14ac:dyDescent="0.25">
      <c r="A7161" s="3">
        <v>44440</v>
      </c>
      <c r="B7161" s="2" t="s">
        <v>192</v>
      </c>
      <c r="C7161" s="2">
        <v>-2.4500000000000002</v>
      </c>
      <c r="D7161" s="2">
        <v>5.1000000000000004E-3</v>
      </c>
      <c r="E7161" s="2">
        <v>-1.2495E-4</v>
      </c>
      <c r="F7161" s="2" t="s">
        <v>174</v>
      </c>
    </row>
    <row r="7162" spans="1:6" ht="22.5" hidden="1" customHeight="1" x14ac:dyDescent="0.25">
      <c r="A7162" s="3">
        <v>44440</v>
      </c>
      <c r="B7162" s="2" t="s">
        <v>193</v>
      </c>
      <c r="C7162" s="2">
        <v>0.92</v>
      </c>
      <c r="D7162" s="2">
        <v>0.16270000000000001</v>
      </c>
      <c r="E7162" s="2">
        <v>1.4968399999999999E-3</v>
      </c>
      <c r="F7162" s="2" t="s">
        <v>174</v>
      </c>
    </row>
    <row r="7163" spans="1:6" ht="22.5" hidden="1" customHeight="1" x14ac:dyDescent="0.25">
      <c r="A7163" s="3">
        <v>44440</v>
      </c>
      <c r="B7163" s="2" t="s">
        <v>194</v>
      </c>
      <c r="C7163" s="2">
        <v>-0.41</v>
      </c>
      <c r="D7163" s="2">
        <v>3.3E-3</v>
      </c>
      <c r="E7163" s="2">
        <v>-1.3529999999999999E-5</v>
      </c>
      <c r="F7163" s="2" t="s">
        <v>174</v>
      </c>
    </row>
    <row r="7164" spans="1:6" ht="22.5" hidden="1" customHeight="1" x14ac:dyDescent="0.25">
      <c r="A7164" s="3">
        <v>44470</v>
      </c>
      <c r="B7164" s="2" t="s">
        <v>294</v>
      </c>
      <c r="C7164" s="2">
        <v>-0.25</v>
      </c>
      <c r="D7164" s="2">
        <v>0.13100000000000001</v>
      </c>
      <c r="E7164" s="2">
        <v>-3.2749999999999999E-4</v>
      </c>
      <c r="F7164" s="2" t="s">
        <v>168</v>
      </c>
    </row>
    <row r="7165" spans="1:6" ht="22.5" hidden="1" customHeight="1" x14ac:dyDescent="0.25">
      <c r="A7165" s="3">
        <v>44501</v>
      </c>
      <c r="B7165" s="2" t="s">
        <v>295</v>
      </c>
      <c r="C7165" s="2">
        <v>-0.16</v>
      </c>
      <c r="D7165" s="2">
        <v>0.2114</v>
      </c>
      <c r="E7165" s="2">
        <v>-3.3824000000000001E-4</v>
      </c>
      <c r="F7165" s="2" t="s">
        <v>168</v>
      </c>
    </row>
    <row r="7166" spans="1:6" ht="22.5" hidden="1" customHeight="1" x14ac:dyDescent="0.25">
      <c r="A7166" s="3">
        <v>44197</v>
      </c>
      <c r="B7166" s="2" t="s">
        <v>301</v>
      </c>
      <c r="C7166" s="2">
        <v>-0.24</v>
      </c>
      <c r="D7166" s="2">
        <v>0.14610000000000001</v>
      </c>
      <c r="E7166" s="2">
        <v>-3.5063999999999999E-4</v>
      </c>
      <c r="F7166" s="2" t="s">
        <v>168</v>
      </c>
    </row>
    <row r="7167" spans="1:6" ht="22.5" hidden="1" customHeight="1" x14ac:dyDescent="0.25">
      <c r="A7167" s="3">
        <v>44440</v>
      </c>
      <c r="B7167" s="2" t="s">
        <v>198</v>
      </c>
      <c r="C7167" s="2">
        <v>1.24</v>
      </c>
      <c r="D7167" s="2">
        <v>0.34029999999999999</v>
      </c>
      <c r="E7167" s="2">
        <v>4.2197199999999997E-3</v>
      </c>
      <c r="F7167" s="2" t="s">
        <v>170</v>
      </c>
    </row>
    <row r="7168" spans="1:6" ht="22.5" hidden="1" customHeight="1" x14ac:dyDescent="0.25">
      <c r="A7168" s="3">
        <v>44440</v>
      </c>
      <c r="B7168" s="2" t="s">
        <v>199</v>
      </c>
      <c r="C7168" s="2">
        <v>0.94</v>
      </c>
      <c r="D7168" s="2">
        <v>0.48549999999999999</v>
      </c>
      <c r="E7168" s="2">
        <v>4.5637000000000004E-3</v>
      </c>
      <c r="F7168" s="2" t="s">
        <v>170</v>
      </c>
    </row>
    <row r="7169" spans="1:6" ht="22.5" hidden="1" customHeight="1" x14ac:dyDescent="0.25">
      <c r="A7169" s="3">
        <v>44440</v>
      </c>
      <c r="B7169" s="2" t="s">
        <v>200</v>
      </c>
      <c r="C7169" s="2">
        <v>0.72</v>
      </c>
      <c r="D7169" s="2">
        <v>0.19089999999999999</v>
      </c>
      <c r="E7169" s="2">
        <v>1.37448E-3</v>
      </c>
      <c r="F7169" s="2" t="s">
        <v>170</v>
      </c>
    </row>
    <row r="7170" spans="1:6" ht="22.5" hidden="1" customHeight="1" x14ac:dyDescent="0.25">
      <c r="A7170" s="3">
        <v>44440</v>
      </c>
      <c r="B7170" s="2" t="s">
        <v>201</v>
      </c>
      <c r="C7170" s="2">
        <v>1.1000000000000001</v>
      </c>
      <c r="D7170" s="2">
        <v>2.47E-2</v>
      </c>
      <c r="E7170" s="2">
        <v>2.7169999999999999E-4</v>
      </c>
      <c r="F7170" s="2" t="s">
        <v>170</v>
      </c>
    </row>
    <row r="7171" spans="1:6" ht="22.5" hidden="1" customHeight="1" x14ac:dyDescent="0.25">
      <c r="A7171" s="3">
        <v>44440</v>
      </c>
      <c r="B7171" s="2" t="s">
        <v>202</v>
      </c>
      <c r="C7171" s="2">
        <v>1.25</v>
      </c>
      <c r="D7171" s="2">
        <v>1.7100000000000001E-2</v>
      </c>
      <c r="E7171" s="2">
        <v>2.1374999999999999E-4</v>
      </c>
      <c r="F7171" s="2" t="s">
        <v>170</v>
      </c>
    </row>
    <row r="7172" spans="1:6" ht="22.5" hidden="1" customHeight="1" x14ac:dyDescent="0.25">
      <c r="A7172" s="3">
        <v>44440</v>
      </c>
      <c r="B7172" s="2" t="s">
        <v>203</v>
      </c>
      <c r="C7172" s="2">
        <v>0.62</v>
      </c>
      <c r="D7172" s="2">
        <v>7.9100000000000004E-2</v>
      </c>
      <c r="E7172" s="2">
        <v>4.9041999999999998E-4</v>
      </c>
      <c r="F7172" s="2" t="s">
        <v>170</v>
      </c>
    </row>
    <row r="7173" spans="1:6" ht="22.5" hidden="1" customHeight="1" x14ac:dyDescent="0.25">
      <c r="A7173" s="3">
        <v>44440</v>
      </c>
      <c r="B7173" s="2" t="s">
        <v>204</v>
      </c>
      <c r="C7173" s="2">
        <v>0.72</v>
      </c>
      <c r="D7173" s="2">
        <v>5.9299999999999999E-2</v>
      </c>
      <c r="E7173" s="2">
        <v>4.2695999999999999E-4</v>
      </c>
      <c r="F7173" s="2" t="s">
        <v>174</v>
      </c>
    </row>
    <row r="7174" spans="1:6" ht="22.5" hidden="1" customHeight="1" x14ac:dyDescent="0.25">
      <c r="A7174" s="3">
        <v>44440</v>
      </c>
      <c r="B7174" s="2" t="s">
        <v>205</v>
      </c>
      <c r="C7174" s="2">
        <v>0.33</v>
      </c>
      <c r="D7174" s="2">
        <v>9.5600000000000004E-2</v>
      </c>
      <c r="E7174" s="2">
        <v>3.1547999999999998E-4</v>
      </c>
      <c r="F7174" s="2" t="s">
        <v>174</v>
      </c>
    </row>
    <row r="7175" spans="1:6" ht="22.5" hidden="1" customHeight="1" x14ac:dyDescent="0.25">
      <c r="A7175" s="3">
        <v>44440</v>
      </c>
      <c r="B7175" s="2" t="s">
        <v>206</v>
      </c>
      <c r="C7175" s="2">
        <v>0.57999999999999996</v>
      </c>
      <c r="D7175" s="2">
        <v>0.1628</v>
      </c>
      <c r="E7175" s="2">
        <v>9.4424000000000005E-4</v>
      </c>
      <c r="F7175" s="2" t="s">
        <v>174</v>
      </c>
    </row>
    <row r="7176" spans="1:6" ht="22.5" hidden="1" customHeight="1" x14ac:dyDescent="0.25">
      <c r="A7176" s="3">
        <v>44440</v>
      </c>
      <c r="B7176" s="2" t="s">
        <v>207</v>
      </c>
      <c r="C7176" s="2">
        <v>-0.14000000000000001</v>
      </c>
      <c r="D7176" s="2">
        <v>4.9799999999999997E-2</v>
      </c>
      <c r="E7176" s="2">
        <v>-6.9720000000000003E-5</v>
      </c>
      <c r="F7176" s="2" t="s">
        <v>174</v>
      </c>
    </row>
    <row r="7177" spans="1:6" ht="22.5" hidden="1" customHeight="1" x14ac:dyDescent="0.25">
      <c r="A7177" s="3">
        <v>44440</v>
      </c>
      <c r="B7177" s="2" t="s">
        <v>208</v>
      </c>
      <c r="C7177" s="2">
        <v>0.05</v>
      </c>
      <c r="D7177" s="2">
        <v>8.8000000000000005E-3</v>
      </c>
      <c r="E7177" s="2">
        <v>4.4000000000000002E-6</v>
      </c>
      <c r="F7177" s="2" t="s">
        <v>174</v>
      </c>
    </row>
    <row r="7178" spans="1:6" ht="22.5" hidden="1" customHeight="1" x14ac:dyDescent="0.25">
      <c r="A7178" s="3">
        <v>44440</v>
      </c>
      <c r="B7178" s="2" t="s">
        <v>209</v>
      </c>
      <c r="C7178" s="2">
        <v>1.32</v>
      </c>
      <c r="D7178" s="2">
        <v>6.1999999999999998E-3</v>
      </c>
      <c r="E7178" s="2">
        <v>8.1840000000000002E-5</v>
      </c>
      <c r="F7178" s="2" t="s">
        <v>174</v>
      </c>
    </row>
    <row r="7179" spans="1:6" ht="22.5" hidden="1" customHeight="1" x14ac:dyDescent="0.25">
      <c r="A7179" s="3">
        <v>44440</v>
      </c>
      <c r="B7179" s="2" t="s">
        <v>210</v>
      </c>
      <c r="C7179" s="2">
        <v>0.28999999999999998</v>
      </c>
      <c r="D7179" s="2">
        <v>1.4200000000000001E-2</v>
      </c>
      <c r="E7179" s="2">
        <v>4.1180000000000002E-5</v>
      </c>
      <c r="F7179" s="2" t="s">
        <v>170</v>
      </c>
    </row>
    <row r="7180" spans="1:6" ht="22.5" hidden="1" customHeight="1" x14ac:dyDescent="0.25">
      <c r="A7180" s="3">
        <v>44440</v>
      </c>
      <c r="B7180" s="2" t="s">
        <v>211</v>
      </c>
      <c r="C7180" s="2">
        <v>1.53</v>
      </c>
      <c r="D7180" s="2">
        <v>0.19750000000000001</v>
      </c>
      <c r="E7180" s="2">
        <v>3.0217500000000001E-3</v>
      </c>
      <c r="F7180" s="2" t="s">
        <v>174</v>
      </c>
    </row>
    <row r="7181" spans="1:6" ht="22.5" hidden="1" customHeight="1" x14ac:dyDescent="0.25">
      <c r="A7181" s="3">
        <v>44440</v>
      </c>
      <c r="B7181" s="2" t="s">
        <v>212</v>
      </c>
      <c r="C7181" s="2">
        <v>0.46</v>
      </c>
      <c r="D7181" s="2">
        <v>4.4000000000000003E-3</v>
      </c>
      <c r="E7181" s="2">
        <v>2.0239999999999999E-5</v>
      </c>
      <c r="F7181" s="2" t="s">
        <v>174</v>
      </c>
    </row>
    <row r="7182" spans="1:6" ht="22.5" hidden="1" customHeight="1" x14ac:dyDescent="0.25">
      <c r="A7182" s="3">
        <v>44440</v>
      </c>
      <c r="B7182" s="2" t="s">
        <v>213</v>
      </c>
      <c r="C7182" s="2">
        <v>1.77</v>
      </c>
      <c r="D7182" s="2">
        <v>0.35270000000000001</v>
      </c>
      <c r="E7182" s="2">
        <v>6.2427899999999998E-3</v>
      </c>
      <c r="F7182" s="2" t="s">
        <v>170</v>
      </c>
    </row>
    <row r="7183" spans="1:6" ht="22.5" hidden="1" customHeight="1" x14ac:dyDescent="0.25">
      <c r="A7183" s="3">
        <v>44440</v>
      </c>
      <c r="B7183" s="2" t="s">
        <v>214</v>
      </c>
      <c r="C7183" s="2">
        <v>1.41</v>
      </c>
      <c r="D7183" s="2">
        <v>0.1008</v>
      </c>
      <c r="E7183" s="2">
        <v>1.42128E-3</v>
      </c>
      <c r="F7183" s="2" t="s">
        <v>170</v>
      </c>
    </row>
    <row r="7184" spans="1:6" ht="22.5" hidden="1" customHeight="1" x14ac:dyDescent="0.25">
      <c r="A7184" s="3">
        <v>44440</v>
      </c>
      <c r="B7184" s="2" t="s">
        <v>215</v>
      </c>
      <c r="C7184" s="2">
        <v>3.32</v>
      </c>
      <c r="D7184" s="2">
        <v>0.248</v>
      </c>
      <c r="E7184" s="2">
        <v>8.2336000000000006E-3</v>
      </c>
      <c r="F7184" s="2" t="s">
        <v>170</v>
      </c>
    </row>
    <row r="7185" spans="1:6" ht="22.5" hidden="1" customHeight="1" x14ac:dyDescent="0.25">
      <c r="A7185" s="3">
        <v>44440</v>
      </c>
      <c r="B7185" s="2" t="s">
        <v>216</v>
      </c>
      <c r="C7185" s="2">
        <v>1.39</v>
      </c>
      <c r="D7185" s="2">
        <v>1.43E-2</v>
      </c>
      <c r="E7185" s="2">
        <v>1.9877E-4</v>
      </c>
      <c r="F7185" s="2" t="s">
        <v>170</v>
      </c>
    </row>
    <row r="7186" spans="1:6" ht="22.5" hidden="1" customHeight="1" x14ac:dyDescent="0.25">
      <c r="A7186" s="3">
        <v>44440</v>
      </c>
      <c r="B7186" s="2" t="s">
        <v>217</v>
      </c>
      <c r="C7186" s="2">
        <v>2.29</v>
      </c>
      <c r="D7186" s="2">
        <v>0.16650000000000001</v>
      </c>
      <c r="E7186" s="2">
        <v>3.81285E-3</v>
      </c>
      <c r="F7186" s="2" t="s">
        <v>170</v>
      </c>
    </row>
    <row r="7187" spans="1:6" ht="22.5" hidden="1" customHeight="1" x14ac:dyDescent="0.25">
      <c r="A7187" s="3">
        <v>44440</v>
      </c>
      <c r="B7187" s="2" t="s">
        <v>218</v>
      </c>
      <c r="C7187" s="2">
        <v>1.23</v>
      </c>
      <c r="D7187" s="2">
        <v>7.7000000000000002E-3</v>
      </c>
      <c r="E7187" s="2">
        <v>9.4710000000000006E-5</v>
      </c>
      <c r="F7187" s="2" t="s">
        <v>170</v>
      </c>
    </row>
    <row r="7188" spans="1:6" ht="22.5" hidden="1" customHeight="1" x14ac:dyDescent="0.25">
      <c r="A7188" s="3">
        <v>44440</v>
      </c>
      <c r="B7188" s="2" t="s">
        <v>219</v>
      </c>
      <c r="C7188" s="2">
        <v>1.65</v>
      </c>
      <c r="D7188" s="2">
        <v>0.52800000000000002</v>
      </c>
      <c r="E7188" s="2">
        <v>8.7119999999999993E-3</v>
      </c>
      <c r="F7188" s="2" t="s">
        <v>170</v>
      </c>
    </row>
    <row r="7189" spans="1:6" ht="22.5" hidden="1" customHeight="1" x14ac:dyDescent="0.25">
      <c r="A7189" s="3">
        <v>44440</v>
      </c>
      <c r="B7189" s="2" t="s">
        <v>220</v>
      </c>
      <c r="C7189" s="2">
        <v>0.91</v>
      </c>
      <c r="D7189" s="2">
        <v>1.03E-2</v>
      </c>
      <c r="E7189" s="2">
        <v>9.3729999999999999E-5</v>
      </c>
      <c r="F7189" s="2" t="s">
        <v>170</v>
      </c>
    </row>
    <row r="7190" spans="1:6" ht="22.5" hidden="1" customHeight="1" x14ac:dyDescent="0.25">
      <c r="A7190" s="3">
        <v>44440</v>
      </c>
      <c r="B7190" s="2" t="s">
        <v>221</v>
      </c>
      <c r="C7190" s="2">
        <v>-3.89</v>
      </c>
      <c r="D7190" s="2">
        <v>3.7000000000000002E-3</v>
      </c>
      <c r="E7190" s="2">
        <v>-1.4393000000000001E-4</v>
      </c>
      <c r="F7190" s="2" t="s">
        <v>170</v>
      </c>
    </row>
    <row r="7191" spans="1:6" ht="22.5" hidden="1" customHeight="1" x14ac:dyDescent="0.25">
      <c r="A7191" s="3">
        <v>44440</v>
      </c>
      <c r="B7191" s="2" t="s">
        <v>222</v>
      </c>
      <c r="C7191" s="2">
        <v>0.86</v>
      </c>
      <c r="D7191" s="2">
        <v>0.3448</v>
      </c>
      <c r="E7191" s="2">
        <v>2.9652799999999998E-3</v>
      </c>
      <c r="F7191" s="2" t="s">
        <v>170</v>
      </c>
    </row>
    <row r="7192" spans="1:6" ht="22.5" hidden="1" customHeight="1" x14ac:dyDescent="0.25">
      <c r="A7192" s="3">
        <v>44440</v>
      </c>
      <c r="B7192" s="2" t="s">
        <v>223</v>
      </c>
      <c r="C7192" s="2">
        <v>-0.59</v>
      </c>
      <c r="D7192" s="2">
        <v>1.6E-2</v>
      </c>
      <c r="E7192" s="2">
        <v>-9.4400000000000004E-5</v>
      </c>
      <c r="F7192" s="2" t="s">
        <v>165</v>
      </c>
    </row>
    <row r="7193" spans="1:6" ht="22.5" hidden="1" customHeight="1" x14ac:dyDescent="0.25">
      <c r="A7193" s="3">
        <v>44440</v>
      </c>
      <c r="B7193" s="2" t="s">
        <v>224</v>
      </c>
      <c r="C7193" s="2">
        <v>1.37</v>
      </c>
      <c r="D7193" s="2">
        <v>2.0999999999999999E-3</v>
      </c>
      <c r="E7193" s="2">
        <v>2.8770000000000001E-5</v>
      </c>
      <c r="F7193" s="2" t="s">
        <v>165</v>
      </c>
    </row>
    <row r="7194" spans="1:6" ht="22.5" hidden="1" customHeight="1" x14ac:dyDescent="0.25">
      <c r="A7194" s="3">
        <v>44440</v>
      </c>
      <c r="B7194" s="2" t="s">
        <v>225</v>
      </c>
      <c r="C7194" s="2">
        <v>-0.03</v>
      </c>
      <c r="D7194" s="2">
        <v>4.5999999999999999E-3</v>
      </c>
      <c r="E7194" s="2">
        <v>-1.3799999999999999E-6</v>
      </c>
      <c r="F7194" s="2" t="s">
        <v>165</v>
      </c>
    </row>
    <row r="7195" spans="1:6" ht="22.5" hidden="1" customHeight="1" x14ac:dyDescent="0.25">
      <c r="A7195" s="3">
        <v>44440</v>
      </c>
      <c r="B7195" s="2" t="s">
        <v>226</v>
      </c>
      <c r="C7195" s="2">
        <v>0.93</v>
      </c>
      <c r="D7195" s="2">
        <v>4.7100000000000003E-2</v>
      </c>
      <c r="E7195" s="2">
        <v>4.3803000000000001E-4</v>
      </c>
      <c r="F7195" s="2" t="s">
        <v>165</v>
      </c>
    </row>
    <row r="7196" spans="1:6" ht="22.5" hidden="1" customHeight="1" x14ac:dyDescent="0.25">
      <c r="A7196" s="3">
        <v>44440</v>
      </c>
      <c r="B7196" s="2" t="s">
        <v>227</v>
      </c>
      <c r="C7196" s="2">
        <v>0.12</v>
      </c>
      <c r="D7196" s="2">
        <v>6.4399999999999999E-2</v>
      </c>
      <c r="E7196" s="2">
        <v>7.7280000000000005E-5</v>
      </c>
      <c r="F7196" s="2" t="s">
        <v>165</v>
      </c>
    </row>
    <row r="7197" spans="1:6" ht="22.5" hidden="1" customHeight="1" x14ac:dyDescent="0.25">
      <c r="A7197" s="3">
        <v>44440</v>
      </c>
      <c r="B7197" s="2" t="s">
        <v>228</v>
      </c>
      <c r="C7197" s="2">
        <v>-0.34</v>
      </c>
      <c r="D7197" s="2">
        <v>0.19689999999999999</v>
      </c>
      <c r="E7197" s="2">
        <v>-6.6945999999999998E-4</v>
      </c>
      <c r="F7197" s="2" t="s">
        <v>165</v>
      </c>
    </row>
    <row r="7198" spans="1:6" ht="22.5" hidden="1" customHeight="1" x14ac:dyDescent="0.25">
      <c r="A7198" s="3">
        <v>44440</v>
      </c>
      <c r="B7198" s="2" t="s">
        <v>229</v>
      </c>
      <c r="C7198" s="2">
        <v>1.24</v>
      </c>
      <c r="D7198" s="2">
        <v>0.28050000000000003</v>
      </c>
      <c r="E7198" s="2">
        <v>3.4781999999999999E-3</v>
      </c>
      <c r="F7198" s="2" t="s">
        <v>174</v>
      </c>
    </row>
    <row r="7199" spans="1:6" ht="22.5" hidden="1" customHeight="1" x14ac:dyDescent="0.25">
      <c r="A7199" s="3">
        <v>44440</v>
      </c>
      <c r="B7199" s="2" t="s">
        <v>230</v>
      </c>
      <c r="C7199" s="2">
        <v>-2.2400000000000002</v>
      </c>
      <c r="D7199" s="2">
        <v>2.1399999999999999E-2</v>
      </c>
      <c r="E7199" s="2">
        <v>-4.7936000000000002E-4</v>
      </c>
      <c r="F7199" s="2" t="s">
        <v>174</v>
      </c>
    </row>
    <row r="7200" spans="1:6" ht="22.5" hidden="1" customHeight="1" x14ac:dyDescent="0.25">
      <c r="A7200" s="3">
        <v>44440</v>
      </c>
      <c r="B7200" s="2" t="s">
        <v>231</v>
      </c>
      <c r="C7200" s="2">
        <v>1.02</v>
      </c>
      <c r="D7200" s="2">
        <v>0.1656</v>
      </c>
      <c r="E7200" s="2">
        <v>1.6891199999999999E-3</v>
      </c>
      <c r="F7200" s="2" t="s">
        <v>174</v>
      </c>
    </row>
    <row r="7201" spans="1:6" ht="22.5" hidden="1" customHeight="1" x14ac:dyDescent="0.25">
      <c r="A7201" s="3">
        <v>44440</v>
      </c>
      <c r="B7201" s="2" t="s">
        <v>232</v>
      </c>
      <c r="C7201" s="2">
        <v>2.66</v>
      </c>
      <c r="D7201" s="2">
        <v>5.7999999999999996E-3</v>
      </c>
      <c r="E7201" s="2">
        <v>1.5427999999999999E-4</v>
      </c>
      <c r="F7201" s="2" t="s">
        <v>174</v>
      </c>
    </row>
    <row r="7202" spans="1:6" ht="22.5" hidden="1" customHeight="1" x14ac:dyDescent="0.25">
      <c r="A7202" s="3">
        <v>44440</v>
      </c>
      <c r="B7202" s="2" t="s">
        <v>233</v>
      </c>
      <c r="C7202" s="2">
        <v>1.31</v>
      </c>
      <c r="D7202" s="2">
        <v>0.56079999999999997</v>
      </c>
      <c r="E7202" s="2">
        <v>7.3464799999999999E-3</v>
      </c>
      <c r="F7202" s="2" t="s">
        <v>174</v>
      </c>
    </row>
    <row r="7203" spans="1:6" ht="22.5" hidden="1" customHeight="1" x14ac:dyDescent="0.25">
      <c r="A7203" s="3">
        <v>44440</v>
      </c>
      <c r="B7203" s="2" t="s">
        <v>234</v>
      </c>
      <c r="C7203" s="2">
        <v>0.85</v>
      </c>
      <c r="D7203" s="2">
        <v>0.30209999999999998</v>
      </c>
      <c r="E7203" s="2">
        <v>2.56785E-3</v>
      </c>
      <c r="F7203" s="2" t="s">
        <v>174</v>
      </c>
    </row>
    <row r="7204" spans="1:6" ht="22.5" hidden="1" customHeight="1" x14ac:dyDescent="0.25">
      <c r="A7204" s="3">
        <v>44440</v>
      </c>
      <c r="B7204" s="2" t="s">
        <v>235</v>
      </c>
      <c r="C7204" s="2">
        <v>-3.03</v>
      </c>
      <c r="D7204" s="2">
        <v>2.5000000000000001E-2</v>
      </c>
      <c r="E7204" s="2">
        <v>-7.5750000000000004E-4</v>
      </c>
      <c r="F7204" s="2" t="s">
        <v>174</v>
      </c>
    </row>
    <row r="7205" spans="1:6" ht="22.5" hidden="1" customHeight="1" x14ac:dyDescent="0.25">
      <c r="A7205" s="3">
        <v>44440</v>
      </c>
      <c r="B7205" s="2" t="s">
        <v>236</v>
      </c>
      <c r="C7205" s="2">
        <v>0.41</v>
      </c>
      <c r="D7205" s="2">
        <v>6.7000000000000002E-3</v>
      </c>
      <c r="E7205" s="2">
        <v>2.747E-5</v>
      </c>
      <c r="F7205" s="2" t="s">
        <v>174</v>
      </c>
    </row>
    <row r="7206" spans="1:6" ht="22.5" hidden="1" customHeight="1" x14ac:dyDescent="0.25">
      <c r="A7206" s="3">
        <v>44440</v>
      </c>
      <c r="B7206" s="2" t="s">
        <v>237</v>
      </c>
      <c r="C7206" s="2">
        <v>-0.72</v>
      </c>
      <c r="D7206" s="2">
        <v>0.27839999999999998</v>
      </c>
      <c r="E7206" s="2">
        <v>-2.0044799999999999E-3</v>
      </c>
      <c r="F7206" s="2" t="s">
        <v>174</v>
      </c>
    </row>
    <row r="7207" spans="1:6" ht="22.5" hidden="1" customHeight="1" x14ac:dyDescent="0.25">
      <c r="A7207" s="3">
        <v>44440</v>
      </c>
      <c r="B7207" s="2" t="s">
        <v>238</v>
      </c>
      <c r="C7207" s="2">
        <v>-0.28999999999999998</v>
      </c>
      <c r="D7207" s="2">
        <v>0.50019999999999998</v>
      </c>
      <c r="E7207" s="2">
        <v>-1.4505799999999999E-3</v>
      </c>
      <c r="F7207" s="2" t="s">
        <v>174</v>
      </c>
    </row>
    <row r="7208" spans="1:6" ht="22.5" hidden="1" customHeight="1" x14ac:dyDescent="0.25">
      <c r="A7208" s="3">
        <v>44440</v>
      </c>
      <c r="B7208" s="2" t="s">
        <v>239</v>
      </c>
      <c r="C7208" s="2">
        <v>-0.46</v>
      </c>
      <c r="D7208" s="2">
        <v>0.10970000000000001</v>
      </c>
      <c r="E7208" s="2">
        <v>-5.0462E-4</v>
      </c>
      <c r="F7208" s="2" t="s">
        <v>174</v>
      </c>
    </row>
    <row r="7209" spans="1:6" ht="22.5" hidden="1" customHeight="1" x14ac:dyDescent="0.25">
      <c r="A7209" s="3">
        <v>44440</v>
      </c>
      <c r="B7209" s="2" t="s">
        <v>240</v>
      </c>
      <c r="C7209" s="2">
        <v>0.97</v>
      </c>
      <c r="D7209" s="2">
        <v>6.0499999999999998E-2</v>
      </c>
      <c r="E7209" s="2">
        <v>5.8684999999999998E-4</v>
      </c>
      <c r="F7209" s="2" t="s">
        <v>174</v>
      </c>
    </row>
    <row r="7210" spans="1:6" ht="22.5" hidden="1" customHeight="1" x14ac:dyDescent="0.25">
      <c r="A7210" s="3">
        <v>44440</v>
      </c>
      <c r="B7210" s="2" t="s">
        <v>241</v>
      </c>
      <c r="C7210" s="2">
        <v>1.23</v>
      </c>
      <c r="D7210" s="2">
        <v>8.5099999999999995E-2</v>
      </c>
      <c r="E7210" s="2">
        <v>1.0467300000000001E-3</v>
      </c>
      <c r="F7210" s="2" t="s">
        <v>174</v>
      </c>
    </row>
    <row r="7211" spans="1:6" ht="22.5" hidden="1" customHeight="1" x14ac:dyDescent="0.25">
      <c r="A7211" s="3">
        <v>44440</v>
      </c>
      <c r="B7211" s="2" t="s">
        <v>242</v>
      </c>
      <c r="C7211" s="2">
        <v>-0.18</v>
      </c>
      <c r="D7211" s="2">
        <v>7.2099999999999997E-2</v>
      </c>
      <c r="E7211" s="2">
        <v>-1.2977999999999999E-4</v>
      </c>
      <c r="F7211" s="2" t="s">
        <v>174</v>
      </c>
    </row>
    <row r="7212" spans="1:6" ht="22.5" hidden="1" customHeight="1" x14ac:dyDescent="0.25">
      <c r="A7212" s="3">
        <v>44440</v>
      </c>
      <c r="B7212" s="2" t="s">
        <v>243</v>
      </c>
      <c r="C7212" s="2">
        <v>-0.48</v>
      </c>
      <c r="D7212" s="2">
        <v>7.7999999999999996E-3</v>
      </c>
      <c r="E7212" s="2">
        <v>-3.7440000000000001E-5</v>
      </c>
      <c r="F7212" s="2" t="s">
        <v>174</v>
      </c>
    </row>
    <row r="7213" spans="1:6" ht="22.5" hidden="1" customHeight="1" x14ac:dyDescent="0.25">
      <c r="A7213" s="3">
        <v>44440</v>
      </c>
      <c r="B7213" s="2" t="s">
        <v>244</v>
      </c>
      <c r="C7213" s="2">
        <v>1.1299999999999999</v>
      </c>
      <c r="D7213" s="2">
        <v>4.8099999999999997E-2</v>
      </c>
      <c r="E7213" s="2">
        <v>5.4352999999999997E-4</v>
      </c>
      <c r="F7213" s="2" t="s">
        <v>174</v>
      </c>
    </row>
    <row r="7214" spans="1:6" ht="22.5" hidden="1" customHeight="1" x14ac:dyDescent="0.25">
      <c r="A7214" s="3">
        <v>44440</v>
      </c>
      <c r="B7214" s="2" t="s">
        <v>245</v>
      </c>
      <c r="C7214" s="2">
        <v>2.2400000000000002</v>
      </c>
      <c r="D7214" s="2">
        <v>4.82E-2</v>
      </c>
      <c r="E7214" s="2">
        <v>1.07968E-3</v>
      </c>
      <c r="F7214" s="2" t="s">
        <v>174</v>
      </c>
    </row>
    <row r="7215" spans="1:6" ht="22.5" hidden="1" customHeight="1" x14ac:dyDescent="0.25">
      <c r="A7215" s="3">
        <v>44440</v>
      </c>
      <c r="B7215" s="2" t="s">
        <v>246</v>
      </c>
      <c r="C7215" s="2">
        <v>1.41</v>
      </c>
      <c r="D7215" s="2">
        <v>0.1812</v>
      </c>
      <c r="E7215" s="2">
        <v>2.55492E-3</v>
      </c>
      <c r="F7215" s="2" t="s">
        <v>174</v>
      </c>
    </row>
    <row r="7216" spans="1:6" ht="22.5" hidden="1" customHeight="1" x14ac:dyDescent="0.25">
      <c r="A7216" s="3">
        <v>44440</v>
      </c>
      <c r="B7216" s="2" t="s">
        <v>247</v>
      </c>
      <c r="C7216" s="2">
        <v>1.83</v>
      </c>
      <c r="D7216" s="2">
        <v>0.12859999999999999</v>
      </c>
      <c r="E7216" s="2">
        <v>2.35338E-3</v>
      </c>
      <c r="F7216" s="2" t="s">
        <v>174</v>
      </c>
    </row>
    <row r="7217" spans="1:6" ht="22.5" hidden="1" customHeight="1" x14ac:dyDescent="0.25">
      <c r="A7217" s="3">
        <v>44440</v>
      </c>
      <c r="B7217" s="2" t="s">
        <v>248</v>
      </c>
      <c r="C7217" s="2">
        <v>1.48</v>
      </c>
      <c r="D7217" s="2">
        <v>0.14660000000000001</v>
      </c>
      <c r="E7217" s="2">
        <v>2.1696799999999998E-3</v>
      </c>
      <c r="F7217" s="2" t="s">
        <v>174</v>
      </c>
    </row>
    <row r="7218" spans="1:6" ht="22.5" hidden="1" customHeight="1" x14ac:dyDescent="0.25">
      <c r="A7218" s="3">
        <v>44440</v>
      </c>
      <c r="B7218" s="2" t="s">
        <v>249</v>
      </c>
      <c r="C7218" s="2">
        <v>0.97</v>
      </c>
      <c r="D7218" s="2">
        <v>0.26100000000000001</v>
      </c>
      <c r="E7218" s="2">
        <v>2.5317E-3</v>
      </c>
      <c r="F7218" s="2" t="s">
        <v>174</v>
      </c>
    </row>
    <row r="7219" spans="1:6" ht="22.5" hidden="1" customHeight="1" x14ac:dyDescent="0.25">
      <c r="A7219" s="3">
        <v>44440</v>
      </c>
      <c r="B7219" s="2" t="s">
        <v>250</v>
      </c>
      <c r="C7219" s="2">
        <v>1.19</v>
      </c>
      <c r="D7219" s="2">
        <v>2.4799999999999999E-2</v>
      </c>
      <c r="E7219" s="2">
        <v>2.9512000000000001E-4</v>
      </c>
      <c r="F7219" s="2" t="s">
        <v>174</v>
      </c>
    </row>
    <row r="7220" spans="1:6" ht="22.5" hidden="1" customHeight="1" x14ac:dyDescent="0.25">
      <c r="A7220" s="3">
        <v>44440</v>
      </c>
      <c r="B7220" s="2" t="s">
        <v>251</v>
      </c>
      <c r="C7220" s="2">
        <v>1.07</v>
      </c>
      <c r="D7220" s="2">
        <v>5.9200000000000003E-2</v>
      </c>
      <c r="E7220" s="2">
        <v>6.3343999999999998E-4</v>
      </c>
      <c r="F7220" s="2" t="s">
        <v>174</v>
      </c>
    </row>
    <row r="7221" spans="1:6" ht="22.5" hidden="1" customHeight="1" x14ac:dyDescent="0.25">
      <c r="A7221" s="3">
        <v>44440</v>
      </c>
      <c r="B7221" s="2" t="s">
        <v>252</v>
      </c>
      <c r="C7221" s="2">
        <v>1.23</v>
      </c>
      <c r="D7221" s="2">
        <v>7.9000000000000008E-3</v>
      </c>
      <c r="E7221" s="2">
        <v>9.7170000000000006E-5</v>
      </c>
      <c r="F7221" s="2" t="s">
        <v>174</v>
      </c>
    </row>
    <row r="7222" spans="1:6" ht="22.5" hidden="1" customHeight="1" x14ac:dyDescent="0.25">
      <c r="A7222" s="3">
        <v>44440</v>
      </c>
      <c r="B7222" s="2" t="s">
        <v>253</v>
      </c>
      <c r="C7222" s="2">
        <v>-0.16</v>
      </c>
      <c r="D7222" s="2">
        <v>0.43369999999999997</v>
      </c>
      <c r="E7222" s="2">
        <v>-6.9392E-4</v>
      </c>
      <c r="F7222" s="2" t="s">
        <v>174</v>
      </c>
    </row>
    <row r="7223" spans="1:6" ht="22.5" hidden="1" customHeight="1" x14ac:dyDescent="0.25">
      <c r="A7223" s="3">
        <v>44440</v>
      </c>
      <c r="B7223" s="2" t="s">
        <v>254</v>
      </c>
      <c r="C7223" s="2">
        <v>0</v>
      </c>
      <c r="D7223" s="2">
        <v>0.17730000000000001</v>
      </c>
      <c r="E7223" s="2">
        <v>0</v>
      </c>
      <c r="F7223" s="2" t="s">
        <v>174</v>
      </c>
    </row>
    <row r="7224" spans="1:6" ht="22.5" hidden="1" customHeight="1" x14ac:dyDescent="0.25">
      <c r="A7224" s="3">
        <v>44440</v>
      </c>
      <c r="B7224" s="2" t="s">
        <v>255</v>
      </c>
      <c r="C7224" s="2">
        <v>0.2</v>
      </c>
      <c r="D7224" s="2">
        <v>1.6199999999999999E-2</v>
      </c>
      <c r="E7224" s="2">
        <v>3.2400000000000001E-5</v>
      </c>
      <c r="F7224" s="2" t="s">
        <v>170</v>
      </c>
    </row>
    <row r="7225" spans="1:6" ht="22.5" hidden="1" customHeight="1" x14ac:dyDescent="0.25">
      <c r="A7225" s="3">
        <v>44440</v>
      </c>
      <c r="B7225" s="2" t="s">
        <v>256</v>
      </c>
      <c r="C7225" s="2">
        <v>-0.73</v>
      </c>
      <c r="D7225" s="2">
        <v>0.15110000000000001</v>
      </c>
      <c r="E7225" s="2">
        <v>-1.1030300000000001E-3</v>
      </c>
      <c r="F7225" s="2" t="s">
        <v>170</v>
      </c>
    </row>
    <row r="7226" spans="1:6" ht="22.5" hidden="1" customHeight="1" x14ac:dyDescent="0.25">
      <c r="A7226" s="3">
        <v>44440</v>
      </c>
      <c r="B7226" s="2" t="s">
        <v>257</v>
      </c>
      <c r="C7226" s="2">
        <v>1.36</v>
      </c>
      <c r="D7226" s="2">
        <v>5.0999999999999997E-2</v>
      </c>
      <c r="E7226" s="2">
        <v>6.9360000000000005E-4</v>
      </c>
      <c r="F7226" s="2" t="s">
        <v>170</v>
      </c>
    </row>
    <row r="7227" spans="1:6" ht="22.5" hidden="1" customHeight="1" x14ac:dyDescent="0.25">
      <c r="A7227" s="3">
        <v>44440</v>
      </c>
      <c r="B7227" s="2" t="s">
        <v>258</v>
      </c>
      <c r="C7227" s="2">
        <v>0.6</v>
      </c>
      <c r="D7227" s="2">
        <v>4.5999999999999999E-2</v>
      </c>
      <c r="E7227" s="2">
        <v>2.7599999999999999E-4</v>
      </c>
      <c r="F7227" s="2" t="s">
        <v>174</v>
      </c>
    </row>
    <row r="7228" spans="1:6" ht="22.5" hidden="1" customHeight="1" x14ac:dyDescent="0.25">
      <c r="A7228" s="3">
        <v>44440</v>
      </c>
      <c r="B7228" s="2" t="s">
        <v>259</v>
      </c>
      <c r="C7228" s="2">
        <v>1.63</v>
      </c>
      <c r="D7228" s="2">
        <v>9.9000000000000008E-3</v>
      </c>
      <c r="E7228" s="2">
        <v>1.6137000000000001E-4</v>
      </c>
      <c r="F7228" s="2" t="s">
        <v>174</v>
      </c>
    </row>
    <row r="7229" spans="1:6" ht="22.5" hidden="1" customHeight="1" x14ac:dyDescent="0.25">
      <c r="A7229" s="3">
        <v>44256</v>
      </c>
      <c r="B7229" s="2" t="s">
        <v>279</v>
      </c>
      <c r="C7229" s="2">
        <v>-0.37</v>
      </c>
      <c r="D7229" s="2">
        <v>9.6000000000000002E-2</v>
      </c>
      <c r="E7229" s="2">
        <v>-3.5520000000000001E-4</v>
      </c>
      <c r="F7229" s="2" t="s">
        <v>168</v>
      </c>
    </row>
    <row r="7230" spans="1:6" ht="22.5" hidden="1" customHeight="1" x14ac:dyDescent="0.25">
      <c r="A7230" s="3">
        <v>44378</v>
      </c>
      <c r="B7230" s="2" t="s">
        <v>288</v>
      </c>
      <c r="C7230" s="2">
        <v>-0.16</v>
      </c>
      <c r="D7230" s="2">
        <v>0.2276</v>
      </c>
      <c r="E7230" s="2">
        <v>-3.6415999999999998E-4</v>
      </c>
      <c r="F7230" s="2" t="s">
        <v>168</v>
      </c>
    </row>
    <row r="7231" spans="1:6" ht="22.5" hidden="1" customHeight="1" x14ac:dyDescent="0.25">
      <c r="A7231" s="3">
        <v>43922</v>
      </c>
      <c r="B7231" s="2" t="s">
        <v>196</v>
      </c>
      <c r="C7231" s="2">
        <v>-0.27</v>
      </c>
      <c r="D7231" s="2">
        <v>0.1389</v>
      </c>
      <c r="E7231" s="2">
        <v>-3.7502999999999999E-4</v>
      </c>
      <c r="F7231" s="2" t="s">
        <v>168</v>
      </c>
    </row>
    <row r="7232" spans="1:6" ht="22.5" hidden="1" customHeight="1" x14ac:dyDescent="0.25">
      <c r="A7232" s="3">
        <v>44378</v>
      </c>
      <c r="B7232" s="2" t="s">
        <v>294</v>
      </c>
      <c r="C7232" s="2">
        <v>-0.28000000000000003</v>
      </c>
      <c r="D7232" s="2">
        <v>0.1346</v>
      </c>
      <c r="E7232" s="2">
        <v>-3.7688000000000001E-4</v>
      </c>
      <c r="F7232" s="2" t="s">
        <v>168</v>
      </c>
    </row>
    <row r="7233" spans="1:6" ht="22.5" hidden="1" customHeight="1" x14ac:dyDescent="0.25">
      <c r="A7233" s="3">
        <v>44593</v>
      </c>
      <c r="B7233" s="2" t="s">
        <v>301</v>
      </c>
      <c r="C7233" s="2">
        <v>-0.28999999999999998</v>
      </c>
      <c r="D7233" s="2">
        <v>0.1338</v>
      </c>
      <c r="E7233" s="2">
        <v>-3.8801999999999999E-4</v>
      </c>
      <c r="F7233" s="2" t="s">
        <v>168</v>
      </c>
    </row>
    <row r="7234" spans="1:6" ht="22.5" hidden="1" customHeight="1" x14ac:dyDescent="0.25">
      <c r="A7234" s="3">
        <v>44409</v>
      </c>
      <c r="B7234" s="2" t="s">
        <v>290</v>
      </c>
      <c r="C7234" s="2">
        <v>-0.26</v>
      </c>
      <c r="D7234" s="2">
        <v>0.15210000000000001</v>
      </c>
      <c r="E7234" s="2">
        <v>-3.9545999999999998E-4</v>
      </c>
      <c r="F7234" s="2" t="s">
        <v>168</v>
      </c>
    </row>
    <row r="7235" spans="1:6" ht="22.5" hidden="1" customHeight="1" x14ac:dyDescent="0.25">
      <c r="A7235" s="3">
        <v>43952</v>
      </c>
      <c r="B7235" s="2" t="s">
        <v>263</v>
      </c>
      <c r="C7235" s="2">
        <v>-0.09</v>
      </c>
      <c r="D7235" s="2">
        <v>0.44030000000000002</v>
      </c>
      <c r="E7235" s="2">
        <v>-3.9627E-4</v>
      </c>
      <c r="F7235" s="2" t="s">
        <v>168</v>
      </c>
    </row>
    <row r="7236" spans="1:6" ht="22.5" hidden="1" customHeight="1" x14ac:dyDescent="0.25">
      <c r="A7236" s="3">
        <v>44440</v>
      </c>
      <c r="B7236" s="2" t="s">
        <v>267</v>
      </c>
      <c r="C7236" s="2">
        <v>-0.62</v>
      </c>
      <c r="D7236" s="2">
        <v>0.1244</v>
      </c>
      <c r="E7236" s="2">
        <v>-7.7127999999999995E-4</v>
      </c>
      <c r="F7236" s="2" t="s">
        <v>165</v>
      </c>
    </row>
    <row r="7237" spans="1:6" ht="22.5" hidden="1" customHeight="1" x14ac:dyDescent="0.25">
      <c r="A7237" s="3">
        <v>44440</v>
      </c>
      <c r="B7237" s="2" t="s">
        <v>268</v>
      </c>
      <c r="C7237" s="2">
        <v>4</v>
      </c>
      <c r="D7237" s="2">
        <v>0.16500000000000001</v>
      </c>
      <c r="E7237" s="2">
        <v>6.6E-3</v>
      </c>
      <c r="F7237" s="2" t="s">
        <v>165</v>
      </c>
    </row>
    <row r="7238" spans="1:6" ht="22.5" hidden="1" customHeight="1" x14ac:dyDescent="0.25">
      <c r="A7238" s="3">
        <v>44440</v>
      </c>
      <c r="B7238" s="2" t="s">
        <v>269</v>
      </c>
      <c r="C7238" s="2">
        <v>0</v>
      </c>
      <c r="D7238" s="2">
        <v>6.4699999999999994E-2</v>
      </c>
      <c r="E7238" s="2">
        <v>0</v>
      </c>
      <c r="F7238" s="2" t="s">
        <v>165</v>
      </c>
    </row>
    <row r="7239" spans="1:6" ht="22.5" hidden="1" customHeight="1" x14ac:dyDescent="0.25">
      <c r="A7239" s="3">
        <v>44440</v>
      </c>
      <c r="B7239" s="2" t="s">
        <v>270</v>
      </c>
      <c r="C7239" s="2">
        <v>1.7</v>
      </c>
      <c r="D7239" s="2">
        <v>2.9689999999999999</v>
      </c>
      <c r="E7239" s="2">
        <v>5.0472999999999997E-2</v>
      </c>
      <c r="F7239" s="2" t="s">
        <v>170</v>
      </c>
    </row>
    <row r="7240" spans="1:6" ht="22.5" hidden="1" customHeight="1" x14ac:dyDescent="0.25">
      <c r="A7240" s="3">
        <v>44287</v>
      </c>
      <c r="B7240" s="2" t="s">
        <v>279</v>
      </c>
      <c r="C7240" s="2">
        <v>-0.42</v>
      </c>
      <c r="D7240" s="2">
        <v>9.4899999999999998E-2</v>
      </c>
      <c r="E7240" s="2">
        <v>-3.9858E-4</v>
      </c>
      <c r="F7240" s="2" t="s">
        <v>168</v>
      </c>
    </row>
    <row r="7241" spans="1:6" ht="22.5" hidden="1" customHeight="1" x14ac:dyDescent="0.25">
      <c r="A7241" s="3">
        <v>44440</v>
      </c>
      <c r="B7241" s="2" t="s">
        <v>272</v>
      </c>
      <c r="C7241" s="2">
        <v>3.08</v>
      </c>
      <c r="D7241" s="2">
        <v>0.69620000000000004</v>
      </c>
      <c r="E7241" s="2">
        <v>2.144296E-2</v>
      </c>
      <c r="F7241" s="2" t="s">
        <v>165</v>
      </c>
    </row>
    <row r="7242" spans="1:6" ht="22.5" hidden="1" customHeight="1" x14ac:dyDescent="0.25">
      <c r="A7242" s="3">
        <v>44409</v>
      </c>
      <c r="B7242" s="2" t="s">
        <v>287</v>
      </c>
      <c r="C7242" s="2">
        <v>-0.51</v>
      </c>
      <c r="D7242" s="2">
        <v>7.8799999999999995E-2</v>
      </c>
      <c r="E7242" s="2">
        <v>-4.0188000000000002E-4</v>
      </c>
      <c r="F7242" s="2" t="s">
        <v>168</v>
      </c>
    </row>
    <row r="7243" spans="1:6" ht="22.5" hidden="1" customHeight="1" x14ac:dyDescent="0.25">
      <c r="A7243" s="3">
        <v>44440</v>
      </c>
      <c r="B7243" s="2" t="s">
        <v>274</v>
      </c>
      <c r="C7243" s="2">
        <v>2.37</v>
      </c>
      <c r="D7243" s="2">
        <v>0.1353</v>
      </c>
      <c r="E7243" s="2">
        <v>3.2066099999999999E-3</v>
      </c>
      <c r="F7243" s="2" t="s">
        <v>170</v>
      </c>
    </row>
    <row r="7244" spans="1:6" ht="22.5" hidden="1" customHeight="1" x14ac:dyDescent="0.25">
      <c r="A7244" s="3">
        <v>44440</v>
      </c>
      <c r="B7244" s="2" t="s">
        <v>275</v>
      </c>
      <c r="C7244" s="2">
        <v>1.77</v>
      </c>
      <c r="D7244" s="2">
        <v>0.17299999999999999</v>
      </c>
      <c r="E7244" s="2">
        <v>3.0620999999999999E-3</v>
      </c>
      <c r="F7244" s="2" t="s">
        <v>170</v>
      </c>
    </row>
    <row r="7245" spans="1:6" ht="22.5" hidden="1" customHeight="1" x14ac:dyDescent="0.25">
      <c r="A7245" s="3">
        <v>44440</v>
      </c>
      <c r="B7245" s="2" t="s">
        <v>276</v>
      </c>
      <c r="C7245" s="2">
        <v>1.88</v>
      </c>
      <c r="D7245" s="2">
        <v>0.24740000000000001</v>
      </c>
      <c r="E7245" s="2">
        <v>4.6511199999999999E-3</v>
      </c>
      <c r="F7245" s="2" t="s">
        <v>170</v>
      </c>
    </row>
    <row r="7246" spans="1:6" ht="22.5" hidden="1" customHeight="1" x14ac:dyDescent="0.25">
      <c r="A7246" s="3">
        <v>44440</v>
      </c>
      <c r="B7246" s="2" t="s">
        <v>277</v>
      </c>
      <c r="C7246" s="2">
        <v>0.81</v>
      </c>
      <c r="D7246" s="2">
        <v>1.6342000000000001</v>
      </c>
      <c r="E7246" s="2">
        <v>1.323702E-2</v>
      </c>
      <c r="F7246" s="2" t="s">
        <v>165</v>
      </c>
    </row>
    <row r="7247" spans="1:6" ht="22.5" hidden="1" customHeight="1" x14ac:dyDescent="0.25">
      <c r="A7247" s="3">
        <v>44440</v>
      </c>
      <c r="B7247" s="2" t="s">
        <v>278</v>
      </c>
      <c r="C7247" s="2">
        <v>-0.5</v>
      </c>
      <c r="D7247" s="2">
        <v>6.6900000000000001E-2</v>
      </c>
      <c r="E7247" s="2">
        <v>-3.345E-4</v>
      </c>
      <c r="F7247" s="2" t="s">
        <v>165</v>
      </c>
    </row>
    <row r="7248" spans="1:6" ht="22.5" hidden="1" customHeight="1" x14ac:dyDescent="0.25">
      <c r="A7248" s="3">
        <v>43891</v>
      </c>
      <c r="B7248" s="2" t="s">
        <v>293</v>
      </c>
      <c r="C7248" s="2">
        <v>-0.24</v>
      </c>
      <c r="D7248" s="2">
        <v>0.1789</v>
      </c>
      <c r="E7248" s="2">
        <v>-4.2936E-4</v>
      </c>
      <c r="F7248" s="2" t="s">
        <v>168</v>
      </c>
    </row>
    <row r="7249" spans="1:6" ht="22.5" hidden="1" customHeight="1" x14ac:dyDescent="0.25">
      <c r="A7249" s="3">
        <v>44440</v>
      </c>
      <c r="B7249" s="2" t="s">
        <v>280</v>
      </c>
      <c r="C7249" s="2">
        <v>1.34</v>
      </c>
      <c r="D7249" s="2">
        <v>1.9138999999999999</v>
      </c>
      <c r="E7249" s="2">
        <v>2.5646260000000001E-2</v>
      </c>
      <c r="F7249" s="2" t="s">
        <v>170</v>
      </c>
    </row>
    <row r="7250" spans="1:6" ht="22.5" hidden="1" customHeight="1" x14ac:dyDescent="0.25">
      <c r="A7250" s="3">
        <v>44440</v>
      </c>
      <c r="B7250" s="2" t="s">
        <v>281</v>
      </c>
      <c r="C7250" s="2">
        <v>0.48</v>
      </c>
      <c r="D7250" s="2">
        <v>1.6400000000000001E-2</v>
      </c>
      <c r="E7250" s="2">
        <v>7.8720000000000005E-5</v>
      </c>
      <c r="F7250" s="2" t="s">
        <v>165</v>
      </c>
    </row>
    <row r="7251" spans="1:6" ht="22.5" hidden="1" customHeight="1" x14ac:dyDescent="0.25">
      <c r="A7251" s="3">
        <v>44440</v>
      </c>
      <c r="B7251" s="2" t="s">
        <v>282</v>
      </c>
      <c r="C7251" s="2">
        <v>4.63</v>
      </c>
      <c r="D7251" s="2">
        <v>2.47E-2</v>
      </c>
      <c r="E7251" s="2">
        <v>1.14361E-3</v>
      </c>
      <c r="F7251" s="2" t="s">
        <v>165</v>
      </c>
    </row>
    <row r="7252" spans="1:6" ht="22.5" hidden="1" customHeight="1" x14ac:dyDescent="0.25">
      <c r="A7252" s="3">
        <v>44440</v>
      </c>
      <c r="B7252" s="2" t="s">
        <v>283</v>
      </c>
      <c r="C7252" s="2">
        <v>1.04</v>
      </c>
      <c r="D7252" s="2">
        <v>0.56850000000000001</v>
      </c>
      <c r="E7252" s="2">
        <v>5.9123999999999999E-3</v>
      </c>
      <c r="F7252" s="2" t="s">
        <v>170</v>
      </c>
    </row>
    <row r="7253" spans="1:6" ht="22.5" hidden="1" customHeight="1" x14ac:dyDescent="0.25">
      <c r="A7253" s="3">
        <v>44044</v>
      </c>
      <c r="B7253" s="2" t="s">
        <v>296</v>
      </c>
      <c r="C7253" s="2">
        <v>-0.22</v>
      </c>
      <c r="D7253" s="2">
        <v>0.1986</v>
      </c>
      <c r="E7253" s="2">
        <v>-4.3691999999999998E-4</v>
      </c>
      <c r="F7253" s="2" t="s">
        <v>168</v>
      </c>
    </row>
    <row r="7254" spans="1:6" ht="22.5" hidden="1" customHeight="1" x14ac:dyDescent="0.25">
      <c r="A7254" s="3">
        <v>43862</v>
      </c>
      <c r="B7254" s="2" t="s">
        <v>291</v>
      </c>
      <c r="C7254" s="2">
        <v>-0.22</v>
      </c>
      <c r="D7254" s="2">
        <v>0.20130000000000001</v>
      </c>
      <c r="E7254" s="2">
        <v>-4.4286E-4</v>
      </c>
      <c r="F7254" s="2" t="s">
        <v>168</v>
      </c>
    </row>
    <row r="7255" spans="1:6" ht="22.5" hidden="1" customHeight="1" x14ac:dyDescent="0.25">
      <c r="A7255" s="3">
        <v>44197</v>
      </c>
      <c r="B7255" s="2" t="s">
        <v>290</v>
      </c>
      <c r="C7255" s="2">
        <v>-0.3</v>
      </c>
      <c r="D7255" s="2">
        <v>0.1484</v>
      </c>
      <c r="E7255" s="2">
        <v>-4.4519999999999998E-4</v>
      </c>
      <c r="F7255" s="2" t="s">
        <v>168</v>
      </c>
    </row>
    <row r="7256" spans="1:6" ht="22.5" hidden="1" customHeight="1" x14ac:dyDescent="0.25">
      <c r="A7256" s="3">
        <v>43862</v>
      </c>
      <c r="B7256" s="2" t="s">
        <v>264</v>
      </c>
      <c r="C7256" s="2">
        <v>-0.37</v>
      </c>
      <c r="D7256" s="2">
        <v>0.12189999999999999</v>
      </c>
      <c r="E7256" s="2">
        <v>-4.5103E-4</v>
      </c>
      <c r="F7256" s="2" t="s">
        <v>168</v>
      </c>
    </row>
    <row r="7257" spans="1:6" ht="22.5" hidden="1" customHeight="1" x14ac:dyDescent="0.25">
      <c r="A7257" s="3">
        <v>44075</v>
      </c>
      <c r="B7257" s="2" t="s">
        <v>300</v>
      </c>
      <c r="C7257" s="2">
        <v>-0.26</v>
      </c>
      <c r="D7257" s="2">
        <v>0.18260000000000001</v>
      </c>
      <c r="E7257" s="2">
        <v>-4.7476000000000001E-4</v>
      </c>
      <c r="F7257" s="2" t="s">
        <v>168</v>
      </c>
    </row>
    <row r="7258" spans="1:6" ht="22.5" hidden="1" customHeight="1" x14ac:dyDescent="0.25">
      <c r="A7258" s="3">
        <v>44531</v>
      </c>
      <c r="B7258" s="2" t="s">
        <v>295</v>
      </c>
      <c r="C7258" s="2">
        <v>-0.23</v>
      </c>
      <c r="D7258" s="2">
        <v>0.20849999999999999</v>
      </c>
      <c r="E7258" s="2">
        <v>-4.7954999999999997E-4</v>
      </c>
      <c r="F7258" s="2" t="s">
        <v>168</v>
      </c>
    </row>
    <row r="7259" spans="1:6" ht="22.5" hidden="1" customHeight="1" x14ac:dyDescent="0.25">
      <c r="A7259" s="3">
        <v>43922</v>
      </c>
      <c r="B7259" s="2" t="s">
        <v>264</v>
      </c>
      <c r="C7259" s="2">
        <v>-0.41</v>
      </c>
      <c r="D7259" s="2">
        <v>0.1207</v>
      </c>
      <c r="E7259" s="2">
        <v>-4.9487000000000001E-4</v>
      </c>
      <c r="F7259" s="2" t="s">
        <v>168</v>
      </c>
    </row>
    <row r="7260" spans="1:6" ht="22.5" hidden="1" customHeight="1" x14ac:dyDescent="0.25">
      <c r="A7260" s="3">
        <v>43891</v>
      </c>
      <c r="B7260" s="2" t="s">
        <v>264</v>
      </c>
      <c r="C7260" s="2">
        <v>-0.41</v>
      </c>
      <c r="D7260" s="2">
        <v>0.1212</v>
      </c>
      <c r="E7260" s="2">
        <v>-4.9691999999999998E-4</v>
      </c>
      <c r="F7260" s="2" t="s">
        <v>168</v>
      </c>
    </row>
    <row r="7261" spans="1:6" ht="22.5" hidden="1" customHeight="1" x14ac:dyDescent="0.25">
      <c r="A7261" s="3">
        <v>43952</v>
      </c>
      <c r="B7261" s="2" t="s">
        <v>196</v>
      </c>
      <c r="C7261" s="2">
        <v>-0.36</v>
      </c>
      <c r="D7261" s="2">
        <v>0.13830000000000001</v>
      </c>
      <c r="E7261" s="2">
        <v>-4.9788000000000002E-4</v>
      </c>
      <c r="F7261" s="2" t="s">
        <v>168</v>
      </c>
    </row>
    <row r="7262" spans="1:6" ht="22.5" hidden="1" customHeight="1" x14ac:dyDescent="0.25">
      <c r="A7262" s="3">
        <v>44105</v>
      </c>
      <c r="B7262" s="2" t="s">
        <v>300</v>
      </c>
      <c r="C7262" s="2">
        <v>-0.28000000000000003</v>
      </c>
      <c r="D7262" s="2">
        <v>0.18140000000000001</v>
      </c>
      <c r="E7262" s="2">
        <v>-5.0792000000000003E-4</v>
      </c>
      <c r="F7262" s="2" t="s">
        <v>168</v>
      </c>
    </row>
    <row r="7263" spans="1:6" ht="22.5" hidden="1" customHeight="1" x14ac:dyDescent="0.25">
      <c r="A7263" s="3">
        <v>43952</v>
      </c>
      <c r="B7263" s="2" t="s">
        <v>299</v>
      </c>
      <c r="C7263" s="2">
        <v>-0.54</v>
      </c>
      <c r="D7263" s="2">
        <v>9.4600000000000004E-2</v>
      </c>
      <c r="E7263" s="2">
        <v>-5.1084000000000004E-4</v>
      </c>
      <c r="F7263" s="2" t="s">
        <v>168</v>
      </c>
    </row>
    <row r="7264" spans="1:6" ht="22.5" hidden="1" customHeight="1" x14ac:dyDescent="0.25">
      <c r="A7264" s="3">
        <v>44256</v>
      </c>
      <c r="B7264" s="2" t="s">
        <v>299</v>
      </c>
      <c r="C7264" s="2">
        <v>-0.59</v>
      </c>
      <c r="D7264" s="2">
        <v>9.2100000000000001E-2</v>
      </c>
      <c r="E7264" s="2">
        <v>-5.4339000000000004E-4</v>
      </c>
      <c r="F7264" s="2" t="s">
        <v>168</v>
      </c>
    </row>
    <row r="7265" spans="1:6" ht="22.5" hidden="1" customHeight="1" x14ac:dyDescent="0.25">
      <c r="A7265" s="3">
        <v>44409</v>
      </c>
      <c r="B7265" s="2" t="s">
        <v>293</v>
      </c>
      <c r="C7265" s="2">
        <v>-0.33</v>
      </c>
      <c r="D7265" s="2">
        <v>0.16800000000000001</v>
      </c>
      <c r="E7265" s="2">
        <v>-5.5440000000000003E-4</v>
      </c>
      <c r="F7265" s="2" t="s">
        <v>168</v>
      </c>
    </row>
    <row r="7266" spans="1:6" ht="22.5" hidden="1" customHeight="1" x14ac:dyDescent="0.25">
      <c r="A7266" s="3">
        <v>44136</v>
      </c>
      <c r="B7266" s="2" t="s">
        <v>264</v>
      </c>
      <c r="C7266" s="2">
        <v>-0.52</v>
      </c>
      <c r="D7266" s="2">
        <v>0.1069</v>
      </c>
      <c r="E7266" s="2">
        <v>-5.5588000000000002E-4</v>
      </c>
      <c r="F7266" s="2" t="s">
        <v>168</v>
      </c>
    </row>
    <row r="7267" spans="1:6" ht="22.5" hidden="1" customHeight="1" x14ac:dyDescent="0.25">
      <c r="A7267" s="3">
        <v>44105</v>
      </c>
      <c r="B7267" s="2" t="s">
        <v>295</v>
      </c>
      <c r="C7267" s="2">
        <v>-0.25</v>
      </c>
      <c r="D7267" s="2">
        <v>0.22939999999999999</v>
      </c>
      <c r="E7267" s="2">
        <v>-5.7350000000000001E-4</v>
      </c>
      <c r="F7267" s="2" t="s">
        <v>168</v>
      </c>
    </row>
    <row r="7268" spans="1:6" ht="22.5" hidden="1" customHeight="1" x14ac:dyDescent="0.25">
      <c r="A7268" s="3">
        <v>43891</v>
      </c>
      <c r="B7268" s="2" t="s">
        <v>287</v>
      </c>
      <c r="C7268" s="2">
        <v>-0.89</v>
      </c>
      <c r="D7268" s="2">
        <v>6.5199999999999994E-2</v>
      </c>
      <c r="E7268" s="2">
        <v>-5.8027999999999997E-4</v>
      </c>
      <c r="F7268" s="2" t="s">
        <v>168</v>
      </c>
    </row>
    <row r="7269" spans="1:6" ht="22.5" hidden="1" customHeight="1" x14ac:dyDescent="0.25">
      <c r="A7269" s="3">
        <v>43891</v>
      </c>
      <c r="B7269" s="2" t="s">
        <v>297</v>
      </c>
      <c r="C7269" s="2">
        <v>-0.19</v>
      </c>
      <c r="D7269" s="2">
        <v>0.30880000000000002</v>
      </c>
      <c r="E7269" s="2">
        <v>-5.8671999999999999E-4</v>
      </c>
      <c r="F7269" s="2" t="s">
        <v>168</v>
      </c>
    </row>
    <row r="7270" spans="1:6" ht="22.5" hidden="1" customHeight="1" x14ac:dyDescent="0.25">
      <c r="A7270" s="3">
        <v>44044</v>
      </c>
      <c r="B7270" s="2" t="s">
        <v>294</v>
      </c>
      <c r="C7270" s="2">
        <v>-0.43</v>
      </c>
      <c r="D7270" s="2">
        <v>0.13830000000000001</v>
      </c>
      <c r="E7270" s="2">
        <v>-5.9469000000000004E-4</v>
      </c>
      <c r="F7270" s="2" t="s">
        <v>168</v>
      </c>
    </row>
    <row r="7271" spans="1:6" ht="22.5" hidden="1" customHeight="1" x14ac:dyDescent="0.25">
      <c r="A7271" s="3">
        <v>44440</v>
      </c>
      <c r="B7271" s="2" t="s">
        <v>302</v>
      </c>
      <c r="C7271" s="2">
        <v>-0.95</v>
      </c>
      <c r="D7271" s="2">
        <v>0.27029999999999998</v>
      </c>
      <c r="E7271" s="2">
        <v>-2.56785E-3</v>
      </c>
      <c r="F7271" s="2" t="s">
        <v>170</v>
      </c>
    </row>
    <row r="7272" spans="1:6" ht="22.5" hidden="1" customHeight="1" x14ac:dyDescent="0.25">
      <c r="A7272" s="3">
        <v>44440</v>
      </c>
      <c r="B7272" s="2" t="s">
        <v>303</v>
      </c>
      <c r="C7272" s="2">
        <v>0.12</v>
      </c>
      <c r="D7272" s="2">
        <v>0.52790000000000004</v>
      </c>
      <c r="E7272" s="2">
        <v>6.3347999999999996E-4</v>
      </c>
      <c r="F7272" s="2" t="s">
        <v>165</v>
      </c>
    </row>
    <row r="7273" spans="1:6" ht="22.5" hidden="1" customHeight="1" x14ac:dyDescent="0.25">
      <c r="A7273" s="3">
        <v>44440</v>
      </c>
      <c r="B7273" s="2" t="s">
        <v>304</v>
      </c>
      <c r="C7273" s="2">
        <v>0.39</v>
      </c>
      <c r="D7273" s="2">
        <v>0.51239999999999997</v>
      </c>
      <c r="E7273" s="2">
        <v>1.9983599999999998E-3</v>
      </c>
      <c r="F7273" s="2" t="s">
        <v>165</v>
      </c>
    </row>
    <row r="7274" spans="1:6" ht="22.5" hidden="1" customHeight="1" x14ac:dyDescent="0.25">
      <c r="A7274" s="3">
        <v>44440</v>
      </c>
      <c r="B7274" s="2" t="s">
        <v>305</v>
      </c>
      <c r="C7274" s="2">
        <v>0.11</v>
      </c>
      <c r="D7274" s="2">
        <v>1.7999999999999999E-2</v>
      </c>
      <c r="E7274" s="2">
        <v>1.98E-5</v>
      </c>
      <c r="F7274" s="2" t="s">
        <v>170</v>
      </c>
    </row>
    <row r="7275" spans="1:6" ht="22.5" hidden="1" customHeight="1" x14ac:dyDescent="0.25">
      <c r="A7275" s="3">
        <v>44440</v>
      </c>
      <c r="B7275" s="2" t="s">
        <v>306</v>
      </c>
      <c r="C7275" s="2">
        <v>0.06</v>
      </c>
      <c r="D7275" s="2">
        <v>4.7399999999999998E-2</v>
      </c>
      <c r="E7275" s="2">
        <v>2.8439999999999999E-5</v>
      </c>
      <c r="F7275" s="2" t="s">
        <v>165</v>
      </c>
    </row>
    <row r="7276" spans="1:6" ht="22.5" hidden="1" customHeight="1" x14ac:dyDescent="0.25">
      <c r="A7276" s="3">
        <v>44440</v>
      </c>
      <c r="B7276" s="2" t="s">
        <v>307</v>
      </c>
      <c r="C7276" s="2">
        <v>0.66</v>
      </c>
      <c r="D7276" s="2">
        <v>0.1051</v>
      </c>
      <c r="E7276" s="2">
        <v>6.9366000000000002E-4</v>
      </c>
      <c r="F7276" s="2" t="s">
        <v>165</v>
      </c>
    </row>
    <row r="7277" spans="1:6" ht="22.5" hidden="1" customHeight="1" x14ac:dyDescent="0.25">
      <c r="A7277" s="3">
        <v>44440</v>
      </c>
      <c r="B7277" s="2" t="s">
        <v>308</v>
      </c>
      <c r="C7277" s="2">
        <v>0.08</v>
      </c>
      <c r="D7277" s="2">
        <v>0.3614</v>
      </c>
      <c r="E7277" s="2">
        <v>2.8912000000000002E-4</v>
      </c>
      <c r="F7277" s="2" t="s">
        <v>165</v>
      </c>
    </row>
    <row r="7278" spans="1:6" ht="22.5" hidden="1" customHeight="1" x14ac:dyDescent="0.25">
      <c r="A7278" s="3">
        <v>44440</v>
      </c>
      <c r="B7278" s="2" t="s">
        <v>309</v>
      </c>
      <c r="C7278" s="2">
        <v>0.35</v>
      </c>
      <c r="D7278" s="2">
        <v>0.1268</v>
      </c>
      <c r="E7278" s="2">
        <v>4.438E-4</v>
      </c>
      <c r="F7278" s="2" t="s">
        <v>165</v>
      </c>
    </row>
    <row r="7279" spans="1:6" ht="22.5" hidden="1" customHeight="1" x14ac:dyDescent="0.25">
      <c r="A7279" s="3">
        <v>43983</v>
      </c>
      <c r="B7279" s="2" t="s">
        <v>290</v>
      </c>
      <c r="C7279" s="2">
        <v>-0.4</v>
      </c>
      <c r="D7279" s="2">
        <v>0.15740000000000001</v>
      </c>
      <c r="E7279" s="2">
        <v>-6.2960000000000002E-4</v>
      </c>
      <c r="F7279" s="2" t="s">
        <v>168</v>
      </c>
    </row>
    <row r="7280" spans="1:6" ht="22.5" hidden="1" customHeight="1" x14ac:dyDescent="0.25">
      <c r="A7280" s="3">
        <v>44440</v>
      </c>
      <c r="B7280" s="2" t="s">
        <v>311</v>
      </c>
      <c r="C7280" s="2">
        <v>1.66</v>
      </c>
      <c r="D7280" s="2">
        <v>0.58209999999999995</v>
      </c>
      <c r="E7280" s="2">
        <v>9.6628600000000005E-3</v>
      </c>
      <c r="F7280" s="2" t="s">
        <v>174</v>
      </c>
    </row>
    <row r="7281" spans="1:6" ht="22.5" hidden="1" customHeight="1" x14ac:dyDescent="0.25">
      <c r="A7281" s="3">
        <v>44440</v>
      </c>
      <c r="B7281" s="2" t="s">
        <v>312</v>
      </c>
      <c r="C7281" s="2">
        <v>0.76</v>
      </c>
      <c r="D7281" s="2">
        <v>0.20519999999999999</v>
      </c>
      <c r="E7281" s="2">
        <v>1.55952E-3</v>
      </c>
      <c r="F7281" s="2" t="s">
        <v>174</v>
      </c>
    </row>
    <row r="7282" spans="1:6" ht="22.5" hidden="1" customHeight="1" x14ac:dyDescent="0.25">
      <c r="A7282" s="3">
        <v>44440</v>
      </c>
      <c r="B7282" s="2" t="s">
        <v>313</v>
      </c>
      <c r="C7282" s="2">
        <v>0.9</v>
      </c>
      <c r="D7282" s="2">
        <v>0.12509999999999999</v>
      </c>
      <c r="E7282" s="2">
        <v>1.1259E-3</v>
      </c>
      <c r="F7282" s="2" t="s">
        <v>174</v>
      </c>
    </row>
    <row r="7283" spans="1:6" ht="22.5" hidden="1" customHeight="1" x14ac:dyDescent="0.25">
      <c r="A7283" s="3">
        <v>44440</v>
      </c>
      <c r="B7283" s="2" t="s">
        <v>314</v>
      </c>
      <c r="C7283" s="2">
        <v>5.0999999999999996</v>
      </c>
      <c r="D7283" s="2">
        <v>0.373</v>
      </c>
      <c r="E7283" s="2">
        <v>1.9023000000000002E-2</v>
      </c>
      <c r="F7283" s="2" t="s">
        <v>174</v>
      </c>
    </row>
    <row r="7284" spans="1:6" ht="22.5" hidden="1" customHeight="1" x14ac:dyDescent="0.25">
      <c r="A7284" s="3">
        <v>44440</v>
      </c>
      <c r="B7284" s="2" t="s">
        <v>315</v>
      </c>
      <c r="C7284" s="2">
        <v>0.66</v>
      </c>
      <c r="D7284" s="2">
        <v>0.26119999999999999</v>
      </c>
      <c r="E7284" s="2">
        <v>1.7239200000000001E-3</v>
      </c>
      <c r="F7284" s="2" t="s">
        <v>174</v>
      </c>
    </row>
    <row r="7285" spans="1:6" ht="22.5" hidden="1" customHeight="1" x14ac:dyDescent="0.25">
      <c r="A7285" s="3">
        <v>44440</v>
      </c>
      <c r="B7285" s="2" t="s">
        <v>316</v>
      </c>
      <c r="C7285" s="2">
        <v>-1.47</v>
      </c>
      <c r="D7285" s="2">
        <v>3.8E-3</v>
      </c>
      <c r="E7285" s="2">
        <v>-5.5859999999999997E-5</v>
      </c>
      <c r="F7285" s="2" t="s">
        <v>174</v>
      </c>
    </row>
    <row r="7286" spans="1:6" ht="22.5" hidden="1" customHeight="1" x14ac:dyDescent="0.25">
      <c r="A7286" s="3">
        <v>44440</v>
      </c>
      <c r="B7286" s="2" t="s">
        <v>317</v>
      </c>
      <c r="C7286" s="2">
        <v>-2.44</v>
      </c>
      <c r="D7286" s="2">
        <v>1.0099</v>
      </c>
      <c r="E7286" s="2">
        <v>-2.464156E-2</v>
      </c>
      <c r="F7286" s="2" t="s">
        <v>174</v>
      </c>
    </row>
    <row r="7287" spans="1:6" ht="22.5" hidden="1" customHeight="1" x14ac:dyDescent="0.25">
      <c r="A7287" s="3">
        <v>44440</v>
      </c>
      <c r="B7287" s="2" t="s">
        <v>318</v>
      </c>
      <c r="C7287" s="2">
        <v>0.63</v>
      </c>
      <c r="D7287" s="2">
        <v>0.42770000000000002</v>
      </c>
      <c r="E7287" s="2">
        <v>2.6945099999999998E-3</v>
      </c>
      <c r="F7287" s="2" t="s">
        <v>174</v>
      </c>
    </row>
    <row r="7288" spans="1:6" ht="22.5" hidden="1" customHeight="1" x14ac:dyDescent="0.25">
      <c r="A7288" s="3">
        <v>44440</v>
      </c>
      <c r="B7288" s="2" t="s">
        <v>319</v>
      </c>
      <c r="C7288" s="2">
        <v>0.88</v>
      </c>
      <c r="D7288" s="2">
        <v>0.1074</v>
      </c>
      <c r="E7288" s="2">
        <v>9.4512000000000003E-4</v>
      </c>
      <c r="F7288" s="2" t="s">
        <v>174</v>
      </c>
    </row>
    <row r="7289" spans="1:6" ht="22.5" hidden="1" customHeight="1" x14ac:dyDescent="0.25">
      <c r="A7289" s="3">
        <v>44440</v>
      </c>
      <c r="B7289" s="2" t="s">
        <v>320</v>
      </c>
      <c r="C7289" s="2">
        <v>2.6</v>
      </c>
      <c r="D7289" s="2">
        <v>0.30570000000000003</v>
      </c>
      <c r="E7289" s="2">
        <v>7.9482000000000008E-3</v>
      </c>
      <c r="F7289" s="2" t="s">
        <v>174</v>
      </c>
    </row>
    <row r="7290" spans="1:6" ht="22.5" hidden="1" customHeight="1" x14ac:dyDescent="0.25">
      <c r="A7290" s="3">
        <v>44440</v>
      </c>
      <c r="B7290" s="2" t="s">
        <v>321</v>
      </c>
      <c r="C7290" s="2">
        <v>0.79</v>
      </c>
      <c r="D7290" s="2">
        <v>0.2049</v>
      </c>
      <c r="E7290" s="2">
        <v>1.61871E-3</v>
      </c>
      <c r="F7290" s="2" t="s">
        <v>174</v>
      </c>
    </row>
    <row r="7291" spans="1:6" ht="22.5" hidden="1" customHeight="1" x14ac:dyDescent="0.25">
      <c r="A7291" s="3">
        <v>44440</v>
      </c>
      <c r="B7291" s="2" t="s">
        <v>322</v>
      </c>
      <c r="C7291" s="2">
        <v>4.07</v>
      </c>
      <c r="D7291" s="2">
        <v>0.15479999999999999</v>
      </c>
      <c r="E7291" s="2">
        <v>6.3003599999999996E-3</v>
      </c>
      <c r="F7291" s="2" t="s">
        <v>174</v>
      </c>
    </row>
    <row r="7292" spans="1:6" ht="22.5" hidden="1" customHeight="1" x14ac:dyDescent="0.25">
      <c r="A7292" s="3">
        <v>44440</v>
      </c>
      <c r="B7292" s="2" t="s">
        <v>323</v>
      </c>
      <c r="C7292" s="2">
        <v>0.03</v>
      </c>
      <c r="D7292" s="2">
        <v>1.04E-2</v>
      </c>
      <c r="E7292" s="2">
        <v>3.1200000000000002E-6</v>
      </c>
      <c r="F7292" s="2" t="s">
        <v>165</v>
      </c>
    </row>
    <row r="7293" spans="1:6" ht="22.5" hidden="1" customHeight="1" x14ac:dyDescent="0.25">
      <c r="A7293" s="3">
        <v>44440</v>
      </c>
      <c r="B7293" s="2" t="s">
        <v>324</v>
      </c>
      <c r="C7293" s="2">
        <v>0.06</v>
      </c>
      <c r="D7293" s="2">
        <v>0.37990000000000002</v>
      </c>
      <c r="E7293" s="2">
        <v>2.2793999999999999E-4</v>
      </c>
      <c r="F7293" s="2" t="s">
        <v>165</v>
      </c>
    </row>
    <row r="7294" spans="1:6" ht="22.5" hidden="1" customHeight="1" x14ac:dyDescent="0.25">
      <c r="A7294" s="3">
        <v>44440</v>
      </c>
      <c r="B7294" s="2" t="s">
        <v>325</v>
      </c>
      <c r="C7294" s="2">
        <v>0.13</v>
      </c>
      <c r="D7294" s="2">
        <v>2.9613</v>
      </c>
      <c r="E7294" s="2">
        <v>3.8496899999999998E-3</v>
      </c>
      <c r="F7294" s="2" t="s">
        <v>165</v>
      </c>
    </row>
    <row r="7295" spans="1:6" ht="22.5" hidden="1" customHeight="1" x14ac:dyDescent="0.25">
      <c r="A7295" s="3">
        <v>44440</v>
      </c>
      <c r="B7295" s="2" t="s">
        <v>326</v>
      </c>
      <c r="C7295" s="2">
        <v>0.63</v>
      </c>
      <c r="D7295" s="2">
        <v>1.0046999999999999</v>
      </c>
      <c r="E7295" s="2">
        <v>6.3296100000000003E-3</v>
      </c>
      <c r="F7295" s="2" t="s">
        <v>165</v>
      </c>
    </row>
    <row r="7296" spans="1:6" ht="22.5" hidden="1" customHeight="1" x14ac:dyDescent="0.25">
      <c r="A7296" s="3">
        <v>44440</v>
      </c>
      <c r="B7296" s="2" t="s">
        <v>327</v>
      </c>
      <c r="C7296" s="2">
        <v>1.1499999999999999</v>
      </c>
      <c r="D7296" s="2">
        <v>5.96E-2</v>
      </c>
      <c r="E7296" s="2">
        <v>6.8539999999999996E-4</v>
      </c>
      <c r="F7296" s="2" t="s">
        <v>165</v>
      </c>
    </row>
    <row r="7297" spans="1:6" ht="22.5" hidden="1" customHeight="1" x14ac:dyDescent="0.25">
      <c r="A7297" s="3">
        <v>44440</v>
      </c>
      <c r="B7297" s="2" t="s">
        <v>328</v>
      </c>
      <c r="C7297" s="2">
        <v>0</v>
      </c>
      <c r="D7297" s="2">
        <v>1.8499999999999999E-2</v>
      </c>
      <c r="E7297" s="2">
        <v>0</v>
      </c>
      <c r="F7297" s="2" t="s">
        <v>165</v>
      </c>
    </row>
    <row r="7298" spans="1:6" ht="22.5" hidden="1" customHeight="1" x14ac:dyDescent="0.25">
      <c r="A7298" s="3">
        <v>44440</v>
      </c>
      <c r="B7298" s="2" t="s">
        <v>329</v>
      </c>
      <c r="C7298" s="2">
        <v>-0.02</v>
      </c>
      <c r="D7298" s="2">
        <v>9.5899999999999999E-2</v>
      </c>
      <c r="E7298" s="2">
        <v>-1.9179999999999999E-5</v>
      </c>
      <c r="F7298" s="2" t="s">
        <v>165</v>
      </c>
    </row>
    <row r="7299" spans="1:6" ht="22.5" hidden="1" customHeight="1" x14ac:dyDescent="0.25">
      <c r="A7299" s="3">
        <v>44440</v>
      </c>
      <c r="B7299" s="2" t="s">
        <v>330</v>
      </c>
      <c r="C7299" s="2">
        <v>0.19</v>
      </c>
      <c r="D7299" s="2">
        <v>1.6960999999999999</v>
      </c>
      <c r="E7299" s="2">
        <v>3.22259E-3</v>
      </c>
      <c r="F7299" s="2" t="s">
        <v>165</v>
      </c>
    </row>
    <row r="7300" spans="1:6" ht="22.5" hidden="1" customHeight="1" x14ac:dyDescent="0.25">
      <c r="A7300" s="3">
        <v>44440</v>
      </c>
      <c r="B7300" s="2" t="s">
        <v>331</v>
      </c>
      <c r="C7300" s="2">
        <v>0.06</v>
      </c>
      <c r="D7300" s="2">
        <v>5.4899999999999997E-2</v>
      </c>
      <c r="E7300" s="2">
        <v>3.294E-5</v>
      </c>
      <c r="F7300" s="2" t="s">
        <v>165</v>
      </c>
    </row>
    <row r="7301" spans="1:6" ht="22.5" hidden="1" customHeight="1" x14ac:dyDescent="0.25">
      <c r="A7301" s="3">
        <v>44440</v>
      </c>
      <c r="B7301" s="2" t="s">
        <v>332</v>
      </c>
      <c r="C7301" s="2">
        <v>-1.1200000000000001</v>
      </c>
      <c r="D7301" s="2">
        <v>0.1071</v>
      </c>
      <c r="E7301" s="2">
        <v>-1.1995199999999999E-3</v>
      </c>
      <c r="F7301" s="2" t="s">
        <v>165</v>
      </c>
    </row>
    <row r="7302" spans="1:6" ht="22.5" hidden="1" customHeight="1" x14ac:dyDescent="0.25">
      <c r="A7302" s="3">
        <v>44440</v>
      </c>
      <c r="B7302" s="2" t="s">
        <v>333</v>
      </c>
      <c r="C7302" s="2">
        <v>0.17</v>
      </c>
      <c r="D7302" s="2">
        <v>8.0100000000000005E-2</v>
      </c>
      <c r="E7302" s="2">
        <v>1.3616999999999999E-4</v>
      </c>
      <c r="F7302" s="2" t="s">
        <v>165</v>
      </c>
    </row>
    <row r="7303" spans="1:6" ht="22.5" hidden="1" customHeight="1" x14ac:dyDescent="0.25">
      <c r="A7303" s="3">
        <v>44440</v>
      </c>
      <c r="B7303" s="2" t="s">
        <v>334</v>
      </c>
      <c r="C7303" s="2">
        <v>1.08</v>
      </c>
      <c r="D7303" s="2">
        <v>2.0899999999999998E-2</v>
      </c>
      <c r="E7303" s="2">
        <v>2.2572E-4</v>
      </c>
      <c r="F7303" s="2" t="s">
        <v>170</v>
      </c>
    </row>
    <row r="7304" spans="1:6" ht="22.5" hidden="1" customHeight="1" x14ac:dyDescent="0.25">
      <c r="A7304" s="3">
        <v>44440</v>
      </c>
      <c r="B7304" s="2" t="s">
        <v>335</v>
      </c>
      <c r="C7304" s="2">
        <v>-0.95</v>
      </c>
      <c r="D7304" s="2">
        <v>0.28470000000000001</v>
      </c>
      <c r="E7304" s="2">
        <v>-2.7046499999999998E-3</v>
      </c>
      <c r="F7304" s="2" t="s">
        <v>165</v>
      </c>
    </row>
    <row r="7305" spans="1:6" ht="22.5" hidden="1" customHeight="1" x14ac:dyDescent="0.25">
      <c r="A7305" s="3">
        <v>44440</v>
      </c>
      <c r="B7305" s="2" t="s">
        <v>336</v>
      </c>
      <c r="C7305" s="2">
        <v>1.39</v>
      </c>
      <c r="D7305" s="2">
        <v>0.1042</v>
      </c>
      <c r="E7305" s="2">
        <v>1.44838E-3</v>
      </c>
      <c r="F7305" s="2" t="s">
        <v>170</v>
      </c>
    </row>
    <row r="7306" spans="1:6" ht="22.5" hidden="1" customHeight="1" x14ac:dyDescent="0.25">
      <c r="A7306" s="3">
        <v>44440</v>
      </c>
      <c r="B7306" s="2" t="s">
        <v>337</v>
      </c>
      <c r="C7306" s="2">
        <v>0.28999999999999998</v>
      </c>
      <c r="D7306" s="2">
        <v>0.36980000000000002</v>
      </c>
      <c r="E7306" s="2">
        <v>1.0724199999999999E-3</v>
      </c>
      <c r="F7306" s="2" t="s">
        <v>174</v>
      </c>
    </row>
    <row r="7307" spans="1:6" ht="22.5" hidden="1" customHeight="1" x14ac:dyDescent="0.25">
      <c r="A7307" s="3">
        <v>44440</v>
      </c>
      <c r="B7307" s="2" t="s">
        <v>338</v>
      </c>
      <c r="C7307" s="2">
        <v>0.36</v>
      </c>
      <c r="D7307" s="2">
        <v>0.1973</v>
      </c>
      <c r="E7307" s="2">
        <v>7.1027999999999998E-4</v>
      </c>
      <c r="F7307" s="2" t="s">
        <v>174</v>
      </c>
    </row>
    <row r="7308" spans="1:6" ht="22.5" hidden="1" customHeight="1" x14ac:dyDescent="0.25">
      <c r="A7308" s="3">
        <v>44440</v>
      </c>
      <c r="B7308" s="2" t="s">
        <v>339</v>
      </c>
      <c r="C7308" s="2">
        <v>0.39</v>
      </c>
      <c r="D7308" s="2">
        <v>4.1399999999999999E-2</v>
      </c>
      <c r="E7308" s="2">
        <v>1.6145999999999999E-4</v>
      </c>
      <c r="F7308" s="2" t="s">
        <v>165</v>
      </c>
    </row>
    <row r="7309" spans="1:6" ht="22.5" hidden="1" customHeight="1" x14ac:dyDescent="0.25">
      <c r="A7309" s="3">
        <v>43983</v>
      </c>
      <c r="B7309" s="2" t="s">
        <v>264</v>
      </c>
      <c r="C7309" s="2">
        <v>-0.53</v>
      </c>
      <c r="D7309" s="2">
        <v>0.1195</v>
      </c>
      <c r="E7309" s="2">
        <v>-6.3334999999999997E-4</v>
      </c>
      <c r="F7309" s="2" t="s">
        <v>168</v>
      </c>
    </row>
    <row r="7310" spans="1:6" ht="22.5" hidden="1" customHeight="1" x14ac:dyDescent="0.25">
      <c r="A7310" s="3">
        <v>44440</v>
      </c>
      <c r="B7310" s="2" t="s">
        <v>341</v>
      </c>
      <c r="C7310" s="2">
        <v>1.04</v>
      </c>
      <c r="D7310" s="2">
        <v>1.0999999999999999E-2</v>
      </c>
      <c r="E7310" s="2">
        <v>1.144E-4</v>
      </c>
      <c r="F7310" s="2" t="s">
        <v>174</v>
      </c>
    </row>
    <row r="7311" spans="1:6" ht="22.5" hidden="1" customHeight="1" x14ac:dyDescent="0.25">
      <c r="A7311" s="3">
        <v>44440</v>
      </c>
      <c r="B7311" s="2" t="s">
        <v>342</v>
      </c>
      <c r="C7311" s="2">
        <v>1.02</v>
      </c>
      <c r="D7311" s="2">
        <v>0.50260000000000005</v>
      </c>
      <c r="E7311" s="2">
        <v>5.1265199999999999E-3</v>
      </c>
      <c r="F7311" s="2" t="s">
        <v>165</v>
      </c>
    </row>
    <row r="7312" spans="1:6" ht="22.5" hidden="1" customHeight="1" x14ac:dyDescent="0.25">
      <c r="A7312" s="3">
        <v>44440</v>
      </c>
      <c r="B7312" s="2" t="s">
        <v>343</v>
      </c>
      <c r="C7312" s="2">
        <v>5.18</v>
      </c>
      <c r="D7312" s="2">
        <v>0.47489999999999999</v>
      </c>
      <c r="E7312" s="2">
        <v>2.4599820000000001E-2</v>
      </c>
      <c r="F7312" s="2" t="s">
        <v>165</v>
      </c>
    </row>
    <row r="7313" spans="1:6" ht="22.5" hidden="1" customHeight="1" x14ac:dyDescent="0.25">
      <c r="A7313" s="3">
        <v>44440</v>
      </c>
      <c r="B7313" s="2" t="s">
        <v>344</v>
      </c>
      <c r="C7313" s="2">
        <v>-0.56999999999999995</v>
      </c>
      <c r="D7313" s="2">
        <v>0.1426</v>
      </c>
      <c r="E7313" s="2">
        <v>-8.1282000000000001E-4</v>
      </c>
      <c r="F7313" s="2" t="s">
        <v>165</v>
      </c>
    </row>
    <row r="7314" spans="1:6" ht="22.5" hidden="1" customHeight="1" x14ac:dyDescent="0.25">
      <c r="A7314" s="3">
        <v>44440</v>
      </c>
      <c r="B7314" s="2" t="s">
        <v>345</v>
      </c>
      <c r="C7314" s="2">
        <v>0.43</v>
      </c>
      <c r="D7314" s="2">
        <v>0.5121</v>
      </c>
      <c r="E7314" s="2">
        <v>2.2020299999999998E-3</v>
      </c>
      <c r="F7314" s="2" t="s">
        <v>165</v>
      </c>
    </row>
    <row r="7315" spans="1:6" ht="22.5" hidden="1" customHeight="1" x14ac:dyDescent="0.25">
      <c r="A7315" s="3">
        <v>44440</v>
      </c>
      <c r="B7315" s="2" t="s">
        <v>346</v>
      </c>
      <c r="C7315" s="2">
        <v>0.52</v>
      </c>
      <c r="D7315" s="2">
        <v>0.5302</v>
      </c>
      <c r="E7315" s="2">
        <v>2.7570400000000001E-3</v>
      </c>
      <c r="F7315" s="2" t="s">
        <v>174</v>
      </c>
    </row>
    <row r="7316" spans="1:6" ht="22.5" hidden="1" customHeight="1" x14ac:dyDescent="0.25">
      <c r="A7316" s="3">
        <v>44440</v>
      </c>
      <c r="B7316" s="2" t="s">
        <v>347</v>
      </c>
      <c r="C7316" s="2">
        <v>0</v>
      </c>
      <c r="D7316" s="2">
        <v>0.19120000000000001</v>
      </c>
      <c r="E7316" s="2">
        <v>0</v>
      </c>
      <c r="F7316" s="2" t="s">
        <v>165</v>
      </c>
    </row>
    <row r="7317" spans="1:6" ht="22.5" hidden="1" customHeight="1" x14ac:dyDescent="0.25">
      <c r="A7317" s="3">
        <v>44440</v>
      </c>
      <c r="B7317" s="2" t="s">
        <v>348</v>
      </c>
      <c r="C7317" s="2">
        <v>0</v>
      </c>
      <c r="D7317" s="2">
        <v>0.31509999999999999</v>
      </c>
      <c r="E7317" s="2">
        <v>0</v>
      </c>
      <c r="F7317" s="2" t="s">
        <v>165</v>
      </c>
    </row>
    <row r="7318" spans="1:6" ht="22.5" hidden="1" customHeight="1" x14ac:dyDescent="0.25">
      <c r="A7318" s="3">
        <v>44440</v>
      </c>
      <c r="B7318" s="2" t="s">
        <v>349</v>
      </c>
      <c r="C7318" s="2">
        <v>0</v>
      </c>
      <c r="D7318" s="2">
        <v>1.5113000000000001</v>
      </c>
      <c r="E7318" s="2">
        <v>0</v>
      </c>
      <c r="F7318" s="2" t="s">
        <v>165</v>
      </c>
    </row>
    <row r="7319" spans="1:6" ht="22.5" hidden="1" customHeight="1" x14ac:dyDescent="0.25">
      <c r="A7319" s="3">
        <v>44440</v>
      </c>
      <c r="B7319" s="2" t="s">
        <v>350</v>
      </c>
      <c r="C7319" s="2">
        <v>0</v>
      </c>
      <c r="D7319" s="2">
        <v>0.38179999999999997</v>
      </c>
      <c r="E7319" s="2">
        <v>0</v>
      </c>
      <c r="F7319" s="2" t="s">
        <v>165</v>
      </c>
    </row>
    <row r="7320" spans="1:6" ht="22.5" hidden="1" customHeight="1" x14ac:dyDescent="0.25">
      <c r="A7320" s="3">
        <v>44440</v>
      </c>
      <c r="B7320" s="2" t="s">
        <v>351</v>
      </c>
      <c r="C7320" s="2">
        <v>0</v>
      </c>
      <c r="D7320" s="2">
        <v>1.6721999999999999</v>
      </c>
      <c r="E7320" s="2">
        <v>0</v>
      </c>
      <c r="F7320" s="2" t="s">
        <v>165</v>
      </c>
    </row>
    <row r="7321" spans="1:6" ht="22.5" hidden="1" customHeight="1" x14ac:dyDescent="0.25">
      <c r="A7321" s="3">
        <v>44440</v>
      </c>
      <c r="B7321" s="2" t="s">
        <v>352</v>
      </c>
      <c r="C7321" s="2">
        <v>0</v>
      </c>
      <c r="D7321" s="2">
        <v>0.27560000000000001</v>
      </c>
      <c r="E7321" s="2">
        <v>0</v>
      </c>
      <c r="F7321" s="2" t="s">
        <v>165</v>
      </c>
    </row>
    <row r="7322" spans="1:6" ht="22.5" hidden="1" customHeight="1" x14ac:dyDescent="0.25">
      <c r="A7322" s="3">
        <v>44440</v>
      </c>
      <c r="B7322" s="2" t="s">
        <v>353</v>
      </c>
      <c r="C7322" s="2">
        <v>0</v>
      </c>
      <c r="D7322" s="2">
        <v>0.04</v>
      </c>
      <c r="E7322" s="2">
        <v>0</v>
      </c>
      <c r="F7322" s="2" t="s">
        <v>165</v>
      </c>
    </row>
    <row r="7323" spans="1:6" ht="22.5" hidden="1" customHeight="1" x14ac:dyDescent="0.25">
      <c r="A7323" s="3">
        <v>44440</v>
      </c>
      <c r="B7323" s="2" t="s">
        <v>354</v>
      </c>
      <c r="C7323" s="2">
        <v>0</v>
      </c>
      <c r="D7323" s="2">
        <v>3.0099999999999998E-2</v>
      </c>
      <c r="E7323" s="2">
        <v>0</v>
      </c>
      <c r="F7323" s="2" t="s">
        <v>165</v>
      </c>
    </row>
    <row r="7324" spans="1:6" ht="22.5" hidden="1" customHeight="1" x14ac:dyDescent="0.25">
      <c r="A7324" s="3">
        <v>44440</v>
      </c>
      <c r="B7324" s="2" t="s">
        <v>355</v>
      </c>
      <c r="C7324" s="2">
        <v>0</v>
      </c>
      <c r="D7324" s="2">
        <v>2.8000000000000001E-2</v>
      </c>
      <c r="E7324" s="2">
        <v>0</v>
      </c>
      <c r="F7324" s="2" t="s">
        <v>174</v>
      </c>
    </row>
    <row r="7325" spans="1:6" ht="22.5" hidden="1" customHeight="1" x14ac:dyDescent="0.25">
      <c r="A7325" s="3">
        <v>44440</v>
      </c>
      <c r="B7325" s="2" t="s">
        <v>356</v>
      </c>
      <c r="C7325" s="2">
        <v>0</v>
      </c>
      <c r="D7325" s="2">
        <v>3.5499999999999997E-2</v>
      </c>
      <c r="E7325" s="2">
        <v>0</v>
      </c>
      <c r="F7325" s="2" t="s">
        <v>174</v>
      </c>
    </row>
    <row r="7326" spans="1:6" ht="22.5" hidden="1" customHeight="1" x14ac:dyDescent="0.25">
      <c r="A7326" s="3">
        <v>44440</v>
      </c>
      <c r="B7326" s="2" t="s">
        <v>357</v>
      </c>
      <c r="C7326" s="2">
        <v>0</v>
      </c>
      <c r="D7326" s="2">
        <v>0.35809999999999997</v>
      </c>
      <c r="E7326" s="2">
        <v>0</v>
      </c>
      <c r="F7326" s="2" t="s">
        <v>174</v>
      </c>
    </row>
    <row r="7327" spans="1:6" ht="22.5" hidden="1" customHeight="1" x14ac:dyDescent="0.25">
      <c r="A7327" s="3">
        <v>44440</v>
      </c>
      <c r="B7327" s="2" t="s">
        <v>358</v>
      </c>
      <c r="C7327" s="2">
        <v>0.76</v>
      </c>
      <c r="D7327" s="2">
        <v>9.3799999999999994E-2</v>
      </c>
      <c r="E7327" s="2">
        <v>7.1288000000000005E-4</v>
      </c>
      <c r="F7327" s="2" t="s">
        <v>174</v>
      </c>
    </row>
    <row r="7328" spans="1:6" ht="22.5" hidden="1" customHeight="1" x14ac:dyDescent="0.25">
      <c r="A7328" s="3">
        <v>44440</v>
      </c>
      <c r="B7328" s="2" t="s">
        <v>359</v>
      </c>
      <c r="C7328" s="2">
        <v>0.66</v>
      </c>
      <c r="D7328" s="2">
        <v>4.6699999999999998E-2</v>
      </c>
      <c r="E7328" s="2">
        <v>3.0822E-4</v>
      </c>
      <c r="F7328" s="2" t="s">
        <v>174</v>
      </c>
    </row>
    <row r="7329" spans="1:6" ht="22.5" hidden="1" customHeight="1" x14ac:dyDescent="0.25">
      <c r="A7329" s="3">
        <v>44440</v>
      </c>
      <c r="B7329" s="2" t="s">
        <v>360</v>
      </c>
      <c r="C7329" s="2">
        <v>1.39</v>
      </c>
      <c r="D7329" s="2">
        <v>8.8700000000000001E-2</v>
      </c>
      <c r="E7329" s="2">
        <v>1.2329299999999999E-3</v>
      </c>
      <c r="F7329" s="2" t="s">
        <v>174</v>
      </c>
    </row>
    <row r="7330" spans="1:6" ht="22.5" hidden="1" customHeight="1" x14ac:dyDescent="0.25">
      <c r="A7330" s="3">
        <v>44440</v>
      </c>
      <c r="B7330" s="2" t="s">
        <v>361</v>
      </c>
      <c r="C7330" s="2">
        <v>-0.59</v>
      </c>
      <c r="D7330" s="2">
        <v>7.46E-2</v>
      </c>
      <c r="E7330" s="2">
        <v>-4.4014E-4</v>
      </c>
      <c r="F7330" s="2" t="s">
        <v>165</v>
      </c>
    </row>
    <row r="7331" spans="1:6" ht="22.5" hidden="1" customHeight="1" x14ac:dyDescent="0.25">
      <c r="A7331" s="3">
        <v>44440</v>
      </c>
      <c r="B7331" s="2" t="s">
        <v>362</v>
      </c>
      <c r="C7331" s="2">
        <v>-0.98</v>
      </c>
      <c r="D7331" s="2">
        <v>0.28939999999999999</v>
      </c>
      <c r="E7331" s="2">
        <v>-2.8361200000000001E-3</v>
      </c>
      <c r="F7331" s="2" t="s">
        <v>165</v>
      </c>
    </row>
    <row r="7332" spans="1:6" ht="22.5" hidden="1" customHeight="1" x14ac:dyDescent="0.25">
      <c r="A7332" s="3">
        <v>44440</v>
      </c>
      <c r="B7332" s="2" t="s">
        <v>363</v>
      </c>
      <c r="C7332" s="2">
        <v>-0.26</v>
      </c>
      <c r="D7332" s="2">
        <v>4.9500000000000002E-2</v>
      </c>
      <c r="E7332" s="2">
        <v>-1.2870000000000001E-4</v>
      </c>
      <c r="F7332" s="2" t="s">
        <v>165</v>
      </c>
    </row>
    <row r="7333" spans="1:6" ht="22.5" hidden="1" customHeight="1" x14ac:dyDescent="0.25">
      <c r="A7333" s="3">
        <v>44440</v>
      </c>
      <c r="B7333" s="2" t="s">
        <v>364</v>
      </c>
      <c r="C7333" s="2">
        <v>0.16</v>
      </c>
      <c r="D7333" s="2">
        <v>0.39129999999999998</v>
      </c>
      <c r="E7333" s="2">
        <v>6.2608E-4</v>
      </c>
      <c r="F7333" s="2" t="s">
        <v>165</v>
      </c>
    </row>
    <row r="7334" spans="1:6" ht="22.5" hidden="1" customHeight="1" x14ac:dyDescent="0.25">
      <c r="A7334" s="3">
        <v>44075</v>
      </c>
      <c r="B7334" s="2" t="s">
        <v>263</v>
      </c>
      <c r="C7334" s="2">
        <v>-0.15</v>
      </c>
      <c r="D7334" s="2">
        <v>0.43959999999999999</v>
      </c>
      <c r="E7334" s="2">
        <v>-6.5939999999999998E-4</v>
      </c>
      <c r="F7334" s="2" t="s">
        <v>168</v>
      </c>
    </row>
    <row r="7335" spans="1:6" ht="22.5" hidden="1" customHeight="1" x14ac:dyDescent="0.25">
      <c r="A7335" s="3">
        <v>44317</v>
      </c>
      <c r="B7335" s="2" t="s">
        <v>264</v>
      </c>
      <c r="C7335" s="2">
        <v>-0.68</v>
      </c>
      <c r="D7335" s="2">
        <v>0.1003</v>
      </c>
      <c r="E7335" s="2">
        <v>-6.8203999999999997E-4</v>
      </c>
      <c r="F7335" s="2" t="s">
        <v>168</v>
      </c>
    </row>
    <row r="7336" spans="1:6" ht="22.5" hidden="1" customHeight="1" x14ac:dyDescent="0.25">
      <c r="A7336" s="3">
        <v>44378</v>
      </c>
      <c r="B7336" s="2" t="s">
        <v>295</v>
      </c>
      <c r="C7336" s="2">
        <v>-0.31</v>
      </c>
      <c r="D7336" s="2">
        <v>0.2213</v>
      </c>
      <c r="E7336" s="2">
        <v>-6.8603000000000002E-4</v>
      </c>
      <c r="F7336" s="2" t="s">
        <v>168</v>
      </c>
    </row>
    <row r="7337" spans="1:6" ht="22.5" hidden="1" customHeight="1" x14ac:dyDescent="0.25">
      <c r="A7337" s="3">
        <v>44440</v>
      </c>
      <c r="B7337" s="2" t="s">
        <v>368</v>
      </c>
      <c r="C7337" s="2">
        <v>0</v>
      </c>
      <c r="D7337" s="2">
        <v>0.37240000000000001</v>
      </c>
      <c r="E7337" s="2">
        <v>0</v>
      </c>
      <c r="F7337" s="2" t="s">
        <v>165</v>
      </c>
    </row>
    <row r="7338" spans="1:6" ht="22.5" hidden="1" customHeight="1" x14ac:dyDescent="0.25">
      <c r="A7338" s="3">
        <v>44440</v>
      </c>
      <c r="B7338" s="2" t="s">
        <v>369</v>
      </c>
      <c r="C7338" s="2">
        <v>0</v>
      </c>
      <c r="D7338" s="2">
        <v>0.53810000000000002</v>
      </c>
      <c r="E7338" s="2">
        <v>0</v>
      </c>
      <c r="F7338" s="2" t="s">
        <v>165</v>
      </c>
    </row>
    <row r="7339" spans="1:6" ht="22.5" hidden="1" customHeight="1" x14ac:dyDescent="0.25">
      <c r="A7339" s="3">
        <v>44440</v>
      </c>
      <c r="B7339" s="2" t="s">
        <v>370</v>
      </c>
      <c r="C7339" s="2">
        <v>-0.05</v>
      </c>
      <c r="D7339" s="2">
        <v>0.96830000000000005</v>
      </c>
      <c r="E7339" s="2">
        <v>-4.8414999999999998E-4</v>
      </c>
      <c r="F7339" s="2" t="s">
        <v>170</v>
      </c>
    </row>
    <row r="7340" spans="1:6" ht="22.5" hidden="1" customHeight="1" x14ac:dyDescent="0.25">
      <c r="A7340" s="3">
        <v>44440</v>
      </c>
      <c r="B7340" s="2" t="s">
        <v>371</v>
      </c>
      <c r="C7340" s="2">
        <v>0</v>
      </c>
      <c r="D7340" s="2">
        <v>7.1099999999999997E-2</v>
      </c>
      <c r="E7340" s="2">
        <v>0</v>
      </c>
      <c r="F7340" s="2" t="s">
        <v>165</v>
      </c>
    </row>
    <row r="7341" spans="1:6" ht="22.5" hidden="1" customHeight="1" x14ac:dyDescent="0.25">
      <c r="A7341" s="3">
        <v>44440</v>
      </c>
      <c r="B7341" s="2" t="s">
        <v>372</v>
      </c>
      <c r="C7341" s="2">
        <v>0</v>
      </c>
      <c r="D7341" s="2">
        <v>1.6291</v>
      </c>
      <c r="E7341" s="2">
        <v>0</v>
      </c>
      <c r="F7341" s="2" t="s">
        <v>165</v>
      </c>
    </row>
    <row r="7342" spans="1:6" ht="22.5" hidden="1" customHeight="1" x14ac:dyDescent="0.25">
      <c r="A7342" s="3">
        <v>44470</v>
      </c>
      <c r="B7342" s="2" t="s">
        <v>6</v>
      </c>
      <c r="C7342" s="2">
        <v>-1.06</v>
      </c>
      <c r="D7342" s="2">
        <v>0.64019999999999999</v>
      </c>
      <c r="E7342" s="2">
        <v>-6.7861199999999997E-3</v>
      </c>
      <c r="F7342" s="2" t="s">
        <v>7</v>
      </c>
    </row>
    <row r="7343" spans="1:6" ht="22.5" hidden="1" customHeight="1" x14ac:dyDescent="0.25">
      <c r="A7343" s="3">
        <v>44470</v>
      </c>
      <c r="B7343" s="2" t="s">
        <v>8</v>
      </c>
      <c r="C7343" s="2">
        <v>-4.0999999999999996</v>
      </c>
      <c r="D7343" s="2">
        <v>1.46E-2</v>
      </c>
      <c r="E7343" s="2">
        <v>-5.9860000000000002E-4</v>
      </c>
      <c r="F7343" s="2" t="s">
        <v>7</v>
      </c>
    </row>
    <row r="7344" spans="1:6" ht="22.5" hidden="1" customHeight="1" x14ac:dyDescent="0.25">
      <c r="A7344" s="3">
        <v>44470</v>
      </c>
      <c r="B7344" s="2" t="s">
        <v>9</v>
      </c>
      <c r="C7344" s="2">
        <v>-2.64</v>
      </c>
      <c r="D7344" s="2">
        <v>6.6600000000000006E-2</v>
      </c>
      <c r="E7344" s="2">
        <v>-1.7582400000000001E-3</v>
      </c>
      <c r="F7344" s="2" t="s">
        <v>7</v>
      </c>
    </row>
    <row r="7345" spans="1:6" ht="22.5" hidden="1" customHeight="1" x14ac:dyDescent="0.25">
      <c r="A7345" s="3">
        <v>44470</v>
      </c>
      <c r="B7345" s="2" t="s">
        <v>10</v>
      </c>
      <c r="C7345" s="2">
        <v>-2.58</v>
      </c>
      <c r="D7345" s="2">
        <v>2.24E-2</v>
      </c>
      <c r="E7345" s="2">
        <v>-5.7792E-4</v>
      </c>
      <c r="F7345" s="2" t="s">
        <v>7</v>
      </c>
    </row>
    <row r="7346" spans="1:6" ht="22.5" hidden="1" customHeight="1" x14ac:dyDescent="0.25">
      <c r="A7346" s="3">
        <v>44470</v>
      </c>
      <c r="B7346" s="2" t="s">
        <v>11</v>
      </c>
      <c r="C7346" s="2">
        <v>-1.84</v>
      </c>
      <c r="D7346" s="2">
        <v>0.1411</v>
      </c>
      <c r="E7346" s="2">
        <v>-2.5962400000000001E-3</v>
      </c>
      <c r="F7346" s="2" t="s">
        <v>7</v>
      </c>
    </row>
    <row r="7347" spans="1:6" ht="22.5" hidden="1" customHeight="1" x14ac:dyDescent="0.25">
      <c r="A7347" s="3">
        <v>44470</v>
      </c>
      <c r="B7347" s="2" t="s">
        <v>12</v>
      </c>
      <c r="C7347" s="2">
        <v>5.05</v>
      </c>
      <c r="D7347" s="2">
        <v>1.06E-2</v>
      </c>
      <c r="E7347" s="2">
        <v>5.3529999999999995E-4</v>
      </c>
      <c r="F7347" s="2" t="s">
        <v>7</v>
      </c>
    </row>
    <row r="7348" spans="1:6" ht="22.5" hidden="1" customHeight="1" x14ac:dyDescent="0.25">
      <c r="A7348" s="3">
        <v>44470</v>
      </c>
      <c r="B7348" s="2" t="s">
        <v>13</v>
      </c>
      <c r="C7348" s="2">
        <v>7.12</v>
      </c>
      <c r="D7348" s="2">
        <v>2.7000000000000001E-3</v>
      </c>
      <c r="E7348" s="2">
        <v>1.9223999999999999E-4</v>
      </c>
      <c r="F7348" s="2" t="s">
        <v>7</v>
      </c>
    </row>
    <row r="7349" spans="1:6" ht="22.5" hidden="1" customHeight="1" x14ac:dyDescent="0.25">
      <c r="A7349" s="3">
        <v>44470</v>
      </c>
      <c r="B7349" s="2" t="s">
        <v>14</v>
      </c>
      <c r="C7349" s="2">
        <v>0.87</v>
      </c>
      <c r="D7349" s="2">
        <v>0.15190000000000001</v>
      </c>
      <c r="E7349" s="2">
        <v>1.32153E-3</v>
      </c>
      <c r="F7349" s="2" t="s">
        <v>7</v>
      </c>
    </row>
    <row r="7350" spans="1:6" ht="22.5" hidden="1" customHeight="1" x14ac:dyDescent="0.25">
      <c r="A7350" s="3">
        <v>44470</v>
      </c>
      <c r="B7350" s="2" t="s">
        <v>15</v>
      </c>
      <c r="C7350" s="2">
        <v>3.21</v>
      </c>
      <c r="D7350" s="2">
        <v>8.6999999999999994E-3</v>
      </c>
      <c r="E7350" s="2">
        <v>2.7926999999999997E-4</v>
      </c>
      <c r="F7350" s="2" t="s">
        <v>7</v>
      </c>
    </row>
    <row r="7351" spans="1:6" ht="22.5" hidden="1" customHeight="1" x14ac:dyDescent="0.25">
      <c r="A7351" s="3">
        <v>44470</v>
      </c>
      <c r="B7351" s="2" t="s">
        <v>16</v>
      </c>
      <c r="C7351" s="2">
        <v>-0.22</v>
      </c>
      <c r="D7351" s="2">
        <v>9.1999999999999998E-3</v>
      </c>
      <c r="E7351" s="2">
        <v>-2.0239999999999999E-5</v>
      </c>
      <c r="F7351" s="2" t="s">
        <v>7</v>
      </c>
    </row>
    <row r="7352" spans="1:6" ht="22.5" hidden="1" customHeight="1" x14ac:dyDescent="0.25">
      <c r="A7352" s="3">
        <v>44470</v>
      </c>
      <c r="B7352" s="2" t="s">
        <v>17</v>
      </c>
      <c r="C7352" s="2">
        <v>0</v>
      </c>
      <c r="D7352" s="2">
        <v>5.1799999999999999E-2</v>
      </c>
      <c r="E7352" s="2">
        <v>0</v>
      </c>
      <c r="F7352" s="2" t="s">
        <v>7</v>
      </c>
    </row>
    <row r="7353" spans="1:6" ht="22.5" hidden="1" customHeight="1" x14ac:dyDescent="0.25">
      <c r="A7353" s="3">
        <v>44470</v>
      </c>
      <c r="B7353" s="2" t="s">
        <v>18</v>
      </c>
      <c r="C7353" s="2">
        <v>0.55000000000000004</v>
      </c>
      <c r="D7353" s="2">
        <v>9.6299999999999997E-2</v>
      </c>
      <c r="E7353" s="2">
        <v>5.2965E-4</v>
      </c>
      <c r="F7353" s="2" t="s">
        <v>7</v>
      </c>
    </row>
    <row r="7354" spans="1:6" ht="22.5" hidden="1" customHeight="1" x14ac:dyDescent="0.25">
      <c r="A7354" s="3">
        <v>44470</v>
      </c>
      <c r="B7354" s="2" t="s">
        <v>19</v>
      </c>
      <c r="C7354" s="2">
        <v>1.38</v>
      </c>
      <c r="D7354" s="2">
        <v>0.1237</v>
      </c>
      <c r="E7354" s="2">
        <v>1.70706E-3</v>
      </c>
      <c r="F7354" s="2" t="s">
        <v>7</v>
      </c>
    </row>
    <row r="7355" spans="1:6" ht="22.5" hidden="1" customHeight="1" x14ac:dyDescent="0.25">
      <c r="A7355" s="3">
        <v>44470</v>
      </c>
      <c r="B7355" s="2" t="s">
        <v>20</v>
      </c>
      <c r="C7355" s="2">
        <v>-0.54</v>
      </c>
      <c r="D7355" s="2">
        <v>2.6200000000000001E-2</v>
      </c>
      <c r="E7355" s="2">
        <v>-1.4148000000000001E-4</v>
      </c>
      <c r="F7355" s="2" t="s">
        <v>7</v>
      </c>
    </row>
    <row r="7356" spans="1:6" ht="22.5" hidden="1" customHeight="1" x14ac:dyDescent="0.25">
      <c r="A7356" s="3">
        <v>44470</v>
      </c>
      <c r="B7356" s="2" t="s">
        <v>21</v>
      </c>
      <c r="C7356" s="2">
        <v>11.39</v>
      </c>
      <c r="D7356" s="2">
        <v>3.3399999999999999E-2</v>
      </c>
      <c r="E7356" s="2">
        <v>3.8042599999999998E-3</v>
      </c>
      <c r="F7356" s="2" t="s">
        <v>7</v>
      </c>
    </row>
    <row r="7357" spans="1:6" ht="22.5" hidden="1" customHeight="1" x14ac:dyDescent="0.25">
      <c r="A7357" s="3">
        <v>44470</v>
      </c>
      <c r="B7357" s="2" t="s">
        <v>22</v>
      </c>
      <c r="C7357" s="2">
        <v>8.57</v>
      </c>
      <c r="D7357" s="2">
        <v>0.15509999999999999</v>
      </c>
      <c r="E7357" s="2">
        <v>1.329207E-2</v>
      </c>
      <c r="F7357" s="2" t="s">
        <v>7</v>
      </c>
    </row>
    <row r="7358" spans="1:6" ht="22.5" hidden="1" customHeight="1" x14ac:dyDescent="0.25">
      <c r="A7358" s="3">
        <v>44470</v>
      </c>
      <c r="B7358" s="2" t="s">
        <v>23</v>
      </c>
      <c r="C7358" s="2">
        <v>4.96</v>
      </c>
      <c r="D7358" s="2">
        <v>1.9599999999999999E-2</v>
      </c>
      <c r="E7358" s="2">
        <v>9.7216000000000002E-4</v>
      </c>
      <c r="F7358" s="2" t="s">
        <v>7</v>
      </c>
    </row>
    <row r="7359" spans="1:6" ht="22.5" hidden="1" customHeight="1" x14ac:dyDescent="0.25">
      <c r="A7359" s="3">
        <v>44470</v>
      </c>
      <c r="B7359" s="2" t="s">
        <v>24</v>
      </c>
      <c r="C7359" s="2">
        <v>-23.06</v>
      </c>
      <c r="D7359" s="2">
        <v>1.54E-2</v>
      </c>
      <c r="E7359" s="2">
        <v>-3.5512400000000002E-3</v>
      </c>
      <c r="F7359" s="2" t="s">
        <v>7</v>
      </c>
    </row>
    <row r="7360" spans="1:6" ht="22.5" hidden="1" customHeight="1" x14ac:dyDescent="0.25">
      <c r="A7360" s="3">
        <v>44470</v>
      </c>
      <c r="B7360" s="2" t="s">
        <v>25</v>
      </c>
      <c r="C7360" s="2">
        <v>-9.59</v>
      </c>
      <c r="D7360" s="2">
        <v>4.5999999999999999E-3</v>
      </c>
      <c r="E7360" s="2">
        <v>-4.4114000000000002E-4</v>
      </c>
      <c r="F7360" s="2" t="s">
        <v>7</v>
      </c>
    </row>
    <row r="7361" spans="1:6" ht="22.5" hidden="1" customHeight="1" x14ac:dyDescent="0.25">
      <c r="A7361" s="3">
        <v>44470</v>
      </c>
      <c r="B7361" s="2" t="s">
        <v>26</v>
      </c>
      <c r="C7361" s="2">
        <v>0.43</v>
      </c>
      <c r="D7361" s="2">
        <v>2.58E-2</v>
      </c>
      <c r="E7361" s="2">
        <v>1.1094000000000001E-4</v>
      </c>
      <c r="F7361" s="2" t="s">
        <v>7</v>
      </c>
    </row>
    <row r="7362" spans="1:6" ht="22.5" hidden="1" customHeight="1" x14ac:dyDescent="0.25">
      <c r="A7362" s="3">
        <v>44470</v>
      </c>
      <c r="B7362" s="2" t="s">
        <v>27</v>
      </c>
      <c r="C7362" s="2">
        <v>23.15</v>
      </c>
      <c r="D7362" s="2">
        <v>0.2278</v>
      </c>
      <c r="E7362" s="2">
        <v>5.2735700000000003E-2</v>
      </c>
      <c r="F7362" s="2" t="s">
        <v>7</v>
      </c>
    </row>
    <row r="7363" spans="1:6" ht="22.5" hidden="1" customHeight="1" x14ac:dyDescent="0.25">
      <c r="A7363" s="3">
        <v>44470</v>
      </c>
      <c r="B7363" s="2" t="s">
        <v>28</v>
      </c>
      <c r="C7363" s="2">
        <v>-2.72</v>
      </c>
      <c r="D7363" s="2">
        <v>9.0999999999999998E-2</v>
      </c>
      <c r="E7363" s="2">
        <v>-2.4751999999999999E-3</v>
      </c>
      <c r="F7363" s="2" t="s">
        <v>7</v>
      </c>
    </row>
    <row r="7364" spans="1:6" ht="22.5" hidden="1" customHeight="1" x14ac:dyDescent="0.25">
      <c r="A7364" s="3">
        <v>44470</v>
      </c>
      <c r="B7364" s="2" t="s">
        <v>29</v>
      </c>
      <c r="C7364" s="2">
        <v>5.32</v>
      </c>
      <c r="D7364" s="2">
        <v>4.8000000000000001E-2</v>
      </c>
      <c r="E7364" s="2">
        <v>2.5536000000000001E-3</v>
      </c>
      <c r="F7364" s="2" t="s">
        <v>7</v>
      </c>
    </row>
    <row r="7365" spans="1:6" ht="22.5" hidden="1" customHeight="1" x14ac:dyDescent="0.25">
      <c r="A7365" s="3">
        <v>44470</v>
      </c>
      <c r="B7365" s="2" t="s">
        <v>30</v>
      </c>
      <c r="C7365" s="2">
        <v>7.67</v>
      </c>
      <c r="D7365" s="2">
        <v>0.1172</v>
      </c>
      <c r="E7365" s="2">
        <v>8.9892400000000008E-3</v>
      </c>
      <c r="F7365" s="2" t="s">
        <v>7</v>
      </c>
    </row>
    <row r="7366" spans="1:6" ht="22.5" hidden="1" customHeight="1" x14ac:dyDescent="0.25">
      <c r="A7366" s="3">
        <v>44470</v>
      </c>
      <c r="B7366" s="2" t="s">
        <v>31</v>
      </c>
      <c r="C7366" s="2">
        <v>4.55</v>
      </c>
      <c r="D7366" s="2">
        <v>0.1239</v>
      </c>
      <c r="E7366" s="2">
        <v>5.6374499999999996E-3</v>
      </c>
      <c r="F7366" s="2" t="s">
        <v>7</v>
      </c>
    </row>
    <row r="7367" spans="1:6" ht="22.5" hidden="1" customHeight="1" x14ac:dyDescent="0.25">
      <c r="A7367" s="3">
        <v>44470</v>
      </c>
      <c r="B7367" s="2" t="s">
        <v>32</v>
      </c>
      <c r="C7367" s="2">
        <v>0</v>
      </c>
      <c r="D7367" s="2">
        <v>1.54E-2</v>
      </c>
      <c r="E7367" s="2">
        <v>0</v>
      </c>
      <c r="F7367" s="2" t="s">
        <v>7</v>
      </c>
    </row>
    <row r="7368" spans="1:6" ht="22.5" hidden="1" customHeight="1" x14ac:dyDescent="0.25">
      <c r="A7368" s="3">
        <v>44470</v>
      </c>
      <c r="B7368" s="2" t="s">
        <v>33</v>
      </c>
      <c r="C7368" s="2">
        <v>0.97</v>
      </c>
      <c r="D7368" s="2">
        <v>0.1885</v>
      </c>
      <c r="E7368" s="2">
        <v>1.8284499999999999E-3</v>
      </c>
      <c r="F7368" s="2" t="s">
        <v>7</v>
      </c>
    </row>
    <row r="7369" spans="1:6" ht="22.5" hidden="1" customHeight="1" x14ac:dyDescent="0.25">
      <c r="A7369" s="3">
        <v>44470</v>
      </c>
      <c r="B7369" s="2" t="s">
        <v>34</v>
      </c>
      <c r="C7369" s="2">
        <v>2.38</v>
      </c>
      <c r="D7369" s="2">
        <v>0.14530000000000001</v>
      </c>
      <c r="E7369" s="2">
        <v>3.4581400000000002E-3</v>
      </c>
      <c r="F7369" s="2" t="s">
        <v>7</v>
      </c>
    </row>
    <row r="7370" spans="1:6" ht="22.5" hidden="1" customHeight="1" x14ac:dyDescent="0.25">
      <c r="A7370" s="3">
        <v>44470</v>
      </c>
      <c r="B7370" s="2" t="s">
        <v>35</v>
      </c>
      <c r="C7370" s="2">
        <v>-0.45</v>
      </c>
      <c r="D7370" s="2">
        <v>0.1094</v>
      </c>
      <c r="E7370" s="2">
        <v>-4.9229999999999999E-4</v>
      </c>
      <c r="F7370" s="2" t="s">
        <v>7</v>
      </c>
    </row>
    <row r="7371" spans="1:6" ht="22.5" hidden="1" customHeight="1" x14ac:dyDescent="0.25">
      <c r="A7371" s="3">
        <v>44470</v>
      </c>
      <c r="B7371" s="2" t="s">
        <v>36</v>
      </c>
      <c r="C7371" s="2">
        <v>-2.5299999999999998</v>
      </c>
      <c r="D7371" s="2">
        <v>1.6999999999999999E-3</v>
      </c>
      <c r="E7371" s="2">
        <v>-4.3010000000000003E-5</v>
      </c>
      <c r="F7371" s="2" t="s">
        <v>7</v>
      </c>
    </row>
    <row r="7372" spans="1:6" ht="22.5" hidden="1" customHeight="1" x14ac:dyDescent="0.25">
      <c r="A7372" s="3">
        <v>44470</v>
      </c>
      <c r="B7372" s="2" t="s">
        <v>37</v>
      </c>
      <c r="C7372" s="2">
        <v>-4.54</v>
      </c>
      <c r="D7372" s="2">
        <v>9.0499999999999997E-2</v>
      </c>
      <c r="E7372" s="2">
        <v>-4.1086999999999999E-3</v>
      </c>
      <c r="F7372" s="2" t="s">
        <v>7</v>
      </c>
    </row>
    <row r="7373" spans="1:6" ht="22.5" hidden="1" customHeight="1" x14ac:dyDescent="0.25">
      <c r="A7373" s="3">
        <v>44470</v>
      </c>
      <c r="B7373" s="2" t="s">
        <v>38</v>
      </c>
      <c r="C7373" s="2">
        <v>3.32</v>
      </c>
      <c r="D7373" s="2">
        <v>9.1000000000000004E-3</v>
      </c>
      <c r="E7373" s="2">
        <v>3.0212000000000001E-4</v>
      </c>
      <c r="F7373" s="2" t="s">
        <v>7</v>
      </c>
    </row>
    <row r="7374" spans="1:6" ht="22.5" hidden="1" customHeight="1" x14ac:dyDescent="0.25">
      <c r="A7374" s="3">
        <v>44470</v>
      </c>
      <c r="B7374" s="2" t="s">
        <v>39</v>
      </c>
      <c r="C7374" s="2">
        <v>0.62</v>
      </c>
      <c r="D7374" s="2">
        <v>1.44E-2</v>
      </c>
      <c r="E7374" s="2">
        <v>8.9279999999999999E-5</v>
      </c>
      <c r="F7374" s="2" t="s">
        <v>7</v>
      </c>
    </row>
    <row r="7375" spans="1:6" ht="22.5" hidden="1" customHeight="1" x14ac:dyDescent="0.25">
      <c r="A7375" s="3">
        <v>44470</v>
      </c>
      <c r="B7375" s="2" t="s">
        <v>40</v>
      </c>
      <c r="C7375" s="2">
        <v>-5.58</v>
      </c>
      <c r="D7375" s="2">
        <v>2.7000000000000001E-3</v>
      </c>
      <c r="E7375" s="2">
        <v>-1.5066E-4</v>
      </c>
      <c r="F7375" s="2" t="s">
        <v>7</v>
      </c>
    </row>
    <row r="7376" spans="1:6" ht="22.5" hidden="1" customHeight="1" x14ac:dyDescent="0.25">
      <c r="A7376" s="3">
        <v>44470</v>
      </c>
      <c r="B7376" s="2" t="s">
        <v>41</v>
      </c>
      <c r="C7376" s="2">
        <v>-10.85</v>
      </c>
      <c r="D7376" s="2">
        <v>2.2499999999999999E-2</v>
      </c>
      <c r="E7376" s="2">
        <v>-2.4412499999999998E-3</v>
      </c>
      <c r="F7376" s="2" t="s">
        <v>7</v>
      </c>
    </row>
    <row r="7377" spans="1:6" ht="22.5" hidden="1" customHeight="1" x14ac:dyDescent="0.25">
      <c r="A7377" s="3">
        <v>44470</v>
      </c>
      <c r="B7377" s="2" t="s">
        <v>42</v>
      </c>
      <c r="C7377" s="2">
        <v>2.2999999999999998</v>
      </c>
      <c r="D7377" s="2">
        <v>4.1599999999999998E-2</v>
      </c>
      <c r="E7377" s="2">
        <v>9.5679999999999995E-4</v>
      </c>
      <c r="F7377" s="2" t="s">
        <v>7</v>
      </c>
    </row>
    <row r="7378" spans="1:6" ht="22.5" hidden="1" customHeight="1" x14ac:dyDescent="0.25">
      <c r="A7378" s="3">
        <v>44470</v>
      </c>
      <c r="B7378" s="2" t="s">
        <v>43</v>
      </c>
      <c r="C7378" s="2">
        <v>4.88</v>
      </c>
      <c r="D7378" s="2">
        <v>2.7199999999999998E-2</v>
      </c>
      <c r="E7378" s="2">
        <v>1.3273600000000001E-3</v>
      </c>
      <c r="F7378" s="2" t="s">
        <v>7</v>
      </c>
    </row>
    <row r="7379" spans="1:6" ht="22.5" hidden="1" customHeight="1" x14ac:dyDescent="0.25">
      <c r="A7379" s="3">
        <v>44470</v>
      </c>
      <c r="B7379" s="2" t="s">
        <v>44</v>
      </c>
      <c r="C7379" s="2">
        <v>6.5</v>
      </c>
      <c r="D7379" s="2">
        <v>1.5800000000000002E-2</v>
      </c>
      <c r="E7379" s="2">
        <v>1.0269999999999999E-3</v>
      </c>
      <c r="F7379" s="2" t="s">
        <v>7</v>
      </c>
    </row>
    <row r="7380" spans="1:6" ht="22.5" hidden="1" customHeight="1" x14ac:dyDescent="0.25">
      <c r="A7380" s="3">
        <v>44470</v>
      </c>
      <c r="B7380" s="2" t="s">
        <v>45</v>
      </c>
      <c r="C7380" s="2">
        <v>-1.26</v>
      </c>
      <c r="D7380" s="2">
        <v>1.55E-2</v>
      </c>
      <c r="E7380" s="2">
        <v>-1.953E-4</v>
      </c>
      <c r="F7380" s="2" t="s">
        <v>7</v>
      </c>
    </row>
    <row r="7381" spans="1:6" ht="22.5" hidden="1" customHeight="1" x14ac:dyDescent="0.25">
      <c r="A7381" s="3">
        <v>44470</v>
      </c>
      <c r="B7381" s="2" t="s">
        <v>46</v>
      </c>
      <c r="C7381" s="2">
        <v>4.83</v>
      </c>
      <c r="D7381" s="2">
        <v>8.9999999999999998E-4</v>
      </c>
      <c r="E7381" s="2">
        <v>4.3470000000000002E-5</v>
      </c>
      <c r="F7381" s="2" t="s">
        <v>7</v>
      </c>
    </row>
    <row r="7382" spans="1:6" ht="22.5" hidden="1" customHeight="1" x14ac:dyDescent="0.25">
      <c r="A7382" s="3">
        <v>44470</v>
      </c>
      <c r="B7382" s="2" t="s">
        <v>47</v>
      </c>
      <c r="C7382" s="2">
        <v>1.9</v>
      </c>
      <c r="D7382" s="2">
        <v>8.7400000000000005E-2</v>
      </c>
      <c r="E7382" s="2">
        <v>1.6605999999999999E-3</v>
      </c>
      <c r="F7382" s="2" t="s">
        <v>7</v>
      </c>
    </row>
    <row r="7383" spans="1:6" ht="22.5" hidden="1" customHeight="1" x14ac:dyDescent="0.25">
      <c r="A7383" s="3">
        <v>44470</v>
      </c>
      <c r="B7383" s="2" t="s">
        <v>48</v>
      </c>
      <c r="C7383" s="2">
        <v>9.85</v>
      </c>
      <c r="D7383" s="2">
        <v>3.3999999999999998E-3</v>
      </c>
      <c r="E7383" s="2">
        <v>3.3490000000000001E-4</v>
      </c>
      <c r="F7383" s="2" t="s">
        <v>7</v>
      </c>
    </row>
    <row r="7384" spans="1:6" ht="22.5" hidden="1" customHeight="1" x14ac:dyDescent="0.25">
      <c r="A7384" s="3">
        <v>44470</v>
      </c>
      <c r="B7384" s="2" t="s">
        <v>49</v>
      </c>
      <c r="C7384" s="2">
        <v>7.64</v>
      </c>
      <c r="D7384" s="2">
        <v>0.15029999999999999</v>
      </c>
      <c r="E7384" s="2">
        <v>1.1482920000000001E-2</v>
      </c>
      <c r="F7384" s="2" t="s">
        <v>7</v>
      </c>
    </row>
    <row r="7385" spans="1:6" ht="22.5" hidden="1" customHeight="1" x14ac:dyDescent="0.25">
      <c r="A7385" s="3">
        <v>44470</v>
      </c>
      <c r="B7385" s="2" t="s">
        <v>50</v>
      </c>
      <c r="C7385" s="2">
        <v>-6.55</v>
      </c>
      <c r="D7385" s="2">
        <v>4.1000000000000003E-3</v>
      </c>
      <c r="E7385" s="2">
        <v>-2.6855E-4</v>
      </c>
      <c r="F7385" s="2" t="s">
        <v>7</v>
      </c>
    </row>
    <row r="7386" spans="1:6" ht="22.5" hidden="1" customHeight="1" x14ac:dyDescent="0.25">
      <c r="A7386" s="3">
        <v>44470</v>
      </c>
      <c r="B7386" s="2" t="s">
        <v>51</v>
      </c>
      <c r="C7386" s="2">
        <v>16.420000000000002</v>
      </c>
      <c r="D7386" s="2">
        <v>5.1000000000000004E-3</v>
      </c>
      <c r="E7386" s="2">
        <v>8.3741999999999996E-4</v>
      </c>
      <c r="F7386" s="2" t="s">
        <v>7</v>
      </c>
    </row>
    <row r="7387" spans="1:6" ht="22.5" hidden="1" customHeight="1" x14ac:dyDescent="0.25">
      <c r="A7387" s="3">
        <v>44470</v>
      </c>
      <c r="B7387" s="2" t="s">
        <v>52</v>
      </c>
      <c r="C7387" s="2">
        <v>-3.41</v>
      </c>
      <c r="D7387" s="2">
        <v>2.92E-2</v>
      </c>
      <c r="E7387" s="2">
        <v>-9.9572000000000007E-4</v>
      </c>
      <c r="F7387" s="2" t="s">
        <v>7</v>
      </c>
    </row>
    <row r="7388" spans="1:6" ht="22.5" hidden="1" customHeight="1" x14ac:dyDescent="0.25">
      <c r="A7388" s="3">
        <v>44470</v>
      </c>
      <c r="B7388" s="2" t="s">
        <v>53</v>
      </c>
      <c r="C7388" s="2">
        <v>-0.69</v>
      </c>
      <c r="D7388" s="2">
        <v>0.1341</v>
      </c>
      <c r="E7388" s="2">
        <v>-9.2529000000000005E-4</v>
      </c>
      <c r="F7388" s="2" t="s">
        <v>7</v>
      </c>
    </row>
    <row r="7389" spans="1:6" ht="22.5" hidden="1" customHeight="1" x14ac:dyDescent="0.25">
      <c r="A7389" s="3">
        <v>44470</v>
      </c>
      <c r="B7389" s="2" t="s">
        <v>54</v>
      </c>
      <c r="C7389" s="2">
        <v>19.79</v>
      </c>
      <c r="D7389" s="2">
        <v>8.6699999999999999E-2</v>
      </c>
      <c r="E7389" s="2">
        <v>1.7157929999999998E-2</v>
      </c>
      <c r="F7389" s="2" t="s">
        <v>7</v>
      </c>
    </row>
    <row r="7390" spans="1:6" ht="22.5" hidden="1" customHeight="1" x14ac:dyDescent="0.25">
      <c r="A7390" s="3">
        <v>44470</v>
      </c>
      <c r="B7390" s="2" t="s">
        <v>55</v>
      </c>
      <c r="C7390" s="2">
        <v>8.14</v>
      </c>
      <c r="D7390" s="2">
        <v>5.2499999999999998E-2</v>
      </c>
      <c r="E7390" s="2">
        <v>4.2735000000000004E-3</v>
      </c>
      <c r="F7390" s="2" t="s">
        <v>7</v>
      </c>
    </row>
    <row r="7391" spans="1:6" ht="22.5" hidden="1" customHeight="1" x14ac:dyDescent="0.25">
      <c r="A7391" s="3">
        <v>44470</v>
      </c>
      <c r="B7391" s="2" t="s">
        <v>56</v>
      </c>
      <c r="C7391" s="2">
        <v>3.4</v>
      </c>
      <c r="D7391" s="2">
        <v>6.1999999999999998E-3</v>
      </c>
      <c r="E7391" s="2">
        <v>2.108E-4</v>
      </c>
      <c r="F7391" s="2" t="s">
        <v>7</v>
      </c>
    </row>
    <row r="7392" spans="1:6" ht="22.5" hidden="1" customHeight="1" x14ac:dyDescent="0.25">
      <c r="A7392" s="3">
        <v>44470</v>
      </c>
      <c r="B7392" s="2" t="s">
        <v>57</v>
      </c>
      <c r="C7392" s="2">
        <v>0.8</v>
      </c>
      <c r="D7392" s="2">
        <v>2.9399999999999999E-2</v>
      </c>
      <c r="E7392" s="2">
        <v>2.352E-4</v>
      </c>
      <c r="F7392" s="2" t="s">
        <v>7</v>
      </c>
    </row>
    <row r="7393" spans="1:6" ht="22.5" hidden="1" customHeight="1" x14ac:dyDescent="0.25">
      <c r="A7393" s="3">
        <v>44470</v>
      </c>
      <c r="B7393" s="2" t="s">
        <v>58</v>
      </c>
      <c r="C7393" s="2">
        <v>2.78</v>
      </c>
      <c r="D7393" s="2">
        <v>1.72E-2</v>
      </c>
      <c r="E7393" s="2">
        <v>4.7815999999999999E-4</v>
      </c>
      <c r="F7393" s="2" t="s">
        <v>7</v>
      </c>
    </row>
    <row r="7394" spans="1:6" ht="22.5" hidden="1" customHeight="1" x14ac:dyDescent="0.25">
      <c r="A7394" s="3">
        <v>44470</v>
      </c>
      <c r="B7394" s="2" t="s">
        <v>59</v>
      </c>
      <c r="C7394" s="2">
        <v>8.86</v>
      </c>
      <c r="D7394" s="2">
        <v>2.2700000000000001E-2</v>
      </c>
      <c r="E7394" s="2">
        <v>2.0112200000000002E-3</v>
      </c>
      <c r="F7394" s="2" t="s">
        <v>7</v>
      </c>
    </row>
    <row r="7395" spans="1:6" ht="22.5" hidden="1" customHeight="1" x14ac:dyDescent="0.25">
      <c r="A7395" s="3">
        <v>44470</v>
      </c>
      <c r="B7395" s="2" t="s">
        <v>60</v>
      </c>
      <c r="C7395" s="2">
        <v>18.940000000000001</v>
      </c>
      <c r="D7395" s="2">
        <v>2.7400000000000001E-2</v>
      </c>
      <c r="E7395" s="2">
        <v>5.1895600000000002E-3</v>
      </c>
      <c r="F7395" s="2" t="s">
        <v>7</v>
      </c>
    </row>
    <row r="7396" spans="1:6" ht="22.5" hidden="1" customHeight="1" x14ac:dyDescent="0.25">
      <c r="A7396" s="3">
        <v>44470</v>
      </c>
      <c r="B7396" s="2" t="s">
        <v>61</v>
      </c>
      <c r="C7396" s="2">
        <v>2.59</v>
      </c>
      <c r="D7396" s="2">
        <v>6.8699999999999997E-2</v>
      </c>
      <c r="E7396" s="2">
        <v>1.77933E-3</v>
      </c>
      <c r="F7396" s="2" t="s">
        <v>7</v>
      </c>
    </row>
    <row r="7397" spans="1:6" ht="22.5" hidden="1" customHeight="1" x14ac:dyDescent="0.25">
      <c r="A7397" s="3">
        <v>44470</v>
      </c>
      <c r="B7397" s="2" t="s">
        <v>62</v>
      </c>
      <c r="C7397" s="2">
        <v>12.66</v>
      </c>
      <c r="D7397" s="2">
        <v>8.8200000000000001E-2</v>
      </c>
      <c r="E7397" s="2">
        <v>1.116612E-2</v>
      </c>
      <c r="F7397" s="2" t="s">
        <v>7</v>
      </c>
    </row>
    <row r="7398" spans="1:6" ht="22.5" hidden="1" customHeight="1" x14ac:dyDescent="0.25">
      <c r="A7398" s="3">
        <v>44470</v>
      </c>
      <c r="B7398" s="2" t="s">
        <v>63</v>
      </c>
      <c r="C7398" s="2">
        <v>-7.62</v>
      </c>
      <c r="D7398" s="2">
        <v>8.6E-3</v>
      </c>
      <c r="E7398" s="2">
        <v>-6.5532000000000003E-4</v>
      </c>
      <c r="F7398" s="2" t="s">
        <v>7</v>
      </c>
    </row>
    <row r="7399" spans="1:6" ht="22.5" hidden="1" customHeight="1" x14ac:dyDescent="0.25">
      <c r="A7399" s="3">
        <v>44470</v>
      </c>
      <c r="B7399" s="2" t="s">
        <v>64</v>
      </c>
      <c r="C7399" s="2">
        <v>3.68</v>
      </c>
      <c r="D7399" s="2">
        <v>4.1000000000000003E-3</v>
      </c>
      <c r="E7399" s="2">
        <v>1.5087999999999999E-4</v>
      </c>
      <c r="F7399" s="2" t="s">
        <v>7</v>
      </c>
    </row>
    <row r="7400" spans="1:6" ht="22.5" hidden="1" customHeight="1" x14ac:dyDescent="0.25">
      <c r="A7400" s="3">
        <v>44470</v>
      </c>
      <c r="B7400" s="2" t="s">
        <v>65</v>
      </c>
      <c r="C7400" s="2">
        <v>0.37</v>
      </c>
      <c r="D7400" s="2">
        <v>2.23E-2</v>
      </c>
      <c r="E7400" s="2">
        <v>8.2509999999999994E-5</v>
      </c>
      <c r="F7400" s="2" t="s">
        <v>7</v>
      </c>
    </row>
    <row r="7401" spans="1:6" ht="22.5" hidden="1" customHeight="1" x14ac:dyDescent="0.25">
      <c r="A7401" s="3">
        <v>44470</v>
      </c>
      <c r="B7401" s="2" t="s">
        <v>66</v>
      </c>
      <c r="C7401" s="2">
        <v>0.3</v>
      </c>
      <c r="D7401" s="2">
        <v>0.36770000000000003</v>
      </c>
      <c r="E7401" s="2">
        <v>1.1031000000000001E-3</v>
      </c>
      <c r="F7401" s="2" t="s">
        <v>7</v>
      </c>
    </row>
    <row r="7402" spans="1:6" ht="22.5" hidden="1" customHeight="1" x14ac:dyDescent="0.25">
      <c r="A7402" s="3">
        <v>44470</v>
      </c>
      <c r="B7402" s="2" t="s">
        <v>67</v>
      </c>
      <c r="C7402" s="2">
        <v>0.05</v>
      </c>
      <c r="D7402" s="2">
        <v>3.8999999999999998E-3</v>
      </c>
      <c r="E7402" s="2">
        <v>1.95E-6</v>
      </c>
      <c r="F7402" s="2" t="s">
        <v>7</v>
      </c>
    </row>
    <row r="7403" spans="1:6" ht="22.5" hidden="1" customHeight="1" x14ac:dyDescent="0.25">
      <c r="A7403" s="3">
        <v>44470</v>
      </c>
      <c r="B7403" s="2" t="s">
        <v>68</v>
      </c>
      <c r="C7403" s="2">
        <v>-0.67</v>
      </c>
      <c r="D7403" s="2">
        <v>1.17E-2</v>
      </c>
      <c r="E7403" s="2">
        <v>-7.839E-5</v>
      </c>
      <c r="F7403" s="2" t="s">
        <v>7</v>
      </c>
    </row>
    <row r="7404" spans="1:6" ht="22.5" hidden="1" customHeight="1" x14ac:dyDescent="0.25">
      <c r="A7404" s="3">
        <v>44470</v>
      </c>
      <c r="B7404" s="2" t="s">
        <v>69</v>
      </c>
      <c r="C7404" s="2">
        <v>0.05</v>
      </c>
      <c r="D7404" s="2">
        <v>0.499</v>
      </c>
      <c r="E7404" s="2">
        <v>2.4949999999999999E-4</v>
      </c>
      <c r="F7404" s="2" t="s">
        <v>7</v>
      </c>
    </row>
    <row r="7405" spans="1:6" ht="22.5" hidden="1" customHeight="1" x14ac:dyDescent="0.25">
      <c r="A7405" s="3">
        <v>44470</v>
      </c>
      <c r="B7405" s="2" t="s">
        <v>70</v>
      </c>
      <c r="C7405" s="2">
        <v>-0.11</v>
      </c>
      <c r="D7405" s="2">
        <v>2.8400000000000002E-2</v>
      </c>
      <c r="E7405" s="2">
        <v>-3.1239999999999999E-5</v>
      </c>
      <c r="F7405" s="2" t="s">
        <v>7</v>
      </c>
    </row>
    <row r="7406" spans="1:6" ht="22.5" hidden="1" customHeight="1" x14ac:dyDescent="0.25">
      <c r="A7406" s="3">
        <v>44470</v>
      </c>
      <c r="B7406" s="2" t="s">
        <v>71</v>
      </c>
      <c r="C7406" s="2">
        <v>0.18</v>
      </c>
      <c r="D7406" s="2">
        <v>0.34899999999999998</v>
      </c>
      <c r="E7406" s="2">
        <v>6.2819999999999998E-4</v>
      </c>
      <c r="F7406" s="2" t="s">
        <v>7</v>
      </c>
    </row>
    <row r="7407" spans="1:6" ht="22.5" hidden="1" customHeight="1" x14ac:dyDescent="0.25">
      <c r="A7407" s="3">
        <v>44470</v>
      </c>
      <c r="B7407" s="2" t="s">
        <v>72</v>
      </c>
      <c r="C7407" s="2">
        <v>-0.01</v>
      </c>
      <c r="D7407" s="2">
        <v>0.37530000000000002</v>
      </c>
      <c r="E7407" s="2">
        <v>-3.7530000000000002E-5</v>
      </c>
      <c r="F7407" s="2" t="s">
        <v>7</v>
      </c>
    </row>
    <row r="7408" spans="1:6" ht="22.5" hidden="1" customHeight="1" x14ac:dyDescent="0.25">
      <c r="A7408" s="3">
        <v>44470</v>
      </c>
      <c r="B7408" s="2" t="s">
        <v>73</v>
      </c>
      <c r="C7408" s="2">
        <v>-0.36</v>
      </c>
      <c r="D7408" s="2">
        <v>0.1888</v>
      </c>
      <c r="E7408" s="2">
        <v>-6.7968E-4</v>
      </c>
      <c r="F7408" s="2" t="s">
        <v>7</v>
      </c>
    </row>
    <row r="7409" spans="1:6" ht="22.5" hidden="1" customHeight="1" x14ac:dyDescent="0.25">
      <c r="A7409" s="3">
        <v>44470</v>
      </c>
      <c r="B7409" s="2" t="s">
        <v>74</v>
      </c>
      <c r="C7409" s="2">
        <v>-0.98</v>
      </c>
      <c r="D7409" s="2">
        <v>9.9000000000000008E-3</v>
      </c>
      <c r="E7409" s="2">
        <v>-9.7020000000000003E-5</v>
      </c>
      <c r="F7409" s="2" t="s">
        <v>7</v>
      </c>
    </row>
    <row r="7410" spans="1:6" ht="22.5" hidden="1" customHeight="1" x14ac:dyDescent="0.25">
      <c r="A7410" s="3">
        <v>44470</v>
      </c>
      <c r="B7410" s="2" t="s">
        <v>75</v>
      </c>
      <c r="C7410" s="2">
        <v>-0.34</v>
      </c>
      <c r="D7410" s="2">
        <v>8.3000000000000004E-2</v>
      </c>
      <c r="E7410" s="2">
        <v>-2.8219999999999997E-4</v>
      </c>
      <c r="F7410" s="2" t="s">
        <v>7</v>
      </c>
    </row>
    <row r="7411" spans="1:6" ht="22.5" hidden="1" customHeight="1" x14ac:dyDescent="0.25">
      <c r="A7411" s="3">
        <v>44470</v>
      </c>
      <c r="B7411" s="2" t="s">
        <v>76</v>
      </c>
      <c r="C7411" s="2">
        <v>-0.82</v>
      </c>
      <c r="D7411" s="2">
        <v>0.17910000000000001</v>
      </c>
      <c r="E7411" s="2">
        <v>-1.4686199999999999E-3</v>
      </c>
      <c r="F7411" s="2" t="s">
        <v>7</v>
      </c>
    </row>
    <row r="7412" spans="1:6" ht="22.5" hidden="1" customHeight="1" x14ac:dyDescent="0.25">
      <c r="A7412" s="3">
        <v>44470</v>
      </c>
      <c r="B7412" s="2" t="s">
        <v>77</v>
      </c>
      <c r="C7412" s="2">
        <v>-1.59</v>
      </c>
      <c r="D7412" s="2">
        <v>0.1222</v>
      </c>
      <c r="E7412" s="2">
        <v>-1.94298E-3</v>
      </c>
      <c r="F7412" s="2" t="s">
        <v>7</v>
      </c>
    </row>
    <row r="7413" spans="1:6" ht="22.5" hidden="1" customHeight="1" x14ac:dyDescent="0.25">
      <c r="A7413" s="3">
        <v>44470</v>
      </c>
      <c r="B7413" s="2" t="s">
        <v>78</v>
      </c>
      <c r="C7413" s="2">
        <v>-0.25</v>
      </c>
      <c r="D7413" s="2">
        <v>0.32100000000000001</v>
      </c>
      <c r="E7413" s="2">
        <v>-8.0250000000000004E-4</v>
      </c>
      <c r="F7413" s="2" t="s">
        <v>7</v>
      </c>
    </row>
    <row r="7414" spans="1:6" ht="22.5" hidden="1" customHeight="1" x14ac:dyDescent="0.25">
      <c r="A7414" s="3">
        <v>44470</v>
      </c>
      <c r="B7414" s="2" t="s">
        <v>79</v>
      </c>
      <c r="C7414" s="2">
        <v>-0.98</v>
      </c>
      <c r="D7414" s="2">
        <v>1.2E-2</v>
      </c>
      <c r="E7414" s="2">
        <v>-1.176E-4</v>
      </c>
      <c r="F7414" s="2" t="s">
        <v>7</v>
      </c>
    </row>
    <row r="7415" spans="1:6" ht="22.5" hidden="1" customHeight="1" x14ac:dyDescent="0.25">
      <c r="A7415" s="3">
        <v>44470</v>
      </c>
      <c r="B7415" s="2" t="s">
        <v>80</v>
      </c>
      <c r="C7415" s="2">
        <v>-1.83</v>
      </c>
      <c r="D7415" s="2">
        <v>3.6799999999999999E-2</v>
      </c>
      <c r="E7415" s="2">
        <v>-6.7343999999999998E-4</v>
      </c>
      <c r="F7415" s="2" t="s">
        <v>7</v>
      </c>
    </row>
    <row r="7416" spans="1:6" ht="22.5" hidden="1" customHeight="1" x14ac:dyDescent="0.25">
      <c r="A7416" s="3">
        <v>44470</v>
      </c>
      <c r="B7416" s="2" t="s">
        <v>81</v>
      </c>
      <c r="C7416" s="2">
        <v>-1.68</v>
      </c>
      <c r="D7416" s="2">
        <v>0.39810000000000001</v>
      </c>
      <c r="E7416" s="2">
        <v>-6.6880799999999999E-3</v>
      </c>
      <c r="F7416" s="2" t="s">
        <v>7</v>
      </c>
    </row>
    <row r="7417" spans="1:6" ht="22.5" hidden="1" customHeight="1" x14ac:dyDescent="0.25">
      <c r="A7417" s="3">
        <v>44470</v>
      </c>
      <c r="B7417" s="2" t="s">
        <v>82</v>
      </c>
      <c r="C7417" s="2">
        <v>2.88</v>
      </c>
      <c r="D7417" s="2">
        <v>4.5499999999999999E-2</v>
      </c>
      <c r="E7417" s="2">
        <v>1.3104E-3</v>
      </c>
      <c r="F7417" s="2" t="s">
        <v>7</v>
      </c>
    </row>
    <row r="7418" spans="1:6" ht="22.5" hidden="1" customHeight="1" x14ac:dyDescent="0.25">
      <c r="A7418" s="3">
        <v>44470</v>
      </c>
      <c r="B7418" s="2" t="s">
        <v>83</v>
      </c>
      <c r="C7418" s="2">
        <v>-7.0000000000000007E-2</v>
      </c>
      <c r="D7418" s="2">
        <v>6.9999999999999999E-4</v>
      </c>
      <c r="E7418" s="2">
        <v>-4.8999999999999997E-7</v>
      </c>
      <c r="F7418" s="2" t="s">
        <v>7</v>
      </c>
    </row>
    <row r="7419" spans="1:6" ht="22.5" hidden="1" customHeight="1" x14ac:dyDescent="0.25">
      <c r="A7419" s="3">
        <v>44470</v>
      </c>
      <c r="B7419" s="2" t="s">
        <v>84</v>
      </c>
      <c r="C7419" s="2">
        <v>0.68</v>
      </c>
      <c r="D7419" s="2">
        <v>2.1899999999999999E-2</v>
      </c>
      <c r="E7419" s="2">
        <v>1.4892E-4</v>
      </c>
      <c r="F7419" s="2" t="s">
        <v>7</v>
      </c>
    </row>
    <row r="7420" spans="1:6" ht="22.5" hidden="1" customHeight="1" x14ac:dyDescent="0.25">
      <c r="A7420" s="3">
        <v>44470</v>
      </c>
      <c r="B7420" s="2" t="s">
        <v>85</v>
      </c>
      <c r="C7420" s="2">
        <v>0.85</v>
      </c>
      <c r="D7420" s="2">
        <v>5.4000000000000003E-3</v>
      </c>
      <c r="E7420" s="2">
        <v>4.5899999999999998E-5</v>
      </c>
      <c r="F7420" s="2" t="s">
        <v>7</v>
      </c>
    </row>
    <row r="7421" spans="1:6" ht="22.5" hidden="1" customHeight="1" x14ac:dyDescent="0.25">
      <c r="A7421" s="3">
        <v>44470</v>
      </c>
      <c r="B7421" s="2" t="s">
        <v>86</v>
      </c>
      <c r="C7421" s="2">
        <v>0.28000000000000003</v>
      </c>
      <c r="D7421" s="2">
        <v>2.3699999999999999E-2</v>
      </c>
      <c r="E7421" s="2">
        <v>6.6359999999999995E-5</v>
      </c>
      <c r="F7421" s="2" t="s">
        <v>7</v>
      </c>
    </row>
    <row r="7422" spans="1:6" ht="22.5" hidden="1" customHeight="1" x14ac:dyDescent="0.25">
      <c r="A7422" s="3">
        <v>44470</v>
      </c>
      <c r="B7422" s="2" t="s">
        <v>87</v>
      </c>
      <c r="C7422" s="2">
        <v>0.61</v>
      </c>
      <c r="D7422" s="2">
        <v>1.1000000000000001E-3</v>
      </c>
      <c r="E7422" s="2">
        <v>6.7100000000000001E-6</v>
      </c>
      <c r="F7422" s="2" t="s">
        <v>7</v>
      </c>
    </row>
    <row r="7423" spans="1:6" ht="22.5" hidden="1" customHeight="1" x14ac:dyDescent="0.25">
      <c r="A7423" s="3">
        <v>44470</v>
      </c>
      <c r="B7423" s="2" t="s">
        <v>88</v>
      </c>
      <c r="C7423" s="2">
        <v>1.52</v>
      </c>
      <c r="D7423" s="2">
        <v>6.4999999999999997E-3</v>
      </c>
      <c r="E7423" s="2">
        <v>9.8800000000000003E-5</v>
      </c>
      <c r="F7423" s="2" t="s">
        <v>7</v>
      </c>
    </row>
    <row r="7424" spans="1:6" ht="22.5" hidden="1" customHeight="1" x14ac:dyDescent="0.25">
      <c r="A7424" s="3">
        <v>44470</v>
      </c>
      <c r="B7424" s="2" t="s">
        <v>89</v>
      </c>
      <c r="C7424" s="2">
        <v>1.44</v>
      </c>
      <c r="D7424" s="2">
        <v>1.72E-2</v>
      </c>
      <c r="E7424" s="2">
        <v>2.4768000000000001E-4</v>
      </c>
      <c r="F7424" s="2" t="s">
        <v>7</v>
      </c>
    </row>
    <row r="7425" spans="1:6" ht="22.5" hidden="1" customHeight="1" x14ac:dyDescent="0.25">
      <c r="A7425" s="3">
        <v>44470</v>
      </c>
      <c r="B7425" s="2" t="s">
        <v>90</v>
      </c>
      <c r="C7425" s="2">
        <v>0.61</v>
      </c>
      <c r="D7425" s="2">
        <v>1.6000000000000001E-3</v>
      </c>
      <c r="E7425" s="2">
        <v>9.7599999999999997E-6</v>
      </c>
      <c r="F7425" s="2" t="s">
        <v>7</v>
      </c>
    </row>
    <row r="7426" spans="1:6" ht="22.5" hidden="1" customHeight="1" x14ac:dyDescent="0.25">
      <c r="A7426" s="3">
        <v>44470</v>
      </c>
      <c r="B7426" s="2" t="s">
        <v>91</v>
      </c>
      <c r="C7426" s="2">
        <v>-0.34</v>
      </c>
      <c r="D7426" s="2">
        <v>2.46E-2</v>
      </c>
      <c r="E7426" s="2">
        <v>-8.3640000000000006E-5</v>
      </c>
      <c r="F7426" s="2" t="s">
        <v>7</v>
      </c>
    </row>
    <row r="7427" spans="1:6" ht="22.5" hidden="1" customHeight="1" x14ac:dyDescent="0.25">
      <c r="A7427" s="3">
        <v>44470</v>
      </c>
      <c r="B7427" s="2" t="s">
        <v>92</v>
      </c>
      <c r="C7427" s="2">
        <v>0</v>
      </c>
      <c r="D7427" s="2">
        <v>5.0000000000000001E-3</v>
      </c>
      <c r="E7427" s="2">
        <v>0</v>
      </c>
      <c r="F7427" s="2" t="s">
        <v>7</v>
      </c>
    </row>
    <row r="7428" spans="1:6" ht="22.5" hidden="1" customHeight="1" x14ac:dyDescent="0.25">
      <c r="A7428" s="3">
        <v>44470</v>
      </c>
      <c r="B7428" s="2" t="s">
        <v>93</v>
      </c>
      <c r="C7428" s="2">
        <v>1.1499999999999999</v>
      </c>
      <c r="D7428" s="2">
        <v>1.1000000000000001E-3</v>
      </c>
      <c r="E7428" s="2">
        <v>1.2649999999999999E-5</v>
      </c>
      <c r="F7428" s="2" t="s">
        <v>7</v>
      </c>
    </row>
    <row r="7429" spans="1:6" ht="22.5" hidden="1" customHeight="1" x14ac:dyDescent="0.25">
      <c r="A7429" s="3">
        <v>44470</v>
      </c>
      <c r="B7429" s="2" t="s">
        <v>94</v>
      </c>
      <c r="C7429" s="2">
        <v>-0.96</v>
      </c>
      <c r="D7429" s="2">
        <v>8.9999999999999998E-4</v>
      </c>
      <c r="E7429" s="2">
        <v>-8.6400000000000003E-6</v>
      </c>
      <c r="F7429" s="2" t="s">
        <v>7</v>
      </c>
    </row>
    <row r="7430" spans="1:6" ht="22.5" hidden="1" customHeight="1" x14ac:dyDescent="0.25">
      <c r="A7430" s="3">
        <v>44470</v>
      </c>
      <c r="B7430" s="2" t="s">
        <v>95</v>
      </c>
      <c r="C7430" s="2">
        <v>0.81</v>
      </c>
      <c r="D7430" s="2">
        <v>1.6299999999999999E-2</v>
      </c>
      <c r="E7430" s="2">
        <v>1.3202999999999999E-4</v>
      </c>
      <c r="F7430" s="2" t="s">
        <v>7</v>
      </c>
    </row>
    <row r="7431" spans="1:6" ht="22.5" hidden="1" customHeight="1" x14ac:dyDescent="0.25">
      <c r="A7431" s="3">
        <v>44470</v>
      </c>
      <c r="B7431" s="2" t="s">
        <v>96</v>
      </c>
      <c r="C7431" s="2">
        <v>0.95</v>
      </c>
      <c r="D7431" s="2">
        <v>4.8300000000000003E-2</v>
      </c>
      <c r="E7431" s="2">
        <v>4.5885000000000001E-4</v>
      </c>
      <c r="F7431" s="2" t="s">
        <v>7</v>
      </c>
    </row>
    <row r="7432" spans="1:6" ht="22.5" hidden="1" customHeight="1" x14ac:dyDescent="0.25">
      <c r="A7432" s="3">
        <v>44470</v>
      </c>
      <c r="B7432" s="2" t="s">
        <v>97</v>
      </c>
      <c r="C7432" s="2">
        <v>-0.28000000000000003</v>
      </c>
      <c r="D7432" s="2">
        <v>1.04E-2</v>
      </c>
      <c r="E7432" s="2">
        <v>-2.9119999999999999E-5</v>
      </c>
      <c r="F7432" s="2" t="s">
        <v>7</v>
      </c>
    </row>
    <row r="7433" spans="1:6" ht="22.5" hidden="1" customHeight="1" x14ac:dyDescent="0.25">
      <c r="A7433" s="3">
        <v>44470</v>
      </c>
      <c r="B7433" s="2" t="s">
        <v>98</v>
      </c>
      <c r="C7433" s="2">
        <v>-0.59</v>
      </c>
      <c r="D7433" s="2">
        <v>6.1000000000000004E-3</v>
      </c>
      <c r="E7433" s="2">
        <v>-3.5989999999999999E-5</v>
      </c>
      <c r="F7433" s="2" t="s">
        <v>7</v>
      </c>
    </row>
    <row r="7434" spans="1:6" ht="22.5" hidden="1" customHeight="1" x14ac:dyDescent="0.25">
      <c r="A7434" s="3">
        <v>44470</v>
      </c>
      <c r="B7434" s="2" t="s">
        <v>99</v>
      </c>
      <c r="C7434" s="2">
        <v>-0.3</v>
      </c>
      <c r="D7434" s="2">
        <v>3.3999999999999998E-3</v>
      </c>
      <c r="E7434" s="2">
        <v>-1.0200000000000001E-5</v>
      </c>
      <c r="F7434" s="2" t="s">
        <v>7</v>
      </c>
    </row>
    <row r="7435" spans="1:6" ht="22.5" hidden="1" customHeight="1" x14ac:dyDescent="0.25">
      <c r="A7435" s="3">
        <v>44470</v>
      </c>
      <c r="B7435" s="2" t="s">
        <v>100</v>
      </c>
      <c r="C7435" s="2">
        <v>0.12</v>
      </c>
      <c r="D7435" s="2">
        <v>6.9999999999999999E-4</v>
      </c>
      <c r="E7435" s="2">
        <v>8.4E-7</v>
      </c>
      <c r="F7435" s="2" t="s">
        <v>7</v>
      </c>
    </row>
    <row r="7436" spans="1:6" ht="22.5" hidden="1" customHeight="1" x14ac:dyDescent="0.25">
      <c r="A7436" s="3">
        <v>44470</v>
      </c>
      <c r="B7436" s="2" t="s">
        <v>101</v>
      </c>
      <c r="C7436" s="2">
        <v>0.87</v>
      </c>
      <c r="D7436" s="2">
        <v>0.1008</v>
      </c>
      <c r="E7436" s="2">
        <v>8.7695999999999998E-4</v>
      </c>
      <c r="F7436" s="2" t="s">
        <v>7</v>
      </c>
    </row>
    <row r="7437" spans="1:6" ht="22.5" hidden="1" customHeight="1" x14ac:dyDescent="0.25">
      <c r="A7437" s="3">
        <v>44470</v>
      </c>
      <c r="B7437" s="2" t="s">
        <v>102</v>
      </c>
      <c r="C7437" s="2">
        <v>0.92</v>
      </c>
      <c r="D7437" s="2">
        <v>4.7500000000000001E-2</v>
      </c>
      <c r="E7437" s="2">
        <v>4.37E-4</v>
      </c>
      <c r="F7437" s="2" t="s">
        <v>7</v>
      </c>
    </row>
    <row r="7438" spans="1:6" ht="22.5" hidden="1" customHeight="1" x14ac:dyDescent="0.25">
      <c r="A7438" s="3">
        <v>44470</v>
      </c>
      <c r="B7438" s="2" t="s">
        <v>103</v>
      </c>
      <c r="C7438" s="2">
        <v>0.69</v>
      </c>
      <c r="D7438" s="2">
        <v>0.3609</v>
      </c>
      <c r="E7438" s="2">
        <v>2.4902100000000001E-3</v>
      </c>
      <c r="F7438" s="2" t="s">
        <v>7</v>
      </c>
    </row>
    <row r="7439" spans="1:6" ht="22.5" hidden="1" customHeight="1" x14ac:dyDescent="0.25">
      <c r="A7439" s="3">
        <v>44470</v>
      </c>
      <c r="B7439" s="2" t="s">
        <v>104</v>
      </c>
      <c r="C7439" s="2">
        <v>0.4</v>
      </c>
      <c r="D7439" s="2">
        <v>5.4199999999999998E-2</v>
      </c>
      <c r="E7439" s="2">
        <v>2.1680000000000001E-4</v>
      </c>
      <c r="F7439" s="2" t="s">
        <v>7</v>
      </c>
    </row>
    <row r="7440" spans="1:6" ht="22.5" hidden="1" customHeight="1" x14ac:dyDescent="0.25">
      <c r="A7440" s="3">
        <v>44470</v>
      </c>
      <c r="B7440" s="2" t="s">
        <v>105</v>
      </c>
      <c r="C7440" s="2">
        <v>-1.72</v>
      </c>
      <c r="D7440" s="2">
        <v>9.4999999999999998E-3</v>
      </c>
      <c r="E7440" s="2">
        <v>-1.6339999999999999E-4</v>
      </c>
      <c r="F7440" s="2" t="s">
        <v>7</v>
      </c>
    </row>
    <row r="7441" spans="1:6" ht="22.5" hidden="1" customHeight="1" x14ac:dyDescent="0.25">
      <c r="A7441" s="3">
        <v>44470</v>
      </c>
      <c r="B7441" s="2" t="s">
        <v>106</v>
      </c>
      <c r="C7441" s="2">
        <v>-1.34</v>
      </c>
      <c r="D7441" s="2">
        <v>8.3999999999999995E-3</v>
      </c>
      <c r="E7441" s="2">
        <v>-1.1256000000000001E-4</v>
      </c>
      <c r="F7441" s="2" t="s">
        <v>7</v>
      </c>
    </row>
    <row r="7442" spans="1:6" ht="22.5" hidden="1" customHeight="1" x14ac:dyDescent="0.25">
      <c r="A7442" s="3">
        <v>44470</v>
      </c>
      <c r="B7442" s="2" t="s">
        <v>107</v>
      </c>
      <c r="C7442" s="2">
        <v>-0.1</v>
      </c>
      <c r="D7442" s="2">
        <v>0.12089999999999999</v>
      </c>
      <c r="E7442" s="2">
        <v>-1.209E-4</v>
      </c>
      <c r="F7442" s="2" t="s">
        <v>7</v>
      </c>
    </row>
    <row r="7443" spans="1:6" ht="22.5" hidden="1" customHeight="1" x14ac:dyDescent="0.25">
      <c r="A7443" s="3">
        <v>44470</v>
      </c>
      <c r="B7443" s="2" t="s">
        <v>108</v>
      </c>
      <c r="C7443" s="2">
        <v>1.03</v>
      </c>
      <c r="D7443" s="2">
        <v>7.6E-3</v>
      </c>
      <c r="E7443" s="2">
        <v>7.8280000000000003E-5</v>
      </c>
      <c r="F7443" s="2" t="s">
        <v>7</v>
      </c>
    </row>
    <row r="7444" spans="1:6" ht="22.5" hidden="1" customHeight="1" x14ac:dyDescent="0.25">
      <c r="A7444" s="3">
        <v>44470</v>
      </c>
      <c r="B7444" s="2" t="s">
        <v>109</v>
      </c>
      <c r="C7444" s="2">
        <v>4.2</v>
      </c>
      <c r="D7444" s="2">
        <v>0.3785</v>
      </c>
      <c r="E7444" s="2">
        <v>1.5897000000000001E-2</v>
      </c>
      <c r="F7444" s="2" t="s">
        <v>7</v>
      </c>
    </row>
    <row r="7445" spans="1:6" ht="22.5" hidden="1" customHeight="1" x14ac:dyDescent="0.25">
      <c r="A7445" s="3">
        <v>44470</v>
      </c>
      <c r="B7445" s="2" t="s">
        <v>110</v>
      </c>
      <c r="C7445" s="2">
        <v>5.1100000000000003</v>
      </c>
      <c r="D7445" s="2">
        <v>0.67789999999999995</v>
      </c>
      <c r="E7445" s="2">
        <v>3.4640690000000002E-2</v>
      </c>
      <c r="F7445" s="2" t="s">
        <v>7</v>
      </c>
    </row>
    <row r="7446" spans="1:6" ht="22.5" hidden="1" customHeight="1" x14ac:dyDescent="0.25">
      <c r="A7446" s="3">
        <v>44470</v>
      </c>
      <c r="B7446" s="2" t="s">
        <v>111</v>
      </c>
      <c r="C7446" s="2">
        <v>1.5</v>
      </c>
      <c r="D7446" s="2">
        <v>0.246</v>
      </c>
      <c r="E7446" s="2">
        <v>3.6900000000000001E-3</v>
      </c>
      <c r="F7446" s="2" t="s">
        <v>7</v>
      </c>
    </row>
    <row r="7447" spans="1:6" ht="22.5" hidden="1" customHeight="1" x14ac:dyDescent="0.25">
      <c r="A7447" s="3">
        <v>44470</v>
      </c>
      <c r="B7447" s="2" t="s">
        <v>112</v>
      </c>
      <c r="C7447" s="2">
        <v>0.12</v>
      </c>
      <c r="D7447" s="2">
        <v>0.74229999999999996</v>
      </c>
      <c r="E7447" s="2">
        <v>8.9075999999999999E-4</v>
      </c>
      <c r="F7447" s="2" t="s">
        <v>7</v>
      </c>
    </row>
    <row r="7448" spans="1:6" ht="22.5" hidden="1" customHeight="1" x14ac:dyDescent="0.25">
      <c r="A7448" s="3">
        <v>44470</v>
      </c>
      <c r="B7448" s="2" t="s">
        <v>113</v>
      </c>
      <c r="C7448" s="2">
        <v>-1.55</v>
      </c>
      <c r="D7448" s="2">
        <v>2.1399999999999999E-2</v>
      </c>
      <c r="E7448" s="2">
        <v>-3.3169999999999999E-4</v>
      </c>
      <c r="F7448" s="2" t="s">
        <v>7</v>
      </c>
    </row>
    <row r="7449" spans="1:6" ht="22.5" hidden="1" customHeight="1" x14ac:dyDescent="0.25">
      <c r="A7449" s="3">
        <v>44470</v>
      </c>
      <c r="B7449" s="2" t="s">
        <v>114</v>
      </c>
      <c r="C7449" s="2">
        <v>-0.25</v>
      </c>
      <c r="D7449" s="2">
        <v>0.2039</v>
      </c>
      <c r="E7449" s="2">
        <v>-5.0975E-4</v>
      </c>
      <c r="F7449" s="2" t="s">
        <v>7</v>
      </c>
    </row>
    <row r="7450" spans="1:6" ht="22.5" hidden="1" customHeight="1" x14ac:dyDescent="0.25">
      <c r="A7450" s="3">
        <v>44470</v>
      </c>
      <c r="B7450" s="2" t="s">
        <v>115</v>
      </c>
      <c r="C7450" s="2">
        <v>3.94</v>
      </c>
      <c r="D7450" s="2">
        <v>0.5242</v>
      </c>
      <c r="E7450" s="2">
        <v>2.0653479999999998E-2</v>
      </c>
      <c r="F7450" s="2" t="s">
        <v>7</v>
      </c>
    </row>
    <row r="7451" spans="1:6" ht="22.5" hidden="1" customHeight="1" x14ac:dyDescent="0.25">
      <c r="A7451" s="3">
        <v>44470</v>
      </c>
      <c r="B7451" s="2" t="s">
        <v>116</v>
      </c>
      <c r="C7451" s="2">
        <v>3</v>
      </c>
      <c r="D7451" s="2">
        <v>0.152</v>
      </c>
      <c r="E7451" s="2">
        <v>4.5599999999999998E-3</v>
      </c>
      <c r="F7451" s="2" t="s">
        <v>7</v>
      </c>
    </row>
    <row r="7452" spans="1:6" ht="22.5" hidden="1" customHeight="1" x14ac:dyDescent="0.25">
      <c r="A7452" s="3">
        <v>44470</v>
      </c>
      <c r="B7452" s="2" t="s">
        <v>117</v>
      </c>
      <c r="C7452" s="2">
        <v>3.36</v>
      </c>
      <c r="D7452" s="2">
        <v>5.6300000000000003E-2</v>
      </c>
      <c r="E7452" s="2">
        <v>1.89168E-3</v>
      </c>
      <c r="F7452" s="2" t="s">
        <v>7</v>
      </c>
    </row>
    <row r="7453" spans="1:6" ht="22.5" hidden="1" customHeight="1" x14ac:dyDescent="0.25">
      <c r="A7453" s="3">
        <v>44470</v>
      </c>
      <c r="B7453" s="2" t="s">
        <v>118</v>
      </c>
      <c r="C7453" s="2">
        <v>0.75</v>
      </c>
      <c r="D7453" s="2">
        <v>6.2300000000000001E-2</v>
      </c>
      <c r="E7453" s="2">
        <v>4.6725E-4</v>
      </c>
      <c r="F7453" s="2" t="s">
        <v>7</v>
      </c>
    </row>
    <row r="7454" spans="1:6" ht="22.5" hidden="1" customHeight="1" x14ac:dyDescent="0.25">
      <c r="A7454" s="3">
        <v>44470</v>
      </c>
      <c r="B7454" s="2" t="s">
        <v>119</v>
      </c>
      <c r="C7454" s="2">
        <v>1.36</v>
      </c>
      <c r="D7454" s="2">
        <v>1.09E-2</v>
      </c>
      <c r="E7454" s="2">
        <v>1.4824E-4</v>
      </c>
      <c r="F7454" s="2" t="s">
        <v>7</v>
      </c>
    </row>
    <row r="7455" spans="1:6" ht="22.5" hidden="1" customHeight="1" x14ac:dyDescent="0.25">
      <c r="A7455" s="3">
        <v>44470</v>
      </c>
      <c r="B7455" s="2" t="s">
        <v>120</v>
      </c>
      <c r="C7455" s="2">
        <v>-0.72</v>
      </c>
      <c r="D7455" s="2">
        <v>0.44640000000000002</v>
      </c>
      <c r="E7455" s="2">
        <v>-3.2140799999999998E-3</v>
      </c>
      <c r="F7455" s="2" t="s">
        <v>7</v>
      </c>
    </row>
    <row r="7456" spans="1:6" ht="22.5" hidden="1" customHeight="1" x14ac:dyDescent="0.25">
      <c r="A7456" s="3">
        <v>44470</v>
      </c>
      <c r="B7456" s="2" t="s">
        <v>121</v>
      </c>
      <c r="C7456" s="2">
        <v>-0.51</v>
      </c>
      <c r="D7456" s="2">
        <v>0.78369999999999995</v>
      </c>
      <c r="E7456" s="2">
        <v>-3.9968699999999996E-3</v>
      </c>
      <c r="F7456" s="2" t="s">
        <v>7</v>
      </c>
    </row>
    <row r="7457" spans="1:6" ht="22.5" hidden="1" customHeight="1" x14ac:dyDescent="0.25">
      <c r="A7457" s="3">
        <v>44470</v>
      </c>
      <c r="B7457" s="2" t="s">
        <v>122</v>
      </c>
      <c r="C7457" s="2">
        <v>0.48</v>
      </c>
      <c r="D7457" s="2">
        <v>8.1299999999999997E-2</v>
      </c>
      <c r="E7457" s="2">
        <v>3.9023999999999998E-4</v>
      </c>
      <c r="F7457" s="2" t="s">
        <v>7</v>
      </c>
    </row>
    <row r="7458" spans="1:6" ht="22.5" hidden="1" customHeight="1" x14ac:dyDescent="0.25">
      <c r="A7458" s="3">
        <v>44470</v>
      </c>
      <c r="B7458" s="2" t="s">
        <v>123</v>
      </c>
      <c r="C7458" s="2">
        <v>1.18</v>
      </c>
      <c r="D7458" s="2">
        <v>9.8900000000000002E-2</v>
      </c>
      <c r="E7458" s="2">
        <v>1.1670199999999999E-3</v>
      </c>
      <c r="F7458" s="2" t="s">
        <v>7</v>
      </c>
    </row>
    <row r="7459" spans="1:6" ht="22.5" hidden="1" customHeight="1" x14ac:dyDescent="0.25">
      <c r="A7459" s="3">
        <v>44470</v>
      </c>
      <c r="B7459" s="2" t="s">
        <v>124</v>
      </c>
      <c r="C7459" s="2">
        <v>1.35</v>
      </c>
      <c r="D7459" s="2">
        <v>0.13350000000000001</v>
      </c>
      <c r="E7459" s="2">
        <v>1.80225E-3</v>
      </c>
      <c r="F7459" s="2" t="s">
        <v>7</v>
      </c>
    </row>
    <row r="7460" spans="1:6" ht="22.5" hidden="1" customHeight="1" x14ac:dyDescent="0.25">
      <c r="A7460" s="3">
        <v>44470</v>
      </c>
      <c r="B7460" s="2" t="s">
        <v>125</v>
      </c>
      <c r="C7460" s="2">
        <v>0.73</v>
      </c>
      <c r="D7460" s="2">
        <v>3.1800000000000002E-2</v>
      </c>
      <c r="E7460" s="2">
        <v>2.3214000000000001E-4</v>
      </c>
      <c r="F7460" s="2" t="s">
        <v>7</v>
      </c>
    </row>
    <row r="7461" spans="1:6" ht="22.5" hidden="1" customHeight="1" x14ac:dyDescent="0.25">
      <c r="A7461" s="3">
        <v>44470</v>
      </c>
      <c r="B7461" s="2" t="s">
        <v>126</v>
      </c>
      <c r="C7461" s="2">
        <v>0.83</v>
      </c>
      <c r="D7461" s="2">
        <v>0.31069999999999998</v>
      </c>
      <c r="E7461" s="2">
        <v>2.57881E-3</v>
      </c>
      <c r="F7461" s="2" t="s">
        <v>7</v>
      </c>
    </row>
    <row r="7462" spans="1:6" ht="22.5" hidden="1" customHeight="1" x14ac:dyDescent="0.25">
      <c r="A7462" s="3">
        <v>44470</v>
      </c>
      <c r="B7462" s="2" t="s">
        <v>127</v>
      </c>
      <c r="C7462" s="2">
        <v>1.22</v>
      </c>
      <c r="D7462" s="2">
        <v>6.6799999999999998E-2</v>
      </c>
      <c r="E7462" s="2">
        <v>8.1495999999999999E-4</v>
      </c>
      <c r="F7462" s="2" t="s">
        <v>7</v>
      </c>
    </row>
    <row r="7463" spans="1:6" ht="22.5" hidden="1" customHeight="1" x14ac:dyDescent="0.25">
      <c r="A7463" s="3">
        <v>44470</v>
      </c>
      <c r="B7463" s="2" t="s">
        <v>128</v>
      </c>
      <c r="C7463" s="2">
        <v>1.84</v>
      </c>
      <c r="D7463" s="2">
        <v>0.10580000000000001</v>
      </c>
      <c r="E7463" s="2">
        <v>1.9467200000000001E-3</v>
      </c>
      <c r="F7463" s="2" t="s">
        <v>7</v>
      </c>
    </row>
    <row r="7464" spans="1:6" ht="22.5" hidden="1" customHeight="1" x14ac:dyDescent="0.25">
      <c r="A7464" s="3">
        <v>44470</v>
      </c>
      <c r="B7464" s="2" t="s">
        <v>129</v>
      </c>
      <c r="C7464" s="2">
        <v>0.02</v>
      </c>
      <c r="D7464" s="2">
        <v>0.1241</v>
      </c>
      <c r="E7464" s="2">
        <v>2.482E-5</v>
      </c>
      <c r="F7464" s="2" t="s">
        <v>7</v>
      </c>
    </row>
    <row r="7465" spans="1:6" ht="22.5" hidden="1" customHeight="1" x14ac:dyDescent="0.25">
      <c r="A7465" s="3">
        <v>44470</v>
      </c>
      <c r="B7465" s="2" t="s">
        <v>130</v>
      </c>
      <c r="C7465" s="2">
        <v>0.77</v>
      </c>
      <c r="D7465" s="2">
        <v>1.2800000000000001E-2</v>
      </c>
      <c r="E7465" s="2">
        <v>9.8560000000000005E-5</v>
      </c>
      <c r="F7465" s="2" t="s">
        <v>7</v>
      </c>
    </row>
    <row r="7466" spans="1:6" ht="22.5" hidden="1" customHeight="1" x14ac:dyDescent="0.25">
      <c r="A7466" s="3">
        <v>44470</v>
      </c>
      <c r="B7466" s="2" t="s">
        <v>131</v>
      </c>
      <c r="C7466" s="2">
        <v>-4.74</v>
      </c>
      <c r="D7466" s="2">
        <v>5.7200000000000001E-2</v>
      </c>
      <c r="E7466" s="2">
        <v>-2.7112799999999999E-3</v>
      </c>
      <c r="F7466" s="2" t="s">
        <v>7</v>
      </c>
    </row>
    <row r="7467" spans="1:6" ht="22.5" hidden="1" customHeight="1" x14ac:dyDescent="0.25">
      <c r="A7467" s="3">
        <v>44470</v>
      </c>
      <c r="B7467" s="2" t="s">
        <v>132</v>
      </c>
      <c r="C7467" s="2">
        <v>4.34</v>
      </c>
      <c r="D7467" s="2">
        <v>0.33300000000000002</v>
      </c>
      <c r="E7467" s="2">
        <v>1.44522E-2</v>
      </c>
      <c r="F7467" s="2" t="s">
        <v>7</v>
      </c>
    </row>
    <row r="7468" spans="1:6" ht="22.5" hidden="1" customHeight="1" x14ac:dyDescent="0.25">
      <c r="A7468" s="3">
        <v>44470</v>
      </c>
      <c r="B7468" s="2" t="s">
        <v>133</v>
      </c>
      <c r="C7468" s="2">
        <v>4.2699999999999996</v>
      </c>
      <c r="D7468" s="2">
        <v>8.5000000000000006E-3</v>
      </c>
      <c r="E7468" s="2">
        <v>3.6295000000000001E-4</v>
      </c>
      <c r="F7468" s="2" t="s">
        <v>7</v>
      </c>
    </row>
    <row r="7469" spans="1:6" ht="22.5" hidden="1" customHeight="1" x14ac:dyDescent="0.25">
      <c r="A7469" s="3">
        <v>44470</v>
      </c>
      <c r="B7469" s="2" t="s">
        <v>134</v>
      </c>
      <c r="C7469" s="2">
        <v>0.63</v>
      </c>
      <c r="D7469" s="2">
        <v>0.49280000000000002</v>
      </c>
      <c r="E7469" s="2">
        <v>3.1046400000000001E-3</v>
      </c>
      <c r="F7469" s="2" t="s">
        <v>7</v>
      </c>
    </row>
    <row r="7470" spans="1:6" ht="22.5" hidden="1" customHeight="1" x14ac:dyDescent="0.25">
      <c r="A7470" s="3">
        <v>44470</v>
      </c>
      <c r="B7470" s="2" t="s">
        <v>135</v>
      </c>
      <c r="C7470" s="2">
        <v>1.48</v>
      </c>
      <c r="D7470" s="2">
        <v>0.3921</v>
      </c>
      <c r="E7470" s="2">
        <v>5.8030800000000004E-3</v>
      </c>
      <c r="F7470" s="2" t="s">
        <v>7</v>
      </c>
    </row>
    <row r="7471" spans="1:6" ht="22.5" hidden="1" customHeight="1" x14ac:dyDescent="0.25">
      <c r="A7471" s="3">
        <v>44470</v>
      </c>
      <c r="B7471" s="2" t="s">
        <v>136</v>
      </c>
      <c r="C7471" s="2">
        <v>-1.04</v>
      </c>
      <c r="D7471" s="2">
        <v>3.5799999999999998E-2</v>
      </c>
      <c r="E7471" s="2">
        <v>-3.7231999999999999E-4</v>
      </c>
      <c r="F7471" s="2" t="s">
        <v>7</v>
      </c>
    </row>
    <row r="7472" spans="1:6" ht="22.5" hidden="1" customHeight="1" x14ac:dyDescent="0.25">
      <c r="A7472" s="3">
        <v>44470</v>
      </c>
      <c r="B7472" s="2" t="s">
        <v>137</v>
      </c>
      <c r="C7472" s="2">
        <v>-0.48</v>
      </c>
      <c r="D7472" s="2">
        <v>6.7000000000000004E-2</v>
      </c>
      <c r="E7472" s="2">
        <v>-3.2160000000000001E-4</v>
      </c>
      <c r="F7472" s="2" t="s">
        <v>7</v>
      </c>
    </row>
    <row r="7473" spans="1:6" ht="22.5" hidden="1" customHeight="1" x14ac:dyDescent="0.25">
      <c r="A7473" s="3">
        <v>44470</v>
      </c>
      <c r="B7473" s="2" t="s">
        <v>138</v>
      </c>
      <c r="C7473" s="2">
        <v>1.18</v>
      </c>
      <c r="D7473" s="2">
        <v>4.5499999999999999E-2</v>
      </c>
      <c r="E7473" s="2">
        <v>5.3689999999999999E-4</v>
      </c>
      <c r="F7473" s="2" t="s">
        <v>7</v>
      </c>
    </row>
    <row r="7474" spans="1:6" ht="22.5" hidden="1" customHeight="1" x14ac:dyDescent="0.25">
      <c r="A7474" s="3">
        <v>44470</v>
      </c>
      <c r="B7474" s="2" t="s">
        <v>139</v>
      </c>
      <c r="C7474" s="2">
        <v>-0.8</v>
      </c>
      <c r="D7474" s="2">
        <v>2.5899999999999999E-2</v>
      </c>
      <c r="E7474" s="2">
        <v>-2.0719999999999999E-4</v>
      </c>
      <c r="F7474" s="2" t="s">
        <v>7</v>
      </c>
    </row>
    <row r="7475" spans="1:6" ht="22.5" hidden="1" customHeight="1" x14ac:dyDescent="0.25">
      <c r="A7475" s="3">
        <v>44470</v>
      </c>
      <c r="B7475" s="2" t="s">
        <v>140</v>
      </c>
      <c r="C7475" s="2">
        <v>-1.0900000000000001</v>
      </c>
      <c r="D7475" s="2">
        <v>2.3999999999999998E-3</v>
      </c>
      <c r="E7475" s="2">
        <v>-2.616E-5</v>
      </c>
      <c r="F7475" s="2" t="s">
        <v>7</v>
      </c>
    </row>
    <row r="7476" spans="1:6" ht="22.5" hidden="1" customHeight="1" x14ac:dyDescent="0.25">
      <c r="A7476" s="3">
        <v>44470</v>
      </c>
      <c r="B7476" s="2" t="s">
        <v>141</v>
      </c>
      <c r="C7476" s="2">
        <v>2.86</v>
      </c>
      <c r="D7476" s="2">
        <v>1.9800000000000002E-2</v>
      </c>
      <c r="E7476" s="2">
        <v>5.6627999999999995E-4</v>
      </c>
      <c r="F7476" s="2" t="s">
        <v>7</v>
      </c>
    </row>
    <row r="7477" spans="1:6" ht="22.5" hidden="1" customHeight="1" x14ac:dyDescent="0.25">
      <c r="A7477" s="3">
        <v>44470</v>
      </c>
      <c r="B7477" s="2" t="s">
        <v>142</v>
      </c>
      <c r="C7477" s="2">
        <v>0.4</v>
      </c>
      <c r="D7477" s="2">
        <v>4.3E-3</v>
      </c>
      <c r="E7477" s="2">
        <v>1.7200000000000001E-5</v>
      </c>
      <c r="F7477" s="2" t="s">
        <v>7</v>
      </c>
    </row>
    <row r="7478" spans="1:6" ht="22.5" hidden="1" customHeight="1" x14ac:dyDescent="0.25">
      <c r="A7478" s="3">
        <v>44470</v>
      </c>
      <c r="B7478" s="2" t="s">
        <v>143</v>
      </c>
      <c r="C7478" s="2">
        <v>0.06</v>
      </c>
      <c r="D7478" s="2">
        <v>4.2200000000000001E-2</v>
      </c>
      <c r="E7478" s="2">
        <v>2.5320000000000002E-5</v>
      </c>
      <c r="F7478" s="2" t="s">
        <v>7</v>
      </c>
    </row>
    <row r="7479" spans="1:6" ht="22.5" hidden="1" customHeight="1" x14ac:dyDescent="0.25">
      <c r="A7479" s="3">
        <v>44470</v>
      </c>
      <c r="B7479" s="2" t="s">
        <v>144</v>
      </c>
      <c r="C7479" s="2">
        <v>-2.2799999999999998</v>
      </c>
      <c r="D7479" s="2">
        <v>1.6999999999999999E-3</v>
      </c>
      <c r="E7479" s="2">
        <v>-3.8760000000000002E-5</v>
      </c>
      <c r="F7479" s="2" t="s">
        <v>7</v>
      </c>
    </row>
    <row r="7480" spans="1:6" ht="22.5" hidden="1" customHeight="1" x14ac:dyDescent="0.25">
      <c r="A7480" s="3">
        <v>44470</v>
      </c>
      <c r="B7480" s="2" t="s">
        <v>145</v>
      </c>
      <c r="C7480" s="2">
        <v>1.37</v>
      </c>
      <c r="D7480" s="2">
        <v>1.5E-3</v>
      </c>
      <c r="E7480" s="2">
        <v>2.0550000000000001E-5</v>
      </c>
      <c r="F7480" s="2" t="s">
        <v>7</v>
      </c>
    </row>
    <row r="7481" spans="1:6" ht="22.5" hidden="1" customHeight="1" x14ac:dyDescent="0.25">
      <c r="A7481" s="3">
        <v>44470</v>
      </c>
      <c r="B7481" s="2" t="s">
        <v>146</v>
      </c>
      <c r="C7481" s="2">
        <v>0.31</v>
      </c>
      <c r="D7481" s="2">
        <v>3.32E-2</v>
      </c>
      <c r="E7481" s="2">
        <v>1.0292E-4</v>
      </c>
      <c r="F7481" s="2" t="s">
        <v>7</v>
      </c>
    </row>
    <row r="7482" spans="1:6" ht="22.5" hidden="1" customHeight="1" x14ac:dyDescent="0.25">
      <c r="A7482" s="3">
        <v>44470</v>
      </c>
      <c r="B7482" s="2" t="s">
        <v>147</v>
      </c>
      <c r="C7482" s="2">
        <v>0.67</v>
      </c>
      <c r="D7482" s="2">
        <v>2.6700000000000002E-2</v>
      </c>
      <c r="E7482" s="2">
        <v>1.7888999999999999E-4</v>
      </c>
      <c r="F7482" s="2" t="s">
        <v>7</v>
      </c>
    </row>
    <row r="7483" spans="1:6" ht="22.5" hidden="1" customHeight="1" x14ac:dyDescent="0.25">
      <c r="A7483" s="3">
        <v>44470</v>
      </c>
      <c r="B7483" s="2" t="s">
        <v>148</v>
      </c>
      <c r="C7483" s="2">
        <v>-0.52</v>
      </c>
      <c r="D7483" s="2">
        <v>2.24E-2</v>
      </c>
      <c r="E7483" s="2">
        <v>-1.1648E-4</v>
      </c>
      <c r="F7483" s="2" t="s">
        <v>7</v>
      </c>
    </row>
    <row r="7484" spans="1:6" ht="22.5" hidden="1" customHeight="1" x14ac:dyDescent="0.25">
      <c r="A7484" s="3">
        <v>44470</v>
      </c>
      <c r="B7484" s="2" t="s">
        <v>149</v>
      </c>
      <c r="C7484" s="2">
        <v>1.73</v>
      </c>
      <c r="D7484" s="2">
        <v>2.3E-3</v>
      </c>
      <c r="E7484" s="2">
        <v>3.9789999999999997E-5</v>
      </c>
      <c r="F7484" s="2" t="s">
        <v>7</v>
      </c>
    </row>
    <row r="7485" spans="1:6" ht="22.5" hidden="1" customHeight="1" x14ac:dyDescent="0.25">
      <c r="A7485" s="3">
        <v>44470</v>
      </c>
      <c r="B7485" s="2" t="s">
        <v>150</v>
      </c>
      <c r="C7485" s="2">
        <v>-0.61</v>
      </c>
      <c r="D7485" s="2">
        <v>0.11269999999999999</v>
      </c>
      <c r="E7485" s="2">
        <v>-6.8747000000000003E-4</v>
      </c>
      <c r="F7485" s="2" t="s">
        <v>7</v>
      </c>
    </row>
    <row r="7486" spans="1:6" ht="22.5" hidden="1" customHeight="1" x14ac:dyDescent="0.25">
      <c r="A7486" s="3">
        <v>44470</v>
      </c>
      <c r="B7486" s="2" t="s">
        <v>151</v>
      </c>
      <c r="C7486" s="2">
        <v>0.76</v>
      </c>
      <c r="D7486" s="2">
        <v>0.10879999999999999</v>
      </c>
      <c r="E7486" s="2">
        <v>8.2688E-4</v>
      </c>
      <c r="F7486" s="2" t="s">
        <v>7</v>
      </c>
    </row>
    <row r="7487" spans="1:6" ht="22.5" hidden="1" customHeight="1" x14ac:dyDescent="0.25">
      <c r="A7487" s="3">
        <v>44470</v>
      </c>
      <c r="B7487" s="2" t="s">
        <v>152</v>
      </c>
      <c r="C7487" s="2">
        <v>0.6</v>
      </c>
      <c r="D7487" s="2">
        <v>3.0999999999999999E-3</v>
      </c>
      <c r="E7487" s="2">
        <v>1.8600000000000001E-5</v>
      </c>
      <c r="F7487" s="2" t="s">
        <v>7</v>
      </c>
    </row>
    <row r="7488" spans="1:6" ht="22.5" hidden="1" customHeight="1" x14ac:dyDescent="0.25">
      <c r="A7488" s="3">
        <v>44470</v>
      </c>
      <c r="B7488" s="2" t="s">
        <v>153</v>
      </c>
      <c r="C7488" s="2">
        <v>-2.33</v>
      </c>
      <c r="D7488" s="2">
        <v>8.9999999999999998E-4</v>
      </c>
      <c r="E7488" s="2">
        <v>-2.0970000000000001E-5</v>
      </c>
      <c r="F7488" s="2" t="s">
        <v>7</v>
      </c>
    </row>
    <row r="7489" spans="1:6" ht="22.5" hidden="1" customHeight="1" x14ac:dyDescent="0.25">
      <c r="A7489" s="3">
        <v>44470</v>
      </c>
      <c r="B7489" s="2" t="s">
        <v>154</v>
      </c>
      <c r="C7489" s="2">
        <v>-2.4</v>
      </c>
      <c r="D7489" s="2">
        <v>1E-3</v>
      </c>
      <c r="E7489" s="2">
        <v>-2.4000000000000001E-5</v>
      </c>
      <c r="F7489" s="2" t="s">
        <v>7</v>
      </c>
    </row>
    <row r="7490" spans="1:6" ht="22.5" hidden="1" customHeight="1" x14ac:dyDescent="0.25">
      <c r="A7490" s="3">
        <v>44470</v>
      </c>
      <c r="B7490" s="2" t="s">
        <v>155</v>
      </c>
      <c r="C7490" s="2">
        <v>1.48</v>
      </c>
      <c r="D7490" s="2">
        <v>5.7000000000000002E-3</v>
      </c>
      <c r="E7490" s="2">
        <v>8.4359999999999999E-5</v>
      </c>
      <c r="F7490" s="2" t="s">
        <v>7</v>
      </c>
    </row>
    <row r="7491" spans="1:6" ht="22.5" hidden="1" customHeight="1" x14ac:dyDescent="0.25">
      <c r="A7491" s="3">
        <v>44470</v>
      </c>
      <c r="B7491" s="2" t="s">
        <v>156</v>
      </c>
      <c r="C7491" s="2">
        <v>1.04</v>
      </c>
      <c r="D7491" s="2">
        <v>4.5999999999999999E-2</v>
      </c>
      <c r="E7491" s="2">
        <v>4.7839999999999997E-4</v>
      </c>
      <c r="F7491" s="2" t="s">
        <v>7</v>
      </c>
    </row>
    <row r="7492" spans="1:6" ht="22.5" hidden="1" customHeight="1" x14ac:dyDescent="0.25">
      <c r="A7492" s="3">
        <v>44470</v>
      </c>
      <c r="B7492" s="2" t="s">
        <v>157</v>
      </c>
      <c r="C7492" s="2">
        <v>1.77</v>
      </c>
      <c r="D7492" s="2">
        <v>1.7100000000000001E-2</v>
      </c>
      <c r="E7492" s="2">
        <v>3.0267E-4</v>
      </c>
      <c r="F7492" s="2" t="s">
        <v>7</v>
      </c>
    </row>
    <row r="7493" spans="1:6" ht="22.5" hidden="1" customHeight="1" x14ac:dyDescent="0.25">
      <c r="A7493" s="3">
        <v>44470</v>
      </c>
      <c r="B7493" s="2" t="s">
        <v>158</v>
      </c>
      <c r="C7493" s="2">
        <v>2.09</v>
      </c>
      <c r="D7493" s="2">
        <v>0.01</v>
      </c>
      <c r="E7493" s="2">
        <v>2.0900000000000001E-4</v>
      </c>
      <c r="F7493" s="2" t="s">
        <v>7</v>
      </c>
    </row>
    <row r="7494" spans="1:6" ht="22.5" hidden="1" customHeight="1" x14ac:dyDescent="0.25">
      <c r="A7494" s="3">
        <v>44470</v>
      </c>
      <c r="B7494" s="2" t="s">
        <v>159</v>
      </c>
      <c r="C7494" s="2">
        <v>-0.7</v>
      </c>
      <c r="D7494" s="2">
        <v>5.3900000000000003E-2</v>
      </c>
      <c r="E7494" s="2">
        <v>-3.7730000000000001E-4</v>
      </c>
      <c r="F7494" s="2" t="s">
        <v>7</v>
      </c>
    </row>
    <row r="7495" spans="1:6" ht="22.5" hidden="1" customHeight="1" x14ac:dyDescent="0.25">
      <c r="A7495" s="3">
        <v>44470</v>
      </c>
      <c r="B7495" s="2" t="s">
        <v>160</v>
      </c>
      <c r="C7495" s="2">
        <v>0.52</v>
      </c>
      <c r="D7495" s="2">
        <v>3.6770999999999998</v>
      </c>
      <c r="E7495" s="2">
        <v>1.912092E-2</v>
      </c>
      <c r="F7495" s="2" t="s">
        <v>7</v>
      </c>
    </row>
    <row r="7496" spans="1:6" ht="22.5" hidden="1" customHeight="1" x14ac:dyDescent="0.25">
      <c r="A7496" s="3">
        <v>44470</v>
      </c>
      <c r="B7496" s="2" t="s">
        <v>161</v>
      </c>
      <c r="C7496" s="2">
        <v>1.71</v>
      </c>
      <c r="D7496" s="2">
        <v>1.7237</v>
      </c>
      <c r="E7496" s="2">
        <v>2.9475270000000001E-2</v>
      </c>
      <c r="F7496" s="2" t="s">
        <v>7</v>
      </c>
    </row>
    <row r="7497" spans="1:6" ht="22.5" hidden="1" customHeight="1" x14ac:dyDescent="0.25">
      <c r="A7497" s="3">
        <v>44470</v>
      </c>
      <c r="B7497" s="2" t="s">
        <v>134</v>
      </c>
      <c r="C7497" s="2">
        <v>1.51</v>
      </c>
      <c r="D7497" s="2">
        <v>0.1229</v>
      </c>
      <c r="E7497" s="2">
        <v>1.85579E-3</v>
      </c>
      <c r="F7497" s="2" t="s">
        <v>7</v>
      </c>
    </row>
    <row r="7498" spans="1:6" ht="22.5" hidden="1" customHeight="1" x14ac:dyDescent="0.25">
      <c r="A7498" s="3">
        <v>44470</v>
      </c>
      <c r="B7498" s="2" t="s">
        <v>162</v>
      </c>
      <c r="C7498" s="2">
        <v>3.12</v>
      </c>
      <c r="D7498" s="2">
        <v>4.1200000000000001E-2</v>
      </c>
      <c r="E7498" s="2">
        <v>1.2854400000000001E-3</v>
      </c>
      <c r="F7498" s="2" t="s">
        <v>7</v>
      </c>
    </row>
    <row r="7499" spans="1:6" ht="22.5" hidden="1" customHeight="1" x14ac:dyDescent="0.25">
      <c r="A7499" s="3">
        <v>44470</v>
      </c>
      <c r="B7499" s="2" t="s">
        <v>135</v>
      </c>
      <c r="C7499" s="2">
        <v>1.65</v>
      </c>
      <c r="D7499" s="2">
        <v>0.28689999999999999</v>
      </c>
      <c r="E7499" s="2">
        <v>4.7338500000000004E-3</v>
      </c>
      <c r="F7499" s="2" t="s">
        <v>7</v>
      </c>
    </row>
    <row r="7500" spans="1:6" ht="22.5" hidden="1" customHeight="1" x14ac:dyDescent="0.25">
      <c r="A7500" s="3">
        <v>44470</v>
      </c>
      <c r="B7500" s="2" t="s">
        <v>136</v>
      </c>
      <c r="C7500" s="2">
        <v>3.93</v>
      </c>
      <c r="D7500" s="2">
        <v>4.1000000000000003E-3</v>
      </c>
      <c r="E7500" s="2">
        <v>1.6113E-4</v>
      </c>
      <c r="F7500" s="2" t="s">
        <v>7</v>
      </c>
    </row>
    <row r="7501" spans="1:6" ht="22.5" hidden="1" customHeight="1" x14ac:dyDescent="0.25">
      <c r="A7501" s="3">
        <v>44470</v>
      </c>
      <c r="B7501" s="2" t="s">
        <v>137</v>
      </c>
      <c r="C7501" s="2">
        <v>-0.44</v>
      </c>
      <c r="D7501" s="2">
        <v>1.04E-2</v>
      </c>
      <c r="E7501" s="2">
        <v>-4.5760000000000002E-5</v>
      </c>
      <c r="F7501" s="2" t="s">
        <v>7</v>
      </c>
    </row>
    <row r="7502" spans="1:6" ht="22.5" hidden="1" customHeight="1" x14ac:dyDescent="0.25">
      <c r="A7502" s="3">
        <v>44470</v>
      </c>
      <c r="B7502" s="2" t="s">
        <v>163</v>
      </c>
      <c r="C7502" s="2">
        <v>1.62</v>
      </c>
      <c r="D7502" s="2">
        <v>4.4000000000000003E-3</v>
      </c>
      <c r="E7502" s="2">
        <v>7.1279999999999995E-5</v>
      </c>
      <c r="F7502" s="2" t="s">
        <v>7</v>
      </c>
    </row>
    <row r="7503" spans="1:6" ht="22.5" hidden="1" customHeight="1" x14ac:dyDescent="0.25">
      <c r="A7503" s="3">
        <v>44470</v>
      </c>
      <c r="B7503" s="2" t="s">
        <v>34</v>
      </c>
      <c r="C7503" s="2">
        <v>1.48</v>
      </c>
      <c r="D7503" s="2">
        <v>5.1900000000000002E-2</v>
      </c>
      <c r="E7503" s="2">
        <v>7.6811999999999996E-4</v>
      </c>
      <c r="F7503" s="2" t="s">
        <v>7</v>
      </c>
    </row>
    <row r="7504" spans="1:6" ht="22.5" hidden="1" customHeight="1" x14ac:dyDescent="0.25">
      <c r="A7504" s="3">
        <v>44470</v>
      </c>
      <c r="B7504" s="2" t="s">
        <v>164</v>
      </c>
      <c r="C7504" s="2">
        <v>0.93</v>
      </c>
      <c r="D7504" s="2">
        <v>3.6993999999999998</v>
      </c>
      <c r="E7504" s="2">
        <v>3.4404419999999998E-2</v>
      </c>
      <c r="F7504" s="2" t="s">
        <v>165</v>
      </c>
    </row>
    <row r="7505" spans="1:6" ht="22.5" hidden="1" customHeight="1" x14ac:dyDescent="0.25">
      <c r="A7505" s="3">
        <v>44470</v>
      </c>
      <c r="B7505" s="2" t="s">
        <v>166</v>
      </c>
      <c r="C7505" s="2">
        <v>0.12</v>
      </c>
      <c r="D7505" s="2">
        <v>2.2349000000000001</v>
      </c>
      <c r="E7505" s="2">
        <v>2.6818800000000002E-3</v>
      </c>
      <c r="F7505" s="2" t="s">
        <v>165</v>
      </c>
    </row>
    <row r="7506" spans="1:6" ht="22.5" hidden="1" customHeight="1" x14ac:dyDescent="0.25">
      <c r="A7506" s="3">
        <v>43983</v>
      </c>
      <c r="B7506" s="2" t="s">
        <v>196</v>
      </c>
      <c r="C7506" s="2">
        <v>-0.5</v>
      </c>
      <c r="D7506" s="2">
        <v>0.1386</v>
      </c>
      <c r="E7506" s="2">
        <v>-6.9300000000000004E-4</v>
      </c>
      <c r="F7506" s="2" t="s">
        <v>168</v>
      </c>
    </row>
    <row r="7507" spans="1:6" ht="22.5" hidden="1" customHeight="1" x14ac:dyDescent="0.25">
      <c r="A7507" s="3">
        <v>44470</v>
      </c>
      <c r="B7507" s="2" t="s">
        <v>169</v>
      </c>
      <c r="C7507" s="2">
        <v>0.52</v>
      </c>
      <c r="D7507" s="2">
        <v>1.15E-2</v>
      </c>
      <c r="E7507" s="2">
        <v>5.9799999999999997E-5</v>
      </c>
      <c r="F7507" s="2" t="s">
        <v>170</v>
      </c>
    </row>
    <row r="7508" spans="1:6" ht="22.5" hidden="1" customHeight="1" x14ac:dyDescent="0.25">
      <c r="A7508" s="3">
        <v>44470</v>
      </c>
      <c r="B7508" s="2" t="s">
        <v>171</v>
      </c>
      <c r="C7508" s="2">
        <v>0.47</v>
      </c>
      <c r="D7508" s="2">
        <v>1.3899999999999999E-2</v>
      </c>
      <c r="E7508" s="2">
        <v>6.533E-5</v>
      </c>
      <c r="F7508" s="2" t="s">
        <v>170</v>
      </c>
    </row>
    <row r="7509" spans="1:6" ht="22.5" hidden="1" customHeight="1" x14ac:dyDescent="0.25">
      <c r="A7509" s="3">
        <v>44470</v>
      </c>
      <c r="B7509" s="2" t="s">
        <v>172</v>
      </c>
      <c r="C7509" s="2">
        <v>0.96</v>
      </c>
      <c r="D7509" s="2">
        <v>3.3999999999999998E-3</v>
      </c>
      <c r="E7509" s="2">
        <v>3.2639999999999999E-5</v>
      </c>
      <c r="F7509" s="2" t="s">
        <v>170</v>
      </c>
    </row>
    <row r="7510" spans="1:6" ht="22.5" hidden="1" customHeight="1" x14ac:dyDescent="0.25">
      <c r="A7510" s="3">
        <v>44470</v>
      </c>
      <c r="B7510" s="2" t="s">
        <v>173</v>
      </c>
      <c r="C7510" s="2">
        <v>2.19</v>
      </c>
      <c r="D7510" s="2">
        <v>0.26960000000000001</v>
      </c>
      <c r="E7510" s="2">
        <v>5.9042399999999998E-3</v>
      </c>
      <c r="F7510" s="2" t="s">
        <v>174</v>
      </c>
    </row>
    <row r="7511" spans="1:6" ht="22.5" hidden="1" customHeight="1" x14ac:dyDescent="0.25">
      <c r="A7511" s="3">
        <v>44470</v>
      </c>
      <c r="B7511" s="2" t="s">
        <v>175</v>
      </c>
      <c r="C7511" s="2">
        <v>2.75</v>
      </c>
      <c r="D7511" s="2">
        <v>0.27200000000000002</v>
      </c>
      <c r="E7511" s="2">
        <v>7.4799999999999997E-3</v>
      </c>
      <c r="F7511" s="2" t="s">
        <v>174</v>
      </c>
    </row>
    <row r="7512" spans="1:6" ht="22.5" hidden="1" customHeight="1" x14ac:dyDescent="0.25">
      <c r="A7512" s="3">
        <v>44470</v>
      </c>
      <c r="B7512" s="2" t="s">
        <v>176</v>
      </c>
      <c r="C7512" s="2">
        <v>0.49</v>
      </c>
      <c r="D7512" s="2">
        <v>1.3299999999999999E-2</v>
      </c>
      <c r="E7512" s="2">
        <v>6.5170000000000001E-5</v>
      </c>
      <c r="F7512" s="2" t="s">
        <v>170</v>
      </c>
    </row>
    <row r="7513" spans="1:6" ht="22.5" hidden="1" customHeight="1" x14ac:dyDescent="0.25">
      <c r="A7513" s="3">
        <v>44470</v>
      </c>
      <c r="B7513" s="2" t="s">
        <v>177</v>
      </c>
      <c r="C7513" s="2">
        <v>0.69</v>
      </c>
      <c r="D7513" s="2">
        <v>2.2499999999999999E-2</v>
      </c>
      <c r="E7513" s="2">
        <v>1.5525000000000001E-4</v>
      </c>
      <c r="F7513" s="2" t="s">
        <v>170</v>
      </c>
    </row>
    <row r="7514" spans="1:6" ht="22.5" hidden="1" customHeight="1" x14ac:dyDescent="0.25">
      <c r="A7514" s="3">
        <v>44470</v>
      </c>
      <c r="B7514" s="2" t="s">
        <v>178</v>
      </c>
      <c r="C7514" s="2">
        <v>0.83</v>
      </c>
      <c r="D7514" s="2">
        <v>2.0400000000000001E-2</v>
      </c>
      <c r="E7514" s="2">
        <v>1.6932000000000001E-4</v>
      </c>
      <c r="F7514" s="2" t="s">
        <v>170</v>
      </c>
    </row>
    <row r="7515" spans="1:6" ht="22.5" hidden="1" customHeight="1" x14ac:dyDescent="0.25">
      <c r="A7515" s="3">
        <v>44470</v>
      </c>
      <c r="B7515" s="2" t="s">
        <v>179</v>
      </c>
      <c r="C7515" s="2">
        <v>1.52</v>
      </c>
      <c r="D7515" s="2">
        <v>4.7500000000000001E-2</v>
      </c>
      <c r="E7515" s="2">
        <v>7.2199999999999999E-4</v>
      </c>
      <c r="F7515" s="2" t="s">
        <v>170</v>
      </c>
    </row>
    <row r="7516" spans="1:6" ht="22.5" hidden="1" customHeight="1" x14ac:dyDescent="0.25">
      <c r="A7516" s="3">
        <v>44470</v>
      </c>
      <c r="B7516" s="2" t="s">
        <v>180</v>
      </c>
      <c r="C7516" s="2">
        <v>0.28999999999999998</v>
      </c>
      <c r="D7516" s="2">
        <v>0.60760000000000003</v>
      </c>
      <c r="E7516" s="2">
        <v>1.7620400000000001E-3</v>
      </c>
      <c r="F7516" s="2" t="s">
        <v>165</v>
      </c>
    </row>
    <row r="7517" spans="1:6" ht="22.5" hidden="1" customHeight="1" x14ac:dyDescent="0.25">
      <c r="A7517" s="3">
        <v>44470</v>
      </c>
      <c r="B7517" s="2" t="s">
        <v>181</v>
      </c>
      <c r="C7517" s="2">
        <v>1.66</v>
      </c>
      <c r="D7517" s="2">
        <v>1.3299999999999999E-2</v>
      </c>
      <c r="E7517" s="2">
        <v>2.2078000000000001E-4</v>
      </c>
      <c r="F7517" s="2" t="s">
        <v>174</v>
      </c>
    </row>
    <row r="7518" spans="1:6" ht="22.5" hidden="1" customHeight="1" x14ac:dyDescent="0.25">
      <c r="A7518" s="3">
        <v>44470</v>
      </c>
      <c r="B7518" s="2" t="s">
        <v>182</v>
      </c>
      <c r="C7518" s="2">
        <v>-0.86</v>
      </c>
      <c r="D7518" s="2">
        <v>4.2099999999999999E-2</v>
      </c>
      <c r="E7518" s="2">
        <v>-3.6205999999999999E-4</v>
      </c>
      <c r="F7518" s="2" t="s">
        <v>170</v>
      </c>
    </row>
    <row r="7519" spans="1:6" ht="22.5" hidden="1" customHeight="1" x14ac:dyDescent="0.25">
      <c r="A7519" s="3">
        <v>44470</v>
      </c>
      <c r="B7519" s="2" t="s">
        <v>183</v>
      </c>
      <c r="C7519" s="2">
        <v>1.77</v>
      </c>
      <c r="D7519" s="2">
        <v>3.8999999999999998E-3</v>
      </c>
      <c r="E7519" s="2">
        <v>6.9029999999999995E-5</v>
      </c>
      <c r="F7519" s="2" t="s">
        <v>174</v>
      </c>
    </row>
    <row r="7520" spans="1:6" ht="22.5" hidden="1" customHeight="1" x14ac:dyDescent="0.25">
      <c r="A7520" s="3">
        <v>44470</v>
      </c>
      <c r="B7520" s="2" t="s">
        <v>184</v>
      </c>
      <c r="C7520" s="2">
        <v>0.21</v>
      </c>
      <c r="D7520" s="2">
        <v>6.4699999999999994E-2</v>
      </c>
      <c r="E7520" s="2">
        <v>1.3587000000000001E-4</v>
      </c>
      <c r="F7520" s="2" t="s">
        <v>174</v>
      </c>
    </row>
    <row r="7521" spans="1:6" ht="22.5" hidden="1" customHeight="1" x14ac:dyDescent="0.25">
      <c r="A7521" s="3">
        <v>44470</v>
      </c>
      <c r="B7521" s="2" t="s">
        <v>185</v>
      </c>
      <c r="C7521" s="2">
        <v>1.71</v>
      </c>
      <c r="D7521" s="2">
        <v>0.1525</v>
      </c>
      <c r="E7521" s="2">
        <v>2.6077499999999998E-3</v>
      </c>
      <c r="F7521" s="2" t="s">
        <v>174</v>
      </c>
    </row>
    <row r="7522" spans="1:6" ht="22.5" hidden="1" customHeight="1" x14ac:dyDescent="0.25">
      <c r="A7522" s="3">
        <v>44470</v>
      </c>
      <c r="B7522" s="2" t="s">
        <v>186</v>
      </c>
      <c r="C7522" s="2">
        <v>0.88</v>
      </c>
      <c r="D7522" s="2">
        <v>0.2117</v>
      </c>
      <c r="E7522" s="2">
        <v>1.8629600000000001E-3</v>
      </c>
      <c r="F7522" s="2" t="s">
        <v>174</v>
      </c>
    </row>
    <row r="7523" spans="1:6" ht="22.5" hidden="1" customHeight="1" x14ac:dyDescent="0.25">
      <c r="A7523" s="3">
        <v>44470</v>
      </c>
      <c r="B7523" s="2" t="s">
        <v>187</v>
      </c>
      <c r="C7523" s="2">
        <v>-0.06</v>
      </c>
      <c r="D7523" s="2">
        <v>5.8700000000000002E-2</v>
      </c>
      <c r="E7523" s="2">
        <v>-3.5219999999999998E-5</v>
      </c>
      <c r="F7523" s="2" t="s">
        <v>174</v>
      </c>
    </row>
    <row r="7524" spans="1:6" ht="22.5" hidden="1" customHeight="1" x14ac:dyDescent="0.25">
      <c r="A7524" s="3">
        <v>44470</v>
      </c>
      <c r="B7524" s="2" t="s">
        <v>188</v>
      </c>
      <c r="C7524" s="2">
        <v>0.3</v>
      </c>
      <c r="D7524" s="2">
        <v>2.8299999999999999E-2</v>
      </c>
      <c r="E7524" s="2">
        <v>8.4900000000000004E-5</v>
      </c>
      <c r="F7524" s="2" t="s">
        <v>174</v>
      </c>
    </row>
    <row r="7525" spans="1:6" ht="22.5" hidden="1" customHeight="1" x14ac:dyDescent="0.25">
      <c r="A7525" s="3">
        <v>44470</v>
      </c>
      <c r="B7525" s="2" t="s">
        <v>189</v>
      </c>
      <c r="C7525" s="2">
        <v>2.84</v>
      </c>
      <c r="D7525" s="2">
        <v>3.8E-3</v>
      </c>
      <c r="E7525" s="2">
        <v>1.0792E-4</v>
      </c>
      <c r="F7525" s="2" t="s">
        <v>174</v>
      </c>
    </row>
    <row r="7526" spans="1:6" ht="22.5" hidden="1" customHeight="1" x14ac:dyDescent="0.25">
      <c r="A7526" s="3">
        <v>44470</v>
      </c>
      <c r="B7526" s="2" t="s">
        <v>190</v>
      </c>
      <c r="C7526" s="2">
        <v>1.07</v>
      </c>
      <c r="D7526" s="2">
        <v>4.8999999999999998E-3</v>
      </c>
      <c r="E7526" s="2">
        <v>5.2429999999999998E-5</v>
      </c>
      <c r="F7526" s="2" t="s">
        <v>174</v>
      </c>
    </row>
    <row r="7527" spans="1:6" ht="22.5" hidden="1" customHeight="1" x14ac:dyDescent="0.25">
      <c r="A7527" s="3">
        <v>44470</v>
      </c>
      <c r="B7527" s="2" t="s">
        <v>191</v>
      </c>
      <c r="C7527" s="2">
        <v>-1.45</v>
      </c>
      <c r="D7527" s="2">
        <v>2.7199999999999998E-2</v>
      </c>
      <c r="E7527" s="2">
        <v>-3.9439999999999999E-4</v>
      </c>
      <c r="F7527" s="2" t="s">
        <v>174</v>
      </c>
    </row>
    <row r="7528" spans="1:6" ht="22.5" hidden="1" customHeight="1" x14ac:dyDescent="0.25">
      <c r="A7528" s="3">
        <v>44470</v>
      </c>
      <c r="B7528" s="2" t="s">
        <v>192</v>
      </c>
      <c r="C7528" s="2">
        <v>1.56</v>
      </c>
      <c r="D7528" s="2">
        <v>4.8999999999999998E-3</v>
      </c>
      <c r="E7528" s="2">
        <v>7.6440000000000007E-5</v>
      </c>
      <c r="F7528" s="2" t="s">
        <v>174</v>
      </c>
    </row>
    <row r="7529" spans="1:6" ht="22.5" hidden="1" customHeight="1" x14ac:dyDescent="0.25">
      <c r="A7529" s="3">
        <v>44470</v>
      </c>
      <c r="B7529" s="2" t="s">
        <v>193</v>
      </c>
      <c r="C7529" s="2">
        <v>-0.14000000000000001</v>
      </c>
      <c r="D7529" s="2">
        <v>0.1623</v>
      </c>
      <c r="E7529" s="2">
        <v>-2.2722000000000001E-4</v>
      </c>
      <c r="F7529" s="2" t="s">
        <v>174</v>
      </c>
    </row>
    <row r="7530" spans="1:6" ht="22.5" hidden="1" customHeight="1" x14ac:dyDescent="0.25">
      <c r="A7530" s="3">
        <v>44470</v>
      </c>
      <c r="B7530" s="2" t="s">
        <v>194</v>
      </c>
      <c r="C7530" s="2">
        <v>1.45</v>
      </c>
      <c r="D7530" s="2">
        <v>3.2000000000000002E-3</v>
      </c>
      <c r="E7530" s="2">
        <v>4.6400000000000003E-5</v>
      </c>
      <c r="F7530" s="2" t="s">
        <v>174</v>
      </c>
    </row>
    <row r="7531" spans="1:6" ht="22.5" hidden="1" customHeight="1" x14ac:dyDescent="0.25">
      <c r="A7531" s="3">
        <v>43983</v>
      </c>
      <c r="B7531" s="2" t="s">
        <v>301</v>
      </c>
      <c r="C7531" s="2">
        <v>-0.44</v>
      </c>
      <c r="D7531" s="2">
        <v>0.15790000000000001</v>
      </c>
      <c r="E7531" s="2">
        <v>-6.9476E-4</v>
      </c>
      <c r="F7531" s="2" t="s">
        <v>168</v>
      </c>
    </row>
    <row r="7532" spans="1:6" ht="22.5" hidden="1" customHeight="1" x14ac:dyDescent="0.25">
      <c r="A7532" s="3">
        <v>44256</v>
      </c>
      <c r="B7532" s="2" t="s">
        <v>294</v>
      </c>
      <c r="C7532" s="2">
        <v>-0.54</v>
      </c>
      <c r="D7532" s="2">
        <v>0.13270000000000001</v>
      </c>
      <c r="E7532" s="2">
        <v>-7.1657999999999997E-4</v>
      </c>
      <c r="F7532" s="2" t="s">
        <v>168</v>
      </c>
    </row>
    <row r="7533" spans="1:6" ht="22.5" hidden="1" customHeight="1" x14ac:dyDescent="0.25">
      <c r="A7533" s="3">
        <v>44256</v>
      </c>
      <c r="B7533" s="2" t="s">
        <v>292</v>
      </c>
      <c r="C7533" s="2">
        <v>-0.56999999999999995</v>
      </c>
      <c r="D7533" s="2">
        <v>0.128</v>
      </c>
      <c r="E7533" s="2">
        <v>-7.2959999999999995E-4</v>
      </c>
      <c r="F7533" s="2" t="s">
        <v>168</v>
      </c>
    </row>
    <row r="7534" spans="1:6" ht="22.5" hidden="1" customHeight="1" x14ac:dyDescent="0.25">
      <c r="A7534" s="3">
        <v>44470</v>
      </c>
      <c r="B7534" s="2" t="s">
        <v>198</v>
      </c>
      <c r="C7534" s="2">
        <v>1.27</v>
      </c>
      <c r="D7534" s="2">
        <v>0.3407</v>
      </c>
      <c r="E7534" s="2">
        <v>4.3268899999999999E-3</v>
      </c>
      <c r="F7534" s="2" t="s">
        <v>170</v>
      </c>
    </row>
    <row r="7535" spans="1:6" ht="22.5" hidden="1" customHeight="1" x14ac:dyDescent="0.25">
      <c r="A7535" s="3">
        <v>44470</v>
      </c>
      <c r="B7535" s="2" t="s">
        <v>199</v>
      </c>
      <c r="C7535" s="2">
        <v>1.66</v>
      </c>
      <c r="D7535" s="2">
        <v>0.48459999999999998</v>
      </c>
      <c r="E7535" s="2">
        <v>8.0443600000000004E-3</v>
      </c>
      <c r="F7535" s="2" t="s">
        <v>170</v>
      </c>
    </row>
    <row r="7536" spans="1:6" ht="22.5" hidden="1" customHeight="1" x14ac:dyDescent="0.25">
      <c r="A7536" s="3">
        <v>44470</v>
      </c>
      <c r="B7536" s="2" t="s">
        <v>200</v>
      </c>
      <c r="C7536" s="2">
        <v>1.19</v>
      </c>
      <c r="D7536" s="2">
        <v>0.19</v>
      </c>
      <c r="E7536" s="2">
        <v>2.261E-3</v>
      </c>
      <c r="F7536" s="2" t="s">
        <v>170</v>
      </c>
    </row>
    <row r="7537" spans="1:6" ht="22.5" hidden="1" customHeight="1" x14ac:dyDescent="0.25">
      <c r="A7537" s="3">
        <v>44470</v>
      </c>
      <c r="B7537" s="2" t="s">
        <v>201</v>
      </c>
      <c r="C7537" s="2">
        <v>2.34</v>
      </c>
      <c r="D7537" s="2">
        <v>2.47E-2</v>
      </c>
      <c r="E7537" s="2">
        <v>5.7797999999999997E-4</v>
      </c>
      <c r="F7537" s="2" t="s">
        <v>170</v>
      </c>
    </row>
    <row r="7538" spans="1:6" ht="22.5" hidden="1" customHeight="1" x14ac:dyDescent="0.25">
      <c r="A7538" s="3">
        <v>44470</v>
      </c>
      <c r="B7538" s="2" t="s">
        <v>202</v>
      </c>
      <c r="C7538" s="2">
        <v>5.38</v>
      </c>
      <c r="D7538" s="2">
        <v>1.7100000000000001E-2</v>
      </c>
      <c r="E7538" s="2">
        <v>9.1998000000000004E-4</v>
      </c>
      <c r="F7538" s="2" t="s">
        <v>170</v>
      </c>
    </row>
    <row r="7539" spans="1:6" ht="22.5" hidden="1" customHeight="1" x14ac:dyDescent="0.25">
      <c r="A7539" s="3">
        <v>44470</v>
      </c>
      <c r="B7539" s="2" t="s">
        <v>203</v>
      </c>
      <c r="C7539" s="2">
        <v>1.21</v>
      </c>
      <c r="D7539" s="2">
        <v>7.8600000000000003E-2</v>
      </c>
      <c r="E7539" s="2">
        <v>9.5105999999999999E-4</v>
      </c>
      <c r="F7539" s="2" t="s">
        <v>170</v>
      </c>
    </row>
    <row r="7540" spans="1:6" ht="22.5" hidden="1" customHeight="1" x14ac:dyDescent="0.25">
      <c r="A7540" s="3">
        <v>44470</v>
      </c>
      <c r="B7540" s="2" t="s">
        <v>204</v>
      </c>
      <c r="C7540" s="2">
        <v>-0.34</v>
      </c>
      <c r="D7540" s="2">
        <v>5.91E-2</v>
      </c>
      <c r="E7540" s="2">
        <v>-2.0094000000000001E-4</v>
      </c>
      <c r="F7540" s="2" t="s">
        <v>174</v>
      </c>
    </row>
    <row r="7541" spans="1:6" ht="22.5" hidden="1" customHeight="1" x14ac:dyDescent="0.25">
      <c r="A7541" s="3">
        <v>44470</v>
      </c>
      <c r="B7541" s="2" t="s">
        <v>205</v>
      </c>
      <c r="C7541" s="2">
        <v>0.67</v>
      </c>
      <c r="D7541" s="2">
        <v>9.4799999999999995E-2</v>
      </c>
      <c r="E7541" s="2">
        <v>6.3515999999999996E-4</v>
      </c>
      <c r="F7541" s="2" t="s">
        <v>174</v>
      </c>
    </row>
    <row r="7542" spans="1:6" ht="22.5" hidden="1" customHeight="1" x14ac:dyDescent="0.25">
      <c r="A7542" s="3">
        <v>44470</v>
      </c>
      <c r="B7542" s="2" t="s">
        <v>206</v>
      </c>
      <c r="C7542" s="2">
        <v>-0.37</v>
      </c>
      <c r="D7542" s="2">
        <v>0.16189999999999999</v>
      </c>
      <c r="E7542" s="2">
        <v>-5.9902999999999996E-4</v>
      </c>
      <c r="F7542" s="2" t="s">
        <v>174</v>
      </c>
    </row>
    <row r="7543" spans="1:6" ht="22.5" hidden="1" customHeight="1" x14ac:dyDescent="0.25">
      <c r="A7543" s="3">
        <v>44470</v>
      </c>
      <c r="B7543" s="2" t="s">
        <v>207</v>
      </c>
      <c r="C7543" s="2">
        <v>-0.45</v>
      </c>
      <c r="D7543" s="2">
        <v>4.9200000000000001E-2</v>
      </c>
      <c r="E7543" s="2">
        <v>-2.2139999999999999E-4</v>
      </c>
      <c r="F7543" s="2" t="s">
        <v>174</v>
      </c>
    </row>
    <row r="7544" spans="1:6" ht="22.5" hidden="1" customHeight="1" x14ac:dyDescent="0.25">
      <c r="A7544" s="3">
        <v>44470</v>
      </c>
      <c r="B7544" s="2" t="s">
        <v>208</v>
      </c>
      <c r="C7544" s="2">
        <v>-0.22</v>
      </c>
      <c r="D7544" s="2">
        <v>8.6999999999999994E-3</v>
      </c>
      <c r="E7544" s="2">
        <v>-1.914E-5</v>
      </c>
      <c r="F7544" s="2" t="s">
        <v>174</v>
      </c>
    </row>
    <row r="7545" spans="1:6" ht="22.5" hidden="1" customHeight="1" x14ac:dyDescent="0.25">
      <c r="A7545" s="3">
        <v>44470</v>
      </c>
      <c r="B7545" s="2" t="s">
        <v>209</v>
      </c>
      <c r="C7545" s="2">
        <v>-2.4700000000000002</v>
      </c>
      <c r="D7545" s="2">
        <v>6.1999999999999998E-3</v>
      </c>
      <c r="E7545" s="2">
        <v>-1.5313999999999999E-4</v>
      </c>
      <c r="F7545" s="2" t="s">
        <v>174</v>
      </c>
    </row>
    <row r="7546" spans="1:6" ht="22.5" hidden="1" customHeight="1" x14ac:dyDescent="0.25">
      <c r="A7546" s="3">
        <v>44470</v>
      </c>
      <c r="B7546" s="2" t="s">
        <v>210</v>
      </c>
      <c r="C7546" s="2">
        <v>-2.0699999999999998</v>
      </c>
      <c r="D7546" s="2">
        <v>1.41E-2</v>
      </c>
      <c r="E7546" s="2">
        <v>-2.9187000000000001E-4</v>
      </c>
      <c r="F7546" s="2" t="s">
        <v>170</v>
      </c>
    </row>
    <row r="7547" spans="1:6" ht="22.5" hidden="1" customHeight="1" x14ac:dyDescent="0.25">
      <c r="A7547" s="3">
        <v>44470</v>
      </c>
      <c r="B7547" s="2" t="s">
        <v>211</v>
      </c>
      <c r="C7547" s="2">
        <v>0.25</v>
      </c>
      <c r="D7547" s="2">
        <v>0.19819999999999999</v>
      </c>
      <c r="E7547" s="2">
        <v>4.9549999999999996E-4</v>
      </c>
      <c r="F7547" s="2" t="s">
        <v>174</v>
      </c>
    </row>
    <row r="7548" spans="1:6" ht="22.5" hidden="1" customHeight="1" x14ac:dyDescent="0.25">
      <c r="A7548" s="3">
        <v>44470</v>
      </c>
      <c r="B7548" s="2" t="s">
        <v>212</v>
      </c>
      <c r="C7548" s="2">
        <v>0.79</v>
      </c>
      <c r="D7548" s="2">
        <v>4.4000000000000003E-3</v>
      </c>
      <c r="E7548" s="2">
        <v>3.4759999999999999E-5</v>
      </c>
      <c r="F7548" s="2" t="s">
        <v>174</v>
      </c>
    </row>
    <row r="7549" spans="1:6" ht="22.5" hidden="1" customHeight="1" x14ac:dyDescent="0.25">
      <c r="A7549" s="3">
        <v>44470</v>
      </c>
      <c r="B7549" s="2" t="s">
        <v>213</v>
      </c>
      <c r="C7549" s="2">
        <v>0.57999999999999996</v>
      </c>
      <c r="D7549" s="2">
        <v>0.35489999999999999</v>
      </c>
      <c r="E7549" s="2">
        <v>2.05842E-3</v>
      </c>
      <c r="F7549" s="2" t="s">
        <v>170</v>
      </c>
    </row>
    <row r="7550" spans="1:6" ht="22.5" hidden="1" customHeight="1" x14ac:dyDescent="0.25">
      <c r="A7550" s="3">
        <v>44470</v>
      </c>
      <c r="B7550" s="2" t="s">
        <v>214</v>
      </c>
      <c r="C7550" s="2">
        <v>2.0299999999999998</v>
      </c>
      <c r="D7550" s="2">
        <v>0.1011</v>
      </c>
      <c r="E7550" s="2">
        <v>2.0523300000000002E-3</v>
      </c>
      <c r="F7550" s="2" t="s">
        <v>170</v>
      </c>
    </row>
    <row r="7551" spans="1:6" ht="22.5" hidden="1" customHeight="1" x14ac:dyDescent="0.25">
      <c r="A7551" s="3">
        <v>44470</v>
      </c>
      <c r="B7551" s="2" t="s">
        <v>215</v>
      </c>
      <c r="C7551" s="2">
        <v>0.13</v>
      </c>
      <c r="D7551" s="2">
        <v>0.25330000000000003</v>
      </c>
      <c r="E7551" s="2">
        <v>3.2928999999999999E-4</v>
      </c>
      <c r="F7551" s="2" t="s">
        <v>170</v>
      </c>
    </row>
    <row r="7552" spans="1:6" ht="22.5" hidden="1" customHeight="1" x14ac:dyDescent="0.25">
      <c r="A7552" s="3">
        <v>44470</v>
      </c>
      <c r="B7552" s="2" t="s">
        <v>216</v>
      </c>
      <c r="C7552" s="2">
        <v>0.49</v>
      </c>
      <c r="D7552" s="2">
        <v>1.44E-2</v>
      </c>
      <c r="E7552" s="2">
        <v>7.0560000000000002E-5</v>
      </c>
      <c r="F7552" s="2" t="s">
        <v>170</v>
      </c>
    </row>
    <row r="7553" spans="1:6" ht="22.5" hidden="1" customHeight="1" x14ac:dyDescent="0.25">
      <c r="A7553" s="3">
        <v>44470</v>
      </c>
      <c r="B7553" s="2" t="s">
        <v>217</v>
      </c>
      <c r="C7553" s="2">
        <v>1.2</v>
      </c>
      <c r="D7553" s="2">
        <v>0.16839999999999999</v>
      </c>
      <c r="E7553" s="2">
        <v>2.0208000000000001E-3</v>
      </c>
      <c r="F7553" s="2" t="s">
        <v>170</v>
      </c>
    </row>
    <row r="7554" spans="1:6" ht="22.5" hidden="1" customHeight="1" x14ac:dyDescent="0.25">
      <c r="A7554" s="3">
        <v>44470</v>
      </c>
      <c r="B7554" s="2" t="s">
        <v>218</v>
      </c>
      <c r="C7554" s="2">
        <v>0.87</v>
      </c>
      <c r="D7554" s="2">
        <v>7.7000000000000002E-3</v>
      </c>
      <c r="E7554" s="2">
        <v>6.6989999999999994E-5</v>
      </c>
      <c r="F7554" s="2" t="s">
        <v>170</v>
      </c>
    </row>
    <row r="7555" spans="1:6" ht="22.5" hidden="1" customHeight="1" x14ac:dyDescent="0.25">
      <c r="A7555" s="3">
        <v>44470</v>
      </c>
      <c r="B7555" s="2" t="s">
        <v>219</v>
      </c>
      <c r="C7555" s="2">
        <v>0.95</v>
      </c>
      <c r="D7555" s="2">
        <v>0.53069999999999995</v>
      </c>
      <c r="E7555" s="2">
        <v>5.04165E-3</v>
      </c>
      <c r="F7555" s="2" t="s">
        <v>170</v>
      </c>
    </row>
    <row r="7556" spans="1:6" ht="22.5" hidden="1" customHeight="1" x14ac:dyDescent="0.25">
      <c r="A7556" s="3">
        <v>44470</v>
      </c>
      <c r="B7556" s="2" t="s">
        <v>220</v>
      </c>
      <c r="C7556" s="2">
        <v>1.95</v>
      </c>
      <c r="D7556" s="2">
        <v>1.03E-2</v>
      </c>
      <c r="E7556" s="2">
        <v>2.0085E-4</v>
      </c>
      <c r="F7556" s="2" t="s">
        <v>170</v>
      </c>
    </row>
    <row r="7557" spans="1:6" ht="22.5" hidden="1" customHeight="1" x14ac:dyDescent="0.25">
      <c r="A7557" s="3">
        <v>44470</v>
      </c>
      <c r="B7557" s="2" t="s">
        <v>221</v>
      </c>
      <c r="C7557" s="2">
        <v>-2.86</v>
      </c>
      <c r="D7557" s="2">
        <v>3.5000000000000001E-3</v>
      </c>
      <c r="E7557" s="2">
        <v>-1.0009999999999999E-4</v>
      </c>
      <c r="F7557" s="2" t="s">
        <v>170</v>
      </c>
    </row>
    <row r="7558" spans="1:6" ht="22.5" hidden="1" customHeight="1" x14ac:dyDescent="0.25">
      <c r="A7558" s="3">
        <v>44470</v>
      </c>
      <c r="B7558" s="2" t="s">
        <v>222</v>
      </c>
      <c r="C7558" s="2">
        <v>-2.48</v>
      </c>
      <c r="D7558" s="2">
        <v>0.34389999999999998</v>
      </c>
      <c r="E7558" s="2">
        <v>-8.5287200000000001E-3</v>
      </c>
      <c r="F7558" s="2" t="s">
        <v>170</v>
      </c>
    </row>
    <row r="7559" spans="1:6" ht="22.5" hidden="1" customHeight="1" x14ac:dyDescent="0.25">
      <c r="A7559" s="3">
        <v>44470</v>
      </c>
      <c r="B7559" s="2" t="s">
        <v>223</v>
      </c>
      <c r="C7559" s="2">
        <v>1.26</v>
      </c>
      <c r="D7559" s="2">
        <v>1.5800000000000002E-2</v>
      </c>
      <c r="E7559" s="2">
        <v>1.9908E-4</v>
      </c>
      <c r="F7559" s="2" t="s">
        <v>165</v>
      </c>
    </row>
    <row r="7560" spans="1:6" ht="22.5" hidden="1" customHeight="1" x14ac:dyDescent="0.25">
      <c r="A7560" s="3">
        <v>44470</v>
      </c>
      <c r="B7560" s="2" t="s">
        <v>224</v>
      </c>
      <c r="C7560" s="2">
        <v>-0.56999999999999995</v>
      </c>
      <c r="D7560" s="2">
        <v>2.0999999999999999E-3</v>
      </c>
      <c r="E7560" s="2">
        <v>-1.1970000000000001E-5</v>
      </c>
      <c r="F7560" s="2" t="s">
        <v>165</v>
      </c>
    </row>
    <row r="7561" spans="1:6" ht="22.5" hidden="1" customHeight="1" x14ac:dyDescent="0.25">
      <c r="A7561" s="3">
        <v>44470</v>
      </c>
      <c r="B7561" s="2" t="s">
        <v>225</v>
      </c>
      <c r="C7561" s="2">
        <v>-0.94</v>
      </c>
      <c r="D7561" s="2">
        <v>4.4999999999999997E-3</v>
      </c>
      <c r="E7561" s="2">
        <v>-4.2299999999999998E-5</v>
      </c>
      <c r="F7561" s="2" t="s">
        <v>165</v>
      </c>
    </row>
    <row r="7562" spans="1:6" ht="22.5" hidden="1" customHeight="1" x14ac:dyDescent="0.25">
      <c r="A7562" s="3">
        <v>44470</v>
      </c>
      <c r="B7562" s="2" t="s">
        <v>226</v>
      </c>
      <c r="C7562" s="2">
        <v>-0.13</v>
      </c>
      <c r="D7562" s="2">
        <v>4.7E-2</v>
      </c>
      <c r="E7562" s="2">
        <v>-6.1099999999999994E-5</v>
      </c>
      <c r="F7562" s="2" t="s">
        <v>165</v>
      </c>
    </row>
    <row r="7563" spans="1:6" ht="22.5" hidden="1" customHeight="1" x14ac:dyDescent="0.25">
      <c r="A7563" s="3">
        <v>44470</v>
      </c>
      <c r="B7563" s="2" t="s">
        <v>227</v>
      </c>
      <c r="C7563" s="2">
        <v>0.11</v>
      </c>
      <c r="D7563" s="2">
        <v>6.3799999999999996E-2</v>
      </c>
      <c r="E7563" s="2">
        <v>7.0179999999999996E-5</v>
      </c>
      <c r="F7563" s="2" t="s">
        <v>165</v>
      </c>
    </row>
    <row r="7564" spans="1:6" ht="22.5" hidden="1" customHeight="1" x14ac:dyDescent="0.25">
      <c r="A7564" s="3">
        <v>44470</v>
      </c>
      <c r="B7564" s="2" t="s">
        <v>228</v>
      </c>
      <c r="C7564" s="2">
        <v>0.21</v>
      </c>
      <c r="D7564" s="2">
        <v>0.19400000000000001</v>
      </c>
      <c r="E7564" s="2">
        <v>4.0739999999999998E-4</v>
      </c>
      <c r="F7564" s="2" t="s">
        <v>165</v>
      </c>
    </row>
    <row r="7565" spans="1:6" ht="22.5" hidden="1" customHeight="1" x14ac:dyDescent="0.25">
      <c r="A7565" s="3">
        <v>44470</v>
      </c>
      <c r="B7565" s="2" t="s">
        <v>229</v>
      </c>
      <c r="C7565" s="2">
        <v>1.5</v>
      </c>
      <c r="D7565" s="2">
        <v>0.28070000000000001</v>
      </c>
      <c r="E7565" s="2">
        <v>4.2104999999999998E-3</v>
      </c>
      <c r="F7565" s="2" t="s">
        <v>174</v>
      </c>
    </row>
    <row r="7566" spans="1:6" ht="22.5" hidden="1" customHeight="1" x14ac:dyDescent="0.25">
      <c r="A7566" s="3">
        <v>44470</v>
      </c>
      <c r="B7566" s="2" t="s">
        <v>230</v>
      </c>
      <c r="C7566" s="2">
        <v>1.76</v>
      </c>
      <c r="D7566" s="2">
        <v>2.06E-2</v>
      </c>
      <c r="E7566" s="2">
        <v>3.6256E-4</v>
      </c>
      <c r="F7566" s="2" t="s">
        <v>174</v>
      </c>
    </row>
    <row r="7567" spans="1:6" ht="22.5" hidden="1" customHeight="1" x14ac:dyDescent="0.25">
      <c r="A7567" s="3">
        <v>44470</v>
      </c>
      <c r="B7567" s="2" t="s">
        <v>231</v>
      </c>
      <c r="C7567" s="2">
        <v>1.5</v>
      </c>
      <c r="D7567" s="2">
        <v>0.16550000000000001</v>
      </c>
      <c r="E7567" s="2">
        <v>2.4824999999999999E-3</v>
      </c>
      <c r="F7567" s="2" t="s">
        <v>174</v>
      </c>
    </row>
    <row r="7568" spans="1:6" ht="22.5" hidden="1" customHeight="1" x14ac:dyDescent="0.25">
      <c r="A7568" s="3">
        <v>44470</v>
      </c>
      <c r="B7568" s="2" t="s">
        <v>232</v>
      </c>
      <c r="C7568" s="2">
        <v>-1.1399999999999999</v>
      </c>
      <c r="D7568" s="2">
        <v>5.8999999999999999E-3</v>
      </c>
      <c r="E7568" s="2">
        <v>-6.7260000000000003E-5</v>
      </c>
      <c r="F7568" s="2" t="s">
        <v>174</v>
      </c>
    </row>
    <row r="7569" spans="1:6" ht="22.5" hidden="1" customHeight="1" x14ac:dyDescent="0.25">
      <c r="A7569" s="3">
        <v>44470</v>
      </c>
      <c r="B7569" s="2" t="s">
        <v>233</v>
      </c>
      <c r="C7569" s="2">
        <v>1.02</v>
      </c>
      <c r="D7569" s="2">
        <v>0.56179999999999997</v>
      </c>
      <c r="E7569" s="2">
        <v>5.7303600000000003E-3</v>
      </c>
      <c r="F7569" s="2" t="s">
        <v>174</v>
      </c>
    </row>
    <row r="7570" spans="1:6" ht="22.5" hidden="1" customHeight="1" x14ac:dyDescent="0.25">
      <c r="A7570" s="3">
        <v>44470</v>
      </c>
      <c r="B7570" s="2" t="s">
        <v>234</v>
      </c>
      <c r="C7570" s="2">
        <v>1.04</v>
      </c>
      <c r="D7570" s="2">
        <v>0.30120000000000002</v>
      </c>
      <c r="E7570" s="2">
        <v>3.13248E-3</v>
      </c>
      <c r="F7570" s="2" t="s">
        <v>174</v>
      </c>
    </row>
    <row r="7571" spans="1:6" ht="22.5" hidden="1" customHeight="1" x14ac:dyDescent="0.25">
      <c r="A7571" s="3">
        <v>44470</v>
      </c>
      <c r="B7571" s="2" t="s">
        <v>235</v>
      </c>
      <c r="C7571" s="2">
        <v>-1.83</v>
      </c>
      <c r="D7571" s="2">
        <v>2.4E-2</v>
      </c>
      <c r="E7571" s="2">
        <v>-4.392E-4</v>
      </c>
      <c r="F7571" s="2" t="s">
        <v>174</v>
      </c>
    </row>
    <row r="7572" spans="1:6" ht="22.5" hidden="1" customHeight="1" x14ac:dyDescent="0.25">
      <c r="A7572" s="3">
        <v>44470</v>
      </c>
      <c r="B7572" s="2" t="s">
        <v>236</v>
      </c>
      <c r="C7572" s="2">
        <v>0.34</v>
      </c>
      <c r="D7572" s="2">
        <v>6.7000000000000002E-3</v>
      </c>
      <c r="E7572" s="2">
        <v>2.2779999999999999E-5</v>
      </c>
      <c r="F7572" s="2" t="s">
        <v>174</v>
      </c>
    </row>
    <row r="7573" spans="1:6" ht="22.5" hidden="1" customHeight="1" x14ac:dyDescent="0.25">
      <c r="A7573" s="3">
        <v>44470</v>
      </c>
      <c r="B7573" s="2" t="s">
        <v>237</v>
      </c>
      <c r="C7573" s="2">
        <v>2.2999999999999998</v>
      </c>
      <c r="D7573" s="2">
        <v>0.27329999999999999</v>
      </c>
      <c r="E7573" s="2">
        <v>6.2858999999999996E-3</v>
      </c>
      <c r="F7573" s="2" t="s">
        <v>174</v>
      </c>
    </row>
    <row r="7574" spans="1:6" ht="22.5" hidden="1" customHeight="1" x14ac:dyDescent="0.25">
      <c r="A7574" s="3">
        <v>44470</v>
      </c>
      <c r="B7574" s="2" t="s">
        <v>238</v>
      </c>
      <c r="C7574" s="2">
        <v>1.64</v>
      </c>
      <c r="D7574" s="2">
        <v>0.49299999999999999</v>
      </c>
      <c r="E7574" s="2">
        <v>8.0852000000000007E-3</v>
      </c>
      <c r="F7574" s="2" t="s">
        <v>174</v>
      </c>
    </row>
    <row r="7575" spans="1:6" ht="22.5" hidden="1" customHeight="1" x14ac:dyDescent="0.25">
      <c r="A7575" s="3">
        <v>44470</v>
      </c>
      <c r="B7575" s="2" t="s">
        <v>239</v>
      </c>
      <c r="C7575" s="2">
        <v>0.04</v>
      </c>
      <c r="D7575" s="2">
        <v>0.108</v>
      </c>
      <c r="E7575" s="2">
        <v>4.32E-5</v>
      </c>
      <c r="F7575" s="2" t="s">
        <v>174</v>
      </c>
    </row>
    <row r="7576" spans="1:6" ht="22.5" hidden="1" customHeight="1" x14ac:dyDescent="0.25">
      <c r="A7576" s="3">
        <v>44470</v>
      </c>
      <c r="B7576" s="2" t="s">
        <v>240</v>
      </c>
      <c r="C7576" s="2">
        <v>2.2200000000000002</v>
      </c>
      <c r="D7576" s="2">
        <v>6.0499999999999998E-2</v>
      </c>
      <c r="E7576" s="2">
        <v>1.3431000000000001E-3</v>
      </c>
      <c r="F7576" s="2" t="s">
        <v>174</v>
      </c>
    </row>
    <row r="7577" spans="1:6" ht="22.5" hidden="1" customHeight="1" x14ac:dyDescent="0.25">
      <c r="A7577" s="3">
        <v>44470</v>
      </c>
      <c r="B7577" s="2" t="s">
        <v>241</v>
      </c>
      <c r="C7577" s="2">
        <v>1.1599999999999999</v>
      </c>
      <c r="D7577" s="2">
        <v>8.5199999999999998E-2</v>
      </c>
      <c r="E7577" s="2">
        <v>9.8832E-4</v>
      </c>
      <c r="F7577" s="2" t="s">
        <v>174</v>
      </c>
    </row>
    <row r="7578" spans="1:6" ht="22.5" hidden="1" customHeight="1" x14ac:dyDescent="0.25">
      <c r="A7578" s="3">
        <v>44470</v>
      </c>
      <c r="B7578" s="2" t="s">
        <v>242</v>
      </c>
      <c r="C7578" s="2">
        <v>0.82</v>
      </c>
      <c r="D7578" s="2">
        <v>7.1099999999999997E-2</v>
      </c>
      <c r="E7578" s="2">
        <v>5.8301999999999996E-4</v>
      </c>
      <c r="F7578" s="2" t="s">
        <v>174</v>
      </c>
    </row>
    <row r="7579" spans="1:6" ht="22.5" hidden="1" customHeight="1" x14ac:dyDescent="0.25">
      <c r="A7579" s="3">
        <v>44470</v>
      </c>
      <c r="B7579" s="2" t="s">
        <v>243</v>
      </c>
      <c r="C7579" s="2">
        <v>-2.4900000000000002</v>
      </c>
      <c r="D7579" s="2">
        <v>7.7000000000000002E-3</v>
      </c>
      <c r="E7579" s="2">
        <v>-1.9173000000000001E-4</v>
      </c>
      <c r="F7579" s="2" t="s">
        <v>174</v>
      </c>
    </row>
    <row r="7580" spans="1:6" ht="22.5" hidden="1" customHeight="1" x14ac:dyDescent="0.25">
      <c r="A7580" s="3">
        <v>44470</v>
      </c>
      <c r="B7580" s="2" t="s">
        <v>244</v>
      </c>
      <c r="C7580" s="2">
        <v>1.88</v>
      </c>
      <c r="D7580" s="2">
        <v>4.8099999999999997E-2</v>
      </c>
      <c r="E7580" s="2">
        <v>9.0428000000000004E-4</v>
      </c>
      <c r="F7580" s="2" t="s">
        <v>174</v>
      </c>
    </row>
    <row r="7581" spans="1:6" ht="22.5" hidden="1" customHeight="1" x14ac:dyDescent="0.25">
      <c r="A7581" s="3">
        <v>44470</v>
      </c>
      <c r="B7581" s="2" t="s">
        <v>245</v>
      </c>
      <c r="C7581" s="2">
        <v>0.98</v>
      </c>
      <c r="D7581" s="2">
        <v>4.87E-2</v>
      </c>
      <c r="E7581" s="2">
        <v>4.7726000000000002E-4</v>
      </c>
      <c r="F7581" s="2" t="s">
        <v>174</v>
      </c>
    </row>
    <row r="7582" spans="1:6" ht="22.5" hidden="1" customHeight="1" x14ac:dyDescent="0.25">
      <c r="A7582" s="3">
        <v>44470</v>
      </c>
      <c r="B7582" s="2" t="s">
        <v>246</v>
      </c>
      <c r="C7582" s="2">
        <v>1.64</v>
      </c>
      <c r="D7582" s="2">
        <v>0.18160000000000001</v>
      </c>
      <c r="E7582" s="2">
        <v>2.9782400000000001E-3</v>
      </c>
      <c r="F7582" s="2" t="s">
        <v>174</v>
      </c>
    </row>
    <row r="7583" spans="1:6" ht="22.5" hidden="1" customHeight="1" x14ac:dyDescent="0.25">
      <c r="A7583" s="3">
        <v>44470</v>
      </c>
      <c r="B7583" s="2" t="s">
        <v>247</v>
      </c>
      <c r="C7583" s="2">
        <v>1.91</v>
      </c>
      <c r="D7583" s="2">
        <v>0.1295</v>
      </c>
      <c r="E7583" s="2">
        <v>2.4734499999999999E-3</v>
      </c>
      <c r="F7583" s="2" t="s">
        <v>174</v>
      </c>
    </row>
    <row r="7584" spans="1:6" ht="22.5" hidden="1" customHeight="1" x14ac:dyDescent="0.25">
      <c r="A7584" s="3">
        <v>44470</v>
      </c>
      <c r="B7584" s="2" t="s">
        <v>248</v>
      </c>
      <c r="C7584" s="2">
        <v>1.22</v>
      </c>
      <c r="D7584" s="2">
        <v>0.14710000000000001</v>
      </c>
      <c r="E7584" s="2">
        <v>1.79462E-3</v>
      </c>
      <c r="F7584" s="2" t="s">
        <v>174</v>
      </c>
    </row>
    <row r="7585" spans="1:6" ht="22.5" hidden="1" customHeight="1" x14ac:dyDescent="0.25">
      <c r="A7585" s="3">
        <v>44470</v>
      </c>
      <c r="B7585" s="2" t="s">
        <v>249</v>
      </c>
      <c r="C7585" s="2">
        <v>0.5</v>
      </c>
      <c r="D7585" s="2">
        <v>0.26050000000000001</v>
      </c>
      <c r="E7585" s="2">
        <v>1.3025000000000001E-3</v>
      </c>
      <c r="F7585" s="2" t="s">
        <v>174</v>
      </c>
    </row>
    <row r="7586" spans="1:6" ht="22.5" hidden="1" customHeight="1" x14ac:dyDescent="0.25">
      <c r="A7586" s="3">
        <v>44470</v>
      </c>
      <c r="B7586" s="2" t="s">
        <v>250</v>
      </c>
      <c r="C7586" s="2">
        <v>1.82</v>
      </c>
      <c r="D7586" s="2">
        <v>2.4799999999999999E-2</v>
      </c>
      <c r="E7586" s="2">
        <v>4.5135999999999999E-4</v>
      </c>
      <c r="F7586" s="2" t="s">
        <v>174</v>
      </c>
    </row>
    <row r="7587" spans="1:6" ht="22.5" hidden="1" customHeight="1" x14ac:dyDescent="0.25">
      <c r="A7587" s="3">
        <v>44470</v>
      </c>
      <c r="B7587" s="2" t="s">
        <v>251</v>
      </c>
      <c r="C7587" s="2">
        <v>1.1399999999999999</v>
      </c>
      <c r="D7587" s="2">
        <v>5.9200000000000003E-2</v>
      </c>
      <c r="E7587" s="2">
        <v>6.7487999999999999E-4</v>
      </c>
      <c r="F7587" s="2" t="s">
        <v>174</v>
      </c>
    </row>
    <row r="7588" spans="1:6" ht="22.5" hidden="1" customHeight="1" x14ac:dyDescent="0.25">
      <c r="A7588" s="3">
        <v>44470</v>
      </c>
      <c r="B7588" s="2" t="s">
        <v>252</v>
      </c>
      <c r="C7588" s="2">
        <v>0.79</v>
      </c>
      <c r="D7588" s="2">
        <v>7.9000000000000008E-3</v>
      </c>
      <c r="E7588" s="2">
        <v>6.2409999999999994E-5</v>
      </c>
      <c r="F7588" s="2" t="s">
        <v>174</v>
      </c>
    </row>
    <row r="7589" spans="1:6" ht="22.5" hidden="1" customHeight="1" x14ac:dyDescent="0.25">
      <c r="A7589" s="3">
        <v>44470</v>
      </c>
      <c r="B7589" s="2" t="s">
        <v>253</v>
      </c>
      <c r="C7589" s="2">
        <v>1.29</v>
      </c>
      <c r="D7589" s="2">
        <v>0.42809999999999998</v>
      </c>
      <c r="E7589" s="2">
        <v>5.5224899999999997E-3</v>
      </c>
      <c r="F7589" s="2" t="s">
        <v>174</v>
      </c>
    </row>
    <row r="7590" spans="1:6" ht="22.5" hidden="1" customHeight="1" x14ac:dyDescent="0.25">
      <c r="A7590" s="3">
        <v>44470</v>
      </c>
      <c r="B7590" s="2" t="s">
        <v>254</v>
      </c>
      <c r="C7590" s="2">
        <v>1.93</v>
      </c>
      <c r="D7590" s="2">
        <v>0.1754</v>
      </c>
      <c r="E7590" s="2">
        <v>3.38522E-3</v>
      </c>
      <c r="F7590" s="2" t="s">
        <v>174</v>
      </c>
    </row>
    <row r="7591" spans="1:6" ht="22.5" hidden="1" customHeight="1" x14ac:dyDescent="0.25">
      <c r="A7591" s="3">
        <v>44470</v>
      </c>
      <c r="B7591" s="2" t="s">
        <v>255</v>
      </c>
      <c r="C7591" s="2">
        <v>3.08</v>
      </c>
      <c r="D7591" s="2">
        <v>1.61E-2</v>
      </c>
      <c r="E7591" s="2">
        <v>4.9587999999999998E-4</v>
      </c>
      <c r="F7591" s="2" t="s">
        <v>170</v>
      </c>
    </row>
    <row r="7592" spans="1:6" ht="22.5" hidden="1" customHeight="1" x14ac:dyDescent="0.25">
      <c r="A7592" s="3">
        <v>44470</v>
      </c>
      <c r="B7592" s="2" t="s">
        <v>256</v>
      </c>
      <c r="C7592" s="2">
        <v>1.58</v>
      </c>
      <c r="D7592" s="2">
        <v>0.14829999999999999</v>
      </c>
      <c r="E7592" s="2">
        <v>2.3431400000000001E-3</v>
      </c>
      <c r="F7592" s="2" t="s">
        <v>170</v>
      </c>
    </row>
    <row r="7593" spans="1:6" ht="22.5" hidden="1" customHeight="1" x14ac:dyDescent="0.25">
      <c r="A7593" s="3">
        <v>44470</v>
      </c>
      <c r="B7593" s="2" t="s">
        <v>257</v>
      </c>
      <c r="C7593" s="2">
        <v>0.65</v>
      </c>
      <c r="D7593" s="2">
        <v>5.11E-2</v>
      </c>
      <c r="E7593" s="2">
        <v>3.3215000000000002E-4</v>
      </c>
      <c r="F7593" s="2" t="s">
        <v>170</v>
      </c>
    </row>
    <row r="7594" spans="1:6" ht="22.5" hidden="1" customHeight="1" x14ac:dyDescent="0.25">
      <c r="A7594" s="3">
        <v>44470</v>
      </c>
      <c r="B7594" s="2" t="s">
        <v>258</v>
      </c>
      <c r="C7594" s="2">
        <v>0.84</v>
      </c>
      <c r="D7594" s="2">
        <v>4.58E-2</v>
      </c>
      <c r="E7594" s="2">
        <v>3.8472000000000002E-4</v>
      </c>
      <c r="F7594" s="2" t="s">
        <v>174</v>
      </c>
    </row>
    <row r="7595" spans="1:6" ht="22.5" hidden="1" customHeight="1" x14ac:dyDescent="0.25">
      <c r="A7595" s="3">
        <v>44470</v>
      </c>
      <c r="B7595" s="2" t="s">
        <v>259</v>
      </c>
      <c r="C7595" s="2">
        <v>-0.34</v>
      </c>
      <c r="D7595" s="2">
        <v>0.01</v>
      </c>
      <c r="E7595" s="2">
        <v>-3.4E-5</v>
      </c>
      <c r="F7595" s="2" t="s">
        <v>174</v>
      </c>
    </row>
    <row r="7596" spans="1:6" ht="22.5" hidden="1" customHeight="1" x14ac:dyDescent="0.25">
      <c r="A7596" s="3">
        <v>44105</v>
      </c>
      <c r="B7596" s="2" t="s">
        <v>297</v>
      </c>
      <c r="C7596" s="2">
        <v>-0.24</v>
      </c>
      <c r="D7596" s="2">
        <v>0.30470000000000003</v>
      </c>
      <c r="E7596" s="2">
        <v>-7.3127999999999995E-4</v>
      </c>
      <c r="F7596" s="2" t="s">
        <v>168</v>
      </c>
    </row>
    <row r="7597" spans="1:6" ht="22.5" hidden="1" customHeight="1" x14ac:dyDescent="0.25">
      <c r="A7597" s="3">
        <v>44075</v>
      </c>
      <c r="B7597" s="2" t="s">
        <v>291</v>
      </c>
      <c r="C7597" s="2">
        <v>-0.39</v>
      </c>
      <c r="D7597" s="2">
        <v>0.19500000000000001</v>
      </c>
      <c r="E7597" s="2">
        <v>-7.605E-4</v>
      </c>
      <c r="F7597" s="2" t="s">
        <v>168</v>
      </c>
    </row>
    <row r="7598" spans="1:6" ht="22.5" hidden="1" customHeight="1" x14ac:dyDescent="0.25">
      <c r="A7598" s="3">
        <v>43983</v>
      </c>
      <c r="B7598" s="2" t="s">
        <v>261</v>
      </c>
      <c r="C7598" s="2">
        <v>-0.38</v>
      </c>
      <c r="D7598" s="2">
        <v>0.2021</v>
      </c>
      <c r="E7598" s="2">
        <v>-7.6798000000000003E-4</v>
      </c>
      <c r="F7598" s="2" t="s">
        <v>168</v>
      </c>
    </row>
    <row r="7599" spans="1:6" ht="22.5" hidden="1" customHeight="1" x14ac:dyDescent="0.25">
      <c r="A7599" s="3">
        <v>43952</v>
      </c>
      <c r="B7599" s="2" t="s">
        <v>287</v>
      </c>
      <c r="C7599" s="2">
        <v>-1.21</v>
      </c>
      <c r="D7599" s="2">
        <v>6.4199999999999993E-2</v>
      </c>
      <c r="E7599" s="2">
        <v>-7.7682000000000001E-4</v>
      </c>
      <c r="F7599" s="2" t="s">
        <v>168</v>
      </c>
    </row>
    <row r="7600" spans="1:6" ht="22.5" hidden="1" customHeight="1" x14ac:dyDescent="0.25">
      <c r="A7600" s="3">
        <v>44470</v>
      </c>
      <c r="B7600" s="2" t="s">
        <v>300</v>
      </c>
      <c r="C7600" s="2">
        <v>-0.46</v>
      </c>
      <c r="D7600" s="2">
        <v>0.17349999999999999</v>
      </c>
      <c r="E7600" s="2">
        <v>-7.9810000000000005E-4</v>
      </c>
      <c r="F7600" s="2" t="s">
        <v>168</v>
      </c>
    </row>
    <row r="7601" spans="1:6" ht="22.5" hidden="1" customHeight="1" x14ac:dyDescent="0.25">
      <c r="A7601" s="3">
        <v>43862</v>
      </c>
      <c r="B7601" s="2" t="s">
        <v>288</v>
      </c>
      <c r="C7601" s="2">
        <v>-0.32</v>
      </c>
      <c r="D7601" s="2">
        <v>0.25090000000000001</v>
      </c>
      <c r="E7601" s="2">
        <v>-8.0287999999999996E-4</v>
      </c>
      <c r="F7601" s="2" t="s">
        <v>168</v>
      </c>
    </row>
    <row r="7602" spans="1:6" ht="22.5" hidden="1" customHeight="1" x14ac:dyDescent="0.25">
      <c r="A7602" s="3">
        <v>44378</v>
      </c>
      <c r="B7602" s="2" t="s">
        <v>264</v>
      </c>
      <c r="C7602" s="2">
        <v>-0.83</v>
      </c>
      <c r="D7602" s="2">
        <v>9.8599999999999993E-2</v>
      </c>
      <c r="E7602" s="2">
        <v>-8.1837999999999995E-4</v>
      </c>
      <c r="F7602" s="2" t="s">
        <v>168</v>
      </c>
    </row>
    <row r="7603" spans="1:6" ht="22.5" hidden="1" customHeight="1" x14ac:dyDescent="0.25">
      <c r="A7603" s="3">
        <v>44470</v>
      </c>
      <c r="B7603" s="2" t="s">
        <v>267</v>
      </c>
      <c r="C7603" s="2">
        <v>-0.21</v>
      </c>
      <c r="D7603" s="2">
        <v>0.1222</v>
      </c>
      <c r="E7603" s="2">
        <v>-2.5661999999999999E-4</v>
      </c>
      <c r="F7603" s="2" t="s">
        <v>165</v>
      </c>
    </row>
    <row r="7604" spans="1:6" ht="22.5" hidden="1" customHeight="1" x14ac:dyDescent="0.25">
      <c r="A7604" s="3">
        <v>44470</v>
      </c>
      <c r="B7604" s="2" t="s">
        <v>268</v>
      </c>
      <c r="C7604" s="2">
        <v>11.6</v>
      </c>
      <c r="D7604" s="2">
        <v>0.16980000000000001</v>
      </c>
      <c r="E7604" s="2">
        <v>1.96968E-2</v>
      </c>
      <c r="F7604" s="2" t="s">
        <v>165</v>
      </c>
    </row>
    <row r="7605" spans="1:6" ht="22.5" hidden="1" customHeight="1" x14ac:dyDescent="0.25">
      <c r="A7605" s="3">
        <v>44470</v>
      </c>
      <c r="B7605" s="2" t="s">
        <v>269</v>
      </c>
      <c r="C7605" s="2">
        <v>0</v>
      </c>
      <c r="D7605" s="2">
        <v>6.3899999999999998E-2</v>
      </c>
      <c r="E7605" s="2">
        <v>0</v>
      </c>
      <c r="F7605" s="2" t="s">
        <v>165</v>
      </c>
    </row>
    <row r="7606" spans="1:6" ht="22.5" hidden="1" customHeight="1" x14ac:dyDescent="0.25">
      <c r="A7606" s="3">
        <v>44470</v>
      </c>
      <c r="B7606" s="2" t="s">
        <v>270</v>
      </c>
      <c r="C7606" s="2">
        <v>1.64</v>
      </c>
      <c r="D7606" s="2">
        <v>2.9847999999999999</v>
      </c>
      <c r="E7606" s="2">
        <v>4.8950720000000003E-2</v>
      </c>
      <c r="F7606" s="2" t="s">
        <v>170</v>
      </c>
    </row>
    <row r="7607" spans="1:6" ht="22.5" hidden="1" customHeight="1" x14ac:dyDescent="0.25">
      <c r="A7607" s="3">
        <v>44197</v>
      </c>
      <c r="B7607" s="2" t="s">
        <v>296</v>
      </c>
      <c r="C7607" s="2">
        <v>-0.43</v>
      </c>
      <c r="D7607" s="2">
        <v>0.1913</v>
      </c>
      <c r="E7607" s="2">
        <v>-8.2259E-4</v>
      </c>
      <c r="F7607" s="2" t="s">
        <v>168</v>
      </c>
    </row>
    <row r="7608" spans="1:6" ht="22.5" hidden="1" customHeight="1" x14ac:dyDescent="0.25">
      <c r="A7608" s="3">
        <v>44470</v>
      </c>
      <c r="B7608" s="2" t="s">
        <v>272</v>
      </c>
      <c r="C7608" s="2">
        <v>1.83</v>
      </c>
      <c r="D7608" s="2">
        <v>0.70950000000000002</v>
      </c>
      <c r="E7608" s="2">
        <v>1.298385E-2</v>
      </c>
      <c r="F7608" s="2" t="s">
        <v>165</v>
      </c>
    </row>
    <row r="7609" spans="1:6" ht="22.5" hidden="1" customHeight="1" x14ac:dyDescent="0.25">
      <c r="A7609" s="3">
        <v>44136</v>
      </c>
      <c r="B7609" s="2" t="s">
        <v>291</v>
      </c>
      <c r="C7609" s="2">
        <v>-0.43</v>
      </c>
      <c r="D7609" s="2">
        <v>0.192</v>
      </c>
      <c r="E7609" s="2">
        <v>-8.2560000000000001E-4</v>
      </c>
      <c r="F7609" s="2" t="s">
        <v>168</v>
      </c>
    </row>
    <row r="7610" spans="1:6" ht="22.5" hidden="1" customHeight="1" x14ac:dyDescent="0.25">
      <c r="A7610" s="3">
        <v>44470</v>
      </c>
      <c r="B7610" s="2" t="s">
        <v>274</v>
      </c>
      <c r="C7610" s="2">
        <v>1.36</v>
      </c>
      <c r="D7610" s="2">
        <v>0.13700000000000001</v>
      </c>
      <c r="E7610" s="2">
        <v>1.8632E-3</v>
      </c>
      <c r="F7610" s="2" t="s">
        <v>170</v>
      </c>
    </row>
    <row r="7611" spans="1:6" ht="22.5" hidden="1" customHeight="1" x14ac:dyDescent="0.25">
      <c r="A7611" s="3">
        <v>44470</v>
      </c>
      <c r="B7611" s="2" t="s">
        <v>275</v>
      </c>
      <c r="C7611" s="2">
        <v>7.0000000000000007E-2</v>
      </c>
      <c r="D7611" s="2">
        <v>0.1741</v>
      </c>
      <c r="E7611" s="2">
        <v>1.2187E-4</v>
      </c>
      <c r="F7611" s="2" t="s">
        <v>170</v>
      </c>
    </row>
    <row r="7612" spans="1:6" ht="22.5" hidden="1" customHeight="1" x14ac:dyDescent="0.25">
      <c r="A7612" s="3">
        <v>44470</v>
      </c>
      <c r="B7612" s="2" t="s">
        <v>276</v>
      </c>
      <c r="C7612" s="2">
        <v>1.71</v>
      </c>
      <c r="D7612" s="2">
        <v>0.24909999999999999</v>
      </c>
      <c r="E7612" s="2">
        <v>4.2596099999999996E-3</v>
      </c>
      <c r="F7612" s="2" t="s">
        <v>170</v>
      </c>
    </row>
    <row r="7613" spans="1:6" ht="22.5" hidden="1" customHeight="1" x14ac:dyDescent="0.25">
      <c r="A7613" s="3">
        <v>44470</v>
      </c>
      <c r="B7613" s="2" t="s">
        <v>277</v>
      </c>
      <c r="C7613" s="2">
        <v>-0.35</v>
      </c>
      <c r="D7613" s="2">
        <v>1.6287</v>
      </c>
      <c r="E7613" s="2">
        <v>-5.7004500000000001E-3</v>
      </c>
      <c r="F7613" s="2" t="s">
        <v>165</v>
      </c>
    </row>
    <row r="7614" spans="1:6" ht="22.5" hidden="1" customHeight="1" x14ac:dyDescent="0.25">
      <c r="A7614" s="3">
        <v>44470</v>
      </c>
      <c r="B7614" s="2" t="s">
        <v>278</v>
      </c>
      <c r="C7614" s="2">
        <v>-0.09</v>
      </c>
      <c r="D7614" s="2">
        <v>6.5799999999999997E-2</v>
      </c>
      <c r="E7614" s="2">
        <v>-5.9219999999999999E-5</v>
      </c>
      <c r="F7614" s="2" t="s">
        <v>165</v>
      </c>
    </row>
    <row r="7615" spans="1:6" ht="22.5" hidden="1" customHeight="1" x14ac:dyDescent="0.25">
      <c r="A7615" s="3">
        <v>43983</v>
      </c>
      <c r="B7615" s="2" t="s">
        <v>289</v>
      </c>
      <c r="C7615" s="2">
        <v>-0.15</v>
      </c>
      <c r="D7615" s="2">
        <v>0.55159999999999998</v>
      </c>
      <c r="E7615" s="2">
        <v>-8.2740000000000005E-4</v>
      </c>
      <c r="F7615" s="2" t="s">
        <v>168</v>
      </c>
    </row>
    <row r="7616" spans="1:6" ht="22.5" hidden="1" customHeight="1" x14ac:dyDescent="0.25">
      <c r="A7616" s="3">
        <v>44470</v>
      </c>
      <c r="B7616" s="2" t="s">
        <v>280</v>
      </c>
      <c r="C7616" s="2">
        <v>1.56</v>
      </c>
      <c r="D7616" s="2">
        <v>1.9174</v>
      </c>
      <c r="E7616" s="2">
        <v>2.9911440000000001E-2</v>
      </c>
      <c r="F7616" s="2" t="s">
        <v>170</v>
      </c>
    </row>
    <row r="7617" spans="1:6" ht="22.5" hidden="1" customHeight="1" x14ac:dyDescent="0.25">
      <c r="A7617" s="3">
        <v>44470</v>
      </c>
      <c r="B7617" s="2" t="s">
        <v>281</v>
      </c>
      <c r="C7617" s="2">
        <v>-0.11</v>
      </c>
      <c r="D7617" s="2">
        <v>1.6299999999999999E-2</v>
      </c>
      <c r="E7617" s="2">
        <v>-1.7929999999999999E-5</v>
      </c>
      <c r="F7617" s="2" t="s">
        <v>165</v>
      </c>
    </row>
    <row r="7618" spans="1:6" ht="22.5" hidden="1" customHeight="1" x14ac:dyDescent="0.25">
      <c r="A7618" s="3">
        <v>44470</v>
      </c>
      <c r="B7618" s="2" t="s">
        <v>282</v>
      </c>
      <c r="C7618" s="2">
        <v>1.22</v>
      </c>
      <c r="D7618" s="2">
        <v>2.5499999999999998E-2</v>
      </c>
      <c r="E7618" s="2">
        <v>3.1110000000000003E-4</v>
      </c>
      <c r="F7618" s="2" t="s">
        <v>165</v>
      </c>
    </row>
    <row r="7619" spans="1:6" ht="22.5" hidden="1" customHeight="1" x14ac:dyDescent="0.25">
      <c r="A7619" s="3">
        <v>44470</v>
      </c>
      <c r="B7619" s="2" t="s">
        <v>283</v>
      </c>
      <c r="C7619" s="2">
        <v>1.27</v>
      </c>
      <c r="D7619" s="2">
        <v>0.56810000000000005</v>
      </c>
      <c r="E7619" s="2">
        <v>7.21487E-3</v>
      </c>
      <c r="F7619" s="2" t="s">
        <v>170</v>
      </c>
    </row>
    <row r="7620" spans="1:6" ht="22.5" hidden="1" customHeight="1" x14ac:dyDescent="0.25">
      <c r="A7620" s="3">
        <v>44105</v>
      </c>
      <c r="B7620" s="2" t="s">
        <v>287</v>
      </c>
      <c r="C7620" s="2">
        <v>-1.36</v>
      </c>
      <c r="D7620" s="2">
        <v>6.25E-2</v>
      </c>
      <c r="E7620" s="2">
        <v>-8.4999999999999995E-4</v>
      </c>
      <c r="F7620" s="2" t="s">
        <v>168</v>
      </c>
    </row>
    <row r="7621" spans="1:6" ht="22.5" hidden="1" customHeight="1" x14ac:dyDescent="0.25">
      <c r="A7621" s="3">
        <v>44166</v>
      </c>
      <c r="B7621" s="2" t="s">
        <v>291</v>
      </c>
      <c r="C7621" s="2">
        <v>-0.45</v>
      </c>
      <c r="D7621" s="2">
        <v>0.18959999999999999</v>
      </c>
      <c r="E7621" s="2">
        <v>-8.5320000000000003E-4</v>
      </c>
      <c r="F7621" s="2" t="s">
        <v>168</v>
      </c>
    </row>
    <row r="7622" spans="1:6" ht="22.5" hidden="1" customHeight="1" x14ac:dyDescent="0.25">
      <c r="A7622" s="3">
        <v>44105</v>
      </c>
      <c r="B7622" s="2" t="s">
        <v>294</v>
      </c>
      <c r="C7622" s="2">
        <v>-0.64</v>
      </c>
      <c r="D7622" s="2">
        <v>0.13650000000000001</v>
      </c>
      <c r="E7622" s="2">
        <v>-8.7359999999999998E-4</v>
      </c>
      <c r="F7622" s="2" t="s">
        <v>168</v>
      </c>
    </row>
    <row r="7623" spans="1:6" ht="22.5" hidden="1" customHeight="1" x14ac:dyDescent="0.25">
      <c r="A7623" s="3">
        <v>44044</v>
      </c>
      <c r="B7623" s="2" t="s">
        <v>196</v>
      </c>
      <c r="C7623" s="2">
        <v>-0.66</v>
      </c>
      <c r="D7623" s="2">
        <v>0.13739999999999999</v>
      </c>
      <c r="E7623" s="2">
        <v>-9.0684000000000001E-4</v>
      </c>
      <c r="F7623" s="2" t="s">
        <v>168</v>
      </c>
    </row>
    <row r="7624" spans="1:6" ht="22.5" hidden="1" customHeight="1" x14ac:dyDescent="0.25">
      <c r="A7624" s="3">
        <v>44105</v>
      </c>
      <c r="B7624" s="2" t="s">
        <v>290</v>
      </c>
      <c r="C7624" s="2">
        <v>-0.59</v>
      </c>
      <c r="D7624" s="2">
        <v>0.15559999999999999</v>
      </c>
      <c r="E7624" s="2">
        <v>-9.1803999999999996E-4</v>
      </c>
      <c r="F7624" s="2" t="s">
        <v>168</v>
      </c>
    </row>
    <row r="7625" spans="1:6" ht="22.5" hidden="1" customHeight="1" x14ac:dyDescent="0.25">
      <c r="A7625" s="3">
        <v>44256</v>
      </c>
      <c r="B7625" s="2" t="s">
        <v>298</v>
      </c>
      <c r="C7625" s="2">
        <v>-0.16</v>
      </c>
      <c r="D7625" s="2">
        <v>0.59360000000000002</v>
      </c>
      <c r="E7625" s="2">
        <v>-9.4976000000000001E-4</v>
      </c>
      <c r="F7625" s="2" t="s">
        <v>168</v>
      </c>
    </row>
    <row r="7626" spans="1:6" ht="22.5" hidden="1" customHeight="1" x14ac:dyDescent="0.25">
      <c r="A7626" s="3">
        <v>44044</v>
      </c>
      <c r="B7626" s="2" t="s">
        <v>263</v>
      </c>
      <c r="C7626" s="2">
        <v>-0.22</v>
      </c>
      <c r="D7626" s="2">
        <v>0.44169999999999998</v>
      </c>
      <c r="E7626" s="2">
        <v>-9.7174000000000002E-4</v>
      </c>
      <c r="F7626" s="2" t="s">
        <v>168</v>
      </c>
    </row>
    <row r="7627" spans="1:6" ht="22.5" hidden="1" customHeight="1" x14ac:dyDescent="0.25">
      <c r="A7627" s="3">
        <v>44256</v>
      </c>
      <c r="B7627" s="2" t="s">
        <v>295</v>
      </c>
      <c r="C7627" s="2">
        <v>-0.45</v>
      </c>
      <c r="D7627" s="2">
        <v>0.219</v>
      </c>
      <c r="E7627" s="2">
        <v>-9.8550000000000005E-4</v>
      </c>
      <c r="F7627" s="2" t="s">
        <v>168</v>
      </c>
    </row>
    <row r="7628" spans="1:6" ht="22.5" hidden="1" customHeight="1" x14ac:dyDescent="0.25">
      <c r="A7628" s="3">
        <v>44470</v>
      </c>
      <c r="B7628" s="2" t="s">
        <v>295</v>
      </c>
      <c r="C7628" s="2">
        <v>-0.46</v>
      </c>
      <c r="D7628" s="2">
        <v>0.21479999999999999</v>
      </c>
      <c r="E7628" s="2">
        <v>-9.880799999999999E-4</v>
      </c>
      <c r="F7628" s="2" t="s">
        <v>168</v>
      </c>
    </row>
    <row r="7629" spans="1:6" ht="22.5" hidden="1" customHeight="1" x14ac:dyDescent="0.25">
      <c r="A7629" s="3">
        <v>44378</v>
      </c>
      <c r="B7629" s="2" t="s">
        <v>299</v>
      </c>
      <c r="C7629" s="2">
        <v>-1.0900000000000001</v>
      </c>
      <c r="D7629" s="2">
        <v>9.1899999999999996E-2</v>
      </c>
      <c r="E7629" s="2">
        <v>-1.0017100000000001E-3</v>
      </c>
      <c r="F7629" s="2" t="s">
        <v>168</v>
      </c>
    </row>
    <row r="7630" spans="1:6" ht="22.5" hidden="1" customHeight="1" x14ac:dyDescent="0.25">
      <c r="A7630" s="3">
        <v>44256</v>
      </c>
      <c r="B7630" s="2" t="s">
        <v>264</v>
      </c>
      <c r="C7630" s="2">
        <v>-0.97</v>
      </c>
      <c r="D7630" s="2">
        <v>0.1043</v>
      </c>
      <c r="E7630" s="2">
        <v>-1.0117100000000001E-3</v>
      </c>
      <c r="F7630" s="2" t="s">
        <v>168</v>
      </c>
    </row>
    <row r="7631" spans="1:6" ht="22.5" hidden="1" customHeight="1" x14ac:dyDescent="0.25">
      <c r="A7631" s="3">
        <v>44075</v>
      </c>
      <c r="B7631" s="2" t="s">
        <v>290</v>
      </c>
      <c r="C7631" s="2">
        <v>-0.66</v>
      </c>
      <c r="D7631" s="2">
        <v>0.1573</v>
      </c>
      <c r="E7631" s="2">
        <v>-1.0381800000000001E-3</v>
      </c>
      <c r="F7631" s="2" t="s">
        <v>168</v>
      </c>
    </row>
    <row r="7632" spans="1:6" ht="22.5" hidden="1" customHeight="1" x14ac:dyDescent="0.25">
      <c r="A7632" s="3">
        <v>44136</v>
      </c>
      <c r="B7632" s="2" t="s">
        <v>293</v>
      </c>
      <c r="C7632" s="2">
        <v>-0.61</v>
      </c>
      <c r="D7632" s="2">
        <v>0.1709</v>
      </c>
      <c r="E7632" s="2">
        <v>-1.0424900000000001E-3</v>
      </c>
      <c r="F7632" s="2" t="s">
        <v>168</v>
      </c>
    </row>
    <row r="7633" spans="1:6" ht="22.5" hidden="1" customHeight="1" x14ac:dyDescent="0.25">
      <c r="A7633" s="3">
        <v>44013</v>
      </c>
      <c r="B7633" s="2" t="s">
        <v>288</v>
      </c>
      <c r="C7633" s="2">
        <v>-0.44</v>
      </c>
      <c r="D7633" s="2">
        <v>0.23910000000000001</v>
      </c>
      <c r="E7633" s="2">
        <v>-1.05204E-3</v>
      </c>
      <c r="F7633" s="2" t="s">
        <v>168</v>
      </c>
    </row>
    <row r="7634" spans="1:6" ht="22.5" hidden="1" customHeight="1" x14ac:dyDescent="0.25">
      <c r="A7634" s="3">
        <v>44593</v>
      </c>
      <c r="B7634" s="2" t="s">
        <v>366</v>
      </c>
      <c r="C7634" s="2">
        <v>-0.4</v>
      </c>
      <c r="D7634" s="2">
        <v>0.26379999999999998</v>
      </c>
      <c r="E7634" s="2">
        <v>-1.0552000000000001E-3</v>
      </c>
      <c r="F7634" s="2" t="s">
        <v>168</v>
      </c>
    </row>
    <row r="7635" spans="1:6" ht="22.5" hidden="1" customHeight="1" x14ac:dyDescent="0.25">
      <c r="A7635" s="3">
        <v>44440</v>
      </c>
      <c r="B7635" s="2" t="s">
        <v>290</v>
      </c>
      <c r="C7635" s="2">
        <v>-0.72</v>
      </c>
      <c r="D7635" s="2">
        <v>0.15040000000000001</v>
      </c>
      <c r="E7635" s="2">
        <v>-1.08288E-3</v>
      </c>
      <c r="F7635" s="2" t="s">
        <v>168</v>
      </c>
    </row>
    <row r="7636" spans="1:6" ht="22.5" hidden="1" customHeight="1" x14ac:dyDescent="0.25">
      <c r="A7636" s="3">
        <v>44256</v>
      </c>
      <c r="B7636" s="2" t="s">
        <v>290</v>
      </c>
      <c r="C7636" s="2">
        <v>-0.74</v>
      </c>
      <c r="D7636" s="2">
        <v>0.1467</v>
      </c>
      <c r="E7636" s="2">
        <v>-1.0855800000000001E-3</v>
      </c>
      <c r="F7636" s="2" t="s">
        <v>168</v>
      </c>
    </row>
    <row r="7637" spans="1:6" ht="22.5" hidden="1" customHeight="1" x14ac:dyDescent="0.25">
      <c r="A7637" s="3">
        <v>44013</v>
      </c>
      <c r="B7637" s="2" t="s">
        <v>264</v>
      </c>
      <c r="C7637" s="2">
        <v>-0.95</v>
      </c>
      <c r="D7637" s="2">
        <v>0.11890000000000001</v>
      </c>
      <c r="E7637" s="2">
        <v>-1.12955E-3</v>
      </c>
      <c r="F7637" s="2" t="s">
        <v>168</v>
      </c>
    </row>
    <row r="7638" spans="1:6" ht="22.5" hidden="1" customHeight="1" x14ac:dyDescent="0.25">
      <c r="A7638" s="3">
        <v>44470</v>
      </c>
      <c r="B7638" s="2" t="s">
        <v>302</v>
      </c>
      <c r="C7638" s="2">
        <v>1.07</v>
      </c>
      <c r="D7638" s="2">
        <v>0.26469999999999999</v>
      </c>
      <c r="E7638" s="2">
        <v>2.8322899999999999E-3</v>
      </c>
      <c r="F7638" s="2" t="s">
        <v>170</v>
      </c>
    </row>
    <row r="7639" spans="1:6" ht="22.5" hidden="1" customHeight="1" x14ac:dyDescent="0.25">
      <c r="A7639" s="3">
        <v>44470</v>
      </c>
      <c r="B7639" s="2" t="s">
        <v>303</v>
      </c>
      <c r="C7639" s="2">
        <v>0.14000000000000001</v>
      </c>
      <c r="D7639" s="2">
        <v>0.52259999999999995</v>
      </c>
      <c r="E7639" s="2">
        <v>7.3163999999999998E-4</v>
      </c>
      <c r="F7639" s="2" t="s">
        <v>165</v>
      </c>
    </row>
    <row r="7640" spans="1:6" ht="22.5" hidden="1" customHeight="1" x14ac:dyDescent="0.25">
      <c r="A7640" s="3">
        <v>44470</v>
      </c>
      <c r="B7640" s="2" t="s">
        <v>304</v>
      </c>
      <c r="C7640" s="2">
        <v>0.53</v>
      </c>
      <c r="D7640" s="2">
        <v>0.50849999999999995</v>
      </c>
      <c r="E7640" s="2">
        <v>2.69505E-3</v>
      </c>
      <c r="F7640" s="2" t="s">
        <v>165</v>
      </c>
    </row>
    <row r="7641" spans="1:6" ht="22.5" hidden="1" customHeight="1" x14ac:dyDescent="0.25">
      <c r="A7641" s="3">
        <v>44470</v>
      </c>
      <c r="B7641" s="2" t="s">
        <v>305</v>
      </c>
      <c r="C7641" s="2">
        <v>-0.08</v>
      </c>
      <c r="D7641" s="2">
        <v>1.7899999999999999E-2</v>
      </c>
      <c r="E7641" s="2">
        <v>-1.432E-5</v>
      </c>
      <c r="F7641" s="2" t="s">
        <v>170</v>
      </c>
    </row>
    <row r="7642" spans="1:6" ht="22.5" hidden="1" customHeight="1" x14ac:dyDescent="0.25">
      <c r="A7642" s="3">
        <v>44470</v>
      </c>
      <c r="B7642" s="2" t="s">
        <v>306</v>
      </c>
      <c r="C7642" s="2">
        <v>0</v>
      </c>
      <c r="D7642" s="2">
        <v>4.6899999999999997E-2</v>
      </c>
      <c r="E7642" s="2">
        <v>0</v>
      </c>
      <c r="F7642" s="2" t="s">
        <v>165</v>
      </c>
    </row>
    <row r="7643" spans="1:6" ht="22.5" hidden="1" customHeight="1" x14ac:dyDescent="0.25">
      <c r="A7643" s="3">
        <v>44470</v>
      </c>
      <c r="B7643" s="2" t="s">
        <v>307</v>
      </c>
      <c r="C7643" s="2">
        <v>0.51</v>
      </c>
      <c r="D7643" s="2">
        <v>0.1047</v>
      </c>
      <c r="E7643" s="2">
        <v>5.3397000000000004E-4</v>
      </c>
      <c r="F7643" s="2" t="s">
        <v>165</v>
      </c>
    </row>
    <row r="7644" spans="1:6" ht="22.5" hidden="1" customHeight="1" x14ac:dyDescent="0.25">
      <c r="A7644" s="3">
        <v>44470</v>
      </c>
      <c r="B7644" s="2" t="s">
        <v>308</v>
      </c>
      <c r="C7644" s="2">
        <v>0.88</v>
      </c>
      <c r="D7644" s="2">
        <v>0.35749999999999998</v>
      </c>
      <c r="E7644" s="2">
        <v>3.1459999999999999E-3</v>
      </c>
      <c r="F7644" s="2" t="s">
        <v>165</v>
      </c>
    </row>
    <row r="7645" spans="1:6" ht="22.5" hidden="1" customHeight="1" x14ac:dyDescent="0.25">
      <c r="A7645" s="3">
        <v>44470</v>
      </c>
      <c r="B7645" s="2" t="s">
        <v>309</v>
      </c>
      <c r="C7645" s="2">
        <v>0.3</v>
      </c>
      <c r="D7645" s="2">
        <v>0.1258</v>
      </c>
      <c r="E7645" s="2">
        <v>3.7740000000000001E-4</v>
      </c>
      <c r="F7645" s="2" t="s">
        <v>165</v>
      </c>
    </row>
    <row r="7646" spans="1:6" ht="22.5" hidden="1" customHeight="1" x14ac:dyDescent="0.25">
      <c r="A7646" s="3">
        <v>44197</v>
      </c>
      <c r="B7646" s="2" t="s">
        <v>289</v>
      </c>
      <c r="C7646" s="2">
        <v>-0.21</v>
      </c>
      <c r="D7646" s="2">
        <v>0.54339999999999999</v>
      </c>
      <c r="E7646" s="2">
        <v>-1.1411399999999999E-3</v>
      </c>
      <c r="F7646" s="2" t="s">
        <v>168</v>
      </c>
    </row>
    <row r="7647" spans="1:6" ht="22.5" hidden="1" customHeight="1" x14ac:dyDescent="0.25">
      <c r="A7647" s="3">
        <v>44470</v>
      </c>
      <c r="B7647" s="2" t="s">
        <v>311</v>
      </c>
      <c r="C7647" s="2">
        <v>-0.63</v>
      </c>
      <c r="D7647" s="2">
        <v>0.58509999999999995</v>
      </c>
      <c r="E7647" s="2">
        <v>-3.6861300000000001E-3</v>
      </c>
      <c r="F7647" s="2" t="s">
        <v>174</v>
      </c>
    </row>
    <row r="7648" spans="1:6" ht="22.5" hidden="1" customHeight="1" x14ac:dyDescent="0.25">
      <c r="A7648" s="3">
        <v>44470</v>
      </c>
      <c r="B7648" s="2" t="s">
        <v>312</v>
      </c>
      <c r="C7648" s="2">
        <v>1.56</v>
      </c>
      <c r="D7648" s="2">
        <v>0.20449999999999999</v>
      </c>
      <c r="E7648" s="2">
        <v>3.1901999999999998E-3</v>
      </c>
      <c r="F7648" s="2" t="s">
        <v>174</v>
      </c>
    </row>
    <row r="7649" spans="1:6" ht="22.5" hidden="1" customHeight="1" x14ac:dyDescent="0.25">
      <c r="A7649" s="3">
        <v>44470</v>
      </c>
      <c r="B7649" s="2" t="s">
        <v>313</v>
      </c>
      <c r="C7649" s="2">
        <v>0.17</v>
      </c>
      <c r="D7649" s="2">
        <v>0.12479999999999999</v>
      </c>
      <c r="E7649" s="2">
        <v>2.1216E-4</v>
      </c>
      <c r="F7649" s="2" t="s">
        <v>174</v>
      </c>
    </row>
    <row r="7650" spans="1:6" ht="22.5" hidden="1" customHeight="1" x14ac:dyDescent="0.25">
      <c r="A7650" s="3">
        <v>44470</v>
      </c>
      <c r="B7650" s="2" t="s">
        <v>314</v>
      </c>
      <c r="C7650" s="2">
        <v>-4.46</v>
      </c>
      <c r="D7650" s="2">
        <v>0.3876</v>
      </c>
      <c r="E7650" s="2">
        <v>-1.7286960000000001E-2</v>
      </c>
      <c r="F7650" s="2" t="s">
        <v>174</v>
      </c>
    </row>
    <row r="7651" spans="1:6" ht="22.5" hidden="1" customHeight="1" x14ac:dyDescent="0.25">
      <c r="A7651" s="3">
        <v>44470</v>
      </c>
      <c r="B7651" s="2" t="s">
        <v>315</v>
      </c>
      <c r="C7651" s="2">
        <v>1.26</v>
      </c>
      <c r="D7651" s="2">
        <v>0.25990000000000002</v>
      </c>
      <c r="E7651" s="2">
        <v>3.2747399999999999E-3</v>
      </c>
      <c r="F7651" s="2" t="s">
        <v>174</v>
      </c>
    </row>
    <row r="7652" spans="1:6" ht="22.5" hidden="1" customHeight="1" x14ac:dyDescent="0.25">
      <c r="A7652" s="3">
        <v>44470</v>
      </c>
      <c r="B7652" s="2" t="s">
        <v>316</v>
      </c>
      <c r="C7652" s="2">
        <v>-1.56</v>
      </c>
      <c r="D7652" s="2">
        <v>3.7000000000000002E-3</v>
      </c>
      <c r="E7652" s="2">
        <v>-5.7720000000000003E-5</v>
      </c>
      <c r="F7652" s="2" t="s">
        <v>174</v>
      </c>
    </row>
    <row r="7653" spans="1:6" ht="22.5" hidden="1" customHeight="1" x14ac:dyDescent="0.25">
      <c r="A7653" s="3">
        <v>44470</v>
      </c>
      <c r="B7653" s="2" t="s">
        <v>317</v>
      </c>
      <c r="C7653" s="2">
        <v>-0.62</v>
      </c>
      <c r="D7653" s="2">
        <v>0.97450000000000003</v>
      </c>
      <c r="E7653" s="2">
        <v>-6.0419000000000002E-3</v>
      </c>
      <c r="F7653" s="2" t="s">
        <v>174</v>
      </c>
    </row>
    <row r="7654" spans="1:6" ht="22.5" hidden="1" customHeight="1" x14ac:dyDescent="0.25">
      <c r="A7654" s="3">
        <v>44470</v>
      </c>
      <c r="B7654" s="2" t="s">
        <v>318</v>
      </c>
      <c r="C7654" s="2">
        <v>-0.24</v>
      </c>
      <c r="D7654" s="2">
        <v>0.42559999999999998</v>
      </c>
      <c r="E7654" s="2">
        <v>-1.02144E-3</v>
      </c>
      <c r="F7654" s="2" t="s">
        <v>174</v>
      </c>
    </row>
    <row r="7655" spans="1:6" ht="22.5" hidden="1" customHeight="1" x14ac:dyDescent="0.25">
      <c r="A7655" s="3">
        <v>44470</v>
      </c>
      <c r="B7655" s="2" t="s">
        <v>319</v>
      </c>
      <c r="C7655" s="2">
        <v>0.1</v>
      </c>
      <c r="D7655" s="2">
        <v>0.1072</v>
      </c>
      <c r="E7655" s="2">
        <v>1.072E-4</v>
      </c>
      <c r="F7655" s="2" t="s">
        <v>174</v>
      </c>
    </row>
    <row r="7656" spans="1:6" ht="22.5" hidden="1" customHeight="1" x14ac:dyDescent="0.25">
      <c r="A7656" s="3">
        <v>44470</v>
      </c>
      <c r="B7656" s="2" t="s">
        <v>320</v>
      </c>
      <c r="C7656" s="2">
        <v>1.29</v>
      </c>
      <c r="D7656" s="2">
        <v>0.31009999999999999</v>
      </c>
      <c r="E7656" s="2">
        <v>4.0002900000000001E-3</v>
      </c>
      <c r="F7656" s="2" t="s">
        <v>174</v>
      </c>
    </row>
    <row r="7657" spans="1:6" ht="22.5" hidden="1" customHeight="1" x14ac:dyDescent="0.25">
      <c r="A7657" s="3">
        <v>44470</v>
      </c>
      <c r="B7657" s="2" t="s">
        <v>321</v>
      </c>
      <c r="C7657" s="2">
        <v>1.57</v>
      </c>
      <c r="D7657" s="2">
        <v>0.2041</v>
      </c>
      <c r="E7657" s="2">
        <v>3.2043699999999998E-3</v>
      </c>
      <c r="F7657" s="2" t="s">
        <v>174</v>
      </c>
    </row>
    <row r="7658" spans="1:6" ht="22.5" hidden="1" customHeight="1" x14ac:dyDescent="0.25">
      <c r="A7658" s="3">
        <v>44470</v>
      </c>
      <c r="B7658" s="2" t="s">
        <v>322</v>
      </c>
      <c r="C7658" s="2">
        <v>2.67</v>
      </c>
      <c r="D7658" s="2">
        <v>0.1593</v>
      </c>
      <c r="E7658" s="2">
        <v>4.2533099999999997E-3</v>
      </c>
      <c r="F7658" s="2" t="s">
        <v>174</v>
      </c>
    </row>
    <row r="7659" spans="1:6" ht="22.5" hidden="1" customHeight="1" x14ac:dyDescent="0.25">
      <c r="A7659" s="3">
        <v>44470</v>
      </c>
      <c r="B7659" s="2" t="s">
        <v>323</v>
      </c>
      <c r="C7659" s="2">
        <v>2.39</v>
      </c>
      <c r="D7659" s="2">
        <v>1.03E-2</v>
      </c>
      <c r="E7659" s="2">
        <v>2.4616999999999998E-4</v>
      </c>
      <c r="F7659" s="2" t="s">
        <v>165</v>
      </c>
    </row>
    <row r="7660" spans="1:6" ht="22.5" hidden="1" customHeight="1" x14ac:dyDescent="0.25">
      <c r="A7660" s="3">
        <v>44470</v>
      </c>
      <c r="B7660" s="2" t="s">
        <v>324</v>
      </c>
      <c r="C7660" s="2">
        <v>0.79</v>
      </c>
      <c r="D7660" s="2">
        <v>0.37590000000000001</v>
      </c>
      <c r="E7660" s="2">
        <v>2.9696100000000001E-3</v>
      </c>
      <c r="F7660" s="2" t="s">
        <v>165</v>
      </c>
    </row>
    <row r="7661" spans="1:6" ht="22.5" hidden="1" customHeight="1" x14ac:dyDescent="0.25">
      <c r="A7661" s="3">
        <v>44470</v>
      </c>
      <c r="B7661" s="2" t="s">
        <v>325</v>
      </c>
      <c r="C7661" s="2">
        <v>0.13</v>
      </c>
      <c r="D7661" s="2">
        <v>2.9321000000000002</v>
      </c>
      <c r="E7661" s="2">
        <v>3.8117300000000002E-3</v>
      </c>
      <c r="F7661" s="2" t="s">
        <v>165</v>
      </c>
    </row>
    <row r="7662" spans="1:6" ht="22.5" hidden="1" customHeight="1" x14ac:dyDescent="0.25">
      <c r="A7662" s="3">
        <v>44470</v>
      </c>
      <c r="B7662" s="2" t="s">
        <v>326</v>
      </c>
      <c r="C7662" s="2">
        <v>1.72</v>
      </c>
      <c r="D7662" s="2">
        <v>0.99980000000000002</v>
      </c>
      <c r="E7662" s="2">
        <v>1.719656E-2</v>
      </c>
      <c r="F7662" s="2" t="s">
        <v>165</v>
      </c>
    </row>
    <row r="7663" spans="1:6" ht="22.5" hidden="1" customHeight="1" x14ac:dyDescent="0.25">
      <c r="A7663" s="3">
        <v>44470</v>
      </c>
      <c r="B7663" s="2" t="s">
        <v>327</v>
      </c>
      <c r="C7663" s="2">
        <v>-1.35</v>
      </c>
      <c r="D7663" s="2">
        <v>5.96E-2</v>
      </c>
      <c r="E7663" s="2">
        <v>-8.0460000000000004E-4</v>
      </c>
      <c r="F7663" s="2" t="s">
        <v>165</v>
      </c>
    </row>
    <row r="7664" spans="1:6" ht="22.5" hidden="1" customHeight="1" x14ac:dyDescent="0.25">
      <c r="A7664" s="3">
        <v>44470</v>
      </c>
      <c r="B7664" s="2" t="s">
        <v>328</v>
      </c>
      <c r="C7664" s="2">
        <v>0</v>
      </c>
      <c r="D7664" s="2">
        <v>1.83E-2</v>
      </c>
      <c r="E7664" s="2">
        <v>0</v>
      </c>
      <c r="F7664" s="2" t="s">
        <v>165</v>
      </c>
    </row>
    <row r="7665" spans="1:6" ht="22.5" hidden="1" customHeight="1" x14ac:dyDescent="0.25">
      <c r="A7665" s="3">
        <v>44470</v>
      </c>
      <c r="B7665" s="2" t="s">
        <v>329</v>
      </c>
      <c r="C7665" s="2">
        <v>3.55</v>
      </c>
      <c r="D7665" s="2">
        <v>9.4700000000000006E-2</v>
      </c>
      <c r="E7665" s="2">
        <v>3.36185E-3</v>
      </c>
      <c r="F7665" s="2" t="s">
        <v>165</v>
      </c>
    </row>
    <row r="7666" spans="1:6" ht="22.5" hidden="1" customHeight="1" x14ac:dyDescent="0.25">
      <c r="A7666" s="3">
        <v>44470</v>
      </c>
      <c r="B7666" s="2" t="s">
        <v>330</v>
      </c>
      <c r="C7666" s="2">
        <v>0.02</v>
      </c>
      <c r="D7666" s="2">
        <v>1.6798999999999999</v>
      </c>
      <c r="E7666" s="2">
        <v>3.3597999999999999E-4</v>
      </c>
      <c r="F7666" s="2" t="s">
        <v>165</v>
      </c>
    </row>
    <row r="7667" spans="1:6" ht="22.5" hidden="1" customHeight="1" x14ac:dyDescent="0.25">
      <c r="A7667" s="3">
        <v>44470</v>
      </c>
      <c r="B7667" s="2" t="s">
        <v>331</v>
      </c>
      <c r="C7667" s="2">
        <v>0.06</v>
      </c>
      <c r="D7667" s="2">
        <v>5.4300000000000001E-2</v>
      </c>
      <c r="E7667" s="2">
        <v>3.2580000000000003E-5</v>
      </c>
      <c r="F7667" s="2" t="s">
        <v>165</v>
      </c>
    </row>
    <row r="7668" spans="1:6" ht="22.5" hidden="1" customHeight="1" x14ac:dyDescent="0.25">
      <c r="A7668" s="3">
        <v>44470</v>
      </c>
      <c r="B7668" s="2" t="s">
        <v>332</v>
      </c>
      <c r="C7668" s="2">
        <v>1.47</v>
      </c>
      <c r="D7668" s="2">
        <v>0.1047</v>
      </c>
      <c r="E7668" s="2">
        <v>1.5390899999999999E-3</v>
      </c>
      <c r="F7668" s="2" t="s">
        <v>165</v>
      </c>
    </row>
    <row r="7669" spans="1:6" ht="22.5" hidden="1" customHeight="1" x14ac:dyDescent="0.25">
      <c r="A7669" s="3">
        <v>44470</v>
      </c>
      <c r="B7669" s="2" t="s">
        <v>333</v>
      </c>
      <c r="C7669" s="2">
        <v>0.25</v>
      </c>
      <c r="D7669" s="2">
        <v>7.9299999999999995E-2</v>
      </c>
      <c r="E7669" s="2">
        <v>1.9824999999999999E-4</v>
      </c>
      <c r="F7669" s="2" t="s">
        <v>165</v>
      </c>
    </row>
    <row r="7670" spans="1:6" ht="22.5" hidden="1" customHeight="1" x14ac:dyDescent="0.25">
      <c r="A7670" s="3">
        <v>44470</v>
      </c>
      <c r="B7670" s="2" t="s">
        <v>334</v>
      </c>
      <c r="C7670" s="2">
        <v>1.59</v>
      </c>
      <c r="D7670" s="2">
        <v>2.0899999999999998E-2</v>
      </c>
      <c r="E7670" s="2">
        <v>3.3230999999999999E-4</v>
      </c>
      <c r="F7670" s="2" t="s">
        <v>170</v>
      </c>
    </row>
    <row r="7671" spans="1:6" ht="22.5" hidden="1" customHeight="1" x14ac:dyDescent="0.25">
      <c r="A7671" s="3">
        <v>44470</v>
      </c>
      <c r="B7671" s="2" t="s">
        <v>335</v>
      </c>
      <c r="C7671" s="2">
        <v>1.04</v>
      </c>
      <c r="D7671" s="2">
        <v>0.27889999999999998</v>
      </c>
      <c r="E7671" s="2">
        <v>2.9005599999999999E-3</v>
      </c>
      <c r="F7671" s="2" t="s">
        <v>165</v>
      </c>
    </row>
    <row r="7672" spans="1:6" ht="22.5" hidden="1" customHeight="1" x14ac:dyDescent="0.25">
      <c r="A7672" s="3">
        <v>44470</v>
      </c>
      <c r="B7672" s="2" t="s">
        <v>336</v>
      </c>
      <c r="C7672" s="2">
        <v>0.05</v>
      </c>
      <c r="D7672" s="2">
        <v>0.1045</v>
      </c>
      <c r="E7672" s="2">
        <v>5.2250000000000003E-5</v>
      </c>
      <c r="F7672" s="2" t="s">
        <v>170</v>
      </c>
    </row>
    <row r="7673" spans="1:6" ht="22.5" hidden="1" customHeight="1" x14ac:dyDescent="0.25">
      <c r="A7673" s="3">
        <v>44470</v>
      </c>
      <c r="B7673" s="2" t="s">
        <v>337</v>
      </c>
      <c r="C7673" s="2">
        <v>3.15</v>
      </c>
      <c r="D7673" s="2">
        <v>0.36670000000000003</v>
      </c>
      <c r="E7673" s="2">
        <v>1.155105E-2</v>
      </c>
      <c r="F7673" s="2" t="s">
        <v>174</v>
      </c>
    </row>
    <row r="7674" spans="1:6" ht="22.5" hidden="1" customHeight="1" x14ac:dyDescent="0.25">
      <c r="A7674" s="3">
        <v>44470</v>
      </c>
      <c r="B7674" s="2" t="s">
        <v>338</v>
      </c>
      <c r="C7674" s="2">
        <v>-0.62</v>
      </c>
      <c r="D7674" s="2">
        <v>0.1958</v>
      </c>
      <c r="E7674" s="2">
        <v>-1.21396E-3</v>
      </c>
      <c r="F7674" s="2" t="s">
        <v>174</v>
      </c>
    </row>
    <row r="7675" spans="1:6" ht="22.5" hidden="1" customHeight="1" x14ac:dyDescent="0.25">
      <c r="A7675" s="3">
        <v>44470</v>
      </c>
      <c r="B7675" s="2" t="s">
        <v>339</v>
      </c>
      <c r="C7675" s="2">
        <v>-1.42</v>
      </c>
      <c r="D7675" s="2">
        <v>4.1099999999999998E-2</v>
      </c>
      <c r="E7675" s="2">
        <v>-5.8361999999999997E-4</v>
      </c>
      <c r="F7675" s="2" t="s">
        <v>165</v>
      </c>
    </row>
    <row r="7676" spans="1:6" ht="22.5" hidden="1" customHeight="1" x14ac:dyDescent="0.25">
      <c r="A7676" s="3">
        <v>44075</v>
      </c>
      <c r="B7676" s="2" t="s">
        <v>298</v>
      </c>
      <c r="C7676" s="2">
        <v>-0.19</v>
      </c>
      <c r="D7676" s="2">
        <v>0.61939999999999995</v>
      </c>
      <c r="E7676" s="2">
        <v>-1.1768600000000001E-3</v>
      </c>
      <c r="F7676" s="2" t="s">
        <v>168</v>
      </c>
    </row>
    <row r="7677" spans="1:6" ht="22.5" hidden="1" customHeight="1" x14ac:dyDescent="0.25">
      <c r="A7677" s="3">
        <v>44470</v>
      </c>
      <c r="B7677" s="2" t="s">
        <v>341</v>
      </c>
      <c r="C7677" s="2">
        <v>-0.14000000000000001</v>
      </c>
      <c r="D7677" s="2">
        <v>1.0999999999999999E-2</v>
      </c>
      <c r="E7677" s="2">
        <v>-1.5400000000000002E-5</v>
      </c>
      <c r="F7677" s="2" t="s">
        <v>174</v>
      </c>
    </row>
    <row r="7678" spans="1:6" ht="22.5" hidden="1" customHeight="1" x14ac:dyDescent="0.25">
      <c r="A7678" s="3">
        <v>44470</v>
      </c>
      <c r="B7678" s="2" t="s">
        <v>342</v>
      </c>
      <c r="C7678" s="2">
        <v>2.39</v>
      </c>
      <c r="D7678" s="2">
        <v>0.50180000000000002</v>
      </c>
      <c r="E7678" s="2">
        <v>1.199302E-2</v>
      </c>
      <c r="F7678" s="2" t="s">
        <v>165</v>
      </c>
    </row>
    <row r="7679" spans="1:6" ht="22.5" hidden="1" customHeight="1" x14ac:dyDescent="0.25">
      <c r="A7679" s="3">
        <v>44470</v>
      </c>
      <c r="B7679" s="2" t="s">
        <v>343</v>
      </c>
      <c r="C7679" s="2">
        <v>3.69</v>
      </c>
      <c r="D7679" s="2">
        <v>0.49390000000000001</v>
      </c>
      <c r="E7679" s="2">
        <v>1.822491E-2</v>
      </c>
      <c r="F7679" s="2" t="s">
        <v>165</v>
      </c>
    </row>
    <row r="7680" spans="1:6" ht="22.5" hidden="1" customHeight="1" x14ac:dyDescent="0.25">
      <c r="A7680" s="3">
        <v>44470</v>
      </c>
      <c r="B7680" s="2" t="s">
        <v>344</v>
      </c>
      <c r="C7680" s="2">
        <v>-0.14000000000000001</v>
      </c>
      <c r="D7680" s="2">
        <v>0.1401</v>
      </c>
      <c r="E7680" s="2">
        <v>-1.9614E-4</v>
      </c>
      <c r="F7680" s="2" t="s">
        <v>165</v>
      </c>
    </row>
    <row r="7681" spans="1:6" ht="22.5" hidden="1" customHeight="1" x14ac:dyDescent="0.25">
      <c r="A7681" s="3">
        <v>44470</v>
      </c>
      <c r="B7681" s="2" t="s">
        <v>345</v>
      </c>
      <c r="C7681" s="2">
        <v>0</v>
      </c>
      <c r="D7681" s="2">
        <v>0.50849999999999995</v>
      </c>
      <c r="E7681" s="2">
        <v>0</v>
      </c>
      <c r="F7681" s="2" t="s">
        <v>165</v>
      </c>
    </row>
    <row r="7682" spans="1:6" ht="22.5" hidden="1" customHeight="1" x14ac:dyDescent="0.25">
      <c r="A7682" s="3">
        <v>44470</v>
      </c>
      <c r="B7682" s="2" t="s">
        <v>346</v>
      </c>
      <c r="C7682" s="2">
        <v>1.08</v>
      </c>
      <c r="D7682" s="2">
        <v>0.52690000000000003</v>
      </c>
      <c r="E7682" s="2">
        <v>5.6905200000000001E-3</v>
      </c>
      <c r="F7682" s="2" t="s">
        <v>174</v>
      </c>
    </row>
    <row r="7683" spans="1:6" ht="22.5" hidden="1" customHeight="1" x14ac:dyDescent="0.25">
      <c r="A7683" s="3">
        <v>44470</v>
      </c>
      <c r="B7683" s="2" t="s">
        <v>347</v>
      </c>
      <c r="C7683" s="2">
        <v>0</v>
      </c>
      <c r="D7683" s="2">
        <v>0.189</v>
      </c>
      <c r="E7683" s="2">
        <v>0</v>
      </c>
      <c r="F7683" s="2" t="s">
        <v>165</v>
      </c>
    </row>
    <row r="7684" spans="1:6" ht="22.5" hidden="1" customHeight="1" x14ac:dyDescent="0.25">
      <c r="A7684" s="3">
        <v>44470</v>
      </c>
      <c r="B7684" s="2" t="s">
        <v>348</v>
      </c>
      <c r="C7684" s="2">
        <v>0</v>
      </c>
      <c r="D7684" s="2">
        <v>0.31159999999999999</v>
      </c>
      <c r="E7684" s="2">
        <v>0</v>
      </c>
      <c r="F7684" s="2" t="s">
        <v>165</v>
      </c>
    </row>
    <row r="7685" spans="1:6" ht="22.5" hidden="1" customHeight="1" x14ac:dyDescent="0.25">
      <c r="A7685" s="3">
        <v>44470</v>
      </c>
      <c r="B7685" s="2" t="s">
        <v>349</v>
      </c>
      <c r="C7685" s="2">
        <v>0</v>
      </c>
      <c r="D7685" s="2">
        <v>1.4945999999999999</v>
      </c>
      <c r="E7685" s="2">
        <v>0</v>
      </c>
      <c r="F7685" s="2" t="s">
        <v>165</v>
      </c>
    </row>
    <row r="7686" spans="1:6" ht="22.5" hidden="1" customHeight="1" x14ac:dyDescent="0.25">
      <c r="A7686" s="3">
        <v>44470</v>
      </c>
      <c r="B7686" s="2" t="s">
        <v>350</v>
      </c>
      <c r="C7686" s="2">
        <v>0</v>
      </c>
      <c r="D7686" s="2">
        <v>0.3775</v>
      </c>
      <c r="E7686" s="2">
        <v>0</v>
      </c>
      <c r="F7686" s="2" t="s">
        <v>165</v>
      </c>
    </row>
    <row r="7687" spans="1:6" ht="22.5" hidden="1" customHeight="1" x14ac:dyDescent="0.25">
      <c r="A7687" s="3">
        <v>44470</v>
      </c>
      <c r="B7687" s="2" t="s">
        <v>351</v>
      </c>
      <c r="C7687" s="2">
        <v>0</v>
      </c>
      <c r="D7687" s="2">
        <v>1.6533</v>
      </c>
      <c r="E7687" s="2">
        <v>0</v>
      </c>
      <c r="F7687" s="2" t="s">
        <v>165</v>
      </c>
    </row>
    <row r="7688" spans="1:6" ht="22.5" hidden="1" customHeight="1" x14ac:dyDescent="0.25">
      <c r="A7688" s="3">
        <v>44470</v>
      </c>
      <c r="B7688" s="2" t="s">
        <v>352</v>
      </c>
      <c r="C7688" s="2">
        <v>0</v>
      </c>
      <c r="D7688" s="2">
        <v>0.27250000000000002</v>
      </c>
      <c r="E7688" s="2">
        <v>0</v>
      </c>
      <c r="F7688" s="2" t="s">
        <v>165</v>
      </c>
    </row>
    <row r="7689" spans="1:6" ht="22.5" hidden="1" customHeight="1" x14ac:dyDescent="0.25">
      <c r="A7689" s="3">
        <v>44470</v>
      </c>
      <c r="B7689" s="2" t="s">
        <v>353</v>
      </c>
      <c r="C7689" s="2">
        <v>0</v>
      </c>
      <c r="D7689" s="2">
        <v>3.95E-2</v>
      </c>
      <c r="E7689" s="2">
        <v>0</v>
      </c>
      <c r="F7689" s="2" t="s">
        <v>165</v>
      </c>
    </row>
    <row r="7690" spans="1:6" ht="22.5" hidden="1" customHeight="1" x14ac:dyDescent="0.25">
      <c r="A7690" s="3">
        <v>44470</v>
      </c>
      <c r="B7690" s="2" t="s">
        <v>354</v>
      </c>
      <c r="C7690" s="2">
        <v>0</v>
      </c>
      <c r="D7690" s="2">
        <v>2.98E-2</v>
      </c>
      <c r="E7690" s="2">
        <v>0</v>
      </c>
      <c r="F7690" s="2" t="s">
        <v>165</v>
      </c>
    </row>
    <row r="7691" spans="1:6" ht="22.5" hidden="1" customHeight="1" x14ac:dyDescent="0.25">
      <c r="A7691" s="3">
        <v>44470</v>
      </c>
      <c r="B7691" s="2" t="s">
        <v>355</v>
      </c>
      <c r="C7691" s="2">
        <v>4.21</v>
      </c>
      <c r="D7691" s="2">
        <v>2.7699999999999999E-2</v>
      </c>
      <c r="E7691" s="2">
        <v>1.16617E-3</v>
      </c>
      <c r="F7691" s="2" t="s">
        <v>174</v>
      </c>
    </row>
    <row r="7692" spans="1:6" ht="22.5" hidden="1" customHeight="1" x14ac:dyDescent="0.25">
      <c r="A7692" s="3">
        <v>44470</v>
      </c>
      <c r="B7692" s="2" t="s">
        <v>356</v>
      </c>
      <c r="C7692" s="2">
        <v>0</v>
      </c>
      <c r="D7692" s="2">
        <v>3.5099999999999999E-2</v>
      </c>
      <c r="E7692" s="2">
        <v>0</v>
      </c>
      <c r="F7692" s="2" t="s">
        <v>174</v>
      </c>
    </row>
    <row r="7693" spans="1:6" ht="22.5" hidden="1" customHeight="1" x14ac:dyDescent="0.25">
      <c r="A7693" s="3">
        <v>44470</v>
      </c>
      <c r="B7693" s="2" t="s">
        <v>357</v>
      </c>
      <c r="C7693" s="2">
        <v>0</v>
      </c>
      <c r="D7693" s="2">
        <v>0.35420000000000001</v>
      </c>
      <c r="E7693" s="2">
        <v>0</v>
      </c>
      <c r="F7693" s="2" t="s">
        <v>174</v>
      </c>
    </row>
    <row r="7694" spans="1:6" ht="22.5" hidden="1" customHeight="1" x14ac:dyDescent="0.25">
      <c r="A7694" s="3">
        <v>44470</v>
      </c>
      <c r="B7694" s="2" t="s">
        <v>358</v>
      </c>
      <c r="C7694" s="2">
        <v>-0.08</v>
      </c>
      <c r="D7694" s="2">
        <v>9.3399999999999997E-2</v>
      </c>
      <c r="E7694" s="2">
        <v>-7.4720000000000003E-5</v>
      </c>
      <c r="F7694" s="2" t="s">
        <v>174</v>
      </c>
    </row>
    <row r="7695" spans="1:6" ht="22.5" hidden="1" customHeight="1" x14ac:dyDescent="0.25">
      <c r="A7695" s="3">
        <v>44470</v>
      </c>
      <c r="B7695" s="2" t="s">
        <v>359</v>
      </c>
      <c r="C7695" s="2">
        <v>0.77</v>
      </c>
      <c r="D7695" s="2">
        <v>4.65E-2</v>
      </c>
      <c r="E7695" s="2">
        <v>3.5805E-4</v>
      </c>
      <c r="F7695" s="2" t="s">
        <v>174</v>
      </c>
    </row>
    <row r="7696" spans="1:6" ht="22.5" hidden="1" customHeight="1" x14ac:dyDescent="0.25">
      <c r="A7696" s="3">
        <v>44470</v>
      </c>
      <c r="B7696" s="2" t="s">
        <v>360</v>
      </c>
      <c r="C7696" s="2">
        <v>0.92</v>
      </c>
      <c r="D7696" s="2">
        <v>8.8999999999999996E-2</v>
      </c>
      <c r="E7696" s="2">
        <v>8.1879999999999995E-4</v>
      </c>
      <c r="F7696" s="2" t="s">
        <v>174</v>
      </c>
    </row>
    <row r="7697" spans="1:6" ht="22.5" hidden="1" customHeight="1" x14ac:dyDescent="0.25">
      <c r="A7697" s="3">
        <v>44470</v>
      </c>
      <c r="B7697" s="2" t="s">
        <v>361</v>
      </c>
      <c r="C7697" s="2">
        <v>0</v>
      </c>
      <c r="D7697" s="2">
        <v>7.3300000000000004E-2</v>
      </c>
      <c r="E7697" s="2">
        <v>0</v>
      </c>
      <c r="F7697" s="2" t="s">
        <v>165</v>
      </c>
    </row>
    <row r="7698" spans="1:6" ht="22.5" hidden="1" customHeight="1" x14ac:dyDescent="0.25">
      <c r="A7698" s="3">
        <v>44470</v>
      </c>
      <c r="B7698" s="2" t="s">
        <v>362</v>
      </c>
      <c r="C7698" s="2">
        <v>0</v>
      </c>
      <c r="D7698" s="2">
        <v>0.2833</v>
      </c>
      <c r="E7698" s="2">
        <v>0</v>
      </c>
      <c r="F7698" s="2" t="s">
        <v>165</v>
      </c>
    </row>
    <row r="7699" spans="1:6" ht="22.5" hidden="1" customHeight="1" x14ac:dyDescent="0.25">
      <c r="A7699" s="3">
        <v>44470</v>
      </c>
      <c r="B7699" s="2" t="s">
        <v>363</v>
      </c>
      <c r="C7699" s="2">
        <v>0.94</v>
      </c>
      <c r="D7699" s="2">
        <v>4.87E-2</v>
      </c>
      <c r="E7699" s="2">
        <v>4.5778000000000003E-4</v>
      </c>
      <c r="F7699" s="2" t="s">
        <v>165</v>
      </c>
    </row>
    <row r="7700" spans="1:6" ht="22.5" hidden="1" customHeight="1" x14ac:dyDescent="0.25">
      <c r="A7700" s="3">
        <v>44470</v>
      </c>
      <c r="B7700" s="2" t="s">
        <v>364</v>
      </c>
      <c r="C7700" s="2">
        <v>0.66</v>
      </c>
      <c r="D7700" s="2">
        <v>0.38750000000000001</v>
      </c>
      <c r="E7700" s="2">
        <v>2.5574999999999999E-3</v>
      </c>
      <c r="F7700" s="2" t="s">
        <v>165</v>
      </c>
    </row>
    <row r="7701" spans="1:6" ht="22.5" hidden="1" customHeight="1" x14ac:dyDescent="0.25">
      <c r="A7701" s="3">
        <v>44075</v>
      </c>
      <c r="B7701" s="2" t="s">
        <v>289</v>
      </c>
      <c r="C7701" s="2">
        <v>-0.21</v>
      </c>
      <c r="D7701" s="2">
        <v>0.56059999999999999</v>
      </c>
      <c r="E7701" s="2">
        <v>-1.1772600000000001E-3</v>
      </c>
      <c r="F7701" s="2" t="s">
        <v>168</v>
      </c>
    </row>
    <row r="7702" spans="1:6" ht="22.5" hidden="1" customHeight="1" x14ac:dyDescent="0.25">
      <c r="A7702" s="3">
        <v>44287</v>
      </c>
      <c r="B7702" s="2" t="s">
        <v>292</v>
      </c>
      <c r="C7702" s="2">
        <v>-0.96</v>
      </c>
      <c r="D7702" s="2">
        <v>0.12609999999999999</v>
      </c>
      <c r="E7702" s="2">
        <v>-1.2105600000000001E-3</v>
      </c>
      <c r="F7702" s="2" t="s">
        <v>168</v>
      </c>
    </row>
    <row r="7703" spans="1:6" ht="22.5" hidden="1" customHeight="1" x14ac:dyDescent="0.25">
      <c r="A7703" s="3">
        <v>44105</v>
      </c>
      <c r="B7703" s="2" t="s">
        <v>289</v>
      </c>
      <c r="C7703" s="2">
        <v>-0.22</v>
      </c>
      <c r="D7703" s="2">
        <v>0.55679999999999996</v>
      </c>
      <c r="E7703" s="2">
        <v>-1.22496E-3</v>
      </c>
      <c r="F7703" s="2" t="s">
        <v>168</v>
      </c>
    </row>
    <row r="7704" spans="1:6" ht="22.5" hidden="1" customHeight="1" x14ac:dyDescent="0.25">
      <c r="A7704" s="3">
        <v>44470</v>
      </c>
      <c r="B7704" s="2" t="s">
        <v>368</v>
      </c>
      <c r="C7704" s="2">
        <v>0</v>
      </c>
      <c r="D7704" s="2">
        <v>0.36830000000000002</v>
      </c>
      <c r="E7704" s="2">
        <v>0</v>
      </c>
      <c r="F7704" s="2" t="s">
        <v>165</v>
      </c>
    </row>
    <row r="7705" spans="1:6" ht="22.5" hidden="1" customHeight="1" x14ac:dyDescent="0.25">
      <c r="A7705" s="3">
        <v>44470</v>
      </c>
      <c r="B7705" s="2" t="s">
        <v>369</v>
      </c>
      <c r="C7705" s="2">
        <v>0</v>
      </c>
      <c r="D7705" s="2">
        <v>0.5323</v>
      </c>
      <c r="E7705" s="2">
        <v>0</v>
      </c>
      <c r="F7705" s="2" t="s">
        <v>165</v>
      </c>
    </row>
    <row r="7706" spans="1:6" ht="22.5" hidden="1" customHeight="1" x14ac:dyDescent="0.25">
      <c r="A7706" s="3">
        <v>44470</v>
      </c>
      <c r="B7706" s="2" t="s">
        <v>370</v>
      </c>
      <c r="C7706" s="2">
        <v>-0.3</v>
      </c>
      <c r="D7706" s="2">
        <v>0.95699999999999996</v>
      </c>
      <c r="E7706" s="2">
        <v>-2.8709999999999999E-3</v>
      </c>
      <c r="F7706" s="2" t="s">
        <v>170</v>
      </c>
    </row>
    <row r="7707" spans="1:6" ht="22.5" hidden="1" customHeight="1" x14ac:dyDescent="0.25">
      <c r="A7707" s="3">
        <v>44470</v>
      </c>
      <c r="B7707" s="2" t="s">
        <v>371</v>
      </c>
      <c r="C7707" s="2">
        <v>4.82</v>
      </c>
      <c r="D7707" s="2">
        <v>7.0300000000000001E-2</v>
      </c>
      <c r="E7707" s="2">
        <v>3.3884599999999998E-3</v>
      </c>
      <c r="F7707" s="2" t="s">
        <v>165</v>
      </c>
    </row>
    <row r="7708" spans="1:6" ht="22.5" hidden="1" customHeight="1" x14ac:dyDescent="0.25">
      <c r="A7708" s="3">
        <v>44470</v>
      </c>
      <c r="B7708" s="2" t="s">
        <v>372</v>
      </c>
      <c r="C7708" s="2">
        <v>0</v>
      </c>
      <c r="D7708" s="2">
        <v>1.6104000000000001</v>
      </c>
      <c r="E7708" s="2">
        <v>0</v>
      </c>
      <c r="F7708" s="2" t="s">
        <v>165</v>
      </c>
    </row>
    <row r="7709" spans="1:6" ht="22.5" hidden="1" customHeight="1" x14ac:dyDescent="0.25">
      <c r="A7709" s="3">
        <v>44501</v>
      </c>
      <c r="B7709" s="2" t="s">
        <v>6</v>
      </c>
      <c r="C7709" s="2">
        <v>-2.48</v>
      </c>
      <c r="D7709" s="2">
        <v>0.626</v>
      </c>
      <c r="E7709" s="2">
        <v>-1.55248E-2</v>
      </c>
      <c r="F7709" s="2" t="s">
        <v>7</v>
      </c>
    </row>
    <row r="7710" spans="1:6" ht="22.5" hidden="1" customHeight="1" x14ac:dyDescent="0.25">
      <c r="A7710" s="3">
        <v>44501</v>
      </c>
      <c r="B7710" s="2" t="s">
        <v>8</v>
      </c>
      <c r="C7710" s="2">
        <v>-0.18</v>
      </c>
      <c r="D7710" s="2">
        <v>1.38E-2</v>
      </c>
      <c r="E7710" s="2">
        <v>-2.4839999999999999E-5</v>
      </c>
      <c r="F7710" s="2" t="s">
        <v>7</v>
      </c>
    </row>
    <row r="7711" spans="1:6" ht="22.5" hidden="1" customHeight="1" x14ac:dyDescent="0.25">
      <c r="A7711" s="3">
        <v>44501</v>
      </c>
      <c r="B7711" s="2" t="s">
        <v>9</v>
      </c>
      <c r="C7711" s="2">
        <v>-2.5</v>
      </c>
      <c r="D7711" s="2">
        <v>6.4100000000000004E-2</v>
      </c>
      <c r="E7711" s="2">
        <v>-1.6025E-3</v>
      </c>
      <c r="F7711" s="2" t="s">
        <v>7</v>
      </c>
    </row>
    <row r="7712" spans="1:6" ht="22.5" hidden="1" customHeight="1" x14ac:dyDescent="0.25">
      <c r="A7712" s="3">
        <v>44501</v>
      </c>
      <c r="B7712" s="2" t="s">
        <v>10</v>
      </c>
      <c r="C7712" s="2">
        <v>-2.67</v>
      </c>
      <c r="D7712" s="2">
        <v>2.1600000000000001E-2</v>
      </c>
      <c r="E7712" s="2">
        <v>-5.7671999999999997E-4</v>
      </c>
      <c r="F7712" s="2" t="s">
        <v>7</v>
      </c>
    </row>
    <row r="7713" spans="1:6" ht="22.5" hidden="1" customHeight="1" x14ac:dyDescent="0.25">
      <c r="A7713" s="3">
        <v>44501</v>
      </c>
      <c r="B7713" s="2" t="s">
        <v>11</v>
      </c>
      <c r="C7713" s="2">
        <v>-1.58</v>
      </c>
      <c r="D7713" s="2">
        <v>0.13689999999999999</v>
      </c>
      <c r="E7713" s="2">
        <v>-2.1630199999999999E-3</v>
      </c>
      <c r="F7713" s="2" t="s">
        <v>7</v>
      </c>
    </row>
    <row r="7714" spans="1:6" ht="22.5" hidden="1" customHeight="1" x14ac:dyDescent="0.25">
      <c r="A7714" s="3">
        <v>44501</v>
      </c>
      <c r="B7714" s="2" t="s">
        <v>12</v>
      </c>
      <c r="C7714" s="2">
        <v>3.04</v>
      </c>
      <c r="D7714" s="2">
        <v>1.0999999999999999E-2</v>
      </c>
      <c r="E7714" s="2">
        <v>3.344E-4</v>
      </c>
      <c r="F7714" s="2" t="s">
        <v>7</v>
      </c>
    </row>
    <row r="7715" spans="1:6" ht="22.5" hidden="1" customHeight="1" x14ac:dyDescent="0.25">
      <c r="A7715" s="3">
        <v>44501</v>
      </c>
      <c r="B7715" s="2" t="s">
        <v>13</v>
      </c>
      <c r="C7715" s="2">
        <v>-3.44</v>
      </c>
      <c r="D7715" s="2">
        <v>2.8999999999999998E-3</v>
      </c>
      <c r="E7715" s="2">
        <v>-9.9759999999999994E-5</v>
      </c>
      <c r="F7715" s="2" t="s">
        <v>7</v>
      </c>
    </row>
    <row r="7716" spans="1:6" ht="22.5" hidden="1" customHeight="1" x14ac:dyDescent="0.25">
      <c r="A7716" s="3">
        <v>44501</v>
      </c>
      <c r="B7716" s="2" t="s">
        <v>14</v>
      </c>
      <c r="C7716" s="2">
        <v>0.54</v>
      </c>
      <c r="D7716" s="2">
        <v>0.15140000000000001</v>
      </c>
      <c r="E7716" s="2">
        <v>8.1756000000000005E-4</v>
      </c>
      <c r="F7716" s="2" t="s">
        <v>7</v>
      </c>
    </row>
    <row r="7717" spans="1:6" ht="22.5" hidden="1" customHeight="1" x14ac:dyDescent="0.25">
      <c r="A7717" s="3">
        <v>44501</v>
      </c>
      <c r="B7717" s="2" t="s">
        <v>15</v>
      </c>
      <c r="C7717" s="2">
        <v>2</v>
      </c>
      <c r="D7717" s="2">
        <v>8.8999999999999999E-3</v>
      </c>
      <c r="E7717" s="2">
        <v>1.7799999999999999E-4</v>
      </c>
      <c r="F7717" s="2" t="s">
        <v>7</v>
      </c>
    </row>
    <row r="7718" spans="1:6" ht="22.5" hidden="1" customHeight="1" x14ac:dyDescent="0.25">
      <c r="A7718" s="3">
        <v>44501</v>
      </c>
      <c r="B7718" s="2" t="s">
        <v>16</v>
      </c>
      <c r="C7718" s="2">
        <v>-1.1200000000000001</v>
      </c>
      <c r="D7718" s="2">
        <v>9.1000000000000004E-3</v>
      </c>
      <c r="E7718" s="2">
        <v>-1.0192E-4</v>
      </c>
      <c r="F7718" s="2" t="s">
        <v>7</v>
      </c>
    </row>
    <row r="7719" spans="1:6" ht="22.5" hidden="1" customHeight="1" x14ac:dyDescent="0.25">
      <c r="A7719" s="3">
        <v>44501</v>
      </c>
      <c r="B7719" s="2" t="s">
        <v>17</v>
      </c>
      <c r="C7719" s="2">
        <v>1.05</v>
      </c>
      <c r="D7719" s="2">
        <v>5.11E-2</v>
      </c>
      <c r="E7719" s="2">
        <v>5.3655E-4</v>
      </c>
      <c r="F7719" s="2" t="s">
        <v>7</v>
      </c>
    </row>
    <row r="7720" spans="1:6" ht="22.5" hidden="1" customHeight="1" x14ac:dyDescent="0.25">
      <c r="A7720" s="3">
        <v>44501</v>
      </c>
      <c r="B7720" s="2" t="s">
        <v>18</v>
      </c>
      <c r="C7720" s="2">
        <v>1.1399999999999999</v>
      </c>
      <c r="D7720" s="2">
        <v>9.6000000000000002E-2</v>
      </c>
      <c r="E7720" s="2">
        <v>1.0943999999999999E-3</v>
      </c>
      <c r="F7720" s="2" t="s">
        <v>7</v>
      </c>
    </row>
    <row r="7721" spans="1:6" ht="22.5" hidden="1" customHeight="1" x14ac:dyDescent="0.25">
      <c r="A7721" s="3">
        <v>44501</v>
      </c>
      <c r="B7721" s="2" t="s">
        <v>19</v>
      </c>
      <c r="C7721" s="2">
        <v>1.06</v>
      </c>
      <c r="D7721" s="2">
        <v>0.1239</v>
      </c>
      <c r="E7721" s="2">
        <v>1.3133400000000001E-3</v>
      </c>
      <c r="F7721" s="2" t="s">
        <v>7</v>
      </c>
    </row>
    <row r="7722" spans="1:6" ht="22.5" hidden="1" customHeight="1" x14ac:dyDescent="0.25">
      <c r="A7722" s="3">
        <v>44501</v>
      </c>
      <c r="B7722" s="2" t="s">
        <v>20</v>
      </c>
      <c r="C7722" s="2">
        <v>0.54</v>
      </c>
      <c r="D7722" s="2">
        <v>2.5700000000000001E-2</v>
      </c>
      <c r="E7722" s="2">
        <v>1.3878E-4</v>
      </c>
      <c r="F7722" s="2" t="s">
        <v>7</v>
      </c>
    </row>
    <row r="7723" spans="1:6" ht="22.5" hidden="1" customHeight="1" x14ac:dyDescent="0.25">
      <c r="A7723" s="3">
        <v>44501</v>
      </c>
      <c r="B7723" s="2" t="s">
        <v>21</v>
      </c>
      <c r="C7723" s="2">
        <v>2.39</v>
      </c>
      <c r="D7723" s="2">
        <v>3.6700000000000003E-2</v>
      </c>
      <c r="E7723" s="2">
        <v>8.7713000000000005E-4</v>
      </c>
      <c r="F7723" s="2" t="s">
        <v>7</v>
      </c>
    </row>
    <row r="7724" spans="1:6" ht="22.5" hidden="1" customHeight="1" x14ac:dyDescent="0.25">
      <c r="A7724" s="3">
        <v>44501</v>
      </c>
      <c r="B7724" s="2" t="s">
        <v>22</v>
      </c>
      <c r="C7724" s="2">
        <v>14.13</v>
      </c>
      <c r="D7724" s="2">
        <v>0.16639999999999999</v>
      </c>
      <c r="E7724" s="2">
        <v>2.351232E-2</v>
      </c>
      <c r="F7724" s="2" t="s">
        <v>7</v>
      </c>
    </row>
    <row r="7725" spans="1:6" ht="22.5" hidden="1" customHeight="1" x14ac:dyDescent="0.25">
      <c r="A7725" s="3">
        <v>44501</v>
      </c>
      <c r="B7725" s="2" t="s">
        <v>23</v>
      </c>
      <c r="C7725" s="2">
        <v>3.45</v>
      </c>
      <c r="D7725" s="2">
        <v>2.0400000000000001E-2</v>
      </c>
      <c r="E7725" s="2">
        <v>7.0379999999999998E-4</v>
      </c>
      <c r="F7725" s="2" t="s">
        <v>7</v>
      </c>
    </row>
    <row r="7726" spans="1:6" ht="22.5" hidden="1" customHeight="1" x14ac:dyDescent="0.25">
      <c r="A7726" s="3">
        <v>44501</v>
      </c>
      <c r="B7726" s="2" t="s">
        <v>24</v>
      </c>
      <c r="C7726" s="2">
        <v>-33.65</v>
      </c>
      <c r="D7726" s="2">
        <v>1.17E-2</v>
      </c>
      <c r="E7726" s="2">
        <v>-3.9370500000000001E-3</v>
      </c>
      <c r="F7726" s="2" t="s">
        <v>7</v>
      </c>
    </row>
    <row r="7727" spans="1:6" ht="22.5" hidden="1" customHeight="1" x14ac:dyDescent="0.25">
      <c r="A7727" s="3">
        <v>44501</v>
      </c>
      <c r="B7727" s="2" t="s">
        <v>25</v>
      </c>
      <c r="C7727" s="2">
        <v>-31.03</v>
      </c>
      <c r="D7727" s="2">
        <v>4.1000000000000003E-3</v>
      </c>
      <c r="E7727" s="2">
        <v>-1.2722300000000001E-3</v>
      </c>
      <c r="F7727" s="2" t="s">
        <v>7</v>
      </c>
    </row>
    <row r="7728" spans="1:6" ht="22.5" hidden="1" customHeight="1" x14ac:dyDescent="0.25">
      <c r="A7728" s="3">
        <v>44501</v>
      </c>
      <c r="B7728" s="2" t="s">
        <v>26</v>
      </c>
      <c r="C7728" s="2">
        <v>9.44</v>
      </c>
      <c r="D7728" s="2">
        <v>2.5600000000000001E-2</v>
      </c>
      <c r="E7728" s="2">
        <v>2.4166399999999998E-3</v>
      </c>
      <c r="F7728" s="2" t="s">
        <v>7</v>
      </c>
    </row>
    <row r="7729" spans="1:6" ht="22.5" hidden="1" customHeight="1" x14ac:dyDescent="0.25">
      <c r="A7729" s="3">
        <v>44501</v>
      </c>
      <c r="B7729" s="2" t="s">
        <v>27</v>
      </c>
      <c r="C7729" s="2">
        <v>14.02</v>
      </c>
      <c r="D7729" s="2">
        <v>0.27710000000000001</v>
      </c>
      <c r="E7729" s="2">
        <v>3.8849420000000003E-2</v>
      </c>
      <c r="F7729" s="2" t="s">
        <v>7</v>
      </c>
    </row>
    <row r="7730" spans="1:6" ht="22.5" hidden="1" customHeight="1" x14ac:dyDescent="0.25">
      <c r="A7730" s="3">
        <v>44501</v>
      </c>
      <c r="B7730" s="2" t="s">
        <v>28</v>
      </c>
      <c r="C7730" s="2">
        <v>7</v>
      </c>
      <c r="D7730" s="2">
        <v>8.7499999999999994E-2</v>
      </c>
      <c r="E7730" s="2">
        <v>6.1250000000000002E-3</v>
      </c>
      <c r="F7730" s="2" t="s">
        <v>7</v>
      </c>
    </row>
    <row r="7731" spans="1:6" ht="22.5" hidden="1" customHeight="1" x14ac:dyDescent="0.25">
      <c r="A7731" s="3">
        <v>44501</v>
      </c>
      <c r="B7731" s="2" t="s">
        <v>29</v>
      </c>
      <c r="C7731" s="2">
        <v>5.5</v>
      </c>
      <c r="D7731" s="2">
        <v>4.99E-2</v>
      </c>
      <c r="E7731" s="2">
        <v>2.7445E-3</v>
      </c>
      <c r="F7731" s="2" t="s">
        <v>7</v>
      </c>
    </row>
    <row r="7732" spans="1:6" ht="22.5" hidden="1" customHeight="1" x14ac:dyDescent="0.25">
      <c r="A7732" s="3">
        <v>44501</v>
      </c>
      <c r="B7732" s="2" t="s">
        <v>30</v>
      </c>
      <c r="C7732" s="2">
        <v>4.71</v>
      </c>
      <c r="D7732" s="2">
        <v>0.12470000000000001</v>
      </c>
      <c r="E7732" s="2">
        <v>5.8733700000000002E-3</v>
      </c>
      <c r="F7732" s="2" t="s">
        <v>7</v>
      </c>
    </row>
    <row r="7733" spans="1:6" ht="22.5" hidden="1" customHeight="1" x14ac:dyDescent="0.25">
      <c r="A7733" s="3">
        <v>44501</v>
      </c>
      <c r="B7733" s="2" t="s">
        <v>31</v>
      </c>
      <c r="C7733" s="2">
        <v>2.46</v>
      </c>
      <c r="D7733" s="2">
        <v>0.12820000000000001</v>
      </c>
      <c r="E7733" s="2">
        <v>3.15372E-3</v>
      </c>
      <c r="F7733" s="2" t="s">
        <v>7</v>
      </c>
    </row>
    <row r="7734" spans="1:6" ht="22.5" hidden="1" customHeight="1" x14ac:dyDescent="0.25">
      <c r="A7734" s="3">
        <v>44501</v>
      </c>
      <c r="B7734" s="2" t="s">
        <v>32</v>
      </c>
      <c r="C7734" s="2">
        <v>0.48</v>
      </c>
      <c r="D7734" s="2">
        <v>1.52E-2</v>
      </c>
      <c r="E7734" s="2">
        <v>7.2960000000000006E-5</v>
      </c>
      <c r="F7734" s="2" t="s">
        <v>7</v>
      </c>
    </row>
    <row r="7735" spans="1:6" ht="22.5" hidden="1" customHeight="1" x14ac:dyDescent="0.25">
      <c r="A7735" s="3">
        <v>44501</v>
      </c>
      <c r="B7735" s="2" t="s">
        <v>33</v>
      </c>
      <c r="C7735" s="2">
        <v>0.44</v>
      </c>
      <c r="D7735" s="2">
        <v>0.188</v>
      </c>
      <c r="E7735" s="2">
        <v>8.2720000000000005E-4</v>
      </c>
      <c r="F7735" s="2" t="s">
        <v>7</v>
      </c>
    </row>
    <row r="7736" spans="1:6" ht="22.5" hidden="1" customHeight="1" x14ac:dyDescent="0.25">
      <c r="A7736" s="3">
        <v>44501</v>
      </c>
      <c r="B7736" s="2" t="s">
        <v>34</v>
      </c>
      <c r="C7736" s="2">
        <v>-0.86</v>
      </c>
      <c r="D7736" s="2">
        <v>0.14699999999999999</v>
      </c>
      <c r="E7736" s="2">
        <v>-1.2642E-3</v>
      </c>
      <c r="F7736" s="2" t="s">
        <v>7</v>
      </c>
    </row>
    <row r="7737" spans="1:6" ht="22.5" hidden="1" customHeight="1" x14ac:dyDescent="0.25">
      <c r="A7737" s="3">
        <v>44501</v>
      </c>
      <c r="B7737" s="2" t="s">
        <v>35</v>
      </c>
      <c r="C7737" s="2">
        <v>0.27</v>
      </c>
      <c r="D7737" s="2">
        <v>0.1075</v>
      </c>
      <c r="E7737" s="2">
        <v>2.9024999999999998E-4</v>
      </c>
      <c r="F7737" s="2" t="s">
        <v>7</v>
      </c>
    </row>
    <row r="7738" spans="1:6" ht="22.5" hidden="1" customHeight="1" x14ac:dyDescent="0.25">
      <c r="A7738" s="3">
        <v>44501</v>
      </c>
      <c r="B7738" s="2" t="s">
        <v>36</v>
      </c>
      <c r="C7738" s="2">
        <v>0.59</v>
      </c>
      <c r="D7738" s="2">
        <v>1.6999999999999999E-3</v>
      </c>
      <c r="E7738" s="2">
        <v>1.0030000000000001E-5</v>
      </c>
      <c r="F7738" s="2" t="s">
        <v>7</v>
      </c>
    </row>
    <row r="7739" spans="1:6" ht="22.5" hidden="1" customHeight="1" x14ac:dyDescent="0.25">
      <c r="A7739" s="3">
        <v>44501</v>
      </c>
      <c r="B7739" s="2" t="s">
        <v>37</v>
      </c>
      <c r="C7739" s="2">
        <v>2.0099999999999998</v>
      </c>
      <c r="D7739" s="2">
        <v>8.5300000000000001E-2</v>
      </c>
      <c r="E7739" s="2">
        <v>1.7145299999999999E-3</v>
      </c>
      <c r="F7739" s="2" t="s">
        <v>7</v>
      </c>
    </row>
    <row r="7740" spans="1:6" ht="22.5" hidden="1" customHeight="1" x14ac:dyDescent="0.25">
      <c r="A7740" s="3">
        <v>44501</v>
      </c>
      <c r="B7740" s="2" t="s">
        <v>38</v>
      </c>
      <c r="C7740" s="2">
        <v>0.26</v>
      </c>
      <c r="D7740" s="2">
        <v>9.2999999999999992E-3</v>
      </c>
      <c r="E7740" s="2">
        <v>2.4179999999999999E-5</v>
      </c>
      <c r="F7740" s="2" t="s">
        <v>7</v>
      </c>
    </row>
    <row r="7741" spans="1:6" ht="22.5" hidden="1" customHeight="1" x14ac:dyDescent="0.25">
      <c r="A7741" s="3">
        <v>44501</v>
      </c>
      <c r="B7741" s="2" t="s">
        <v>39</v>
      </c>
      <c r="C7741" s="2">
        <v>3</v>
      </c>
      <c r="D7741" s="2">
        <v>1.43E-2</v>
      </c>
      <c r="E7741" s="2">
        <v>4.2900000000000002E-4</v>
      </c>
      <c r="F7741" s="2" t="s">
        <v>7</v>
      </c>
    </row>
    <row r="7742" spans="1:6" ht="22.5" hidden="1" customHeight="1" x14ac:dyDescent="0.25">
      <c r="A7742" s="3">
        <v>44501</v>
      </c>
      <c r="B7742" s="2" t="s">
        <v>40</v>
      </c>
      <c r="C7742" s="2">
        <v>11.36</v>
      </c>
      <c r="D7742" s="2">
        <v>2.5999999999999999E-3</v>
      </c>
      <c r="E7742" s="2">
        <v>2.9535999999999999E-4</v>
      </c>
      <c r="F7742" s="2" t="s">
        <v>7</v>
      </c>
    </row>
    <row r="7743" spans="1:6" ht="22.5" hidden="1" customHeight="1" x14ac:dyDescent="0.25">
      <c r="A7743" s="3">
        <v>44501</v>
      </c>
      <c r="B7743" s="2" t="s">
        <v>41</v>
      </c>
      <c r="C7743" s="2">
        <v>-7.2</v>
      </c>
      <c r="D7743" s="2">
        <v>1.9800000000000002E-2</v>
      </c>
      <c r="E7743" s="2">
        <v>-1.4256E-3</v>
      </c>
      <c r="F7743" s="2" t="s">
        <v>7</v>
      </c>
    </row>
    <row r="7744" spans="1:6" ht="22.5" hidden="1" customHeight="1" x14ac:dyDescent="0.25">
      <c r="A7744" s="3">
        <v>44501</v>
      </c>
      <c r="B7744" s="2" t="s">
        <v>42</v>
      </c>
      <c r="C7744" s="2">
        <v>-2.06</v>
      </c>
      <c r="D7744" s="2">
        <v>4.2099999999999999E-2</v>
      </c>
      <c r="E7744" s="2">
        <v>-8.6726000000000001E-4</v>
      </c>
      <c r="F7744" s="2" t="s">
        <v>7</v>
      </c>
    </row>
    <row r="7745" spans="1:6" ht="22.5" hidden="1" customHeight="1" x14ac:dyDescent="0.25">
      <c r="A7745" s="3">
        <v>44501</v>
      </c>
      <c r="B7745" s="2" t="s">
        <v>43</v>
      </c>
      <c r="C7745" s="2">
        <v>5.21</v>
      </c>
      <c r="D7745" s="2">
        <v>2.8199999999999999E-2</v>
      </c>
      <c r="E7745" s="2">
        <v>1.46922E-3</v>
      </c>
      <c r="F7745" s="2" t="s">
        <v>7</v>
      </c>
    </row>
    <row r="7746" spans="1:6" ht="22.5" hidden="1" customHeight="1" x14ac:dyDescent="0.25">
      <c r="A7746" s="3">
        <v>44501</v>
      </c>
      <c r="B7746" s="2" t="s">
        <v>44</v>
      </c>
      <c r="C7746" s="2">
        <v>-4.04</v>
      </c>
      <c r="D7746" s="2">
        <v>1.66E-2</v>
      </c>
      <c r="E7746" s="2">
        <v>-6.7064000000000002E-4</v>
      </c>
      <c r="F7746" s="2" t="s">
        <v>7</v>
      </c>
    </row>
    <row r="7747" spans="1:6" ht="22.5" hidden="1" customHeight="1" x14ac:dyDescent="0.25">
      <c r="A7747" s="3">
        <v>44501</v>
      </c>
      <c r="B7747" s="2" t="s">
        <v>45</v>
      </c>
      <c r="C7747" s="2">
        <v>-1.25</v>
      </c>
      <c r="D7747" s="2">
        <v>1.5100000000000001E-2</v>
      </c>
      <c r="E7747" s="2">
        <v>-1.8875000000000001E-4</v>
      </c>
      <c r="F7747" s="2" t="s">
        <v>7</v>
      </c>
    </row>
    <row r="7748" spans="1:6" ht="22.5" hidden="1" customHeight="1" x14ac:dyDescent="0.25">
      <c r="A7748" s="3">
        <v>44501</v>
      </c>
      <c r="B7748" s="2" t="s">
        <v>46</v>
      </c>
      <c r="C7748" s="2">
        <v>-0.74</v>
      </c>
      <c r="D7748" s="2">
        <v>1E-3</v>
      </c>
      <c r="E7748" s="2">
        <v>-7.4000000000000003E-6</v>
      </c>
      <c r="F7748" s="2" t="s">
        <v>7</v>
      </c>
    </row>
    <row r="7749" spans="1:6" ht="22.5" hidden="1" customHeight="1" x14ac:dyDescent="0.25">
      <c r="A7749" s="3">
        <v>44501</v>
      </c>
      <c r="B7749" s="2" t="s">
        <v>47</v>
      </c>
      <c r="C7749" s="2">
        <v>-3.01</v>
      </c>
      <c r="D7749" s="2">
        <v>8.7900000000000006E-2</v>
      </c>
      <c r="E7749" s="2">
        <v>-2.6457899999999999E-3</v>
      </c>
      <c r="F7749" s="2" t="s">
        <v>7</v>
      </c>
    </row>
    <row r="7750" spans="1:6" ht="22.5" hidden="1" customHeight="1" x14ac:dyDescent="0.25">
      <c r="A7750" s="3">
        <v>44501</v>
      </c>
      <c r="B7750" s="2" t="s">
        <v>48</v>
      </c>
      <c r="C7750" s="2">
        <v>1.72</v>
      </c>
      <c r="D7750" s="2">
        <v>3.7000000000000002E-3</v>
      </c>
      <c r="E7750" s="2">
        <v>6.3639999999999994E-5</v>
      </c>
      <c r="F7750" s="2" t="s">
        <v>7</v>
      </c>
    </row>
    <row r="7751" spans="1:6" ht="22.5" hidden="1" customHeight="1" x14ac:dyDescent="0.25">
      <c r="A7751" s="3">
        <v>44501</v>
      </c>
      <c r="B7751" s="2" t="s">
        <v>49</v>
      </c>
      <c r="C7751" s="2">
        <v>-4.6399999999999997</v>
      </c>
      <c r="D7751" s="2">
        <v>0.16</v>
      </c>
      <c r="E7751" s="2">
        <v>-7.424E-3</v>
      </c>
      <c r="F7751" s="2" t="s">
        <v>7</v>
      </c>
    </row>
    <row r="7752" spans="1:6" ht="22.5" hidden="1" customHeight="1" x14ac:dyDescent="0.25">
      <c r="A7752" s="3">
        <v>44501</v>
      </c>
      <c r="B7752" s="2" t="s">
        <v>50</v>
      </c>
      <c r="C7752" s="2">
        <v>4.04</v>
      </c>
      <c r="D7752" s="2">
        <v>3.8E-3</v>
      </c>
      <c r="E7752" s="2">
        <v>1.5352000000000001E-4</v>
      </c>
      <c r="F7752" s="2" t="s">
        <v>7</v>
      </c>
    </row>
    <row r="7753" spans="1:6" ht="22.5" hidden="1" customHeight="1" x14ac:dyDescent="0.25">
      <c r="A7753" s="3">
        <v>44501</v>
      </c>
      <c r="B7753" s="2" t="s">
        <v>51</v>
      </c>
      <c r="C7753" s="2">
        <v>23.73</v>
      </c>
      <c r="D7753" s="2">
        <v>5.7999999999999996E-3</v>
      </c>
      <c r="E7753" s="2">
        <v>1.37634E-3</v>
      </c>
      <c r="F7753" s="2" t="s">
        <v>7</v>
      </c>
    </row>
    <row r="7754" spans="1:6" ht="22.5" hidden="1" customHeight="1" x14ac:dyDescent="0.25">
      <c r="A7754" s="3">
        <v>44501</v>
      </c>
      <c r="B7754" s="2" t="s">
        <v>52</v>
      </c>
      <c r="C7754" s="2">
        <v>-7.96</v>
      </c>
      <c r="D7754" s="2">
        <v>2.7900000000000001E-2</v>
      </c>
      <c r="E7754" s="2">
        <v>-2.22084E-3</v>
      </c>
      <c r="F7754" s="2" t="s">
        <v>7</v>
      </c>
    </row>
    <row r="7755" spans="1:6" ht="22.5" hidden="1" customHeight="1" x14ac:dyDescent="0.25">
      <c r="A7755" s="3">
        <v>44501</v>
      </c>
      <c r="B7755" s="2" t="s">
        <v>53</v>
      </c>
      <c r="C7755" s="2">
        <v>1.82</v>
      </c>
      <c r="D7755" s="2">
        <v>0.13159999999999999</v>
      </c>
      <c r="E7755" s="2">
        <v>2.3951200000000001E-3</v>
      </c>
      <c r="F7755" s="2" t="s">
        <v>7</v>
      </c>
    </row>
    <row r="7756" spans="1:6" ht="22.5" hidden="1" customHeight="1" x14ac:dyDescent="0.25">
      <c r="A7756" s="3">
        <v>44501</v>
      </c>
      <c r="B7756" s="2" t="s">
        <v>54</v>
      </c>
      <c r="C7756" s="2">
        <v>-9.94</v>
      </c>
      <c r="D7756" s="2">
        <v>0.1026</v>
      </c>
      <c r="E7756" s="2">
        <v>-1.019844E-2</v>
      </c>
      <c r="F7756" s="2" t="s">
        <v>7</v>
      </c>
    </row>
    <row r="7757" spans="1:6" ht="22.5" hidden="1" customHeight="1" x14ac:dyDescent="0.25">
      <c r="A7757" s="3">
        <v>44501</v>
      </c>
      <c r="B7757" s="2" t="s">
        <v>55</v>
      </c>
      <c r="C7757" s="2">
        <v>-4.7</v>
      </c>
      <c r="D7757" s="2">
        <v>5.6000000000000001E-2</v>
      </c>
      <c r="E7757" s="2">
        <v>-2.6319999999999998E-3</v>
      </c>
      <c r="F7757" s="2" t="s">
        <v>7</v>
      </c>
    </row>
    <row r="7758" spans="1:6" ht="22.5" hidden="1" customHeight="1" x14ac:dyDescent="0.25">
      <c r="A7758" s="3">
        <v>44501</v>
      </c>
      <c r="B7758" s="2" t="s">
        <v>56</v>
      </c>
      <c r="C7758" s="2">
        <v>6.4</v>
      </c>
      <c r="D7758" s="2">
        <v>6.4000000000000003E-3</v>
      </c>
      <c r="E7758" s="2">
        <v>4.0959999999999998E-4</v>
      </c>
      <c r="F7758" s="2" t="s">
        <v>7</v>
      </c>
    </row>
    <row r="7759" spans="1:6" ht="22.5" hidden="1" customHeight="1" x14ac:dyDescent="0.25">
      <c r="A7759" s="3">
        <v>44501</v>
      </c>
      <c r="B7759" s="2" t="s">
        <v>57</v>
      </c>
      <c r="C7759" s="2">
        <v>-0.5</v>
      </c>
      <c r="D7759" s="2">
        <v>2.93E-2</v>
      </c>
      <c r="E7759" s="2">
        <v>-1.4650000000000001E-4</v>
      </c>
      <c r="F7759" s="2" t="s">
        <v>7</v>
      </c>
    </row>
    <row r="7760" spans="1:6" ht="22.5" hidden="1" customHeight="1" x14ac:dyDescent="0.25">
      <c r="A7760" s="3">
        <v>44501</v>
      </c>
      <c r="B7760" s="2" t="s">
        <v>58</v>
      </c>
      <c r="C7760" s="2">
        <v>-2.67</v>
      </c>
      <c r="D7760" s="2">
        <v>1.7399999999999999E-2</v>
      </c>
      <c r="E7760" s="2">
        <v>-4.6457999999999997E-4</v>
      </c>
      <c r="F7760" s="2" t="s">
        <v>7</v>
      </c>
    </row>
    <row r="7761" spans="1:6" ht="22.5" hidden="1" customHeight="1" x14ac:dyDescent="0.25">
      <c r="A7761" s="3">
        <v>44501</v>
      </c>
      <c r="B7761" s="2" t="s">
        <v>59</v>
      </c>
      <c r="C7761" s="2">
        <v>-1.03</v>
      </c>
      <c r="D7761" s="2">
        <v>2.4299999999999999E-2</v>
      </c>
      <c r="E7761" s="2">
        <v>-2.5029000000000002E-4</v>
      </c>
      <c r="F7761" s="2" t="s">
        <v>7</v>
      </c>
    </row>
    <row r="7762" spans="1:6" ht="22.5" hidden="1" customHeight="1" x14ac:dyDescent="0.25">
      <c r="A7762" s="3">
        <v>44501</v>
      </c>
      <c r="B7762" s="2" t="s">
        <v>60</v>
      </c>
      <c r="C7762" s="2">
        <v>10.25</v>
      </c>
      <c r="D7762" s="2">
        <v>3.2099999999999997E-2</v>
      </c>
      <c r="E7762" s="2">
        <v>3.2902500000000002E-3</v>
      </c>
      <c r="F7762" s="2" t="s">
        <v>7</v>
      </c>
    </row>
    <row r="7763" spans="1:6" ht="22.5" hidden="1" customHeight="1" x14ac:dyDescent="0.25">
      <c r="A7763" s="3">
        <v>44501</v>
      </c>
      <c r="B7763" s="2" t="s">
        <v>61</v>
      </c>
      <c r="C7763" s="2">
        <v>-1.69</v>
      </c>
      <c r="D7763" s="2">
        <v>6.9699999999999998E-2</v>
      </c>
      <c r="E7763" s="2">
        <v>-1.17793E-3</v>
      </c>
      <c r="F7763" s="2" t="s">
        <v>7</v>
      </c>
    </row>
    <row r="7764" spans="1:6" ht="22.5" hidden="1" customHeight="1" x14ac:dyDescent="0.25">
      <c r="A7764" s="3">
        <v>44501</v>
      </c>
      <c r="B7764" s="2" t="s">
        <v>62</v>
      </c>
      <c r="C7764" s="2">
        <v>3.05</v>
      </c>
      <c r="D7764" s="2">
        <v>9.8199999999999996E-2</v>
      </c>
      <c r="E7764" s="2">
        <v>2.9951000000000001E-3</v>
      </c>
      <c r="F7764" s="2" t="s">
        <v>7</v>
      </c>
    </row>
    <row r="7765" spans="1:6" ht="22.5" hidden="1" customHeight="1" x14ac:dyDescent="0.25">
      <c r="A7765" s="3">
        <v>44501</v>
      </c>
      <c r="B7765" s="2" t="s">
        <v>63</v>
      </c>
      <c r="C7765" s="2">
        <v>-0.82</v>
      </c>
      <c r="D7765" s="2">
        <v>7.9000000000000008E-3</v>
      </c>
      <c r="E7765" s="2">
        <v>-6.478E-5</v>
      </c>
      <c r="F7765" s="2" t="s">
        <v>7</v>
      </c>
    </row>
    <row r="7766" spans="1:6" ht="22.5" hidden="1" customHeight="1" x14ac:dyDescent="0.25">
      <c r="A7766" s="3">
        <v>44501</v>
      </c>
      <c r="B7766" s="2" t="s">
        <v>64</v>
      </c>
      <c r="C7766" s="2">
        <v>1.19</v>
      </c>
      <c r="D7766" s="2">
        <v>4.1999999999999997E-3</v>
      </c>
      <c r="E7766" s="2">
        <v>4.9979999999999999E-5</v>
      </c>
      <c r="F7766" s="2" t="s">
        <v>7</v>
      </c>
    </row>
    <row r="7767" spans="1:6" ht="22.5" hidden="1" customHeight="1" x14ac:dyDescent="0.25">
      <c r="A7767" s="3">
        <v>44501</v>
      </c>
      <c r="B7767" s="2" t="s">
        <v>65</v>
      </c>
      <c r="C7767" s="2">
        <v>0.67</v>
      </c>
      <c r="D7767" s="2">
        <v>2.2200000000000001E-2</v>
      </c>
      <c r="E7767" s="2">
        <v>1.4873999999999999E-4</v>
      </c>
      <c r="F7767" s="2" t="s">
        <v>7</v>
      </c>
    </row>
    <row r="7768" spans="1:6" ht="22.5" hidden="1" customHeight="1" x14ac:dyDescent="0.25">
      <c r="A7768" s="3">
        <v>44501</v>
      </c>
      <c r="B7768" s="2" t="s">
        <v>66</v>
      </c>
      <c r="C7768" s="2">
        <v>-1.46</v>
      </c>
      <c r="D7768" s="2">
        <v>0.3644</v>
      </c>
      <c r="E7768" s="2">
        <v>-5.3202400000000004E-3</v>
      </c>
      <c r="F7768" s="2" t="s">
        <v>7</v>
      </c>
    </row>
    <row r="7769" spans="1:6" ht="22.5" hidden="1" customHeight="1" x14ac:dyDescent="0.25">
      <c r="A7769" s="3">
        <v>44501</v>
      </c>
      <c r="B7769" s="2" t="s">
        <v>67</v>
      </c>
      <c r="C7769" s="2">
        <v>-0.28999999999999998</v>
      </c>
      <c r="D7769" s="2">
        <v>3.8E-3</v>
      </c>
      <c r="E7769" s="2">
        <v>-1.102E-5</v>
      </c>
      <c r="F7769" s="2" t="s">
        <v>7</v>
      </c>
    </row>
    <row r="7770" spans="1:6" ht="22.5" hidden="1" customHeight="1" x14ac:dyDescent="0.25">
      <c r="A7770" s="3">
        <v>44501</v>
      </c>
      <c r="B7770" s="2" t="s">
        <v>68</v>
      </c>
      <c r="C7770" s="2">
        <v>2.78</v>
      </c>
      <c r="D7770" s="2">
        <v>1.15E-2</v>
      </c>
      <c r="E7770" s="2">
        <v>3.1970000000000002E-4</v>
      </c>
      <c r="F7770" s="2" t="s">
        <v>7</v>
      </c>
    </row>
    <row r="7771" spans="1:6" ht="22.5" hidden="1" customHeight="1" x14ac:dyDescent="0.25">
      <c r="A7771" s="3">
        <v>44501</v>
      </c>
      <c r="B7771" s="2" t="s">
        <v>69</v>
      </c>
      <c r="C7771" s="2">
        <v>-0.37</v>
      </c>
      <c r="D7771" s="2">
        <v>0.49349999999999999</v>
      </c>
      <c r="E7771" s="2">
        <v>-1.82595E-3</v>
      </c>
      <c r="F7771" s="2" t="s">
        <v>7</v>
      </c>
    </row>
    <row r="7772" spans="1:6" ht="22.5" hidden="1" customHeight="1" x14ac:dyDescent="0.25">
      <c r="A7772" s="3">
        <v>44501</v>
      </c>
      <c r="B7772" s="2" t="s">
        <v>70</v>
      </c>
      <c r="C7772" s="2">
        <v>5.19</v>
      </c>
      <c r="D7772" s="2">
        <v>2.81E-2</v>
      </c>
      <c r="E7772" s="2">
        <v>1.4583899999999999E-3</v>
      </c>
      <c r="F7772" s="2" t="s">
        <v>7</v>
      </c>
    </row>
    <row r="7773" spans="1:6" ht="22.5" hidden="1" customHeight="1" x14ac:dyDescent="0.25">
      <c r="A7773" s="3">
        <v>44501</v>
      </c>
      <c r="B7773" s="2" t="s">
        <v>71</v>
      </c>
      <c r="C7773" s="2">
        <v>0.72</v>
      </c>
      <c r="D7773" s="2">
        <v>0.34560000000000002</v>
      </c>
      <c r="E7773" s="2">
        <v>2.48832E-3</v>
      </c>
      <c r="F7773" s="2" t="s">
        <v>7</v>
      </c>
    </row>
    <row r="7774" spans="1:6" ht="22.5" hidden="1" customHeight="1" x14ac:dyDescent="0.25">
      <c r="A7774" s="3">
        <v>44501</v>
      </c>
      <c r="B7774" s="2" t="s">
        <v>72</v>
      </c>
      <c r="C7774" s="2">
        <v>1.2</v>
      </c>
      <c r="D7774" s="2">
        <v>0.371</v>
      </c>
      <c r="E7774" s="2">
        <v>4.4520000000000002E-3</v>
      </c>
      <c r="F7774" s="2" t="s">
        <v>7</v>
      </c>
    </row>
    <row r="7775" spans="1:6" ht="22.5" hidden="1" customHeight="1" x14ac:dyDescent="0.25">
      <c r="A7775" s="3">
        <v>44501</v>
      </c>
      <c r="B7775" s="2" t="s">
        <v>73</v>
      </c>
      <c r="C7775" s="2">
        <v>0.49</v>
      </c>
      <c r="D7775" s="2">
        <v>0.18579999999999999</v>
      </c>
      <c r="E7775" s="2">
        <v>9.1042E-4</v>
      </c>
      <c r="F7775" s="2" t="s">
        <v>7</v>
      </c>
    </row>
    <row r="7776" spans="1:6" ht="22.5" hidden="1" customHeight="1" x14ac:dyDescent="0.25">
      <c r="A7776" s="3">
        <v>44501</v>
      </c>
      <c r="B7776" s="2" t="s">
        <v>74</v>
      </c>
      <c r="C7776" s="2">
        <v>-0.28000000000000003</v>
      </c>
      <c r="D7776" s="2">
        <v>9.7999999999999997E-3</v>
      </c>
      <c r="E7776" s="2">
        <v>-2.7440000000000002E-5</v>
      </c>
      <c r="F7776" s="2" t="s">
        <v>7</v>
      </c>
    </row>
    <row r="7777" spans="1:6" ht="22.5" hidden="1" customHeight="1" x14ac:dyDescent="0.25">
      <c r="A7777" s="3">
        <v>44501</v>
      </c>
      <c r="B7777" s="2" t="s">
        <v>75</v>
      </c>
      <c r="C7777" s="2">
        <v>0.25</v>
      </c>
      <c r="D7777" s="2">
        <v>8.1699999999999995E-2</v>
      </c>
      <c r="E7777" s="2">
        <v>2.0425E-4</v>
      </c>
      <c r="F7777" s="2" t="s">
        <v>7</v>
      </c>
    </row>
    <row r="7778" spans="1:6" ht="22.5" hidden="1" customHeight="1" x14ac:dyDescent="0.25">
      <c r="A7778" s="3">
        <v>44501</v>
      </c>
      <c r="B7778" s="2" t="s">
        <v>76</v>
      </c>
      <c r="C7778" s="2">
        <v>-2.85</v>
      </c>
      <c r="D7778" s="2">
        <v>0.17560000000000001</v>
      </c>
      <c r="E7778" s="2">
        <v>-5.0045999999999997E-3</v>
      </c>
      <c r="F7778" s="2" t="s">
        <v>7</v>
      </c>
    </row>
    <row r="7779" spans="1:6" ht="22.5" hidden="1" customHeight="1" x14ac:dyDescent="0.25">
      <c r="A7779" s="3">
        <v>44501</v>
      </c>
      <c r="B7779" s="2" t="s">
        <v>77</v>
      </c>
      <c r="C7779" s="2">
        <v>-5</v>
      </c>
      <c r="D7779" s="2">
        <v>0.11890000000000001</v>
      </c>
      <c r="E7779" s="2">
        <v>-5.9449999999999998E-3</v>
      </c>
      <c r="F7779" s="2" t="s">
        <v>7</v>
      </c>
    </row>
    <row r="7780" spans="1:6" ht="22.5" hidden="1" customHeight="1" x14ac:dyDescent="0.25">
      <c r="A7780" s="3">
        <v>44501</v>
      </c>
      <c r="B7780" s="2" t="s">
        <v>78</v>
      </c>
      <c r="C7780" s="2">
        <v>-6.21</v>
      </c>
      <c r="D7780" s="2">
        <v>0.31640000000000001</v>
      </c>
      <c r="E7780" s="2">
        <v>-1.964844E-2</v>
      </c>
      <c r="F7780" s="2" t="s">
        <v>7</v>
      </c>
    </row>
    <row r="7781" spans="1:6" ht="22.5" hidden="1" customHeight="1" x14ac:dyDescent="0.25">
      <c r="A7781" s="3">
        <v>44501</v>
      </c>
      <c r="B7781" s="2" t="s">
        <v>79</v>
      </c>
      <c r="C7781" s="2">
        <v>-0.28000000000000003</v>
      </c>
      <c r="D7781" s="2">
        <v>1.18E-2</v>
      </c>
      <c r="E7781" s="2">
        <v>-3.3040000000000002E-5</v>
      </c>
      <c r="F7781" s="2" t="s">
        <v>7</v>
      </c>
    </row>
    <row r="7782" spans="1:6" ht="22.5" hidden="1" customHeight="1" x14ac:dyDescent="0.25">
      <c r="A7782" s="3">
        <v>44501</v>
      </c>
      <c r="B7782" s="2" t="s">
        <v>80</v>
      </c>
      <c r="C7782" s="2">
        <v>1.49</v>
      </c>
      <c r="D7782" s="2">
        <v>3.5799999999999998E-2</v>
      </c>
      <c r="E7782" s="2">
        <v>5.3342000000000005E-4</v>
      </c>
      <c r="F7782" s="2" t="s">
        <v>7</v>
      </c>
    </row>
    <row r="7783" spans="1:6" ht="22.5" hidden="1" customHeight="1" x14ac:dyDescent="0.25">
      <c r="A7783" s="3">
        <v>44501</v>
      </c>
      <c r="B7783" s="2" t="s">
        <v>81</v>
      </c>
      <c r="C7783" s="2">
        <v>-2.06</v>
      </c>
      <c r="D7783" s="2">
        <v>0.38700000000000001</v>
      </c>
      <c r="E7783" s="2">
        <v>-7.9722000000000005E-3</v>
      </c>
      <c r="F7783" s="2" t="s">
        <v>7</v>
      </c>
    </row>
    <row r="7784" spans="1:6" ht="22.5" hidden="1" customHeight="1" x14ac:dyDescent="0.25">
      <c r="A7784" s="3">
        <v>44501</v>
      </c>
      <c r="B7784" s="2" t="s">
        <v>82</v>
      </c>
      <c r="C7784" s="2">
        <v>1.23</v>
      </c>
      <c r="D7784" s="2">
        <v>4.6399999999999997E-2</v>
      </c>
      <c r="E7784" s="2">
        <v>5.7072000000000004E-4</v>
      </c>
      <c r="F7784" s="2" t="s">
        <v>7</v>
      </c>
    </row>
    <row r="7785" spans="1:6" ht="22.5" hidden="1" customHeight="1" x14ac:dyDescent="0.25">
      <c r="A7785" s="3">
        <v>44501</v>
      </c>
      <c r="B7785" s="2" t="s">
        <v>83</v>
      </c>
      <c r="C7785" s="2">
        <v>-3.51</v>
      </c>
      <c r="D7785" s="2">
        <v>6.9999999999999999E-4</v>
      </c>
      <c r="E7785" s="2">
        <v>-2.457E-5</v>
      </c>
      <c r="F7785" s="2" t="s">
        <v>7</v>
      </c>
    </row>
    <row r="7786" spans="1:6" ht="22.5" hidden="1" customHeight="1" x14ac:dyDescent="0.25">
      <c r="A7786" s="3">
        <v>44501</v>
      </c>
      <c r="B7786" s="2" t="s">
        <v>84</v>
      </c>
      <c r="C7786" s="2">
        <v>-0.17</v>
      </c>
      <c r="D7786" s="2">
        <v>2.18E-2</v>
      </c>
      <c r="E7786" s="2">
        <v>-3.7060000000000001E-5</v>
      </c>
      <c r="F7786" s="2" t="s">
        <v>7</v>
      </c>
    </row>
    <row r="7787" spans="1:6" ht="22.5" hidden="1" customHeight="1" x14ac:dyDescent="0.25">
      <c r="A7787" s="3">
        <v>44501</v>
      </c>
      <c r="B7787" s="2" t="s">
        <v>85</v>
      </c>
      <c r="C7787" s="2">
        <v>0.01</v>
      </c>
      <c r="D7787" s="2">
        <v>5.4000000000000003E-3</v>
      </c>
      <c r="E7787" s="2">
        <v>5.4000000000000002E-7</v>
      </c>
      <c r="F7787" s="2" t="s">
        <v>7</v>
      </c>
    </row>
    <row r="7788" spans="1:6" ht="22.5" hidden="1" customHeight="1" x14ac:dyDescent="0.25">
      <c r="A7788" s="3">
        <v>44501</v>
      </c>
      <c r="B7788" s="2" t="s">
        <v>86</v>
      </c>
      <c r="C7788" s="2">
        <v>-0.52</v>
      </c>
      <c r="D7788" s="2">
        <v>2.35E-2</v>
      </c>
      <c r="E7788" s="2">
        <v>-1.2219999999999999E-4</v>
      </c>
      <c r="F7788" s="2" t="s">
        <v>7</v>
      </c>
    </row>
    <row r="7789" spans="1:6" ht="22.5" hidden="1" customHeight="1" x14ac:dyDescent="0.25">
      <c r="A7789" s="3">
        <v>44501</v>
      </c>
      <c r="B7789" s="2" t="s">
        <v>87</v>
      </c>
      <c r="C7789" s="2">
        <v>1.03</v>
      </c>
      <c r="D7789" s="2">
        <v>1.1000000000000001E-3</v>
      </c>
      <c r="E7789" s="2">
        <v>1.133E-5</v>
      </c>
      <c r="F7789" s="2" t="s">
        <v>7</v>
      </c>
    </row>
    <row r="7790" spans="1:6" ht="22.5" hidden="1" customHeight="1" x14ac:dyDescent="0.25">
      <c r="A7790" s="3">
        <v>44501</v>
      </c>
      <c r="B7790" s="2" t="s">
        <v>88</v>
      </c>
      <c r="C7790" s="2">
        <v>0.5</v>
      </c>
      <c r="D7790" s="2">
        <v>6.4999999999999997E-3</v>
      </c>
      <c r="E7790" s="2">
        <v>3.2499999999999997E-5</v>
      </c>
      <c r="F7790" s="2" t="s">
        <v>7</v>
      </c>
    </row>
    <row r="7791" spans="1:6" ht="22.5" hidden="1" customHeight="1" x14ac:dyDescent="0.25">
      <c r="A7791" s="3">
        <v>44501</v>
      </c>
      <c r="B7791" s="2" t="s">
        <v>89</v>
      </c>
      <c r="C7791" s="2">
        <v>0.32</v>
      </c>
      <c r="D7791" s="2">
        <v>1.7299999999999999E-2</v>
      </c>
      <c r="E7791" s="2">
        <v>5.5359999999999999E-5</v>
      </c>
      <c r="F7791" s="2" t="s">
        <v>7</v>
      </c>
    </row>
    <row r="7792" spans="1:6" ht="22.5" hidden="1" customHeight="1" x14ac:dyDescent="0.25">
      <c r="A7792" s="3">
        <v>44501</v>
      </c>
      <c r="B7792" s="2" t="s">
        <v>90</v>
      </c>
      <c r="C7792" s="2">
        <v>4.91</v>
      </c>
      <c r="D7792" s="2">
        <v>1.6000000000000001E-3</v>
      </c>
      <c r="E7792" s="2">
        <v>7.8560000000000007E-5</v>
      </c>
      <c r="F7792" s="2" t="s">
        <v>7</v>
      </c>
    </row>
    <row r="7793" spans="1:6" ht="22.5" hidden="1" customHeight="1" x14ac:dyDescent="0.25">
      <c r="A7793" s="3">
        <v>44501</v>
      </c>
      <c r="B7793" s="2" t="s">
        <v>91</v>
      </c>
      <c r="C7793" s="2">
        <v>1.27</v>
      </c>
      <c r="D7793" s="2">
        <v>2.4299999999999999E-2</v>
      </c>
      <c r="E7793" s="2">
        <v>3.0861000000000001E-4</v>
      </c>
      <c r="F7793" s="2" t="s">
        <v>7</v>
      </c>
    </row>
    <row r="7794" spans="1:6" ht="22.5" hidden="1" customHeight="1" x14ac:dyDescent="0.25">
      <c r="A7794" s="3">
        <v>44501</v>
      </c>
      <c r="B7794" s="2" t="s">
        <v>92</v>
      </c>
      <c r="C7794" s="2">
        <v>0</v>
      </c>
      <c r="D7794" s="2">
        <v>5.0000000000000001E-3</v>
      </c>
      <c r="E7794" s="2">
        <v>0</v>
      </c>
      <c r="F7794" s="2" t="s">
        <v>7</v>
      </c>
    </row>
    <row r="7795" spans="1:6" ht="22.5" hidden="1" customHeight="1" x14ac:dyDescent="0.25">
      <c r="A7795" s="3">
        <v>44501</v>
      </c>
      <c r="B7795" s="2" t="s">
        <v>93</v>
      </c>
      <c r="C7795" s="2">
        <v>0.01</v>
      </c>
      <c r="D7795" s="2">
        <v>1.1000000000000001E-3</v>
      </c>
      <c r="E7795" s="2">
        <v>1.1000000000000001E-7</v>
      </c>
      <c r="F7795" s="2" t="s">
        <v>7</v>
      </c>
    </row>
    <row r="7796" spans="1:6" ht="22.5" hidden="1" customHeight="1" x14ac:dyDescent="0.25">
      <c r="A7796" s="3">
        <v>44501</v>
      </c>
      <c r="B7796" s="2" t="s">
        <v>94</v>
      </c>
      <c r="C7796" s="2">
        <v>2.5</v>
      </c>
      <c r="D7796" s="2">
        <v>8.9999999999999998E-4</v>
      </c>
      <c r="E7796" s="2">
        <v>2.2500000000000001E-5</v>
      </c>
      <c r="F7796" s="2" t="s">
        <v>7</v>
      </c>
    </row>
    <row r="7797" spans="1:6" ht="22.5" hidden="1" customHeight="1" x14ac:dyDescent="0.25">
      <c r="A7797" s="3">
        <v>44501</v>
      </c>
      <c r="B7797" s="2" t="s">
        <v>95</v>
      </c>
      <c r="C7797" s="2">
        <v>-1.2</v>
      </c>
      <c r="D7797" s="2">
        <v>1.6199999999999999E-2</v>
      </c>
      <c r="E7797" s="2">
        <v>-1.9440000000000001E-4</v>
      </c>
      <c r="F7797" s="2" t="s">
        <v>7</v>
      </c>
    </row>
    <row r="7798" spans="1:6" ht="22.5" hidden="1" customHeight="1" x14ac:dyDescent="0.25">
      <c r="A7798" s="3">
        <v>44501</v>
      </c>
      <c r="B7798" s="2" t="s">
        <v>96</v>
      </c>
      <c r="C7798" s="2">
        <v>0.06</v>
      </c>
      <c r="D7798" s="2">
        <v>4.82E-2</v>
      </c>
      <c r="E7798" s="2">
        <v>2.8920000000000001E-5</v>
      </c>
      <c r="F7798" s="2" t="s">
        <v>7</v>
      </c>
    </row>
    <row r="7799" spans="1:6" ht="22.5" hidden="1" customHeight="1" x14ac:dyDescent="0.25">
      <c r="A7799" s="3">
        <v>44501</v>
      </c>
      <c r="B7799" s="2" t="s">
        <v>97</v>
      </c>
      <c r="C7799" s="2">
        <v>0.81</v>
      </c>
      <c r="D7799" s="2">
        <v>1.03E-2</v>
      </c>
      <c r="E7799" s="2">
        <v>8.3430000000000006E-5</v>
      </c>
      <c r="F7799" s="2" t="s">
        <v>7</v>
      </c>
    </row>
    <row r="7800" spans="1:6" ht="22.5" hidden="1" customHeight="1" x14ac:dyDescent="0.25">
      <c r="A7800" s="3">
        <v>44501</v>
      </c>
      <c r="B7800" s="2" t="s">
        <v>98</v>
      </c>
      <c r="C7800" s="2">
        <v>1.23</v>
      </c>
      <c r="D7800" s="2">
        <v>6.0000000000000001E-3</v>
      </c>
      <c r="E7800" s="2">
        <v>7.3800000000000005E-5</v>
      </c>
      <c r="F7800" s="2" t="s">
        <v>7</v>
      </c>
    </row>
    <row r="7801" spans="1:6" ht="22.5" hidden="1" customHeight="1" x14ac:dyDescent="0.25">
      <c r="A7801" s="3">
        <v>44501</v>
      </c>
      <c r="B7801" s="2" t="s">
        <v>99</v>
      </c>
      <c r="C7801" s="2">
        <v>0.82</v>
      </c>
      <c r="D7801" s="2">
        <v>3.3999999999999998E-3</v>
      </c>
      <c r="E7801" s="2">
        <v>2.7880000000000001E-5</v>
      </c>
      <c r="F7801" s="2" t="s">
        <v>7</v>
      </c>
    </row>
    <row r="7802" spans="1:6" ht="22.5" hidden="1" customHeight="1" x14ac:dyDescent="0.25">
      <c r="A7802" s="3">
        <v>44501</v>
      </c>
      <c r="B7802" s="2" t="s">
        <v>100</v>
      </c>
      <c r="C7802" s="2">
        <v>0.31</v>
      </c>
      <c r="D7802" s="2">
        <v>6.9999999999999999E-4</v>
      </c>
      <c r="E7802" s="2">
        <v>2.17E-6</v>
      </c>
      <c r="F7802" s="2" t="s">
        <v>7</v>
      </c>
    </row>
    <row r="7803" spans="1:6" ht="22.5" hidden="1" customHeight="1" x14ac:dyDescent="0.25">
      <c r="A7803" s="3">
        <v>44501</v>
      </c>
      <c r="B7803" s="2" t="s">
        <v>101</v>
      </c>
      <c r="C7803" s="2">
        <v>-0.72</v>
      </c>
      <c r="D7803" s="2">
        <v>0.1004</v>
      </c>
      <c r="E7803" s="2">
        <v>-7.2287999999999996E-4</v>
      </c>
      <c r="F7803" s="2" t="s">
        <v>7</v>
      </c>
    </row>
    <row r="7804" spans="1:6" ht="22.5" hidden="1" customHeight="1" x14ac:dyDescent="0.25">
      <c r="A7804" s="3">
        <v>44501</v>
      </c>
      <c r="B7804" s="2" t="s">
        <v>102</v>
      </c>
      <c r="C7804" s="2">
        <v>-1.61</v>
      </c>
      <c r="D7804" s="2">
        <v>4.7300000000000002E-2</v>
      </c>
      <c r="E7804" s="2">
        <v>-7.6152999999999995E-4</v>
      </c>
      <c r="F7804" s="2" t="s">
        <v>7</v>
      </c>
    </row>
    <row r="7805" spans="1:6" ht="22.5" hidden="1" customHeight="1" x14ac:dyDescent="0.25">
      <c r="A7805" s="3">
        <v>44501</v>
      </c>
      <c r="B7805" s="2" t="s">
        <v>103</v>
      </c>
      <c r="C7805" s="2">
        <v>1.77</v>
      </c>
      <c r="D7805" s="2">
        <v>0.35899999999999999</v>
      </c>
      <c r="E7805" s="2">
        <v>6.3543000000000002E-3</v>
      </c>
      <c r="F7805" s="2" t="s">
        <v>7</v>
      </c>
    </row>
    <row r="7806" spans="1:6" ht="22.5" hidden="1" customHeight="1" x14ac:dyDescent="0.25">
      <c r="A7806" s="3">
        <v>44501</v>
      </c>
      <c r="B7806" s="2" t="s">
        <v>104</v>
      </c>
      <c r="C7806" s="2">
        <v>-0.57999999999999996</v>
      </c>
      <c r="D7806" s="2">
        <v>5.3800000000000001E-2</v>
      </c>
      <c r="E7806" s="2">
        <v>-3.1203999999999997E-4</v>
      </c>
      <c r="F7806" s="2" t="s">
        <v>7</v>
      </c>
    </row>
    <row r="7807" spans="1:6" ht="22.5" hidden="1" customHeight="1" x14ac:dyDescent="0.25">
      <c r="A7807" s="3">
        <v>44501</v>
      </c>
      <c r="B7807" s="2" t="s">
        <v>105</v>
      </c>
      <c r="C7807" s="2">
        <v>-3.08</v>
      </c>
      <c r="D7807" s="2">
        <v>9.1999999999999998E-3</v>
      </c>
      <c r="E7807" s="2">
        <v>-2.8336000000000002E-4</v>
      </c>
      <c r="F7807" s="2" t="s">
        <v>7</v>
      </c>
    </row>
    <row r="7808" spans="1:6" ht="22.5" hidden="1" customHeight="1" x14ac:dyDescent="0.25">
      <c r="A7808" s="3">
        <v>44501</v>
      </c>
      <c r="B7808" s="2" t="s">
        <v>106</v>
      </c>
      <c r="C7808" s="2">
        <v>1.68</v>
      </c>
      <c r="D7808" s="2">
        <v>8.2000000000000007E-3</v>
      </c>
      <c r="E7808" s="2">
        <v>1.3776000000000001E-4</v>
      </c>
      <c r="F7808" s="2" t="s">
        <v>7</v>
      </c>
    </row>
    <row r="7809" spans="1:6" ht="22.5" hidden="1" customHeight="1" x14ac:dyDescent="0.25">
      <c r="A7809" s="3">
        <v>44501</v>
      </c>
      <c r="B7809" s="2" t="s">
        <v>107</v>
      </c>
      <c r="C7809" s="2">
        <v>-0.99</v>
      </c>
      <c r="D7809" s="2">
        <v>0.1196</v>
      </c>
      <c r="E7809" s="2">
        <v>-1.1840399999999999E-3</v>
      </c>
      <c r="F7809" s="2" t="s">
        <v>7</v>
      </c>
    </row>
    <row r="7810" spans="1:6" ht="22.5" hidden="1" customHeight="1" x14ac:dyDescent="0.25">
      <c r="A7810" s="3">
        <v>44501</v>
      </c>
      <c r="B7810" s="2" t="s">
        <v>108</v>
      </c>
      <c r="C7810" s="2">
        <v>-2.42</v>
      </c>
      <c r="D7810" s="2">
        <v>7.6E-3</v>
      </c>
      <c r="E7810" s="2">
        <v>-1.8391999999999999E-4</v>
      </c>
      <c r="F7810" s="2" t="s">
        <v>7</v>
      </c>
    </row>
    <row r="7811" spans="1:6" ht="22.5" hidden="1" customHeight="1" x14ac:dyDescent="0.25">
      <c r="A7811" s="3">
        <v>44501</v>
      </c>
      <c r="B7811" s="2" t="s">
        <v>109</v>
      </c>
      <c r="C7811" s="2">
        <v>0.68</v>
      </c>
      <c r="D7811" s="2">
        <v>0.39029999999999998</v>
      </c>
      <c r="E7811" s="2">
        <v>2.6540399999999999E-3</v>
      </c>
      <c r="F7811" s="2" t="s">
        <v>7</v>
      </c>
    </row>
    <row r="7812" spans="1:6" ht="22.5" hidden="1" customHeight="1" x14ac:dyDescent="0.25">
      <c r="A7812" s="3">
        <v>44501</v>
      </c>
      <c r="B7812" s="2" t="s">
        <v>110</v>
      </c>
      <c r="C7812" s="2">
        <v>3.07</v>
      </c>
      <c r="D7812" s="2">
        <v>0.70389999999999997</v>
      </c>
      <c r="E7812" s="2">
        <v>2.1609730000000001E-2</v>
      </c>
      <c r="F7812" s="2" t="s">
        <v>7</v>
      </c>
    </row>
    <row r="7813" spans="1:6" ht="22.5" hidden="1" customHeight="1" x14ac:dyDescent="0.25">
      <c r="A7813" s="3">
        <v>44501</v>
      </c>
      <c r="B7813" s="2" t="s">
        <v>111</v>
      </c>
      <c r="C7813" s="2">
        <v>-0.15</v>
      </c>
      <c r="D7813" s="2">
        <v>0.24679999999999999</v>
      </c>
      <c r="E7813" s="2">
        <v>-3.702E-4</v>
      </c>
      <c r="F7813" s="2" t="s">
        <v>7</v>
      </c>
    </row>
    <row r="7814" spans="1:6" ht="22.5" hidden="1" customHeight="1" x14ac:dyDescent="0.25">
      <c r="A7814" s="3">
        <v>44501</v>
      </c>
      <c r="B7814" s="2" t="s">
        <v>112</v>
      </c>
      <c r="C7814" s="2">
        <v>-3.97</v>
      </c>
      <c r="D7814" s="2">
        <v>0.73409999999999997</v>
      </c>
      <c r="E7814" s="2">
        <v>-2.9143769999999999E-2</v>
      </c>
      <c r="F7814" s="2" t="s">
        <v>7</v>
      </c>
    </row>
    <row r="7815" spans="1:6" ht="22.5" hidden="1" customHeight="1" x14ac:dyDescent="0.25">
      <c r="A7815" s="3">
        <v>44501</v>
      </c>
      <c r="B7815" s="2" t="s">
        <v>113</v>
      </c>
      <c r="C7815" s="2">
        <v>0.36</v>
      </c>
      <c r="D7815" s="2">
        <v>2.0899999999999998E-2</v>
      </c>
      <c r="E7815" s="2">
        <v>7.5240000000000005E-5</v>
      </c>
      <c r="F7815" s="2" t="s">
        <v>7</v>
      </c>
    </row>
    <row r="7816" spans="1:6" ht="22.5" hidden="1" customHeight="1" x14ac:dyDescent="0.25">
      <c r="A7816" s="3">
        <v>44501</v>
      </c>
      <c r="B7816" s="2" t="s">
        <v>114</v>
      </c>
      <c r="C7816" s="2">
        <v>1.27</v>
      </c>
      <c r="D7816" s="2">
        <v>0.20119999999999999</v>
      </c>
      <c r="E7816" s="2">
        <v>2.5552399999999999E-3</v>
      </c>
      <c r="F7816" s="2" t="s">
        <v>7</v>
      </c>
    </row>
    <row r="7817" spans="1:6" ht="22.5" hidden="1" customHeight="1" x14ac:dyDescent="0.25">
      <c r="A7817" s="3">
        <v>44501</v>
      </c>
      <c r="B7817" s="2" t="s">
        <v>115</v>
      </c>
      <c r="C7817" s="2">
        <v>2.88</v>
      </c>
      <c r="D7817" s="2">
        <v>0.5383</v>
      </c>
      <c r="E7817" s="2">
        <v>1.5503039999999999E-2</v>
      </c>
      <c r="F7817" s="2" t="s">
        <v>7</v>
      </c>
    </row>
    <row r="7818" spans="1:6" ht="22.5" hidden="1" customHeight="1" x14ac:dyDescent="0.25">
      <c r="A7818" s="3">
        <v>44501</v>
      </c>
      <c r="B7818" s="2" t="s">
        <v>116</v>
      </c>
      <c r="C7818" s="2">
        <v>0.83</v>
      </c>
      <c r="D7818" s="2">
        <v>0.1547</v>
      </c>
      <c r="E7818" s="2">
        <v>1.2840099999999999E-3</v>
      </c>
      <c r="F7818" s="2" t="s">
        <v>7</v>
      </c>
    </row>
    <row r="7819" spans="1:6" ht="22.5" hidden="1" customHeight="1" x14ac:dyDescent="0.25">
      <c r="A7819" s="3">
        <v>44501</v>
      </c>
      <c r="B7819" s="2" t="s">
        <v>117</v>
      </c>
      <c r="C7819" s="2">
        <v>2.39</v>
      </c>
      <c r="D7819" s="2">
        <v>5.74E-2</v>
      </c>
      <c r="E7819" s="2">
        <v>1.3718599999999999E-3</v>
      </c>
      <c r="F7819" s="2" t="s">
        <v>7</v>
      </c>
    </row>
    <row r="7820" spans="1:6" ht="22.5" hidden="1" customHeight="1" x14ac:dyDescent="0.25">
      <c r="A7820" s="3">
        <v>44501</v>
      </c>
      <c r="B7820" s="2" t="s">
        <v>118</v>
      </c>
      <c r="C7820" s="2">
        <v>-0.62</v>
      </c>
      <c r="D7820" s="2">
        <v>6.2100000000000002E-2</v>
      </c>
      <c r="E7820" s="2">
        <v>-3.8502000000000002E-4</v>
      </c>
      <c r="F7820" s="2" t="s">
        <v>7</v>
      </c>
    </row>
    <row r="7821" spans="1:6" ht="22.5" hidden="1" customHeight="1" x14ac:dyDescent="0.25">
      <c r="A7821" s="3">
        <v>44501</v>
      </c>
      <c r="B7821" s="2" t="s">
        <v>119</v>
      </c>
      <c r="C7821" s="2">
        <v>-0.34</v>
      </c>
      <c r="D7821" s="2">
        <v>1.09E-2</v>
      </c>
      <c r="E7821" s="2">
        <v>-3.7060000000000001E-5</v>
      </c>
      <c r="F7821" s="2" t="s">
        <v>7</v>
      </c>
    </row>
    <row r="7822" spans="1:6" ht="22.5" hidden="1" customHeight="1" x14ac:dyDescent="0.25">
      <c r="A7822" s="3">
        <v>44501</v>
      </c>
      <c r="B7822" s="2" t="s">
        <v>120</v>
      </c>
      <c r="C7822" s="2">
        <v>1.3</v>
      </c>
      <c r="D7822" s="2">
        <v>0.438</v>
      </c>
      <c r="E7822" s="2">
        <v>5.6940000000000003E-3</v>
      </c>
      <c r="F7822" s="2" t="s">
        <v>7</v>
      </c>
    </row>
    <row r="7823" spans="1:6" ht="22.5" hidden="1" customHeight="1" x14ac:dyDescent="0.25">
      <c r="A7823" s="3">
        <v>44501</v>
      </c>
      <c r="B7823" s="2" t="s">
        <v>121</v>
      </c>
      <c r="C7823" s="2">
        <v>-0.47</v>
      </c>
      <c r="D7823" s="2">
        <v>0.77070000000000005</v>
      </c>
      <c r="E7823" s="2">
        <v>-3.6222899999999998E-3</v>
      </c>
      <c r="F7823" s="2" t="s">
        <v>7</v>
      </c>
    </row>
    <row r="7824" spans="1:6" ht="22.5" hidden="1" customHeight="1" x14ac:dyDescent="0.25">
      <c r="A7824" s="3">
        <v>44501</v>
      </c>
      <c r="B7824" s="2" t="s">
        <v>122</v>
      </c>
      <c r="C7824" s="2">
        <v>0.7</v>
      </c>
      <c r="D7824" s="2">
        <v>8.0699999999999994E-2</v>
      </c>
      <c r="E7824" s="2">
        <v>5.6490000000000002E-4</v>
      </c>
      <c r="F7824" s="2" t="s">
        <v>7</v>
      </c>
    </row>
    <row r="7825" spans="1:6" ht="22.5" hidden="1" customHeight="1" x14ac:dyDescent="0.25">
      <c r="A7825" s="3">
        <v>44501</v>
      </c>
      <c r="B7825" s="2" t="s">
        <v>123</v>
      </c>
      <c r="C7825" s="2">
        <v>1.1599999999999999</v>
      </c>
      <c r="D7825" s="2">
        <v>9.8799999999999999E-2</v>
      </c>
      <c r="E7825" s="2">
        <v>1.1460800000000001E-3</v>
      </c>
      <c r="F7825" s="2" t="s">
        <v>7</v>
      </c>
    </row>
    <row r="7826" spans="1:6" ht="22.5" hidden="1" customHeight="1" x14ac:dyDescent="0.25">
      <c r="A7826" s="3">
        <v>44501</v>
      </c>
      <c r="B7826" s="2" t="s">
        <v>124</v>
      </c>
      <c r="C7826" s="2">
        <v>1.54</v>
      </c>
      <c r="D7826" s="2">
        <v>0.1336</v>
      </c>
      <c r="E7826" s="2">
        <v>2.0574399999999998E-3</v>
      </c>
      <c r="F7826" s="2" t="s">
        <v>7</v>
      </c>
    </row>
    <row r="7827" spans="1:6" ht="22.5" hidden="1" customHeight="1" x14ac:dyDescent="0.25">
      <c r="A7827" s="3">
        <v>44501</v>
      </c>
      <c r="B7827" s="2" t="s">
        <v>125</v>
      </c>
      <c r="C7827" s="2">
        <v>4.22</v>
      </c>
      <c r="D7827" s="2">
        <v>3.1699999999999999E-2</v>
      </c>
      <c r="E7827" s="2">
        <v>1.33774E-3</v>
      </c>
      <c r="F7827" s="2" t="s">
        <v>7</v>
      </c>
    </row>
    <row r="7828" spans="1:6" ht="22.5" hidden="1" customHeight="1" x14ac:dyDescent="0.25">
      <c r="A7828" s="3">
        <v>44501</v>
      </c>
      <c r="B7828" s="2" t="s">
        <v>126</v>
      </c>
      <c r="C7828" s="2">
        <v>1.68</v>
      </c>
      <c r="D7828" s="2">
        <v>0.30959999999999999</v>
      </c>
      <c r="E7828" s="2">
        <v>5.20128E-3</v>
      </c>
      <c r="F7828" s="2" t="s">
        <v>7</v>
      </c>
    </row>
    <row r="7829" spans="1:6" ht="22.5" hidden="1" customHeight="1" x14ac:dyDescent="0.25">
      <c r="A7829" s="3">
        <v>44501</v>
      </c>
      <c r="B7829" s="2" t="s">
        <v>127</v>
      </c>
      <c r="C7829" s="2">
        <v>1.42</v>
      </c>
      <c r="D7829" s="2">
        <v>6.6799999999999998E-2</v>
      </c>
      <c r="E7829" s="2">
        <v>9.4855999999999998E-4</v>
      </c>
      <c r="F7829" s="2" t="s">
        <v>7</v>
      </c>
    </row>
    <row r="7830" spans="1:6" ht="22.5" hidden="1" customHeight="1" x14ac:dyDescent="0.25">
      <c r="A7830" s="3">
        <v>44501</v>
      </c>
      <c r="B7830" s="2" t="s">
        <v>128</v>
      </c>
      <c r="C7830" s="2">
        <v>1.73</v>
      </c>
      <c r="D7830" s="2">
        <v>0.1065</v>
      </c>
      <c r="E7830" s="2">
        <v>1.84245E-3</v>
      </c>
      <c r="F7830" s="2" t="s">
        <v>7</v>
      </c>
    </row>
    <row r="7831" spans="1:6" ht="22.5" hidden="1" customHeight="1" x14ac:dyDescent="0.25">
      <c r="A7831" s="3">
        <v>44501</v>
      </c>
      <c r="B7831" s="2" t="s">
        <v>129</v>
      </c>
      <c r="C7831" s="2">
        <v>-0.12</v>
      </c>
      <c r="D7831" s="2">
        <v>0.1226</v>
      </c>
      <c r="E7831" s="2">
        <v>-1.4711999999999999E-4</v>
      </c>
      <c r="F7831" s="2" t="s">
        <v>7</v>
      </c>
    </row>
    <row r="7832" spans="1:6" ht="22.5" hidden="1" customHeight="1" x14ac:dyDescent="0.25">
      <c r="A7832" s="3">
        <v>44501</v>
      </c>
      <c r="B7832" s="2" t="s">
        <v>130</v>
      </c>
      <c r="C7832" s="2">
        <v>1.27</v>
      </c>
      <c r="D7832" s="2">
        <v>1.2800000000000001E-2</v>
      </c>
      <c r="E7832" s="2">
        <v>1.6255999999999999E-4</v>
      </c>
      <c r="F7832" s="2" t="s">
        <v>7</v>
      </c>
    </row>
    <row r="7833" spans="1:6" ht="22.5" hidden="1" customHeight="1" x14ac:dyDescent="0.25">
      <c r="A7833" s="3">
        <v>44501</v>
      </c>
      <c r="B7833" s="2" t="s">
        <v>131</v>
      </c>
      <c r="C7833" s="2">
        <v>-9.3000000000000007</v>
      </c>
      <c r="D7833" s="2">
        <v>5.4199999999999998E-2</v>
      </c>
      <c r="E7833" s="2">
        <v>-5.0406000000000001E-3</v>
      </c>
      <c r="F7833" s="2" t="s">
        <v>7</v>
      </c>
    </row>
    <row r="7834" spans="1:6" ht="22.5" hidden="1" customHeight="1" x14ac:dyDescent="0.25">
      <c r="A7834" s="3">
        <v>44501</v>
      </c>
      <c r="B7834" s="2" t="s">
        <v>132</v>
      </c>
      <c r="C7834" s="2">
        <v>4.91</v>
      </c>
      <c r="D7834" s="2">
        <v>0.34329999999999999</v>
      </c>
      <c r="E7834" s="2">
        <v>1.6856030000000001E-2</v>
      </c>
      <c r="F7834" s="2" t="s">
        <v>7</v>
      </c>
    </row>
    <row r="7835" spans="1:6" ht="22.5" hidden="1" customHeight="1" x14ac:dyDescent="0.25">
      <c r="A7835" s="3">
        <v>44501</v>
      </c>
      <c r="B7835" s="2" t="s">
        <v>133</v>
      </c>
      <c r="C7835" s="2">
        <v>-0.67</v>
      </c>
      <c r="D7835" s="2">
        <v>8.8000000000000005E-3</v>
      </c>
      <c r="E7835" s="2">
        <v>-5.8959999999999998E-5</v>
      </c>
      <c r="F7835" s="2" t="s">
        <v>7</v>
      </c>
    </row>
    <row r="7836" spans="1:6" ht="22.5" hidden="1" customHeight="1" x14ac:dyDescent="0.25">
      <c r="A7836" s="3">
        <v>44501</v>
      </c>
      <c r="B7836" s="2" t="s">
        <v>134</v>
      </c>
      <c r="C7836" s="2">
        <v>0.72</v>
      </c>
      <c r="D7836" s="2">
        <v>0.49</v>
      </c>
      <c r="E7836" s="2">
        <v>3.5279999999999999E-3</v>
      </c>
      <c r="F7836" s="2" t="s">
        <v>7</v>
      </c>
    </row>
    <row r="7837" spans="1:6" ht="22.5" hidden="1" customHeight="1" x14ac:dyDescent="0.25">
      <c r="A7837" s="3">
        <v>44501</v>
      </c>
      <c r="B7837" s="2" t="s">
        <v>135</v>
      </c>
      <c r="C7837" s="2">
        <v>2.58</v>
      </c>
      <c r="D7837" s="2">
        <v>0.3931</v>
      </c>
      <c r="E7837" s="2">
        <v>1.014198E-2</v>
      </c>
      <c r="F7837" s="2" t="s">
        <v>7</v>
      </c>
    </row>
    <row r="7838" spans="1:6" ht="22.5" hidden="1" customHeight="1" x14ac:dyDescent="0.25">
      <c r="A7838" s="3">
        <v>44501</v>
      </c>
      <c r="B7838" s="2" t="s">
        <v>136</v>
      </c>
      <c r="C7838" s="2">
        <v>-2.59</v>
      </c>
      <c r="D7838" s="2">
        <v>3.5200000000000002E-2</v>
      </c>
      <c r="E7838" s="2">
        <v>-9.1168E-4</v>
      </c>
      <c r="F7838" s="2" t="s">
        <v>7</v>
      </c>
    </row>
    <row r="7839" spans="1:6" ht="22.5" hidden="1" customHeight="1" x14ac:dyDescent="0.25">
      <c r="A7839" s="3">
        <v>44501</v>
      </c>
      <c r="B7839" s="2" t="s">
        <v>137</v>
      </c>
      <c r="C7839" s="2">
        <v>0.08</v>
      </c>
      <c r="D7839" s="2">
        <v>6.59E-2</v>
      </c>
      <c r="E7839" s="2">
        <v>5.2719999999999997E-5</v>
      </c>
      <c r="F7839" s="2" t="s">
        <v>7</v>
      </c>
    </row>
    <row r="7840" spans="1:6" ht="22.5" hidden="1" customHeight="1" x14ac:dyDescent="0.25">
      <c r="A7840" s="3">
        <v>44501</v>
      </c>
      <c r="B7840" s="2" t="s">
        <v>138</v>
      </c>
      <c r="C7840" s="2">
        <v>-0.35</v>
      </c>
      <c r="D7840" s="2">
        <v>4.5400000000000003E-2</v>
      </c>
      <c r="E7840" s="2">
        <v>-1.5890000000000001E-4</v>
      </c>
      <c r="F7840" s="2" t="s">
        <v>7</v>
      </c>
    </row>
    <row r="7841" spans="1:6" ht="22.5" hidden="1" customHeight="1" x14ac:dyDescent="0.25">
      <c r="A7841" s="3">
        <v>44501</v>
      </c>
      <c r="B7841" s="2" t="s">
        <v>139</v>
      </c>
      <c r="C7841" s="2">
        <v>-0.15</v>
      </c>
      <c r="D7841" s="2">
        <v>2.53E-2</v>
      </c>
      <c r="E7841" s="2">
        <v>-3.7950000000000001E-5</v>
      </c>
      <c r="F7841" s="2" t="s">
        <v>7</v>
      </c>
    </row>
    <row r="7842" spans="1:6" ht="22.5" hidden="1" customHeight="1" x14ac:dyDescent="0.25">
      <c r="A7842" s="3">
        <v>44501</v>
      </c>
      <c r="B7842" s="2" t="s">
        <v>140</v>
      </c>
      <c r="C7842" s="2">
        <v>1.06</v>
      </c>
      <c r="D7842" s="2">
        <v>2.3999999999999998E-3</v>
      </c>
      <c r="E7842" s="2">
        <v>2.544E-5</v>
      </c>
      <c r="F7842" s="2" t="s">
        <v>7</v>
      </c>
    </row>
    <row r="7843" spans="1:6" ht="22.5" hidden="1" customHeight="1" x14ac:dyDescent="0.25">
      <c r="A7843" s="3">
        <v>44501</v>
      </c>
      <c r="B7843" s="2" t="s">
        <v>141</v>
      </c>
      <c r="C7843" s="2">
        <v>-2.5299999999999998</v>
      </c>
      <c r="D7843" s="2">
        <v>2.01E-2</v>
      </c>
      <c r="E7843" s="2">
        <v>-5.0852999999999998E-4</v>
      </c>
      <c r="F7843" s="2" t="s">
        <v>7</v>
      </c>
    </row>
    <row r="7844" spans="1:6" ht="22.5" hidden="1" customHeight="1" x14ac:dyDescent="0.25">
      <c r="A7844" s="3">
        <v>44501</v>
      </c>
      <c r="B7844" s="2" t="s">
        <v>142</v>
      </c>
      <c r="C7844" s="2">
        <v>0.79</v>
      </c>
      <c r="D7844" s="2">
        <v>4.1999999999999997E-3</v>
      </c>
      <c r="E7844" s="2">
        <v>3.3179999999999997E-5</v>
      </c>
      <c r="F7844" s="2" t="s">
        <v>7</v>
      </c>
    </row>
    <row r="7845" spans="1:6" ht="22.5" hidden="1" customHeight="1" x14ac:dyDescent="0.25">
      <c r="A7845" s="3">
        <v>44501</v>
      </c>
      <c r="B7845" s="2" t="s">
        <v>143</v>
      </c>
      <c r="C7845" s="2">
        <v>0.85</v>
      </c>
      <c r="D7845" s="2">
        <v>4.1799999999999997E-2</v>
      </c>
      <c r="E7845" s="2">
        <v>3.5530000000000002E-4</v>
      </c>
      <c r="F7845" s="2" t="s">
        <v>7</v>
      </c>
    </row>
    <row r="7846" spans="1:6" ht="22.5" hidden="1" customHeight="1" x14ac:dyDescent="0.25">
      <c r="A7846" s="3">
        <v>44501</v>
      </c>
      <c r="B7846" s="2" t="s">
        <v>144</v>
      </c>
      <c r="C7846" s="2">
        <v>0.24</v>
      </c>
      <c r="D7846" s="2">
        <v>1.6000000000000001E-3</v>
      </c>
      <c r="E7846" s="2">
        <v>3.8399999999999997E-6</v>
      </c>
      <c r="F7846" s="2" t="s">
        <v>7</v>
      </c>
    </row>
    <row r="7847" spans="1:6" ht="22.5" hidden="1" customHeight="1" x14ac:dyDescent="0.25">
      <c r="A7847" s="3">
        <v>44501</v>
      </c>
      <c r="B7847" s="2" t="s">
        <v>145</v>
      </c>
      <c r="C7847" s="2">
        <v>-0.44</v>
      </c>
      <c r="D7847" s="2">
        <v>1.5E-3</v>
      </c>
      <c r="E7847" s="2">
        <v>-6.6000000000000003E-6</v>
      </c>
      <c r="F7847" s="2" t="s">
        <v>7</v>
      </c>
    </row>
    <row r="7848" spans="1:6" ht="22.5" hidden="1" customHeight="1" x14ac:dyDescent="0.25">
      <c r="A7848" s="3">
        <v>44501</v>
      </c>
      <c r="B7848" s="2" t="s">
        <v>146</v>
      </c>
      <c r="C7848" s="2">
        <v>0.63</v>
      </c>
      <c r="D7848" s="2">
        <v>3.2899999999999999E-2</v>
      </c>
      <c r="E7848" s="2">
        <v>2.0727000000000001E-4</v>
      </c>
      <c r="F7848" s="2" t="s">
        <v>7</v>
      </c>
    </row>
    <row r="7849" spans="1:6" ht="22.5" hidden="1" customHeight="1" x14ac:dyDescent="0.25">
      <c r="A7849" s="3">
        <v>44501</v>
      </c>
      <c r="B7849" s="2" t="s">
        <v>147</v>
      </c>
      <c r="C7849" s="2">
        <v>1.28</v>
      </c>
      <c r="D7849" s="2">
        <v>2.6599999999999999E-2</v>
      </c>
      <c r="E7849" s="2">
        <v>3.4047999999999999E-4</v>
      </c>
      <c r="F7849" s="2" t="s">
        <v>7</v>
      </c>
    </row>
    <row r="7850" spans="1:6" ht="22.5" hidden="1" customHeight="1" x14ac:dyDescent="0.25">
      <c r="A7850" s="3">
        <v>44501</v>
      </c>
      <c r="B7850" s="2" t="s">
        <v>148</v>
      </c>
      <c r="C7850" s="2">
        <v>1.02</v>
      </c>
      <c r="D7850" s="2">
        <v>2.1999999999999999E-2</v>
      </c>
      <c r="E7850" s="2">
        <v>2.2440000000000001E-4</v>
      </c>
      <c r="F7850" s="2" t="s">
        <v>7</v>
      </c>
    </row>
    <row r="7851" spans="1:6" ht="22.5" hidden="1" customHeight="1" x14ac:dyDescent="0.25">
      <c r="A7851" s="3">
        <v>44501</v>
      </c>
      <c r="B7851" s="2" t="s">
        <v>149</v>
      </c>
      <c r="C7851" s="2">
        <v>0.79</v>
      </c>
      <c r="D7851" s="2">
        <v>2.3E-3</v>
      </c>
      <c r="E7851" s="2">
        <v>1.8170000000000001E-5</v>
      </c>
      <c r="F7851" s="2" t="s">
        <v>7</v>
      </c>
    </row>
    <row r="7852" spans="1:6" ht="22.5" hidden="1" customHeight="1" x14ac:dyDescent="0.25">
      <c r="A7852" s="3">
        <v>44501</v>
      </c>
      <c r="B7852" s="2" t="s">
        <v>150</v>
      </c>
      <c r="C7852" s="2">
        <v>1.89</v>
      </c>
      <c r="D7852" s="2">
        <v>0.1106</v>
      </c>
      <c r="E7852" s="2">
        <v>2.09034E-3</v>
      </c>
      <c r="F7852" s="2" t="s">
        <v>7</v>
      </c>
    </row>
    <row r="7853" spans="1:6" ht="22.5" hidden="1" customHeight="1" x14ac:dyDescent="0.25">
      <c r="A7853" s="3">
        <v>44501</v>
      </c>
      <c r="B7853" s="2" t="s">
        <v>151</v>
      </c>
      <c r="C7853" s="2">
        <v>0.26</v>
      </c>
      <c r="D7853" s="2">
        <v>0.10829999999999999</v>
      </c>
      <c r="E7853" s="2">
        <v>2.8158000000000002E-4</v>
      </c>
      <c r="F7853" s="2" t="s">
        <v>7</v>
      </c>
    </row>
    <row r="7854" spans="1:6" ht="22.5" hidden="1" customHeight="1" x14ac:dyDescent="0.25">
      <c r="A7854" s="3">
        <v>44501</v>
      </c>
      <c r="B7854" s="2" t="s">
        <v>152</v>
      </c>
      <c r="C7854" s="2">
        <v>-0.12</v>
      </c>
      <c r="D7854" s="2">
        <v>3.0999999999999999E-3</v>
      </c>
      <c r="E7854" s="2">
        <v>-3.72E-6</v>
      </c>
      <c r="F7854" s="2" t="s">
        <v>7</v>
      </c>
    </row>
    <row r="7855" spans="1:6" ht="22.5" hidden="1" customHeight="1" x14ac:dyDescent="0.25">
      <c r="A7855" s="3">
        <v>44501</v>
      </c>
      <c r="B7855" s="2" t="s">
        <v>153</v>
      </c>
      <c r="C7855" s="2">
        <v>0.91</v>
      </c>
      <c r="D7855" s="2">
        <v>8.9999999999999998E-4</v>
      </c>
      <c r="E7855" s="2">
        <v>8.1899999999999995E-6</v>
      </c>
      <c r="F7855" s="2" t="s">
        <v>7</v>
      </c>
    </row>
    <row r="7856" spans="1:6" ht="22.5" hidden="1" customHeight="1" x14ac:dyDescent="0.25">
      <c r="A7856" s="3">
        <v>44501</v>
      </c>
      <c r="B7856" s="2" t="s">
        <v>154</v>
      </c>
      <c r="C7856" s="2">
        <v>1.73</v>
      </c>
      <c r="D7856" s="2">
        <v>1E-3</v>
      </c>
      <c r="E7856" s="2">
        <v>1.73E-5</v>
      </c>
      <c r="F7856" s="2" t="s">
        <v>7</v>
      </c>
    </row>
    <row r="7857" spans="1:6" ht="22.5" hidden="1" customHeight="1" x14ac:dyDescent="0.25">
      <c r="A7857" s="3">
        <v>44501</v>
      </c>
      <c r="B7857" s="2" t="s">
        <v>155</v>
      </c>
      <c r="C7857" s="2">
        <v>2.72</v>
      </c>
      <c r="D7857" s="2">
        <v>5.7000000000000002E-3</v>
      </c>
      <c r="E7857" s="2">
        <v>1.5504000000000001E-4</v>
      </c>
      <c r="F7857" s="2" t="s">
        <v>7</v>
      </c>
    </row>
    <row r="7858" spans="1:6" ht="22.5" hidden="1" customHeight="1" x14ac:dyDescent="0.25">
      <c r="A7858" s="3">
        <v>44501</v>
      </c>
      <c r="B7858" s="2" t="s">
        <v>156</v>
      </c>
      <c r="C7858" s="2">
        <v>1.17</v>
      </c>
      <c r="D7858" s="2">
        <v>4.58E-2</v>
      </c>
      <c r="E7858" s="2">
        <v>5.3585999999999998E-4</v>
      </c>
      <c r="F7858" s="2" t="s">
        <v>7</v>
      </c>
    </row>
    <row r="7859" spans="1:6" ht="22.5" hidden="1" customHeight="1" x14ac:dyDescent="0.25">
      <c r="A7859" s="3">
        <v>44501</v>
      </c>
      <c r="B7859" s="2" t="s">
        <v>157</v>
      </c>
      <c r="C7859" s="2">
        <v>0.23</v>
      </c>
      <c r="D7859" s="2">
        <v>1.72E-2</v>
      </c>
      <c r="E7859" s="2">
        <v>3.9560000000000001E-5</v>
      </c>
      <c r="F7859" s="2" t="s">
        <v>7</v>
      </c>
    </row>
    <row r="7860" spans="1:6" ht="22.5" hidden="1" customHeight="1" x14ac:dyDescent="0.25">
      <c r="A7860" s="3">
        <v>44501</v>
      </c>
      <c r="B7860" s="2" t="s">
        <v>158</v>
      </c>
      <c r="C7860" s="2">
        <v>-0.97</v>
      </c>
      <c r="D7860" s="2">
        <v>1.01E-2</v>
      </c>
      <c r="E7860" s="2">
        <v>-9.7969999999999999E-5</v>
      </c>
      <c r="F7860" s="2" t="s">
        <v>7</v>
      </c>
    </row>
    <row r="7861" spans="1:6" ht="22.5" hidden="1" customHeight="1" x14ac:dyDescent="0.25">
      <c r="A7861" s="3">
        <v>44501</v>
      </c>
      <c r="B7861" s="2" t="s">
        <v>159</v>
      </c>
      <c r="C7861" s="2">
        <v>-0.42</v>
      </c>
      <c r="D7861" s="2">
        <v>5.2900000000000003E-2</v>
      </c>
      <c r="E7861" s="2">
        <v>-2.2217999999999999E-4</v>
      </c>
      <c r="F7861" s="2" t="s">
        <v>7</v>
      </c>
    </row>
    <row r="7862" spans="1:6" ht="22.5" hidden="1" customHeight="1" x14ac:dyDescent="0.25">
      <c r="A7862" s="3">
        <v>44501</v>
      </c>
      <c r="B7862" s="2" t="s">
        <v>160</v>
      </c>
      <c r="C7862" s="2">
        <v>0.88</v>
      </c>
      <c r="D7862" s="2">
        <v>3.6522000000000001</v>
      </c>
      <c r="E7862" s="2">
        <v>3.2139359999999999E-2</v>
      </c>
      <c r="F7862" s="2" t="s">
        <v>7</v>
      </c>
    </row>
    <row r="7863" spans="1:6" ht="22.5" hidden="1" customHeight="1" x14ac:dyDescent="0.25">
      <c r="A7863" s="3">
        <v>44501</v>
      </c>
      <c r="B7863" s="2" t="s">
        <v>161</v>
      </c>
      <c r="C7863" s="2">
        <v>-1.08</v>
      </c>
      <c r="D7863" s="2">
        <v>1.7323999999999999</v>
      </c>
      <c r="E7863" s="2">
        <v>-1.8709920000000001E-2</v>
      </c>
      <c r="F7863" s="2" t="s">
        <v>7</v>
      </c>
    </row>
    <row r="7864" spans="1:6" ht="22.5" hidden="1" customHeight="1" x14ac:dyDescent="0.25">
      <c r="A7864" s="3">
        <v>44501</v>
      </c>
      <c r="B7864" s="2" t="s">
        <v>134</v>
      </c>
      <c r="C7864" s="2">
        <v>-0.08</v>
      </c>
      <c r="D7864" s="2">
        <v>0.12330000000000001</v>
      </c>
      <c r="E7864" s="2">
        <v>-9.8640000000000004E-5</v>
      </c>
      <c r="F7864" s="2" t="s">
        <v>7</v>
      </c>
    </row>
    <row r="7865" spans="1:6" ht="22.5" hidden="1" customHeight="1" x14ac:dyDescent="0.25">
      <c r="A7865" s="3">
        <v>44501</v>
      </c>
      <c r="B7865" s="2" t="s">
        <v>162</v>
      </c>
      <c r="C7865" s="2">
        <v>-1.49</v>
      </c>
      <c r="D7865" s="2">
        <v>4.19E-2</v>
      </c>
      <c r="E7865" s="2">
        <v>-6.2430999999999999E-4</v>
      </c>
      <c r="F7865" s="2" t="s">
        <v>7</v>
      </c>
    </row>
    <row r="7866" spans="1:6" ht="22.5" hidden="1" customHeight="1" x14ac:dyDescent="0.25">
      <c r="A7866" s="3">
        <v>44501</v>
      </c>
      <c r="B7866" s="2" t="s">
        <v>135</v>
      </c>
      <c r="C7866" s="2">
        <v>-1.72</v>
      </c>
      <c r="D7866" s="2">
        <v>0.28820000000000001</v>
      </c>
      <c r="E7866" s="2">
        <v>-4.9570400000000002E-3</v>
      </c>
      <c r="F7866" s="2" t="s">
        <v>7</v>
      </c>
    </row>
    <row r="7867" spans="1:6" ht="22.5" hidden="1" customHeight="1" x14ac:dyDescent="0.25">
      <c r="A7867" s="3">
        <v>44501</v>
      </c>
      <c r="B7867" s="2" t="s">
        <v>136</v>
      </c>
      <c r="C7867" s="2">
        <v>-0.72</v>
      </c>
      <c r="D7867" s="2">
        <v>4.1999999999999997E-3</v>
      </c>
      <c r="E7867" s="2">
        <v>-3.0239999999999998E-5</v>
      </c>
      <c r="F7867" s="2" t="s">
        <v>7</v>
      </c>
    </row>
    <row r="7868" spans="1:6" ht="22.5" hidden="1" customHeight="1" x14ac:dyDescent="0.25">
      <c r="A7868" s="3">
        <v>44501</v>
      </c>
      <c r="B7868" s="2" t="s">
        <v>137</v>
      </c>
      <c r="C7868" s="2">
        <v>2.11</v>
      </c>
      <c r="D7868" s="2">
        <v>1.0200000000000001E-2</v>
      </c>
      <c r="E7868" s="2">
        <v>2.1521999999999999E-4</v>
      </c>
      <c r="F7868" s="2" t="s">
        <v>7</v>
      </c>
    </row>
    <row r="7869" spans="1:6" ht="22.5" hidden="1" customHeight="1" x14ac:dyDescent="0.25">
      <c r="A7869" s="3">
        <v>44501</v>
      </c>
      <c r="B7869" s="2" t="s">
        <v>163</v>
      </c>
      <c r="C7869" s="2">
        <v>-0.46</v>
      </c>
      <c r="D7869" s="2">
        <v>4.4000000000000003E-3</v>
      </c>
      <c r="E7869" s="2">
        <v>-2.0239999999999999E-5</v>
      </c>
      <c r="F7869" s="2" t="s">
        <v>7</v>
      </c>
    </row>
    <row r="7870" spans="1:6" ht="22.5" hidden="1" customHeight="1" x14ac:dyDescent="0.25">
      <c r="A7870" s="3">
        <v>44501</v>
      </c>
      <c r="B7870" s="2" t="s">
        <v>34</v>
      </c>
      <c r="C7870" s="2">
        <v>2.04</v>
      </c>
      <c r="D7870" s="2">
        <v>5.1999999999999998E-2</v>
      </c>
      <c r="E7870" s="2">
        <v>1.0608E-3</v>
      </c>
      <c r="F7870" s="2" t="s">
        <v>7</v>
      </c>
    </row>
    <row r="7871" spans="1:6" ht="22.5" hidden="1" customHeight="1" x14ac:dyDescent="0.25">
      <c r="A7871" s="3">
        <v>44501</v>
      </c>
      <c r="B7871" s="2" t="s">
        <v>164</v>
      </c>
      <c r="C7871" s="2">
        <v>0.66</v>
      </c>
      <c r="D7871" s="2">
        <v>3.6886999999999999</v>
      </c>
      <c r="E7871" s="2">
        <v>2.434542E-2</v>
      </c>
      <c r="F7871" s="2" t="s">
        <v>165</v>
      </c>
    </row>
    <row r="7872" spans="1:6" ht="22.5" hidden="1" customHeight="1" x14ac:dyDescent="0.25">
      <c r="A7872" s="3">
        <v>44501</v>
      </c>
      <c r="B7872" s="2" t="s">
        <v>166</v>
      </c>
      <c r="C7872" s="2">
        <v>0.99</v>
      </c>
      <c r="D7872" s="2">
        <v>2.2105000000000001</v>
      </c>
      <c r="E7872" s="2">
        <v>2.1883949999999999E-2</v>
      </c>
      <c r="F7872" s="2" t="s">
        <v>165</v>
      </c>
    </row>
    <row r="7873" spans="1:6" ht="22.5" hidden="1" customHeight="1" x14ac:dyDescent="0.25">
      <c r="A7873" s="3">
        <v>44348</v>
      </c>
      <c r="B7873" s="2" t="s">
        <v>288</v>
      </c>
      <c r="C7873" s="2">
        <v>-0.54</v>
      </c>
      <c r="D7873" s="2">
        <v>0.23069999999999999</v>
      </c>
      <c r="E7873" s="2">
        <v>-1.2457799999999999E-3</v>
      </c>
      <c r="F7873" s="2" t="s">
        <v>168</v>
      </c>
    </row>
    <row r="7874" spans="1:6" ht="22.5" hidden="1" customHeight="1" x14ac:dyDescent="0.25">
      <c r="A7874" s="3">
        <v>44501</v>
      </c>
      <c r="B7874" s="2" t="s">
        <v>169</v>
      </c>
      <c r="C7874" s="2">
        <v>-0.53</v>
      </c>
      <c r="D7874" s="2">
        <v>1.15E-2</v>
      </c>
      <c r="E7874" s="2">
        <v>-6.0949999999999998E-5</v>
      </c>
      <c r="F7874" s="2" t="s">
        <v>170</v>
      </c>
    </row>
    <row r="7875" spans="1:6" ht="22.5" hidden="1" customHeight="1" x14ac:dyDescent="0.25">
      <c r="A7875" s="3">
        <v>44501</v>
      </c>
      <c r="B7875" s="2" t="s">
        <v>171</v>
      </c>
      <c r="C7875" s="2">
        <v>-0.51</v>
      </c>
      <c r="D7875" s="2">
        <v>1.38E-2</v>
      </c>
      <c r="E7875" s="2">
        <v>-7.038E-5</v>
      </c>
      <c r="F7875" s="2" t="s">
        <v>170</v>
      </c>
    </row>
    <row r="7876" spans="1:6" ht="22.5" hidden="1" customHeight="1" x14ac:dyDescent="0.25">
      <c r="A7876" s="3">
        <v>44501</v>
      </c>
      <c r="B7876" s="2" t="s">
        <v>172</v>
      </c>
      <c r="C7876" s="2">
        <v>-0.56000000000000005</v>
      </c>
      <c r="D7876" s="2">
        <v>3.3999999999999998E-3</v>
      </c>
      <c r="E7876" s="2">
        <v>-1.9040000000000001E-5</v>
      </c>
      <c r="F7876" s="2" t="s">
        <v>170</v>
      </c>
    </row>
    <row r="7877" spans="1:6" ht="22.5" hidden="1" customHeight="1" x14ac:dyDescent="0.25">
      <c r="A7877" s="3">
        <v>44501</v>
      </c>
      <c r="B7877" s="2" t="s">
        <v>173</v>
      </c>
      <c r="C7877" s="2">
        <v>2.62</v>
      </c>
      <c r="D7877" s="2">
        <v>0.27200000000000002</v>
      </c>
      <c r="E7877" s="2">
        <v>7.1263999999999997E-3</v>
      </c>
      <c r="F7877" s="2" t="s">
        <v>174</v>
      </c>
    </row>
    <row r="7878" spans="1:6" ht="22.5" hidden="1" customHeight="1" x14ac:dyDescent="0.25">
      <c r="A7878" s="3">
        <v>44501</v>
      </c>
      <c r="B7878" s="2" t="s">
        <v>175</v>
      </c>
      <c r="C7878" s="2">
        <v>0.82</v>
      </c>
      <c r="D7878" s="2">
        <v>0.27610000000000001</v>
      </c>
      <c r="E7878" s="2">
        <v>2.2640199999999998E-3</v>
      </c>
      <c r="F7878" s="2" t="s">
        <v>174</v>
      </c>
    </row>
    <row r="7879" spans="1:6" ht="22.5" hidden="1" customHeight="1" x14ac:dyDescent="0.25">
      <c r="A7879" s="3">
        <v>44501</v>
      </c>
      <c r="B7879" s="2" t="s">
        <v>176</v>
      </c>
      <c r="C7879" s="2">
        <v>0.35</v>
      </c>
      <c r="D7879" s="2">
        <v>1.32E-2</v>
      </c>
      <c r="E7879" s="2">
        <v>4.6199999999999998E-5</v>
      </c>
      <c r="F7879" s="2" t="s">
        <v>170</v>
      </c>
    </row>
    <row r="7880" spans="1:6" ht="22.5" hidden="1" customHeight="1" x14ac:dyDescent="0.25">
      <c r="A7880" s="3">
        <v>44501</v>
      </c>
      <c r="B7880" s="2" t="s">
        <v>177</v>
      </c>
      <c r="C7880" s="2">
        <v>-0.1</v>
      </c>
      <c r="D7880" s="2">
        <v>2.2499999999999999E-2</v>
      </c>
      <c r="E7880" s="2">
        <v>-2.2500000000000001E-5</v>
      </c>
      <c r="F7880" s="2" t="s">
        <v>170</v>
      </c>
    </row>
    <row r="7881" spans="1:6" ht="22.5" hidden="1" customHeight="1" x14ac:dyDescent="0.25">
      <c r="A7881" s="3">
        <v>44501</v>
      </c>
      <c r="B7881" s="2" t="s">
        <v>178</v>
      </c>
      <c r="C7881" s="2">
        <v>0.62</v>
      </c>
      <c r="D7881" s="2">
        <v>2.0400000000000001E-2</v>
      </c>
      <c r="E7881" s="2">
        <v>1.2648E-4</v>
      </c>
      <c r="F7881" s="2" t="s">
        <v>170</v>
      </c>
    </row>
    <row r="7882" spans="1:6" ht="22.5" hidden="1" customHeight="1" x14ac:dyDescent="0.25">
      <c r="A7882" s="3">
        <v>44501</v>
      </c>
      <c r="B7882" s="2" t="s">
        <v>179</v>
      </c>
      <c r="C7882" s="2">
        <v>0.88</v>
      </c>
      <c r="D7882" s="2">
        <v>4.7600000000000003E-2</v>
      </c>
      <c r="E7882" s="2">
        <v>4.1888E-4</v>
      </c>
      <c r="F7882" s="2" t="s">
        <v>170</v>
      </c>
    </row>
    <row r="7883" spans="1:6" ht="22.5" hidden="1" customHeight="1" x14ac:dyDescent="0.25">
      <c r="A7883" s="3">
        <v>44501</v>
      </c>
      <c r="B7883" s="2" t="s">
        <v>180</v>
      </c>
      <c r="C7883" s="2">
        <v>0.24</v>
      </c>
      <c r="D7883" s="2">
        <v>0.60189999999999999</v>
      </c>
      <c r="E7883" s="2">
        <v>1.4445599999999999E-3</v>
      </c>
      <c r="F7883" s="2" t="s">
        <v>165</v>
      </c>
    </row>
    <row r="7884" spans="1:6" ht="22.5" hidden="1" customHeight="1" x14ac:dyDescent="0.25">
      <c r="A7884" s="3">
        <v>44501</v>
      </c>
      <c r="B7884" s="2" t="s">
        <v>181</v>
      </c>
      <c r="C7884" s="2">
        <v>-0.95</v>
      </c>
      <c r="D7884" s="2">
        <v>1.34E-2</v>
      </c>
      <c r="E7884" s="2">
        <v>-1.273E-4</v>
      </c>
      <c r="F7884" s="2" t="s">
        <v>174</v>
      </c>
    </row>
    <row r="7885" spans="1:6" ht="22.5" hidden="1" customHeight="1" x14ac:dyDescent="0.25">
      <c r="A7885" s="3">
        <v>44501</v>
      </c>
      <c r="B7885" s="2" t="s">
        <v>182</v>
      </c>
      <c r="C7885" s="2">
        <v>0.36</v>
      </c>
      <c r="D7885" s="2">
        <v>4.1200000000000001E-2</v>
      </c>
      <c r="E7885" s="2">
        <v>1.4831999999999999E-4</v>
      </c>
      <c r="F7885" s="2" t="s">
        <v>170</v>
      </c>
    </row>
    <row r="7886" spans="1:6" ht="22.5" hidden="1" customHeight="1" x14ac:dyDescent="0.25">
      <c r="A7886" s="3">
        <v>44501</v>
      </c>
      <c r="B7886" s="2" t="s">
        <v>183</v>
      </c>
      <c r="C7886" s="2">
        <v>-1.6</v>
      </c>
      <c r="D7886" s="2">
        <v>3.8999999999999998E-3</v>
      </c>
      <c r="E7886" s="2">
        <v>-6.2399999999999999E-5</v>
      </c>
      <c r="F7886" s="2" t="s">
        <v>174</v>
      </c>
    </row>
    <row r="7887" spans="1:6" ht="22.5" hidden="1" customHeight="1" x14ac:dyDescent="0.25">
      <c r="A7887" s="3">
        <v>44501</v>
      </c>
      <c r="B7887" s="2" t="s">
        <v>184</v>
      </c>
      <c r="C7887" s="2">
        <v>0.62</v>
      </c>
      <c r="D7887" s="2">
        <v>6.4100000000000004E-2</v>
      </c>
      <c r="E7887" s="2">
        <v>3.9742E-4</v>
      </c>
      <c r="F7887" s="2" t="s">
        <v>174</v>
      </c>
    </row>
    <row r="7888" spans="1:6" ht="22.5" hidden="1" customHeight="1" x14ac:dyDescent="0.25">
      <c r="A7888" s="3">
        <v>44501</v>
      </c>
      <c r="B7888" s="2" t="s">
        <v>185</v>
      </c>
      <c r="C7888" s="2">
        <v>0.62</v>
      </c>
      <c r="D7888" s="2">
        <v>0.15329999999999999</v>
      </c>
      <c r="E7888" s="2">
        <v>9.5045999999999998E-4</v>
      </c>
      <c r="F7888" s="2" t="s">
        <v>174</v>
      </c>
    </row>
    <row r="7889" spans="1:6" ht="22.5" hidden="1" customHeight="1" x14ac:dyDescent="0.25">
      <c r="A7889" s="3">
        <v>44501</v>
      </c>
      <c r="B7889" s="2" t="s">
        <v>186</v>
      </c>
      <c r="C7889" s="2">
        <v>1.41</v>
      </c>
      <c r="D7889" s="2">
        <v>0.21110000000000001</v>
      </c>
      <c r="E7889" s="2">
        <v>2.9765099999999999E-3</v>
      </c>
      <c r="F7889" s="2" t="s">
        <v>174</v>
      </c>
    </row>
    <row r="7890" spans="1:6" ht="22.5" hidden="1" customHeight="1" x14ac:dyDescent="0.25">
      <c r="A7890" s="3">
        <v>44501</v>
      </c>
      <c r="B7890" s="2" t="s">
        <v>187</v>
      </c>
      <c r="C7890" s="2">
        <v>0.08</v>
      </c>
      <c r="D7890" s="2">
        <v>5.8000000000000003E-2</v>
      </c>
      <c r="E7890" s="2">
        <v>4.6400000000000003E-5</v>
      </c>
      <c r="F7890" s="2" t="s">
        <v>174</v>
      </c>
    </row>
    <row r="7891" spans="1:6" ht="22.5" hidden="1" customHeight="1" x14ac:dyDescent="0.25">
      <c r="A7891" s="3">
        <v>44501</v>
      </c>
      <c r="B7891" s="2" t="s">
        <v>188</v>
      </c>
      <c r="C7891" s="2">
        <v>1.21</v>
      </c>
      <c r="D7891" s="2">
        <v>2.81E-2</v>
      </c>
      <c r="E7891" s="2">
        <v>3.4001000000000002E-4</v>
      </c>
      <c r="F7891" s="2" t="s">
        <v>174</v>
      </c>
    </row>
    <row r="7892" spans="1:6" ht="22.5" hidden="1" customHeight="1" x14ac:dyDescent="0.25">
      <c r="A7892" s="3">
        <v>44501</v>
      </c>
      <c r="B7892" s="2" t="s">
        <v>189</v>
      </c>
      <c r="C7892" s="2">
        <v>0.78</v>
      </c>
      <c r="D7892" s="2">
        <v>3.8999999999999998E-3</v>
      </c>
      <c r="E7892" s="2">
        <v>3.042E-5</v>
      </c>
      <c r="F7892" s="2" t="s">
        <v>174</v>
      </c>
    </row>
    <row r="7893" spans="1:6" ht="22.5" hidden="1" customHeight="1" x14ac:dyDescent="0.25">
      <c r="A7893" s="3">
        <v>44501</v>
      </c>
      <c r="B7893" s="2" t="s">
        <v>190</v>
      </c>
      <c r="C7893" s="2">
        <v>-0.1</v>
      </c>
      <c r="D7893" s="2">
        <v>4.8999999999999998E-3</v>
      </c>
      <c r="E7893" s="2">
        <v>-4.8999999999999997E-6</v>
      </c>
      <c r="F7893" s="2" t="s">
        <v>174</v>
      </c>
    </row>
    <row r="7894" spans="1:6" ht="22.5" hidden="1" customHeight="1" x14ac:dyDescent="0.25">
      <c r="A7894" s="3">
        <v>44501</v>
      </c>
      <c r="B7894" s="2" t="s">
        <v>191</v>
      </c>
      <c r="C7894" s="2">
        <v>1.1599999999999999</v>
      </c>
      <c r="D7894" s="2">
        <v>2.6499999999999999E-2</v>
      </c>
      <c r="E7894" s="2">
        <v>3.0739999999999999E-4</v>
      </c>
      <c r="F7894" s="2" t="s">
        <v>174</v>
      </c>
    </row>
    <row r="7895" spans="1:6" ht="22.5" hidden="1" customHeight="1" x14ac:dyDescent="0.25">
      <c r="A7895" s="3">
        <v>44501</v>
      </c>
      <c r="B7895" s="2" t="s">
        <v>192</v>
      </c>
      <c r="C7895" s="2">
        <v>1.43</v>
      </c>
      <c r="D7895" s="2">
        <v>4.8999999999999998E-3</v>
      </c>
      <c r="E7895" s="2">
        <v>7.0069999999999998E-5</v>
      </c>
      <c r="F7895" s="2" t="s">
        <v>174</v>
      </c>
    </row>
    <row r="7896" spans="1:6" ht="22.5" hidden="1" customHeight="1" x14ac:dyDescent="0.25">
      <c r="A7896" s="3">
        <v>44501</v>
      </c>
      <c r="B7896" s="2" t="s">
        <v>193</v>
      </c>
      <c r="C7896" s="2">
        <v>1.38</v>
      </c>
      <c r="D7896" s="2">
        <v>0.16009999999999999</v>
      </c>
      <c r="E7896" s="2">
        <v>2.2093799999999999E-3</v>
      </c>
      <c r="F7896" s="2" t="s">
        <v>174</v>
      </c>
    </row>
    <row r="7897" spans="1:6" ht="22.5" hidden="1" customHeight="1" x14ac:dyDescent="0.25">
      <c r="A7897" s="3">
        <v>44501</v>
      </c>
      <c r="B7897" s="2" t="s">
        <v>194</v>
      </c>
      <c r="C7897" s="2">
        <v>3.14</v>
      </c>
      <c r="D7897" s="2">
        <v>3.3E-3</v>
      </c>
      <c r="E7897" s="2">
        <v>1.0362E-4</v>
      </c>
      <c r="F7897" s="2" t="s">
        <v>174</v>
      </c>
    </row>
    <row r="7898" spans="1:6" ht="22.5" hidden="1" customHeight="1" x14ac:dyDescent="0.25">
      <c r="A7898" s="3">
        <v>44075</v>
      </c>
      <c r="B7898" s="2" t="s">
        <v>197</v>
      </c>
      <c r="C7898" s="2">
        <v>-0.03</v>
      </c>
      <c r="D7898" s="2">
        <v>4.3410000000000002</v>
      </c>
      <c r="E7898" s="2">
        <v>-1.3022999999999999E-3</v>
      </c>
      <c r="F7898" s="2" t="s">
        <v>168</v>
      </c>
    </row>
    <row r="7899" spans="1:6" ht="22.5" hidden="1" customHeight="1" x14ac:dyDescent="0.25">
      <c r="A7899" s="3">
        <v>44287</v>
      </c>
      <c r="B7899" s="2" t="s">
        <v>264</v>
      </c>
      <c r="C7899" s="2">
        <v>-1.29</v>
      </c>
      <c r="D7899" s="2">
        <v>0.1023</v>
      </c>
      <c r="E7899" s="2">
        <v>-1.31967E-3</v>
      </c>
      <c r="F7899" s="2" t="s">
        <v>168</v>
      </c>
    </row>
    <row r="7900" spans="1:6" ht="22.5" hidden="1" customHeight="1" x14ac:dyDescent="0.25">
      <c r="A7900" s="3">
        <v>44378</v>
      </c>
      <c r="B7900" s="2" t="s">
        <v>300</v>
      </c>
      <c r="C7900" s="2">
        <v>-0.75</v>
      </c>
      <c r="D7900" s="2">
        <v>0.17660000000000001</v>
      </c>
      <c r="E7900" s="2">
        <v>-1.3244999999999999E-3</v>
      </c>
      <c r="F7900" s="2" t="s">
        <v>168</v>
      </c>
    </row>
    <row r="7901" spans="1:6" ht="22.5" hidden="1" customHeight="1" x14ac:dyDescent="0.25">
      <c r="A7901" s="3">
        <v>44501</v>
      </c>
      <c r="B7901" s="2" t="s">
        <v>198</v>
      </c>
      <c r="C7901" s="2">
        <v>2.5</v>
      </c>
      <c r="D7901" s="2">
        <v>0.34089999999999998</v>
      </c>
      <c r="E7901" s="2">
        <v>8.5225000000000006E-3</v>
      </c>
      <c r="F7901" s="2" t="s">
        <v>170</v>
      </c>
    </row>
    <row r="7902" spans="1:6" ht="22.5" hidden="1" customHeight="1" x14ac:dyDescent="0.25">
      <c r="A7902" s="3">
        <v>44501</v>
      </c>
      <c r="B7902" s="2" t="s">
        <v>199</v>
      </c>
      <c r="C7902" s="2">
        <v>1.83</v>
      </c>
      <c r="D7902" s="2">
        <v>0.48680000000000001</v>
      </c>
      <c r="E7902" s="2">
        <v>8.9084400000000001E-3</v>
      </c>
      <c r="F7902" s="2" t="s">
        <v>170</v>
      </c>
    </row>
    <row r="7903" spans="1:6" ht="22.5" hidden="1" customHeight="1" x14ac:dyDescent="0.25">
      <c r="A7903" s="3">
        <v>44501</v>
      </c>
      <c r="B7903" s="2" t="s">
        <v>200</v>
      </c>
      <c r="C7903" s="2">
        <v>2.75</v>
      </c>
      <c r="D7903" s="2">
        <v>0.19</v>
      </c>
      <c r="E7903" s="2">
        <v>5.2249999999999996E-3</v>
      </c>
      <c r="F7903" s="2" t="s">
        <v>170</v>
      </c>
    </row>
    <row r="7904" spans="1:6" ht="22.5" hidden="1" customHeight="1" x14ac:dyDescent="0.25">
      <c r="A7904" s="3">
        <v>44501</v>
      </c>
      <c r="B7904" s="2" t="s">
        <v>201</v>
      </c>
      <c r="C7904" s="2">
        <v>0.52</v>
      </c>
      <c r="D7904" s="2">
        <v>2.5000000000000001E-2</v>
      </c>
      <c r="E7904" s="2">
        <v>1.2999999999999999E-4</v>
      </c>
      <c r="F7904" s="2" t="s">
        <v>170</v>
      </c>
    </row>
    <row r="7905" spans="1:6" ht="22.5" hidden="1" customHeight="1" x14ac:dyDescent="0.25">
      <c r="A7905" s="3">
        <v>44501</v>
      </c>
      <c r="B7905" s="2" t="s">
        <v>202</v>
      </c>
      <c r="C7905" s="2">
        <v>1.57</v>
      </c>
      <c r="D7905" s="2">
        <v>1.78E-2</v>
      </c>
      <c r="E7905" s="2">
        <v>2.7945999999999998E-4</v>
      </c>
      <c r="F7905" s="2" t="s">
        <v>170</v>
      </c>
    </row>
    <row r="7906" spans="1:6" ht="22.5" hidden="1" customHeight="1" x14ac:dyDescent="0.25">
      <c r="A7906" s="3">
        <v>44501</v>
      </c>
      <c r="B7906" s="2" t="s">
        <v>203</v>
      </c>
      <c r="C7906" s="2">
        <v>0.79</v>
      </c>
      <c r="D7906" s="2">
        <v>7.8600000000000003E-2</v>
      </c>
      <c r="E7906" s="2">
        <v>6.2093999999999995E-4</v>
      </c>
      <c r="F7906" s="2" t="s">
        <v>170</v>
      </c>
    </row>
    <row r="7907" spans="1:6" ht="22.5" hidden="1" customHeight="1" x14ac:dyDescent="0.25">
      <c r="A7907" s="3">
        <v>44501</v>
      </c>
      <c r="B7907" s="2" t="s">
        <v>204</v>
      </c>
      <c r="C7907" s="2">
        <v>-0.96</v>
      </c>
      <c r="D7907" s="2">
        <v>5.8200000000000002E-2</v>
      </c>
      <c r="E7907" s="2">
        <v>-5.5871999999999996E-4</v>
      </c>
      <c r="F7907" s="2" t="s">
        <v>174</v>
      </c>
    </row>
    <row r="7908" spans="1:6" ht="22.5" hidden="1" customHeight="1" x14ac:dyDescent="0.25">
      <c r="A7908" s="3">
        <v>44501</v>
      </c>
      <c r="B7908" s="2" t="s">
        <v>205</v>
      </c>
      <c r="C7908" s="2">
        <v>0.44</v>
      </c>
      <c r="D7908" s="2">
        <v>9.4299999999999995E-2</v>
      </c>
      <c r="E7908" s="2">
        <v>4.1491999999999999E-4</v>
      </c>
      <c r="F7908" s="2" t="s">
        <v>174</v>
      </c>
    </row>
    <row r="7909" spans="1:6" ht="22.5" hidden="1" customHeight="1" x14ac:dyDescent="0.25">
      <c r="A7909" s="3">
        <v>44501</v>
      </c>
      <c r="B7909" s="2" t="s">
        <v>206</v>
      </c>
      <c r="C7909" s="2">
        <v>1.93</v>
      </c>
      <c r="D7909" s="2">
        <v>0.15939999999999999</v>
      </c>
      <c r="E7909" s="2">
        <v>3.0764199999999998E-3</v>
      </c>
      <c r="F7909" s="2" t="s">
        <v>174</v>
      </c>
    </row>
    <row r="7910" spans="1:6" ht="22.5" hidden="1" customHeight="1" x14ac:dyDescent="0.25">
      <c r="A7910" s="3">
        <v>44501</v>
      </c>
      <c r="B7910" s="2" t="s">
        <v>207</v>
      </c>
      <c r="C7910" s="2">
        <v>0.79</v>
      </c>
      <c r="D7910" s="2">
        <v>4.8399999999999999E-2</v>
      </c>
      <c r="E7910" s="2">
        <v>3.8235999999999999E-4</v>
      </c>
      <c r="F7910" s="2" t="s">
        <v>174</v>
      </c>
    </row>
    <row r="7911" spans="1:6" ht="22.5" hidden="1" customHeight="1" x14ac:dyDescent="0.25">
      <c r="A7911" s="3">
        <v>44501</v>
      </c>
      <c r="B7911" s="2" t="s">
        <v>208</v>
      </c>
      <c r="C7911" s="2">
        <v>-0.55000000000000004</v>
      </c>
      <c r="D7911" s="2">
        <v>8.6E-3</v>
      </c>
      <c r="E7911" s="2">
        <v>-4.7299999999999998E-5</v>
      </c>
      <c r="F7911" s="2" t="s">
        <v>174</v>
      </c>
    </row>
    <row r="7912" spans="1:6" ht="22.5" hidden="1" customHeight="1" x14ac:dyDescent="0.25">
      <c r="A7912" s="3">
        <v>44501</v>
      </c>
      <c r="B7912" s="2" t="s">
        <v>209</v>
      </c>
      <c r="C7912" s="2">
        <v>3.35</v>
      </c>
      <c r="D7912" s="2">
        <v>6.0000000000000001E-3</v>
      </c>
      <c r="E7912" s="2">
        <v>2.0100000000000001E-4</v>
      </c>
      <c r="F7912" s="2" t="s">
        <v>174</v>
      </c>
    </row>
    <row r="7913" spans="1:6" ht="22.5" hidden="1" customHeight="1" x14ac:dyDescent="0.25">
      <c r="A7913" s="3">
        <v>44501</v>
      </c>
      <c r="B7913" s="2" t="s">
        <v>210</v>
      </c>
      <c r="C7913" s="2">
        <v>0.96</v>
      </c>
      <c r="D7913" s="2">
        <v>1.37E-2</v>
      </c>
      <c r="E7913" s="2">
        <v>1.3151999999999999E-4</v>
      </c>
      <c r="F7913" s="2" t="s">
        <v>170</v>
      </c>
    </row>
    <row r="7914" spans="1:6" ht="22.5" hidden="1" customHeight="1" x14ac:dyDescent="0.25">
      <c r="A7914" s="3">
        <v>44501</v>
      </c>
      <c r="B7914" s="2" t="s">
        <v>211</v>
      </c>
      <c r="C7914" s="2">
        <v>1.1100000000000001</v>
      </c>
      <c r="D7914" s="2">
        <v>0.1963</v>
      </c>
      <c r="E7914" s="2">
        <v>2.1789299999999999E-3</v>
      </c>
      <c r="F7914" s="2" t="s">
        <v>174</v>
      </c>
    </row>
    <row r="7915" spans="1:6" ht="22.5" hidden="1" customHeight="1" x14ac:dyDescent="0.25">
      <c r="A7915" s="3">
        <v>44501</v>
      </c>
      <c r="B7915" s="2" t="s">
        <v>212</v>
      </c>
      <c r="C7915" s="2">
        <v>1.81</v>
      </c>
      <c r="D7915" s="2">
        <v>4.4000000000000003E-3</v>
      </c>
      <c r="E7915" s="2">
        <v>7.9640000000000003E-5</v>
      </c>
      <c r="F7915" s="2" t="s">
        <v>174</v>
      </c>
    </row>
    <row r="7916" spans="1:6" ht="22.5" hidden="1" customHeight="1" x14ac:dyDescent="0.25">
      <c r="A7916" s="3">
        <v>44501</v>
      </c>
      <c r="B7916" s="2" t="s">
        <v>213</v>
      </c>
      <c r="C7916" s="2">
        <v>2.39</v>
      </c>
      <c r="D7916" s="2">
        <v>0.3528</v>
      </c>
      <c r="E7916" s="2">
        <v>8.4319200000000007E-3</v>
      </c>
      <c r="F7916" s="2" t="s">
        <v>170</v>
      </c>
    </row>
    <row r="7917" spans="1:6" ht="22.5" hidden="1" customHeight="1" x14ac:dyDescent="0.25">
      <c r="A7917" s="3">
        <v>44501</v>
      </c>
      <c r="B7917" s="2" t="s">
        <v>214</v>
      </c>
      <c r="C7917" s="2">
        <v>-0.13</v>
      </c>
      <c r="D7917" s="2">
        <v>0.1019</v>
      </c>
      <c r="E7917" s="2">
        <v>-1.3247000000000001E-4</v>
      </c>
      <c r="F7917" s="2" t="s">
        <v>170</v>
      </c>
    </row>
    <row r="7918" spans="1:6" ht="22.5" hidden="1" customHeight="1" x14ac:dyDescent="0.25">
      <c r="A7918" s="3">
        <v>44501</v>
      </c>
      <c r="B7918" s="2" t="s">
        <v>215</v>
      </c>
      <c r="C7918" s="2">
        <v>2.69</v>
      </c>
      <c r="D7918" s="2">
        <v>0.25059999999999999</v>
      </c>
      <c r="E7918" s="2">
        <v>6.7411399999999996E-3</v>
      </c>
      <c r="F7918" s="2" t="s">
        <v>170</v>
      </c>
    </row>
    <row r="7919" spans="1:6" ht="22.5" hidden="1" customHeight="1" x14ac:dyDescent="0.25">
      <c r="A7919" s="3">
        <v>44501</v>
      </c>
      <c r="B7919" s="2" t="s">
        <v>216</v>
      </c>
      <c r="C7919" s="2">
        <v>1.97</v>
      </c>
      <c r="D7919" s="2">
        <v>1.43E-2</v>
      </c>
      <c r="E7919" s="2">
        <v>2.8171000000000001E-4</v>
      </c>
      <c r="F7919" s="2" t="s">
        <v>170</v>
      </c>
    </row>
    <row r="7920" spans="1:6" ht="22.5" hidden="1" customHeight="1" x14ac:dyDescent="0.25">
      <c r="A7920" s="3">
        <v>44501</v>
      </c>
      <c r="B7920" s="2" t="s">
        <v>217</v>
      </c>
      <c r="C7920" s="2">
        <v>2.2999999999999998</v>
      </c>
      <c r="D7920" s="2">
        <v>0.16839999999999999</v>
      </c>
      <c r="E7920" s="2">
        <v>3.8731999999999998E-3</v>
      </c>
      <c r="F7920" s="2" t="s">
        <v>170</v>
      </c>
    </row>
    <row r="7921" spans="1:6" ht="22.5" hidden="1" customHeight="1" x14ac:dyDescent="0.25">
      <c r="A7921" s="3">
        <v>44501</v>
      </c>
      <c r="B7921" s="2" t="s">
        <v>218</v>
      </c>
      <c r="C7921" s="2">
        <v>-0.27</v>
      </c>
      <c r="D7921" s="2">
        <v>7.7000000000000002E-3</v>
      </c>
      <c r="E7921" s="2">
        <v>-2.0789999999999999E-5</v>
      </c>
      <c r="F7921" s="2" t="s">
        <v>170</v>
      </c>
    </row>
    <row r="7922" spans="1:6" ht="22.5" hidden="1" customHeight="1" x14ac:dyDescent="0.25">
      <c r="A7922" s="3">
        <v>44501</v>
      </c>
      <c r="B7922" s="2" t="s">
        <v>219</v>
      </c>
      <c r="C7922" s="2">
        <v>2.13</v>
      </c>
      <c r="D7922" s="2">
        <v>0.52939999999999998</v>
      </c>
      <c r="E7922" s="2">
        <v>1.127622E-2</v>
      </c>
      <c r="F7922" s="2" t="s">
        <v>170</v>
      </c>
    </row>
    <row r="7923" spans="1:6" ht="22.5" hidden="1" customHeight="1" x14ac:dyDescent="0.25">
      <c r="A7923" s="3">
        <v>44501</v>
      </c>
      <c r="B7923" s="2" t="s">
        <v>220</v>
      </c>
      <c r="C7923" s="2">
        <v>-0.31</v>
      </c>
      <c r="D7923" s="2">
        <v>1.04E-2</v>
      </c>
      <c r="E7923" s="2">
        <v>-3.2240000000000003E-5</v>
      </c>
      <c r="F7923" s="2" t="s">
        <v>170</v>
      </c>
    </row>
    <row r="7924" spans="1:6" ht="22.5" hidden="1" customHeight="1" x14ac:dyDescent="0.25">
      <c r="A7924" s="3">
        <v>44501</v>
      </c>
      <c r="B7924" s="2" t="s">
        <v>221</v>
      </c>
      <c r="C7924" s="2">
        <v>0.9</v>
      </c>
      <c r="D7924" s="2">
        <v>3.3999999999999998E-3</v>
      </c>
      <c r="E7924" s="2">
        <v>3.0599999999999998E-5</v>
      </c>
      <c r="F7924" s="2" t="s">
        <v>170</v>
      </c>
    </row>
    <row r="7925" spans="1:6" ht="22.5" hidden="1" customHeight="1" x14ac:dyDescent="0.25">
      <c r="A7925" s="3">
        <v>44501</v>
      </c>
      <c r="B7925" s="2" t="s">
        <v>222</v>
      </c>
      <c r="C7925" s="2">
        <v>-1.01</v>
      </c>
      <c r="D7925" s="2">
        <v>0.33139999999999997</v>
      </c>
      <c r="E7925" s="2">
        <v>-3.3471400000000002E-3</v>
      </c>
      <c r="F7925" s="2" t="s">
        <v>170</v>
      </c>
    </row>
    <row r="7926" spans="1:6" ht="22.5" hidden="1" customHeight="1" x14ac:dyDescent="0.25">
      <c r="A7926" s="3">
        <v>44501</v>
      </c>
      <c r="B7926" s="2" t="s">
        <v>223</v>
      </c>
      <c r="C7926" s="2">
        <v>1.45</v>
      </c>
      <c r="D7926" s="2">
        <v>1.5800000000000002E-2</v>
      </c>
      <c r="E7926" s="2">
        <v>2.2910000000000001E-4</v>
      </c>
      <c r="F7926" s="2" t="s">
        <v>165</v>
      </c>
    </row>
    <row r="7927" spans="1:6" ht="22.5" hidden="1" customHeight="1" x14ac:dyDescent="0.25">
      <c r="A7927" s="3">
        <v>44501</v>
      </c>
      <c r="B7927" s="2" t="s">
        <v>224</v>
      </c>
      <c r="C7927" s="2">
        <v>0.37</v>
      </c>
      <c r="D7927" s="2">
        <v>2E-3</v>
      </c>
      <c r="E7927" s="2">
        <v>7.4000000000000003E-6</v>
      </c>
      <c r="F7927" s="2" t="s">
        <v>165</v>
      </c>
    </row>
    <row r="7928" spans="1:6" ht="22.5" hidden="1" customHeight="1" x14ac:dyDescent="0.25">
      <c r="A7928" s="3">
        <v>44501</v>
      </c>
      <c r="B7928" s="2" t="s">
        <v>225</v>
      </c>
      <c r="C7928" s="2">
        <v>-1.45</v>
      </c>
      <c r="D7928" s="2">
        <v>4.4999999999999997E-3</v>
      </c>
      <c r="E7928" s="2">
        <v>-6.525E-5</v>
      </c>
      <c r="F7928" s="2" t="s">
        <v>165</v>
      </c>
    </row>
    <row r="7929" spans="1:6" ht="22.5" hidden="1" customHeight="1" x14ac:dyDescent="0.25">
      <c r="A7929" s="3">
        <v>44501</v>
      </c>
      <c r="B7929" s="2" t="s">
        <v>226</v>
      </c>
      <c r="C7929" s="2">
        <v>0.09</v>
      </c>
      <c r="D7929" s="2">
        <v>4.6399999999999997E-2</v>
      </c>
      <c r="E7929" s="2">
        <v>4.176E-5</v>
      </c>
      <c r="F7929" s="2" t="s">
        <v>165</v>
      </c>
    </row>
    <row r="7930" spans="1:6" ht="22.5" hidden="1" customHeight="1" x14ac:dyDescent="0.25">
      <c r="A7930" s="3">
        <v>44501</v>
      </c>
      <c r="B7930" s="2" t="s">
        <v>227</v>
      </c>
      <c r="C7930" s="2">
        <v>-0.03</v>
      </c>
      <c r="D7930" s="2">
        <v>6.3100000000000003E-2</v>
      </c>
      <c r="E7930" s="2">
        <v>-1.893E-5</v>
      </c>
      <c r="F7930" s="2" t="s">
        <v>165</v>
      </c>
    </row>
    <row r="7931" spans="1:6" ht="22.5" hidden="1" customHeight="1" x14ac:dyDescent="0.25">
      <c r="A7931" s="3">
        <v>44501</v>
      </c>
      <c r="B7931" s="2" t="s">
        <v>228</v>
      </c>
      <c r="C7931" s="2">
        <v>0.95</v>
      </c>
      <c r="D7931" s="2">
        <v>0.192</v>
      </c>
      <c r="E7931" s="2">
        <v>1.8240000000000001E-3</v>
      </c>
      <c r="F7931" s="2" t="s">
        <v>165</v>
      </c>
    </row>
    <row r="7932" spans="1:6" ht="22.5" hidden="1" customHeight="1" x14ac:dyDescent="0.25">
      <c r="A7932" s="3">
        <v>44501</v>
      </c>
      <c r="B7932" s="2" t="s">
        <v>229</v>
      </c>
      <c r="C7932" s="2">
        <v>1.1399999999999999</v>
      </c>
      <c r="D7932" s="2">
        <v>0.28160000000000002</v>
      </c>
      <c r="E7932" s="2">
        <v>3.2102400000000001E-3</v>
      </c>
      <c r="F7932" s="2" t="s">
        <v>174</v>
      </c>
    </row>
    <row r="7933" spans="1:6" ht="22.5" hidden="1" customHeight="1" x14ac:dyDescent="0.25">
      <c r="A7933" s="3">
        <v>44501</v>
      </c>
      <c r="B7933" s="2" t="s">
        <v>230</v>
      </c>
      <c r="C7933" s="2">
        <v>0.83</v>
      </c>
      <c r="D7933" s="2">
        <v>2.07E-2</v>
      </c>
      <c r="E7933" s="2">
        <v>1.7181E-4</v>
      </c>
      <c r="F7933" s="2" t="s">
        <v>174</v>
      </c>
    </row>
    <row r="7934" spans="1:6" ht="22.5" hidden="1" customHeight="1" x14ac:dyDescent="0.25">
      <c r="A7934" s="3">
        <v>44501</v>
      </c>
      <c r="B7934" s="2" t="s">
        <v>231</v>
      </c>
      <c r="C7934" s="2">
        <v>2.11</v>
      </c>
      <c r="D7934" s="2">
        <v>0.1661</v>
      </c>
      <c r="E7934" s="2">
        <v>3.5047099999999999E-3</v>
      </c>
      <c r="F7934" s="2" t="s">
        <v>174</v>
      </c>
    </row>
    <row r="7935" spans="1:6" ht="22.5" hidden="1" customHeight="1" x14ac:dyDescent="0.25">
      <c r="A7935" s="3">
        <v>44501</v>
      </c>
      <c r="B7935" s="2" t="s">
        <v>232</v>
      </c>
      <c r="C7935" s="2">
        <v>1.08</v>
      </c>
      <c r="D7935" s="2">
        <v>5.7999999999999996E-3</v>
      </c>
      <c r="E7935" s="2">
        <v>6.2639999999999997E-5</v>
      </c>
      <c r="F7935" s="2" t="s">
        <v>174</v>
      </c>
    </row>
    <row r="7936" spans="1:6" ht="22.5" hidden="1" customHeight="1" x14ac:dyDescent="0.25">
      <c r="A7936" s="3">
        <v>44501</v>
      </c>
      <c r="B7936" s="2" t="s">
        <v>233</v>
      </c>
      <c r="C7936" s="2">
        <v>2.2400000000000002</v>
      </c>
      <c r="D7936" s="2">
        <v>0.56089999999999995</v>
      </c>
      <c r="E7936" s="2">
        <v>1.256416E-2</v>
      </c>
      <c r="F7936" s="2" t="s">
        <v>174</v>
      </c>
    </row>
    <row r="7937" spans="1:6" ht="22.5" hidden="1" customHeight="1" x14ac:dyDescent="0.25">
      <c r="A7937" s="3">
        <v>44501</v>
      </c>
      <c r="B7937" s="2" t="s">
        <v>234</v>
      </c>
      <c r="C7937" s="2">
        <v>1.08</v>
      </c>
      <c r="D7937" s="2">
        <v>0.30070000000000002</v>
      </c>
      <c r="E7937" s="2">
        <v>3.24756E-3</v>
      </c>
      <c r="F7937" s="2" t="s">
        <v>174</v>
      </c>
    </row>
    <row r="7938" spans="1:6" ht="22.5" hidden="1" customHeight="1" x14ac:dyDescent="0.25">
      <c r="A7938" s="3">
        <v>44501</v>
      </c>
      <c r="B7938" s="2" t="s">
        <v>235</v>
      </c>
      <c r="C7938" s="2">
        <v>-0.66</v>
      </c>
      <c r="D7938" s="2">
        <v>2.3199999999999998E-2</v>
      </c>
      <c r="E7938" s="2">
        <v>-1.5312E-4</v>
      </c>
      <c r="F7938" s="2" t="s">
        <v>174</v>
      </c>
    </row>
    <row r="7939" spans="1:6" ht="22.5" hidden="1" customHeight="1" x14ac:dyDescent="0.25">
      <c r="A7939" s="3">
        <v>44501</v>
      </c>
      <c r="B7939" s="2" t="s">
        <v>236</v>
      </c>
      <c r="C7939" s="2">
        <v>1.85</v>
      </c>
      <c r="D7939" s="2">
        <v>6.7000000000000002E-3</v>
      </c>
      <c r="E7939" s="2">
        <v>1.2395E-4</v>
      </c>
      <c r="F7939" s="2" t="s">
        <v>174</v>
      </c>
    </row>
    <row r="7940" spans="1:6" ht="22.5" hidden="1" customHeight="1" x14ac:dyDescent="0.25">
      <c r="A7940" s="3">
        <v>44501</v>
      </c>
      <c r="B7940" s="2" t="s">
        <v>237</v>
      </c>
      <c r="C7940" s="2">
        <v>2.76</v>
      </c>
      <c r="D7940" s="2">
        <v>0.27629999999999999</v>
      </c>
      <c r="E7940" s="2">
        <v>7.6258799999999998E-3</v>
      </c>
      <c r="F7940" s="2" t="s">
        <v>174</v>
      </c>
    </row>
    <row r="7941" spans="1:6" ht="22.5" hidden="1" customHeight="1" x14ac:dyDescent="0.25">
      <c r="A7941" s="3">
        <v>44501</v>
      </c>
      <c r="B7941" s="2" t="s">
        <v>238</v>
      </c>
      <c r="C7941" s="2">
        <v>2.82</v>
      </c>
      <c r="D7941" s="2">
        <v>0.49519999999999997</v>
      </c>
      <c r="E7941" s="2">
        <v>1.396464E-2</v>
      </c>
      <c r="F7941" s="2" t="s">
        <v>174</v>
      </c>
    </row>
    <row r="7942" spans="1:6" ht="22.5" hidden="1" customHeight="1" x14ac:dyDescent="0.25">
      <c r="A7942" s="3">
        <v>44501</v>
      </c>
      <c r="B7942" s="2" t="s">
        <v>239</v>
      </c>
      <c r="C7942" s="2">
        <v>0.16</v>
      </c>
      <c r="D7942" s="2">
        <v>0.1067</v>
      </c>
      <c r="E7942" s="2">
        <v>1.7071999999999999E-4</v>
      </c>
      <c r="F7942" s="2" t="s">
        <v>174</v>
      </c>
    </row>
    <row r="7943" spans="1:6" ht="22.5" hidden="1" customHeight="1" x14ac:dyDescent="0.25">
      <c r="A7943" s="3">
        <v>44501</v>
      </c>
      <c r="B7943" s="2" t="s">
        <v>240</v>
      </c>
      <c r="C7943" s="2">
        <v>1.71</v>
      </c>
      <c r="D7943" s="2">
        <v>6.1199999999999997E-2</v>
      </c>
      <c r="E7943" s="2">
        <v>1.04652E-3</v>
      </c>
      <c r="F7943" s="2" t="s">
        <v>174</v>
      </c>
    </row>
    <row r="7944" spans="1:6" ht="22.5" hidden="1" customHeight="1" x14ac:dyDescent="0.25">
      <c r="A7944" s="3">
        <v>44501</v>
      </c>
      <c r="B7944" s="2" t="s">
        <v>241</v>
      </c>
      <c r="C7944" s="2">
        <v>-0.74</v>
      </c>
      <c r="D7944" s="2">
        <v>8.5099999999999995E-2</v>
      </c>
      <c r="E7944" s="2">
        <v>-6.2974000000000005E-4</v>
      </c>
      <c r="F7944" s="2" t="s">
        <v>174</v>
      </c>
    </row>
    <row r="7945" spans="1:6" ht="22.5" hidden="1" customHeight="1" x14ac:dyDescent="0.25">
      <c r="A7945" s="3">
        <v>44501</v>
      </c>
      <c r="B7945" s="2" t="s">
        <v>242</v>
      </c>
      <c r="C7945" s="2">
        <v>1.19</v>
      </c>
      <c r="D7945" s="2">
        <v>7.0800000000000002E-2</v>
      </c>
      <c r="E7945" s="2">
        <v>8.4252000000000003E-4</v>
      </c>
      <c r="F7945" s="2" t="s">
        <v>174</v>
      </c>
    </row>
    <row r="7946" spans="1:6" ht="22.5" hidden="1" customHeight="1" x14ac:dyDescent="0.25">
      <c r="A7946" s="3">
        <v>44501</v>
      </c>
      <c r="B7946" s="2" t="s">
        <v>243</v>
      </c>
      <c r="C7946" s="2">
        <v>-1.54</v>
      </c>
      <c r="D7946" s="2">
        <v>7.4000000000000003E-3</v>
      </c>
      <c r="E7946" s="2">
        <v>-1.1396E-4</v>
      </c>
      <c r="F7946" s="2" t="s">
        <v>174</v>
      </c>
    </row>
    <row r="7947" spans="1:6" ht="22.5" hidden="1" customHeight="1" x14ac:dyDescent="0.25">
      <c r="A7947" s="3">
        <v>44501</v>
      </c>
      <c r="B7947" s="2" t="s">
        <v>244</v>
      </c>
      <c r="C7947" s="2">
        <v>2.36</v>
      </c>
      <c r="D7947" s="2">
        <v>4.8500000000000001E-2</v>
      </c>
      <c r="E7947" s="2">
        <v>1.1446E-3</v>
      </c>
      <c r="F7947" s="2" t="s">
        <v>174</v>
      </c>
    </row>
    <row r="7948" spans="1:6" ht="22.5" hidden="1" customHeight="1" x14ac:dyDescent="0.25">
      <c r="A7948" s="3">
        <v>44501</v>
      </c>
      <c r="B7948" s="2" t="s">
        <v>245</v>
      </c>
      <c r="C7948" s="2">
        <v>1.83</v>
      </c>
      <c r="D7948" s="2">
        <v>4.8599999999999997E-2</v>
      </c>
      <c r="E7948" s="2">
        <v>8.8938000000000005E-4</v>
      </c>
      <c r="F7948" s="2" t="s">
        <v>174</v>
      </c>
    </row>
    <row r="7949" spans="1:6" ht="22.5" hidden="1" customHeight="1" x14ac:dyDescent="0.25">
      <c r="A7949" s="3">
        <v>44501</v>
      </c>
      <c r="B7949" s="2" t="s">
        <v>246</v>
      </c>
      <c r="C7949" s="2">
        <v>1.65</v>
      </c>
      <c r="D7949" s="2">
        <v>0.18240000000000001</v>
      </c>
      <c r="E7949" s="2">
        <v>3.0095999999999999E-3</v>
      </c>
      <c r="F7949" s="2" t="s">
        <v>174</v>
      </c>
    </row>
    <row r="7950" spans="1:6" ht="22.5" hidden="1" customHeight="1" x14ac:dyDescent="0.25">
      <c r="A7950" s="3">
        <v>44501</v>
      </c>
      <c r="B7950" s="2" t="s">
        <v>247</v>
      </c>
      <c r="C7950" s="2">
        <v>1.76</v>
      </c>
      <c r="D7950" s="2">
        <v>0.13039999999999999</v>
      </c>
      <c r="E7950" s="2">
        <v>2.2950399999999999E-3</v>
      </c>
      <c r="F7950" s="2" t="s">
        <v>174</v>
      </c>
    </row>
    <row r="7951" spans="1:6" ht="22.5" hidden="1" customHeight="1" x14ac:dyDescent="0.25">
      <c r="A7951" s="3">
        <v>44501</v>
      </c>
      <c r="B7951" s="2" t="s">
        <v>248</v>
      </c>
      <c r="C7951" s="2">
        <v>0.43</v>
      </c>
      <c r="D7951" s="2">
        <v>0.1472</v>
      </c>
      <c r="E7951" s="2">
        <v>6.3296000000000001E-4</v>
      </c>
      <c r="F7951" s="2" t="s">
        <v>174</v>
      </c>
    </row>
    <row r="7952" spans="1:6" ht="22.5" hidden="1" customHeight="1" x14ac:dyDescent="0.25">
      <c r="A7952" s="3">
        <v>44501</v>
      </c>
      <c r="B7952" s="2" t="s">
        <v>249</v>
      </c>
      <c r="C7952" s="2">
        <v>1.73</v>
      </c>
      <c r="D7952" s="2">
        <v>0.25869999999999999</v>
      </c>
      <c r="E7952" s="2">
        <v>4.4755100000000003E-3</v>
      </c>
      <c r="F7952" s="2" t="s">
        <v>174</v>
      </c>
    </row>
    <row r="7953" spans="1:6" ht="22.5" hidden="1" customHeight="1" x14ac:dyDescent="0.25">
      <c r="A7953" s="3">
        <v>44501</v>
      </c>
      <c r="B7953" s="2" t="s">
        <v>250</v>
      </c>
      <c r="C7953" s="2">
        <v>0.64</v>
      </c>
      <c r="D7953" s="2">
        <v>2.5000000000000001E-2</v>
      </c>
      <c r="E7953" s="2">
        <v>1.6000000000000001E-4</v>
      </c>
      <c r="F7953" s="2" t="s">
        <v>174</v>
      </c>
    </row>
    <row r="7954" spans="1:6" ht="22.5" hidden="1" customHeight="1" x14ac:dyDescent="0.25">
      <c r="A7954" s="3">
        <v>44501</v>
      </c>
      <c r="B7954" s="2" t="s">
        <v>251</v>
      </c>
      <c r="C7954" s="2">
        <v>1.44</v>
      </c>
      <c r="D7954" s="2">
        <v>5.9200000000000003E-2</v>
      </c>
      <c r="E7954" s="2">
        <v>8.5247999999999997E-4</v>
      </c>
      <c r="F7954" s="2" t="s">
        <v>174</v>
      </c>
    </row>
    <row r="7955" spans="1:6" ht="22.5" hidden="1" customHeight="1" x14ac:dyDescent="0.25">
      <c r="A7955" s="3">
        <v>44501</v>
      </c>
      <c r="B7955" s="2" t="s">
        <v>252</v>
      </c>
      <c r="C7955" s="2">
        <v>2.1</v>
      </c>
      <c r="D7955" s="2">
        <v>7.9000000000000008E-3</v>
      </c>
      <c r="E7955" s="2">
        <v>1.6589999999999999E-4</v>
      </c>
      <c r="F7955" s="2" t="s">
        <v>174</v>
      </c>
    </row>
    <row r="7956" spans="1:6" ht="22.5" hidden="1" customHeight="1" x14ac:dyDescent="0.25">
      <c r="A7956" s="3">
        <v>44501</v>
      </c>
      <c r="B7956" s="2" t="s">
        <v>253</v>
      </c>
      <c r="C7956" s="2">
        <v>1.1499999999999999</v>
      </c>
      <c r="D7956" s="2">
        <v>0.42830000000000001</v>
      </c>
      <c r="E7956" s="2">
        <v>4.9254499999999996E-3</v>
      </c>
      <c r="F7956" s="2" t="s">
        <v>174</v>
      </c>
    </row>
    <row r="7957" spans="1:6" ht="22.5" hidden="1" customHeight="1" x14ac:dyDescent="0.25">
      <c r="A7957" s="3">
        <v>44501</v>
      </c>
      <c r="B7957" s="2" t="s">
        <v>254</v>
      </c>
      <c r="C7957" s="2">
        <v>1.61</v>
      </c>
      <c r="D7957" s="2">
        <v>0.1767</v>
      </c>
      <c r="E7957" s="2">
        <v>2.8448700000000002E-3</v>
      </c>
      <c r="F7957" s="2" t="s">
        <v>174</v>
      </c>
    </row>
    <row r="7958" spans="1:6" ht="22.5" hidden="1" customHeight="1" x14ac:dyDescent="0.25">
      <c r="A7958" s="3">
        <v>44501</v>
      </c>
      <c r="B7958" s="2" t="s">
        <v>255</v>
      </c>
      <c r="C7958" s="2">
        <v>1.7</v>
      </c>
      <c r="D7958" s="2">
        <v>1.6400000000000001E-2</v>
      </c>
      <c r="E7958" s="2">
        <v>2.788E-4</v>
      </c>
      <c r="F7958" s="2" t="s">
        <v>170</v>
      </c>
    </row>
    <row r="7959" spans="1:6" ht="22.5" hidden="1" customHeight="1" x14ac:dyDescent="0.25">
      <c r="A7959" s="3">
        <v>44501</v>
      </c>
      <c r="B7959" s="2" t="s">
        <v>256</v>
      </c>
      <c r="C7959" s="2">
        <v>-0.25</v>
      </c>
      <c r="D7959" s="2">
        <v>0.1489</v>
      </c>
      <c r="E7959" s="2">
        <v>-3.7225000000000002E-4</v>
      </c>
      <c r="F7959" s="2" t="s">
        <v>170</v>
      </c>
    </row>
    <row r="7960" spans="1:6" ht="22.5" hidden="1" customHeight="1" x14ac:dyDescent="0.25">
      <c r="A7960" s="3">
        <v>44501</v>
      </c>
      <c r="B7960" s="2" t="s">
        <v>257</v>
      </c>
      <c r="C7960" s="2">
        <v>0.57999999999999996</v>
      </c>
      <c r="D7960" s="2">
        <v>5.0900000000000001E-2</v>
      </c>
      <c r="E7960" s="2">
        <v>2.9522000000000001E-4</v>
      </c>
      <c r="F7960" s="2" t="s">
        <v>170</v>
      </c>
    </row>
    <row r="7961" spans="1:6" ht="22.5" hidden="1" customHeight="1" x14ac:dyDescent="0.25">
      <c r="A7961" s="3">
        <v>44501</v>
      </c>
      <c r="B7961" s="2" t="s">
        <v>258</v>
      </c>
      <c r="C7961" s="2">
        <v>1</v>
      </c>
      <c r="D7961" s="2">
        <v>4.5699999999999998E-2</v>
      </c>
      <c r="E7961" s="2">
        <v>4.57E-4</v>
      </c>
      <c r="F7961" s="2" t="s">
        <v>174</v>
      </c>
    </row>
    <row r="7962" spans="1:6" ht="22.5" hidden="1" customHeight="1" x14ac:dyDescent="0.25">
      <c r="A7962" s="3">
        <v>44501</v>
      </c>
      <c r="B7962" s="2" t="s">
        <v>259</v>
      </c>
      <c r="C7962" s="2">
        <v>0.36</v>
      </c>
      <c r="D7962" s="2">
        <v>9.7999999999999997E-3</v>
      </c>
      <c r="E7962" s="2">
        <v>3.5280000000000001E-5</v>
      </c>
      <c r="F7962" s="2" t="s">
        <v>174</v>
      </c>
    </row>
    <row r="7963" spans="1:6" ht="22.5" hidden="1" customHeight="1" x14ac:dyDescent="0.25">
      <c r="A7963" s="3">
        <v>44136</v>
      </c>
      <c r="B7963" s="2" t="s">
        <v>294</v>
      </c>
      <c r="C7963" s="2">
        <v>-1</v>
      </c>
      <c r="D7963" s="2">
        <v>0.1343</v>
      </c>
      <c r="E7963" s="2">
        <v>-1.343E-3</v>
      </c>
      <c r="F7963" s="2" t="s">
        <v>168</v>
      </c>
    </row>
    <row r="7964" spans="1:6" ht="22.5" hidden="1" customHeight="1" x14ac:dyDescent="0.25">
      <c r="A7964" s="3">
        <v>44562</v>
      </c>
      <c r="B7964" s="2" t="s">
        <v>293</v>
      </c>
      <c r="C7964" s="2">
        <v>-0.82</v>
      </c>
      <c r="D7964" s="2">
        <v>0.1648</v>
      </c>
      <c r="E7964" s="2">
        <v>-1.35136E-3</v>
      </c>
      <c r="F7964" s="2" t="s">
        <v>168</v>
      </c>
    </row>
    <row r="7965" spans="1:6" ht="22.5" hidden="1" customHeight="1" x14ac:dyDescent="0.25">
      <c r="A7965" s="3">
        <v>43862</v>
      </c>
      <c r="B7965" s="2" t="s">
        <v>290</v>
      </c>
      <c r="C7965" s="2">
        <v>-0.84</v>
      </c>
      <c r="D7965" s="2">
        <v>0.1615</v>
      </c>
      <c r="E7965" s="2">
        <v>-1.3565999999999999E-3</v>
      </c>
      <c r="F7965" s="2" t="s">
        <v>168</v>
      </c>
    </row>
    <row r="7966" spans="1:6" ht="22.5" hidden="1" customHeight="1" x14ac:dyDescent="0.25">
      <c r="A7966" s="3">
        <v>44256</v>
      </c>
      <c r="B7966" s="2" t="s">
        <v>297</v>
      </c>
      <c r="C7966" s="2">
        <v>-0.47</v>
      </c>
      <c r="D7966" s="2">
        <v>0.2908</v>
      </c>
      <c r="E7966" s="2">
        <v>-1.3667600000000001E-3</v>
      </c>
      <c r="F7966" s="2" t="s">
        <v>168</v>
      </c>
    </row>
    <row r="7967" spans="1:6" ht="22.5" hidden="1" customHeight="1" x14ac:dyDescent="0.25">
      <c r="A7967" s="3">
        <v>43952</v>
      </c>
      <c r="B7967" s="2" t="s">
        <v>297</v>
      </c>
      <c r="C7967" s="2">
        <v>-0.45</v>
      </c>
      <c r="D7967" s="2">
        <v>0.30499999999999999</v>
      </c>
      <c r="E7967" s="2">
        <v>-1.3725E-3</v>
      </c>
      <c r="F7967" s="2" t="s">
        <v>168</v>
      </c>
    </row>
    <row r="7968" spans="1:6" ht="22.5" hidden="1" customHeight="1" x14ac:dyDescent="0.25">
      <c r="A7968" s="3">
        <v>44287</v>
      </c>
      <c r="B7968" s="2" t="s">
        <v>296</v>
      </c>
      <c r="C7968" s="2">
        <v>-0.72</v>
      </c>
      <c r="D7968" s="2">
        <v>0.1918</v>
      </c>
      <c r="E7968" s="2">
        <v>-1.3809600000000001E-3</v>
      </c>
      <c r="F7968" s="2" t="s">
        <v>168</v>
      </c>
    </row>
    <row r="7969" spans="1:6" ht="22.5" hidden="1" customHeight="1" x14ac:dyDescent="0.25">
      <c r="A7969" s="3">
        <v>43952</v>
      </c>
      <c r="B7969" s="2" t="s">
        <v>295</v>
      </c>
      <c r="C7969" s="2">
        <v>-0.62</v>
      </c>
      <c r="D7969" s="2">
        <v>0.22409999999999999</v>
      </c>
      <c r="E7969" s="2">
        <v>-1.3894199999999999E-3</v>
      </c>
      <c r="F7969" s="2" t="s">
        <v>168</v>
      </c>
    </row>
    <row r="7970" spans="1:6" ht="22.5" hidden="1" customHeight="1" x14ac:dyDescent="0.25">
      <c r="A7970" s="3">
        <v>44501</v>
      </c>
      <c r="B7970" s="2" t="s">
        <v>267</v>
      </c>
      <c r="C7970" s="2">
        <v>0.11</v>
      </c>
      <c r="D7970" s="2">
        <v>0.12039999999999999</v>
      </c>
      <c r="E7970" s="2">
        <v>1.3244E-4</v>
      </c>
      <c r="F7970" s="2" t="s">
        <v>165</v>
      </c>
    </row>
    <row r="7971" spans="1:6" ht="22.5" hidden="1" customHeight="1" x14ac:dyDescent="0.25">
      <c r="A7971" s="3">
        <v>44501</v>
      </c>
      <c r="B7971" s="2" t="s">
        <v>268</v>
      </c>
      <c r="C7971" s="2">
        <v>16.23</v>
      </c>
      <c r="D7971" s="2">
        <v>0.18720000000000001</v>
      </c>
      <c r="E7971" s="2">
        <v>3.0382559999999999E-2</v>
      </c>
      <c r="F7971" s="2" t="s">
        <v>165</v>
      </c>
    </row>
    <row r="7972" spans="1:6" ht="22.5" hidden="1" customHeight="1" x14ac:dyDescent="0.25">
      <c r="A7972" s="3">
        <v>44501</v>
      </c>
      <c r="B7972" s="2" t="s">
        <v>269</v>
      </c>
      <c r="C7972" s="2">
        <v>0</v>
      </c>
      <c r="D7972" s="2">
        <v>6.3100000000000003E-2</v>
      </c>
      <c r="E7972" s="2">
        <v>0</v>
      </c>
      <c r="F7972" s="2" t="s">
        <v>165</v>
      </c>
    </row>
    <row r="7973" spans="1:6" ht="22.5" hidden="1" customHeight="1" x14ac:dyDescent="0.25">
      <c r="A7973" s="3">
        <v>44501</v>
      </c>
      <c r="B7973" s="2" t="s">
        <v>270</v>
      </c>
      <c r="C7973" s="2">
        <v>1.92</v>
      </c>
      <c r="D7973" s="2">
        <v>2.9969999999999999</v>
      </c>
      <c r="E7973" s="2">
        <v>5.75424E-2</v>
      </c>
      <c r="F7973" s="2" t="s">
        <v>170</v>
      </c>
    </row>
    <row r="7974" spans="1:6" ht="22.5" hidden="1" customHeight="1" x14ac:dyDescent="0.25">
      <c r="A7974" s="3">
        <v>44440</v>
      </c>
      <c r="B7974" s="2" t="s">
        <v>167</v>
      </c>
      <c r="C7974" s="2">
        <v>-0.08</v>
      </c>
      <c r="D7974" s="2">
        <v>1.7465999999999999</v>
      </c>
      <c r="E7974" s="2">
        <v>-1.3972800000000001E-3</v>
      </c>
      <c r="F7974" s="2" t="s">
        <v>168</v>
      </c>
    </row>
    <row r="7975" spans="1:6" ht="22.5" hidden="1" customHeight="1" x14ac:dyDescent="0.25">
      <c r="A7975" s="3">
        <v>44501</v>
      </c>
      <c r="B7975" s="2" t="s">
        <v>272</v>
      </c>
      <c r="C7975" s="2">
        <v>2.72</v>
      </c>
      <c r="D7975" s="2">
        <v>0.71379999999999999</v>
      </c>
      <c r="E7975" s="2">
        <v>1.941536E-2</v>
      </c>
      <c r="F7975" s="2" t="s">
        <v>165</v>
      </c>
    </row>
    <row r="7976" spans="1:6" ht="22.5" hidden="1" customHeight="1" x14ac:dyDescent="0.25">
      <c r="A7976" s="3">
        <v>43862</v>
      </c>
      <c r="B7976" s="2" t="s">
        <v>297</v>
      </c>
      <c r="C7976" s="2">
        <v>-0.45</v>
      </c>
      <c r="D7976" s="2">
        <v>0.31090000000000001</v>
      </c>
      <c r="E7976" s="2">
        <v>-1.39905E-3</v>
      </c>
      <c r="F7976" s="2" t="s">
        <v>168</v>
      </c>
    </row>
    <row r="7977" spans="1:6" ht="22.5" hidden="1" customHeight="1" x14ac:dyDescent="0.25">
      <c r="A7977" s="3">
        <v>44501</v>
      </c>
      <c r="B7977" s="2" t="s">
        <v>274</v>
      </c>
      <c r="C7977" s="2">
        <v>2.21</v>
      </c>
      <c r="D7977" s="2">
        <v>0.13719999999999999</v>
      </c>
      <c r="E7977" s="2">
        <v>3.0321200000000001E-3</v>
      </c>
      <c r="F7977" s="2" t="s">
        <v>170</v>
      </c>
    </row>
    <row r="7978" spans="1:6" ht="22.5" hidden="1" customHeight="1" x14ac:dyDescent="0.25">
      <c r="A7978" s="3">
        <v>44501</v>
      </c>
      <c r="B7978" s="2" t="s">
        <v>275</v>
      </c>
      <c r="C7978" s="2">
        <v>0.86</v>
      </c>
      <c r="D7978" s="2">
        <v>0.1721</v>
      </c>
      <c r="E7978" s="2">
        <v>1.4800600000000001E-3</v>
      </c>
      <c r="F7978" s="2" t="s">
        <v>170</v>
      </c>
    </row>
    <row r="7979" spans="1:6" ht="22.5" hidden="1" customHeight="1" x14ac:dyDescent="0.25">
      <c r="A7979" s="3">
        <v>44501</v>
      </c>
      <c r="B7979" s="2" t="s">
        <v>276</v>
      </c>
      <c r="C7979" s="2">
        <v>1.23</v>
      </c>
      <c r="D7979" s="2">
        <v>0.25040000000000001</v>
      </c>
      <c r="E7979" s="2">
        <v>3.0799199999999999E-3</v>
      </c>
      <c r="F7979" s="2" t="s">
        <v>170</v>
      </c>
    </row>
    <row r="7980" spans="1:6" ht="22.5" hidden="1" customHeight="1" x14ac:dyDescent="0.25">
      <c r="A7980" s="3">
        <v>44501</v>
      </c>
      <c r="B7980" s="2" t="s">
        <v>277</v>
      </c>
      <c r="C7980" s="2">
        <v>0.42</v>
      </c>
      <c r="D7980" s="2">
        <v>1.6034999999999999</v>
      </c>
      <c r="E7980" s="2">
        <v>6.7346999999999997E-3</v>
      </c>
      <c r="F7980" s="2" t="s">
        <v>165</v>
      </c>
    </row>
    <row r="7981" spans="1:6" ht="22.5" hidden="1" customHeight="1" x14ac:dyDescent="0.25">
      <c r="A7981" s="3">
        <v>44501</v>
      </c>
      <c r="B7981" s="2" t="s">
        <v>278</v>
      </c>
      <c r="C7981" s="2">
        <v>-0.67</v>
      </c>
      <c r="D7981" s="2">
        <v>6.4799999999999996E-2</v>
      </c>
      <c r="E7981" s="2">
        <v>-4.3416E-4</v>
      </c>
      <c r="F7981" s="2" t="s">
        <v>165</v>
      </c>
    </row>
    <row r="7982" spans="1:6" ht="22.5" hidden="1" customHeight="1" x14ac:dyDescent="0.25">
      <c r="A7982" s="3">
        <v>44075</v>
      </c>
      <c r="B7982" s="2" t="s">
        <v>299</v>
      </c>
      <c r="C7982" s="2">
        <v>-1.47</v>
      </c>
      <c r="D7982" s="2">
        <v>9.5899999999999999E-2</v>
      </c>
      <c r="E7982" s="2">
        <v>-1.4097300000000001E-3</v>
      </c>
      <c r="F7982" s="2" t="s">
        <v>168</v>
      </c>
    </row>
    <row r="7983" spans="1:6" ht="22.5" hidden="1" customHeight="1" x14ac:dyDescent="0.25">
      <c r="A7983" s="3">
        <v>44501</v>
      </c>
      <c r="B7983" s="2" t="s">
        <v>280</v>
      </c>
      <c r="C7983" s="2">
        <v>1.91</v>
      </c>
      <c r="D7983" s="2">
        <v>1.9235</v>
      </c>
      <c r="E7983" s="2">
        <v>3.6738850000000003E-2</v>
      </c>
      <c r="F7983" s="2" t="s">
        <v>170</v>
      </c>
    </row>
    <row r="7984" spans="1:6" ht="22.5" hidden="1" customHeight="1" x14ac:dyDescent="0.25">
      <c r="A7984" s="3">
        <v>44501</v>
      </c>
      <c r="B7984" s="2" t="s">
        <v>281</v>
      </c>
      <c r="C7984" s="2">
        <v>0.45</v>
      </c>
      <c r="D7984" s="2">
        <v>1.61E-2</v>
      </c>
      <c r="E7984" s="2">
        <v>7.2449999999999999E-5</v>
      </c>
      <c r="F7984" s="2" t="s">
        <v>165</v>
      </c>
    </row>
    <row r="7985" spans="1:6" ht="22.5" hidden="1" customHeight="1" x14ac:dyDescent="0.25">
      <c r="A7985" s="3">
        <v>44501</v>
      </c>
      <c r="B7985" s="2" t="s">
        <v>282</v>
      </c>
      <c r="C7985" s="2">
        <v>-1.57</v>
      </c>
      <c r="D7985" s="2">
        <v>2.5600000000000001E-2</v>
      </c>
      <c r="E7985" s="2">
        <v>-4.0192E-4</v>
      </c>
      <c r="F7985" s="2" t="s">
        <v>165</v>
      </c>
    </row>
    <row r="7986" spans="1:6" ht="22.5" hidden="1" customHeight="1" x14ac:dyDescent="0.25">
      <c r="A7986" s="3">
        <v>44501</v>
      </c>
      <c r="B7986" s="2" t="s">
        <v>283</v>
      </c>
      <c r="C7986" s="2">
        <v>1.26</v>
      </c>
      <c r="D7986" s="2">
        <v>0.56859999999999999</v>
      </c>
      <c r="E7986" s="2">
        <v>7.1643599999999998E-3</v>
      </c>
      <c r="F7986" s="2" t="s">
        <v>170</v>
      </c>
    </row>
    <row r="7987" spans="1:6" ht="22.5" hidden="1" customHeight="1" x14ac:dyDescent="0.25">
      <c r="A7987" s="3">
        <v>44378</v>
      </c>
      <c r="B7987" s="2" t="s">
        <v>301</v>
      </c>
      <c r="C7987" s="2">
        <v>-1</v>
      </c>
      <c r="D7987" s="2">
        <v>0.1424</v>
      </c>
      <c r="E7987" s="2">
        <v>-1.4239999999999999E-3</v>
      </c>
      <c r="F7987" s="2" t="s">
        <v>168</v>
      </c>
    </row>
    <row r="7988" spans="1:6" ht="22.5" hidden="1" customHeight="1" x14ac:dyDescent="0.25">
      <c r="A7988" s="3">
        <v>44287</v>
      </c>
      <c r="B7988" s="2" t="s">
        <v>301</v>
      </c>
      <c r="C7988" s="2">
        <v>-1.01</v>
      </c>
      <c r="D7988" s="2">
        <v>0.14180000000000001</v>
      </c>
      <c r="E7988" s="2">
        <v>-1.4321799999999999E-3</v>
      </c>
      <c r="F7988" s="2" t="s">
        <v>168</v>
      </c>
    </row>
    <row r="7989" spans="1:6" ht="22.5" hidden="1" customHeight="1" x14ac:dyDescent="0.25">
      <c r="A7989" s="3">
        <v>43952</v>
      </c>
      <c r="B7989" s="2" t="s">
        <v>264</v>
      </c>
      <c r="C7989" s="2">
        <v>-1.22</v>
      </c>
      <c r="D7989" s="2">
        <v>0.1202</v>
      </c>
      <c r="E7989" s="2">
        <v>-1.4664400000000001E-3</v>
      </c>
      <c r="F7989" s="2" t="s">
        <v>168</v>
      </c>
    </row>
    <row r="7990" spans="1:6" ht="22.5" hidden="1" customHeight="1" x14ac:dyDescent="0.25">
      <c r="A7990" s="3">
        <v>43983</v>
      </c>
      <c r="B7990" s="2" t="s">
        <v>288</v>
      </c>
      <c r="C7990" s="2">
        <v>-0.61</v>
      </c>
      <c r="D7990" s="2">
        <v>0.24060000000000001</v>
      </c>
      <c r="E7990" s="2">
        <v>-1.46766E-3</v>
      </c>
      <c r="F7990" s="2" t="s">
        <v>168</v>
      </c>
    </row>
    <row r="7991" spans="1:6" ht="22.5" hidden="1" customHeight="1" x14ac:dyDescent="0.25">
      <c r="A7991" s="3">
        <v>44562</v>
      </c>
      <c r="B7991" s="2" t="s">
        <v>298</v>
      </c>
      <c r="C7991" s="2">
        <v>-0.26</v>
      </c>
      <c r="D7991" s="2">
        <v>0.56499999999999995</v>
      </c>
      <c r="E7991" s="2">
        <v>-1.469E-3</v>
      </c>
      <c r="F7991" s="2" t="s">
        <v>168</v>
      </c>
    </row>
    <row r="7992" spans="1:6" ht="22.5" hidden="1" customHeight="1" x14ac:dyDescent="0.25">
      <c r="A7992" s="3">
        <v>44044</v>
      </c>
      <c r="B7992" s="2" t="s">
        <v>300</v>
      </c>
      <c r="C7992" s="2">
        <v>-0.8</v>
      </c>
      <c r="D7992" s="2">
        <v>0.1845</v>
      </c>
      <c r="E7992" s="2">
        <v>-1.4760000000000001E-3</v>
      </c>
      <c r="F7992" s="2" t="s">
        <v>168</v>
      </c>
    </row>
    <row r="7993" spans="1:6" ht="22.5" hidden="1" customHeight="1" x14ac:dyDescent="0.25">
      <c r="A7993" s="3">
        <v>43922</v>
      </c>
      <c r="B7993" s="2" t="s">
        <v>299</v>
      </c>
      <c r="C7993" s="2">
        <v>-1.54</v>
      </c>
      <c r="D7993" s="2">
        <v>9.6100000000000005E-2</v>
      </c>
      <c r="E7993" s="2">
        <v>-1.4799399999999999E-3</v>
      </c>
      <c r="F7993" s="2" t="s">
        <v>168</v>
      </c>
    </row>
    <row r="7994" spans="1:6" ht="22.5" hidden="1" customHeight="1" x14ac:dyDescent="0.25">
      <c r="A7994" s="3">
        <v>44470</v>
      </c>
      <c r="B7994" s="2" t="s">
        <v>297</v>
      </c>
      <c r="C7994" s="2">
        <v>-0.51</v>
      </c>
      <c r="D7994" s="2">
        <v>0.2903</v>
      </c>
      <c r="E7994" s="2">
        <v>-1.4805300000000001E-3</v>
      </c>
      <c r="F7994" s="2" t="s">
        <v>168</v>
      </c>
    </row>
    <row r="7995" spans="1:6" ht="22.5" hidden="1" customHeight="1" x14ac:dyDescent="0.25">
      <c r="A7995" s="3">
        <v>44440</v>
      </c>
      <c r="B7995" s="2" t="s">
        <v>301</v>
      </c>
      <c r="C7995" s="2">
        <v>-1.1100000000000001</v>
      </c>
      <c r="D7995" s="2">
        <v>0.14069999999999999</v>
      </c>
      <c r="E7995" s="2">
        <v>-1.5617700000000001E-3</v>
      </c>
      <c r="F7995" s="2" t="s">
        <v>168</v>
      </c>
    </row>
    <row r="7996" spans="1:6" ht="22.5" hidden="1" customHeight="1" x14ac:dyDescent="0.25">
      <c r="A7996" s="3">
        <v>43862</v>
      </c>
      <c r="B7996" s="2" t="s">
        <v>293</v>
      </c>
      <c r="C7996" s="2">
        <v>-0.87</v>
      </c>
      <c r="D7996" s="2">
        <v>0.18090000000000001</v>
      </c>
      <c r="E7996" s="2">
        <v>-1.57383E-3</v>
      </c>
      <c r="F7996" s="2" t="s">
        <v>168</v>
      </c>
    </row>
    <row r="7997" spans="1:6" ht="22.5" hidden="1" customHeight="1" x14ac:dyDescent="0.25">
      <c r="A7997" s="3">
        <v>44013</v>
      </c>
      <c r="B7997" s="2" t="s">
        <v>301</v>
      </c>
      <c r="C7997" s="2">
        <v>-1.01</v>
      </c>
      <c r="D7997" s="2">
        <v>0.15709999999999999</v>
      </c>
      <c r="E7997" s="2">
        <v>-1.5867100000000001E-3</v>
      </c>
      <c r="F7997" s="2" t="s">
        <v>168</v>
      </c>
    </row>
    <row r="7998" spans="1:6" ht="22.5" hidden="1" customHeight="1" x14ac:dyDescent="0.25">
      <c r="A7998" s="3">
        <v>44166</v>
      </c>
      <c r="B7998" s="2" t="s">
        <v>301</v>
      </c>
      <c r="C7998" s="2">
        <v>-1.08</v>
      </c>
      <c r="D7998" s="2">
        <v>0.14929999999999999</v>
      </c>
      <c r="E7998" s="2">
        <v>-1.6124399999999999E-3</v>
      </c>
      <c r="F7998" s="2" t="s">
        <v>168</v>
      </c>
    </row>
    <row r="7999" spans="1:6" ht="22.5" hidden="1" customHeight="1" x14ac:dyDescent="0.25">
      <c r="A7999" s="3">
        <v>44136</v>
      </c>
      <c r="B7999" s="2" t="s">
        <v>297</v>
      </c>
      <c r="C7999" s="2">
        <v>-0.55000000000000004</v>
      </c>
      <c r="D7999" s="2">
        <v>0.30120000000000002</v>
      </c>
      <c r="E7999" s="2">
        <v>-1.6566E-3</v>
      </c>
      <c r="F7999" s="2" t="s">
        <v>168</v>
      </c>
    </row>
    <row r="8000" spans="1:6" ht="22.5" hidden="1" customHeight="1" x14ac:dyDescent="0.25">
      <c r="A8000" s="3">
        <v>44075</v>
      </c>
      <c r="B8000" s="2" t="s">
        <v>287</v>
      </c>
      <c r="C8000" s="2">
        <v>-2.58</v>
      </c>
      <c r="D8000" s="2">
        <v>6.4299999999999996E-2</v>
      </c>
      <c r="E8000" s="2">
        <v>-1.65894E-3</v>
      </c>
      <c r="F8000" s="2" t="s">
        <v>168</v>
      </c>
    </row>
    <row r="8001" spans="1:6" ht="22.5" hidden="1" customHeight="1" x14ac:dyDescent="0.25">
      <c r="A8001" s="3">
        <v>44562</v>
      </c>
      <c r="B8001" s="2" t="s">
        <v>300</v>
      </c>
      <c r="C8001" s="2">
        <v>-0.97</v>
      </c>
      <c r="D8001" s="2">
        <v>0.17169999999999999</v>
      </c>
      <c r="E8001" s="2">
        <v>-1.6654899999999999E-3</v>
      </c>
      <c r="F8001" s="2" t="s">
        <v>168</v>
      </c>
    </row>
    <row r="8002" spans="1:6" ht="22.5" hidden="1" customHeight="1" x14ac:dyDescent="0.25">
      <c r="A8002" s="3">
        <v>44105</v>
      </c>
      <c r="B8002" s="2" t="s">
        <v>296</v>
      </c>
      <c r="C8002" s="2">
        <v>-0.85</v>
      </c>
      <c r="D8002" s="2">
        <v>0.19800000000000001</v>
      </c>
      <c r="E8002" s="2">
        <v>-1.683E-3</v>
      </c>
      <c r="F8002" s="2" t="s">
        <v>168</v>
      </c>
    </row>
    <row r="8003" spans="1:6" ht="22.5" hidden="1" customHeight="1" x14ac:dyDescent="0.25">
      <c r="A8003" s="3">
        <v>43922</v>
      </c>
      <c r="B8003" s="2" t="s">
        <v>301</v>
      </c>
      <c r="C8003" s="2">
        <v>-1.05</v>
      </c>
      <c r="D8003" s="2">
        <v>0.16109999999999999</v>
      </c>
      <c r="E8003" s="2">
        <v>-1.69155E-3</v>
      </c>
      <c r="F8003" s="2" t="s">
        <v>168</v>
      </c>
    </row>
    <row r="8004" spans="1:6" ht="22.5" hidden="1" customHeight="1" x14ac:dyDescent="0.25">
      <c r="A8004" s="3">
        <v>44044</v>
      </c>
      <c r="B8004" s="2" t="s">
        <v>285</v>
      </c>
      <c r="C8004" s="2">
        <v>-0.28000000000000003</v>
      </c>
      <c r="D8004" s="2">
        <v>0.60819999999999996</v>
      </c>
      <c r="E8004" s="2">
        <v>-1.7029600000000001E-3</v>
      </c>
      <c r="F8004" s="2" t="s">
        <v>168</v>
      </c>
    </row>
    <row r="8005" spans="1:6" ht="22.5" hidden="1" customHeight="1" x14ac:dyDescent="0.25">
      <c r="A8005" s="3">
        <v>44501</v>
      </c>
      <c r="B8005" s="2" t="s">
        <v>302</v>
      </c>
      <c r="C8005" s="2">
        <v>0.2</v>
      </c>
      <c r="D8005" s="2">
        <v>0.26450000000000001</v>
      </c>
      <c r="E8005" s="2">
        <v>5.2899999999999996E-4</v>
      </c>
      <c r="F8005" s="2" t="s">
        <v>170</v>
      </c>
    </row>
    <row r="8006" spans="1:6" ht="22.5" hidden="1" customHeight="1" x14ac:dyDescent="0.25">
      <c r="A8006" s="3">
        <v>44501</v>
      </c>
      <c r="B8006" s="2" t="s">
        <v>303</v>
      </c>
      <c r="C8006" s="2">
        <v>0.13</v>
      </c>
      <c r="D8006" s="2">
        <v>0.51719999999999999</v>
      </c>
      <c r="E8006" s="2">
        <v>6.7235999999999999E-4</v>
      </c>
      <c r="F8006" s="2" t="s">
        <v>165</v>
      </c>
    </row>
    <row r="8007" spans="1:6" ht="22.5" hidden="1" customHeight="1" x14ac:dyDescent="0.25">
      <c r="A8007" s="3">
        <v>44501</v>
      </c>
      <c r="B8007" s="2" t="s">
        <v>304</v>
      </c>
      <c r="C8007" s="2">
        <v>0.38</v>
      </c>
      <c r="D8007" s="2">
        <v>0.505</v>
      </c>
      <c r="E8007" s="2">
        <v>1.9189999999999999E-3</v>
      </c>
      <c r="F8007" s="2" t="s">
        <v>165</v>
      </c>
    </row>
    <row r="8008" spans="1:6" ht="22.5" hidden="1" customHeight="1" x14ac:dyDescent="0.25">
      <c r="A8008" s="3">
        <v>44501</v>
      </c>
      <c r="B8008" s="2" t="s">
        <v>305</v>
      </c>
      <c r="C8008" s="2">
        <v>0.56000000000000005</v>
      </c>
      <c r="D8008" s="2">
        <v>1.77E-2</v>
      </c>
      <c r="E8008" s="2">
        <v>9.912E-5</v>
      </c>
      <c r="F8008" s="2" t="s">
        <v>170</v>
      </c>
    </row>
    <row r="8009" spans="1:6" ht="22.5" hidden="1" customHeight="1" x14ac:dyDescent="0.25">
      <c r="A8009" s="3">
        <v>44501</v>
      </c>
      <c r="B8009" s="2" t="s">
        <v>306</v>
      </c>
      <c r="C8009" s="2">
        <v>0.35</v>
      </c>
      <c r="D8009" s="2">
        <v>4.6300000000000001E-2</v>
      </c>
      <c r="E8009" s="2">
        <v>1.6205000000000001E-4</v>
      </c>
      <c r="F8009" s="2" t="s">
        <v>165</v>
      </c>
    </row>
    <row r="8010" spans="1:6" ht="22.5" hidden="1" customHeight="1" x14ac:dyDescent="0.25">
      <c r="A8010" s="3">
        <v>44501</v>
      </c>
      <c r="B8010" s="2" t="s">
        <v>307</v>
      </c>
      <c r="C8010" s="2">
        <v>0.39</v>
      </c>
      <c r="D8010" s="2">
        <v>0.104</v>
      </c>
      <c r="E8010" s="2">
        <v>4.0559999999999999E-4</v>
      </c>
      <c r="F8010" s="2" t="s">
        <v>165</v>
      </c>
    </row>
    <row r="8011" spans="1:6" ht="22.5" hidden="1" customHeight="1" x14ac:dyDescent="0.25">
      <c r="A8011" s="3">
        <v>44501</v>
      </c>
      <c r="B8011" s="2" t="s">
        <v>308</v>
      </c>
      <c r="C8011" s="2">
        <v>0.65</v>
      </c>
      <c r="D8011" s="2">
        <v>0.35639999999999999</v>
      </c>
      <c r="E8011" s="2">
        <v>2.3165999999999998E-3</v>
      </c>
      <c r="F8011" s="2" t="s">
        <v>165</v>
      </c>
    </row>
    <row r="8012" spans="1:6" ht="22.5" hidden="1" customHeight="1" x14ac:dyDescent="0.25">
      <c r="A8012" s="3">
        <v>44501</v>
      </c>
      <c r="B8012" s="2" t="s">
        <v>309</v>
      </c>
      <c r="C8012" s="2">
        <v>-0.01</v>
      </c>
      <c r="D8012" s="2">
        <v>0.12470000000000001</v>
      </c>
      <c r="E8012" s="2">
        <v>-1.2469999999999999E-5</v>
      </c>
      <c r="F8012" s="2" t="s">
        <v>165</v>
      </c>
    </row>
    <row r="8013" spans="1:6" ht="22.5" hidden="1" customHeight="1" x14ac:dyDescent="0.25">
      <c r="A8013" s="3">
        <v>43922</v>
      </c>
      <c r="B8013" s="2" t="s">
        <v>288</v>
      </c>
      <c r="C8013" s="2">
        <v>-0.69</v>
      </c>
      <c r="D8013" s="2">
        <v>0.2477</v>
      </c>
      <c r="E8013" s="2">
        <v>-1.7091299999999999E-3</v>
      </c>
      <c r="F8013" s="2" t="s">
        <v>168</v>
      </c>
    </row>
    <row r="8014" spans="1:6" ht="22.5" hidden="1" customHeight="1" x14ac:dyDescent="0.25">
      <c r="A8014" s="3">
        <v>44501</v>
      </c>
      <c r="B8014" s="2" t="s">
        <v>311</v>
      </c>
      <c r="C8014" s="2">
        <v>1.19</v>
      </c>
      <c r="D8014" s="2">
        <v>0.5746</v>
      </c>
      <c r="E8014" s="2">
        <v>6.8377400000000001E-3</v>
      </c>
      <c r="F8014" s="2" t="s">
        <v>174</v>
      </c>
    </row>
    <row r="8015" spans="1:6" ht="22.5" hidden="1" customHeight="1" x14ac:dyDescent="0.25">
      <c r="A8015" s="3">
        <v>44501</v>
      </c>
      <c r="B8015" s="2" t="s">
        <v>312</v>
      </c>
      <c r="C8015" s="2">
        <v>0.96</v>
      </c>
      <c r="D8015" s="2">
        <v>0.20519999999999999</v>
      </c>
      <c r="E8015" s="2">
        <v>1.96992E-3</v>
      </c>
      <c r="F8015" s="2" t="s">
        <v>174</v>
      </c>
    </row>
    <row r="8016" spans="1:6" ht="22.5" hidden="1" customHeight="1" x14ac:dyDescent="0.25">
      <c r="A8016" s="3">
        <v>44501</v>
      </c>
      <c r="B8016" s="2" t="s">
        <v>313</v>
      </c>
      <c r="C8016" s="2">
        <v>0.53</v>
      </c>
      <c r="D8016" s="2">
        <v>0.1235</v>
      </c>
      <c r="E8016" s="2">
        <v>6.5455000000000005E-4</v>
      </c>
      <c r="F8016" s="2" t="s">
        <v>174</v>
      </c>
    </row>
    <row r="8017" spans="1:6" ht="22.5" hidden="1" customHeight="1" x14ac:dyDescent="0.25">
      <c r="A8017" s="3">
        <v>44501</v>
      </c>
      <c r="B8017" s="2" t="s">
        <v>314</v>
      </c>
      <c r="C8017" s="2">
        <v>6.63</v>
      </c>
      <c r="D8017" s="2">
        <v>0.36609999999999998</v>
      </c>
      <c r="E8017" s="2">
        <v>2.4272430000000001E-2</v>
      </c>
      <c r="F8017" s="2" t="s">
        <v>174</v>
      </c>
    </row>
    <row r="8018" spans="1:6" ht="22.5" hidden="1" customHeight="1" x14ac:dyDescent="0.25">
      <c r="A8018" s="3">
        <v>44501</v>
      </c>
      <c r="B8018" s="2" t="s">
        <v>315</v>
      </c>
      <c r="C8018" s="2">
        <v>-0.45</v>
      </c>
      <c r="D8018" s="2">
        <v>0.2601</v>
      </c>
      <c r="E8018" s="2">
        <v>-1.17045E-3</v>
      </c>
      <c r="F8018" s="2" t="s">
        <v>174</v>
      </c>
    </row>
    <row r="8019" spans="1:6" ht="22.5" hidden="1" customHeight="1" x14ac:dyDescent="0.25">
      <c r="A8019" s="3">
        <v>44501</v>
      </c>
      <c r="B8019" s="2" t="s">
        <v>316</v>
      </c>
      <c r="C8019" s="2">
        <v>2.5099999999999998</v>
      </c>
      <c r="D8019" s="2">
        <v>3.5999999999999999E-3</v>
      </c>
      <c r="E8019" s="2">
        <v>9.0359999999999995E-5</v>
      </c>
      <c r="F8019" s="2" t="s">
        <v>174</v>
      </c>
    </row>
    <row r="8020" spans="1:6" ht="22.5" hidden="1" customHeight="1" x14ac:dyDescent="0.25">
      <c r="A8020" s="3">
        <v>44501</v>
      </c>
      <c r="B8020" s="2" t="s">
        <v>317</v>
      </c>
      <c r="C8020" s="2">
        <v>2.69</v>
      </c>
      <c r="D8020" s="2">
        <v>0.9577</v>
      </c>
      <c r="E8020" s="2">
        <v>2.5762130000000001E-2</v>
      </c>
      <c r="F8020" s="2" t="s">
        <v>174</v>
      </c>
    </row>
    <row r="8021" spans="1:6" ht="22.5" hidden="1" customHeight="1" x14ac:dyDescent="0.25">
      <c r="A8021" s="3">
        <v>44501</v>
      </c>
      <c r="B8021" s="2" t="s">
        <v>318</v>
      </c>
      <c r="C8021" s="2">
        <v>-0.57999999999999996</v>
      </c>
      <c r="D8021" s="2">
        <v>0.41959999999999997</v>
      </c>
      <c r="E8021" s="2">
        <v>-2.4336800000000001E-3</v>
      </c>
      <c r="F8021" s="2" t="s">
        <v>174</v>
      </c>
    </row>
    <row r="8022" spans="1:6" ht="22.5" hidden="1" customHeight="1" x14ac:dyDescent="0.25">
      <c r="A8022" s="3">
        <v>44501</v>
      </c>
      <c r="B8022" s="2" t="s">
        <v>319</v>
      </c>
      <c r="C8022" s="2">
        <v>0.38</v>
      </c>
      <c r="D8022" s="2">
        <v>0.106</v>
      </c>
      <c r="E8022" s="2">
        <v>4.0279999999999998E-4</v>
      </c>
      <c r="F8022" s="2" t="s">
        <v>174</v>
      </c>
    </row>
    <row r="8023" spans="1:6" ht="22.5" hidden="1" customHeight="1" x14ac:dyDescent="0.25">
      <c r="A8023" s="3">
        <v>44501</v>
      </c>
      <c r="B8023" s="2" t="s">
        <v>320</v>
      </c>
      <c r="C8023" s="2">
        <v>1.06</v>
      </c>
      <c r="D8023" s="2">
        <v>0.31040000000000001</v>
      </c>
      <c r="E8023" s="2">
        <v>3.2902399999999998E-3</v>
      </c>
      <c r="F8023" s="2" t="s">
        <v>174</v>
      </c>
    </row>
    <row r="8024" spans="1:6" ht="22.5" hidden="1" customHeight="1" x14ac:dyDescent="0.25">
      <c r="A8024" s="3">
        <v>44501</v>
      </c>
      <c r="B8024" s="2" t="s">
        <v>321</v>
      </c>
      <c r="C8024" s="2">
        <v>0.65</v>
      </c>
      <c r="D8024" s="2">
        <v>0.20480000000000001</v>
      </c>
      <c r="E8024" s="2">
        <v>1.3312E-3</v>
      </c>
      <c r="F8024" s="2" t="s">
        <v>174</v>
      </c>
    </row>
    <row r="8025" spans="1:6" ht="22.5" hidden="1" customHeight="1" x14ac:dyDescent="0.25">
      <c r="A8025" s="3">
        <v>44501</v>
      </c>
      <c r="B8025" s="2" t="s">
        <v>322</v>
      </c>
      <c r="C8025" s="2">
        <v>0.01</v>
      </c>
      <c r="D8025" s="2">
        <v>0.16170000000000001</v>
      </c>
      <c r="E8025" s="2">
        <v>1.6169999999999999E-5</v>
      </c>
      <c r="F8025" s="2" t="s">
        <v>174</v>
      </c>
    </row>
    <row r="8026" spans="1:6" ht="22.5" hidden="1" customHeight="1" x14ac:dyDescent="0.25">
      <c r="A8026" s="3">
        <v>44501</v>
      </c>
      <c r="B8026" s="2" t="s">
        <v>323</v>
      </c>
      <c r="C8026" s="2">
        <v>2.94</v>
      </c>
      <c r="D8026" s="2">
        <v>1.0500000000000001E-2</v>
      </c>
      <c r="E8026" s="2">
        <v>3.0870000000000002E-4</v>
      </c>
      <c r="F8026" s="2" t="s">
        <v>165</v>
      </c>
    </row>
    <row r="8027" spans="1:6" ht="22.5" hidden="1" customHeight="1" x14ac:dyDescent="0.25">
      <c r="A8027" s="3">
        <v>44501</v>
      </c>
      <c r="B8027" s="2" t="s">
        <v>324</v>
      </c>
      <c r="C8027" s="2">
        <v>1.74</v>
      </c>
      <c r="D8027" s="2">
        <v>0.37430000000000002</v>
      </c>
      <c r="E8027" s="2">
        <v>6.5128199999999999E-3</v>
      </c>
      <c r="F8027" s="2" t="s">
        <v>165</v>
      </c>
    </row>
    <row r="8028" spans="1:6" ht="22.5" hidden="1" customHeight="1" x14ac:dyDescent="0.25">
      <c r="A8028" s="3">
        <v>44501</v>
      </c>
      <c r="B8028" s="2" t="s">
        <v>325</v>
      </c>
      <c r="C8028" s="2">
        <v>0.14000000000000001</v>
      </c>
      <c r="D8028" s="2">
        <v>2.9011</v>
      </c>
      <c r="E8028" s="2">
        <v>4.0615399999999998E-3</v>
      </c>
      <c r="F8028" s="2" t="s">
        <v>165</v>
      </c>
    </row>
    <row r="8029" spans="1:6" ht="22.5" hidden="1" customHeight="1" x14ac:dyDescent="0.25">
      <c r="A8029" s="3">
        <v>44501</v>
      </c>
      <c r="B8029" s="2" t="s">
        <v>326</v>
      </c>
      <c r="C8029" s="2">
        <v>0.21</v>
      </c>
      <c r="D8029" s="2">
        <v>1.0049999999999999</v>
      </c>
      <c r="E8029" s="2">
        <v>2.1105E-3</v>
      </c>
      <c r="F8029" s="2" t="s">
        <v>165</v>
      </c>
    </row>
    <row r="8030" spans="1:6" ht="22.5" hidden="1" customHeight="1" x14ac:dyDescent="0.25">
      <c r="A8030" s="3">
        <v>44501</v>
      </c>
      <c r="B8030" s="2" t="s">
        <v>327</v>
      </c>
      <c r="C8030" s="2">
        <v>2.29</v>
      </c>
      <c r="D8030" s="2">
        <v>5.8099999999999999E-2</v>
      </c>
      <c r="E8030" s="2">
        <v>1.3304899999999999E-3</v>
      </c>
      <c r="F8030" s="2" t="s">
        <v>165</v>
      </c>
    </row>
    <row r="8031" spans="1:6" ht="22.5" hidden="1" customHeight="1" x14ac:dyDescent="0.25">
      <c r="A8031" s="3">
        <v>44501</v>
      </c>
      <c r="B8031" s="2" t="s">
        <v>328</v>
      </c>
      <c r="C8031" s="2">
        <v>0</v>
      </c>
      <c r="D8031" s="2">
        <v>1.7999999999999999E-2</v>
      </c>
      <c r="E8031" s="2">
        <v>0</v>
      </c>
      <c r="F8031" s="2" t="s">
        <v>165</v>
      </c>
    </row>
    <row r="8032" spans="1:6" ht="22.5" hidden="1" customHeight="1" x14ac:dyDescent="0.25">
      <c r="A8032" s="3">
        <v>44501</v>
      </c>
      <c r="B8032" s="2" t="s">
        <v>329</v>
      </c>
      <c r="C8032" s="2">
        <v>-1.42</v>
      </c>
      <c r="D8032" s="2">
        <v>9.6799999999999997E-2</v>
      </c>
      <c r="E8032" s="2">
        <v>-1.3745599999999999E-3</v>
      </c>
      <c r="F8032" s="2" t="s">
        <v>165</v>
      </c>
    </row>
    <row r="8033" spans="1:6" ht="22.5" hidden="1" customHeight="1" x14ac:dyDescent="0.25">
      <c r="A8033" s="3">
        <v>44501</v>
      </c>
      <c r="B8033" s="2" t="s">
        <v>330</v>
      </c>
      <c r="C8033" s="2">
        <v>0.12</v>
      </c>
      <c r="D8033" s="2">
        <v>1.6604000000000001</v>
      </c>
      <c r="E8033" s="2">
        <v>1.99248E-3</v>
      </c>
      <c r="F8033" s="2" t="s">
        <v>165</v>
      </c>
    </row>
    <row r="8034" spans="1:6" ht="22.5" hidden="1" customHeight="1" x14ac:dyDescent="0.25">
      <c r="A8034" s="3">
        <v>44501</v>
      </c>
      <c r="B8034" s="2" t="s">
        <v>331</v>
      </c>
      <c r="C8034" s="2">
        <v>0.06</v>
      </c>
      <c r="D8034" s="2">
        <v>5.3699999999999998E-2</v>
      </c>
      <c r="E8034" s="2">
        <v>3.222E-5</v>
      </c>
      <c r="F8034" s="2" t="s">
        <v>165</v>
      </c>
    </row>
    <row r="8035" spans="1:6" ht="22.5" hidden="1" customHeight="1" x14ac:dyDescent="0.25">
      <c r="A8035" s="3">
        <v>44501</v>
      </c>
      <c r="B8035" s="2" t="s">
        <v>332</v>
      </c>
      <c r="C8035" s="2">
        <v>1.64</v>
      </c>
      <c r="D8035" s="2">
        <v>0.105</v>
      </c>
      <c r="E8035" s="2">
        <v>1.722E-3</v>
      </c>
      <c r="F8035" s="2" t="s">
        <v>165</v>
      </c>
    </row>
    <row r="8036" spans="1:6" ht="22.5" hidden="1" customHeight="1" x14ac:dyDescent="0.25">
      <c r="A8036" s="3">
        <v>44501</v>
      </c>
      <c r="B8036" s="2" t="s">
        <v>333</v>
      </c>
      <c r="C8036" s="2">
        <v>1.08</v>
      </c>
      <c r="D8036" s="2">
        <v>7.85E-2</v>
      </c>
      <c r="E8036" s="2">
        <v>8.4780000000000001E-4</v>
      </c>
      <c r="F8036" s="2" t="s">
        <v>165</v>
      </c>
    </row>
    <row r="8037" spans="1:6" ht="22.5" hidden="1" customHeight="1" x14ac:dyDescent="0.25">
      <c r="A8037" s="3">
        <v>44501</v>
      </c>
      <c r="B8037" s="2" t="s">
        <v>334</v>
      </c>
      <c r="C8037" s="2">
        <v>0.34</v>
      </c>
      <c r="D8037" s="2">
        <v>2.1100000000000001E-2</v>
      </c>
      <c r="E8037" s="2">
        <v>7.1740000000000001E-5</v>
      </c>
      <c r="F8037" s="2" t="s">
        <v>170</v>
      </c>
    </row>
    <row r="8038" spans="1:6" ht="22.5" hidden="1" customHeight="1" x14ac:dyDescent="0.25">
      <c r="A8038" s="3">
        <v>44501</v>
      </c>
      <c r="B8038" s="2" t="s">
        <v>335</v>
      </c>
      <c r="C8038" s="2">
        <v>0.78</v>
      </c>
      <c r="D8038" s="2">
        <v>0.27839999999999998</v>
      </c>
      <c r="E8038" s="2">
        <v>2.1715200000000001E-3</v>
      </c>
      <c r="F8038" s="2" t="s">
        <v>165</v>
      </c>
    </row>
    <row r="8039" spans="1:6" ht="22.5" hidden="1" customHeight="1" x14ac:dyDescent="0.25">
      <c r="A8039" s="3">
        <v>44501</v>
      </c>
      <c r="B8039" s="2" t="s">
        <v>336</v>
      </c>
      <c r="C8039" s="2">
        <v>0</v>
      </c>
      <c r="D8039" s="2">
        <v>0.1033</v>
      </c>
      <c r="E8039" s="2">
        <v>0</v>
      </c>
      <c r="F8039" s="2" t="s">
        <v>170</v>
      </c>
    </row>
    <row r="8040" spans="1:6" ht="22.5" hidden="1" customHeight="1" x14ac:dyDescent="0.25">
      <c r="A8040" s="3">
        <v>44501</v>
      </c>
      <c r="B8040" s="2" t="s">
        <v>337</v>
      </c>
      <c r="C8040" s="2">
        <v>3.11</v>
      </c>
      <c r="D8040" s="2">
        <v>0.37369999999999998</v>
      </c>
      <c r="E8040" s="2">
        <v>1.162207E-2</v>
      </c>
      <c r="F8040" s="2" t="s">
        <v>174</v>
      </c>
    </row>
    <row r="8041" spans="1:6" ht="22.5" hidden="1" customHeight="1" x14ac:dyDescent="0.25">
      <c r="A8041" s="3">
        <v>44501</v>
      </c>
      <c r="B8041" s="2" t="s">
        <v>338</v>
      </c>
      <c r="C8041" s="2">
        <v>3.22</v>
      </c>
      <c r="D8041" s="2">
        <v>0.1923</v>
      </c>
      <c r="E8041" s="2">
        <v>6.1920600000000001E-3</v>
      </c>
      <c r="F8041" s="2" t="s">
        <v>174</v>
      </c>
    </row>
    <row r="8042" spans="1:6" ht="22.5" hidden="1" customHeight="1" x14ac:dyDescent="0.25">
      <c r="A8042" s="3">
        <v>44501</v>
      </c>
      <c r="B8042" s="2" t="s">
        <v>339</v>
      </c>
      <c r="C8042" s="2">
        <v>0.49</v>
      </c>
      <c r="D8042" s="2">
        <v>0.04</v>
      </c>
      <c r="E8042" s="2">
        <v>1.9599999999999999E-4</v>
      </c>
      <c r="F8042" s="2" t="s">
        <v>165</v>
      </c>
    </row>
    <row r="8043" spans="1:6" ht="22.5" hidden="1" customHeight="1" x14ac:dyDescent="0.25">
      <c r="A8043" s="3">
        <v>44136</v>
      </c>
      <c r="B8043" s="2" t="s">
        <v>197</v>
      </c>
      <c r="C8043" s="2">
        <v>-0.04</v>
      </c>
      <c r="D8043" s="2">
        <v>4.2849000000000004</v>
      </c>
      <c r="E8043" s="2">
        <v>-1.71396E-3</v>
      </c>
      <c r="F8043" s="2" t="s">
        <v>168</v>
      </c>
    </row>
    <row r="8044" spans="1:6" ht="22.5" hidden="1" customHeight="1" x14ac:dyDescent="0.25">
      <c r="A8044" s="3">
        <v>44501</v>
      </c>
      <c r="B8044" s="2" t="s">
        <v>341</v>
      </c>
      <c r="C8044" s="2">
        <v>0.98</v>
      </c>
      <c r="D8044" s="2">
        <v>1.09E-2</v>
      </c>
      <c r="E8044" s="2">
        <v>1.0682E-4</v>
      </c>
      <c r="F8044" s="2" t="s">
        <v>174</v>
      </c>
    </row>
    <row r="8045" spans="1:6" ht="22.5" hidden="1" customHeight="1" x14ac:dyDescent="0.25">
      <c r="A8045" s="3">
        <v>44501</v>
      </c>
      <c r="B8045" s="2" t="s">
        <v>342</v>
      </c>
      <c r="C8045" s="2">
        <v>1.66</v>
      </c>
      <c r="D8045" s="2">
        <v>0.50760000000000005</v>
      </c>
      <c r="E8045" s="2">
        <v>8.4261600000000002E-3</v>
      </c>
      <c r="F8045" s="2" t="s">
        <v>165</v>
      </c>
    </row>
    <row r="8046" spans="1:6" ht="22.5" hidden="1" customHeight="1" x14ac:dyDescent="0.25">
      <c r="A8046" s="3">
        <v>44501</v>
      </c>
      <c r="B8046" s="2" t="s">
        <v>343</v>
      </c>
      <c r="C8046" s="2">
        <v>2.21</v>
      </c>
      <c r="D8046" s="2">
        <v>0.50580000000000003</v>
      </c>
      <c r="E8046" s="2">
        <v>1.1178179999999999E-2</v>
      </c>
      <c r="F8046" s="2" t="s">
        <v>165</v>
      </c>
    </row>
    <row r="8047" spans="1:6" ht="22.5" hidden="1" customHeight="1" x14ac:dyDescent="0.25">
      <c r="A8047" s="3">
        <v>44501</v>
      </c>
      <c r="B8047" s="2" t="s">
        <v>344</v>
      </c>
      <c r="C8047" s="2">
        <v>1.65</v>
      </c>
      <c r="D8047" s="2">
        <v>0.1381</v>
      </c>
      <c r="E8047" s="2">
        <v>2.2786500000000001E-3</v>
      </c>
      <c r="F8047" s="2" t="s">
        <v>165</v>
      </c>
    </row>
    <row r="8048" spans="1:6" ht="22.5" hidden="1" customHeight="1" x14ac:dyDescent="0.25">
      <c r="A8048" s="3">
        <v>44501</v>
      </c>
      <c r="B8048" s="2" t="s">
        <v>345</v>
      </c>
      <c r="C8048" s="2">
        <v>-0.65</v>
      </c>
      <c r="D8048" s="2">
        <v>0.50249999999999995</v>
      </c>
      <c r="E8048" s="2">
        <v>-3.2662500000000001E-3</v>
      </c>
      <c r="F8048" s="2" t="s">
        <v>165</v>
      </c>
    </row>
    <row r="8049" spans="1:6" ht="22.5" hidden="1" customHeight="1" x14ac:dyDescent="0.25">
      <c r="A8049" s="3">
        <v>44501</v>
      </c>
      <c r="B8049" s="2" t="s">
        <v>346</v>
      </c>
      <c r="C8049" s="2">
        <v>0.82</v>
      </c>
      <c r="D8049" s="2">
        <v>0.52610000000000001</v>
      </c>
      <c r="E8049" s="2">
        <v>4.31402E-3</v>
      </c>
      <c r="F8049" s="2" t="s">
        <v>174</v>
      </c>
    </row>
    <row r="8050" spans="1:6" ht="22.5" hidden="1" customHeight="1" x14ac:dyDescent="0.25">
      <c r="A8050" s="3">
        <v>44501</v>
      </c>
      <c r="B8050" s="2" t="s">
        <v>347</v>
      </c>
      <c r="C8050" s="2">
        <v>0</v>
      </c>
      <c r="D8050" s="2">
        <v>0.1867</v>
      </c>
      <c r="E8050" s="2">
        <v>0</v>
      </c>
      <c r="F8050" s="2" t="s">
        <v>165</v>
      </c>
    </row>
    <row r="8051" spans="1:6" ht="22.5" hidden="1" customHeight="1" x14ac:dyDescent="0.25">
      <c r="A8051" s="3">
        <v>44501</v>
      </c>
      <c r="B8051" s="2" t="s">
        <v>348</v>
      </c>
      <c r="C8051" s="2">
        <v>0</v>
      </c>
      <c r="D8051" s="2">
        <v>0.308</v>
      </c>
      <c r="E8051" s="2">
        <v>0</v>
      </c>
      <c r="F8051" s="2" t="s">
        <v>165</v>
      </c>
    </row>
    <row r="8052" spans="1:6" ht="22.5" hidden="1" customHeight="1" x14ac:dyDescent="0.25">
      <c r="A8052" s="3">
        <v>44501</v>
      </c>
      <c r="B8052" s="2" t="s">
        <v>349</v>
      </c>
      <c r="C8052" s="2">
        <v>0</v>
      </c>
      <c r="D8052" s="2">
        <v>1.4766999999999999</v>
      </c>
      <c r="E8052" s="2">
        <v>0</v>
      </c>
      <c r="F8052" s="2" t="s">
        <v>165</v>
      </c>
    </row>
    <row r="8053" spans="1:6" ht="22.5" hidden="1" customHeight="1" x14ac:dyDescent="0.25">
      <c r="A8053" s="3">
        <v>44501</v>
      </c>
      <c r="B8053" s="2" t="s">
        <v>350</v>
      </c>
      <c r="C8053" s="2">
        <v>0</v>
      </c>
      <c r="D8053" s="2">
        <v>0.373</v>
      </c>
      <c r="E8053" s="2">
        <v>0</v>
      </c>
      <c r="F8053" s="2" t="s">
        <v>165</v>
      </c>
    </row>
    <row r="8054" spans="1:6" ht="22.5" hidden="1" customHeight="1" x14ac:dyDescent="0.25">
      <c r="A8054" s="3">
        <v>44501</v>
      </c>
      <c r="B8054" s="2" t="s">
        <v>351</v>
      </c>
      <c r="C8054" s="2">
        <v>0</v>
      </c>
      <c r="D8054" s="2">
        <v>1.6333</v>
      </c>
      <c r="E8054" s="2">
        <v>0</v>
      </c>
      <c r="F8054" s="2" t="s">
        <v>165</v>
      </c>
    </row>
    <row r="8055" spans="1:6" ht="22.5" hidden="1" customHeight="1" x14ac:dyDescent="0.25">
      <c r="A8055" s="3">
        <v>44501</v>
      </c>
      <c r="B8055" s="2" t="s">
        <v>352</v>
      </c>
      <c r="C8055" s="2">
        <v>0</v>
      </c>
      <c r="D8055" s="2">
        <v>0.26929999999999998</v>
      </c>
      <c r="E8055" s="2">
        <v>0</v>
      </c>
      <c r="F8055" s="2" t="s">
        <v>165</v>
      </c>
    </row>
    <row r="8056" spans="1:6" ht="22.5" hidden="1" customHeight="1" x14ac:dyDescent="0.25">
      <c r="A8056" s="3">
        <v>44501</v>
      </c>
      <c r="B8056" s="2" t="s">
        <v>353</v>
      </c>
      <c r="C8056" s="2">
        <v>0</v>
      </c>
      <c r="D8056" s="2">
        <v>3.9E-2</v>
      </c>
      <c r="E8056" s="2">
        <v>0</v>
      </c>
      <c r="F8056" s="2" t="s">
        <v>165</v>
      </c>
    </row>
    <row r="8057" spans="1:6" ht="22.5" hidden="1" customHeight="1" x14ac:dyDescent="0.25">
      <c r="A8057" s="3">
        <v>44501</v>
      </c>
      <c r="B8057" s="2" t="s">
        <v>354</v>
      </c>
      <c r="C8057" s="2">
        <v>0</v>
      </c>
      <c r="D8057" s="2">
        <v>2.9499999999999998E-2</v>
      </c>
      <c r="E8057" s="2">
        <v>0</v>
      </c>
      <c r="F8057" s="2" t="s">
        <v>165</v>
      </c>
    </row>
    <row r="8058" spans="1:6" ht="22.5" hidden="1" customHeight="1" x14ac:dyDescent="0.25">
      <c r="A8058" s="3">
        <v>44501</v>
      </c>
      <c r="B8058" s="2" t="s">
        <v>355</v>
      </c>
      <c r="C8058" s="2">
        <v>0.52</v>
      </c>
      <c r="D8058" s="2">
        <v>2.8500000000000001E-2</v>
      </c>
      <c r="E8058" s="2">
        <v>1.482E-4</v>
      </c>
      <c r="F8058" s="2" t="s">
        <v>174</v>
      </c>
    </row>
    <row r="8059" spans="1:6" ht="22.5" hidden="1" customHeight="1" x14ac:dyDescent="0.25">
      <c r="A8059" s="3">
        <v>44501</v>
      </c>
      <c r="B8059" s="2" t="s">
        <v>356</v>
      </c>
      <c r="C8059" s="2">
        <v>-3.18</v>
      </c>
      <c r="D8059" s="2">
        <v>3.4700000000000002E-2</v>
      </c>
      <c r="E8059" s="2">
        <v>-1.1034599999999999E-3</v>
      </c>
      <c r="F8059" s="2" t="s">
        <v>174</v>
      </c>
    </row>
    <row r="8060" spans="1:6" ht="22.5" hidden="1" customHeight="1" x14ac:dyDescent="0.25">
      <c r="A8060" s="3">
        <v>44501</v>
      </c>
      <c r="B8060" s="2" t="s">
        <v>357</v>
      </c>
      <c r="C8060" s="2">
        <v>0</v>
      </c>
      <c r="D8060" s="2">
        <v>0.35010000000000002</v>
      </c>
      <c r="E8060" s="2">
        <v>0</v>
      </c>
      <c r="F8060" s="2" t="s">
        <v>174</v>
      </c>
    </row>
    <row r="8061" spans="1:6" ht="22.5" hidden="1" customHeight="1" x14ac:dyDescent="0.25">
      <c r="A8061" s="3">
        <v>44501</v>
      </c>
      <c r="B8061" s="2" t="s">
        <v>358</v>
      </c>
      <c r="C8061" s="2">
        <v>2.27</v>
      </c>
      <c r="D8061" s="2">
        <v>9.2200000000000004E-2</v>
      </c>
      <c r="E8061" s="2">
        <v>2.0929400000000002E-3</v>
      </c>
      <c r="F8061" s="2" t="s">
        <v>174</v>
      </c>
    </row>
    <row r="8062" spans="1:6" ht="22.5" hidden="1" customHeight="1" x14ac:dyDescent="0.25">
      <c r="A8062" s="3">
        <v>44501</v>
      </c>
      <c r="B8062" s="2" t="s">
        <v>359</v>
      </c>
      <c r="C8062" s="2">
        <v>1.45</v>
      </c>
      <c r="D8062" s="2">
        <v>4.6300000000000001E-2</v>
      </c>
      <c r="E8062" s="2">
        <v>6.7135000000000003E-4</v>
      </c>
      <c r="F8062" s="2" t="s">
        <v>174</v>
      </c>
    </row>
    <row r="8063" spans="1:6" ht="22.5" hidden="1" customHeight="1" x14ac:dyDescent="0.25">
      <c r="A8063" s="3">
        <v>44501</v>
      </c>
      <c r="B8063" s="2" t="s">
        <v>360</v>
      </c>
      <c r="C8063" s="2">
        <v>-0.74</v>
      </c>
      <c r="D8063" s="2">
        <v>8.8700000000000001E-2</v>
      </c>
      <c r="E8063" s="2">
        <v>-6.5638000000000003E-4</v>
      </c>
      <c r="F8063" s="2" t="s">
        <v>174</v>
      </c>
    </row>
    <row r="8064" spans="1:6" ht="22.5" hidden="1" customHeight="1" x14ac:dyDescent="0.25">
      <c r="A8064" s="3">
        <v>44501</v>
      </c>
      <c r="B8064" s="2" t="s">
        <v>361</v>
      </c>
      <c r="C8064" s="2">
        <v>0</v>
      </c>
      <c r="D8064" s="2">
        <v>7.2499999999999995E-2</v>
      </c>
      <c r="E8064" s="2">
        <v>0</v>
      </c>
      <c r="F8064" s="2" t="s">
        <v>165</v>
      </c>
    </row>
    <row r="8065" spans="1:6" ht="22.5" hidden="1" customHeight="1" x14ac:dyDescent="0.25">
      <c r="A8065" s="3">
        <v>44501</v>
      </c>
      <c r="B8065" s="2" t="s">
        <v>362</v>
      </c>
      <c r="C8065" s="2">
        <v>0</v>
      </c>
      <c r="D8065" s="2">
        <v>0.27979999999999999</v>
      </c>
      <c r="E8065" s="2">
        <v>0</v>
      </c>
      <c r="F8065" s="2" t="s">
        <v>165</v>
      </c>
    </row>
    <row r="8066" spans="1:6" ht="22.5" hidden="1" customHeight="1" x14ac:dyDescent="0.25">
      <c r="A8066" s="3">
        <v>44501</v>
      </c>
      <c r="B8066" s="2" t="s">
        <v>363</v>
      </c>
      <c r="C8066" s="2">
        <v>-0.33</v>
      </c>
      <c r="D8066" s="2">
        <v>4.8599999999999997E-2</v>
      </c>
      <c r="E8066" s="2">
        <v>-1.6038000000000001E-4</v>
      </c>
      <c r="F8066" s="2" t="s">
        <v>165</v>
      </c>
    </row>
    <row r="8067" spans="1:6" ht="22.5" hidden="1" customHeight="1" x14ac:dyDescent="0.25">
      <c r="A8067" s="3">
        <v>44501</v>
      </c>
      <c r="B8067" s="2" t="s">
        <v>364</v>
      </c>
      <c r="C8067" s="2">
        <v>-0.1</v>
      </c>
      <c r="D8067" s="2">
        <v>0.38529999999999998</v>
      </c>
      <c r="E8067" s="2">
        <v>-3.8529999999999999E-4</v>
      </c>
      <c r="F8067" s="2" t="s">
        <v>165</v>
      </c>
    </row>
    <row r="8068" spans="1:6" ht="22.5" hidden="1" customHeight="1" x14ac:dyDescent="0.25">
      <c r="A8068" s="3">
        <v>43983</v>
      </c>
      <c r="B8068" s="2" t="s">
        <v>300</v>
      </c>
      <c r="C8068" s="2">
        <v>-0.92</v>
      </c>
      <c r="D8068" s="2">
        <v>0.1865</v>
      </c>
      <c r="E8068" s="2">
        <v>-1.7158E-3</v>
      </c>
      <c r="F8068" s="2" t="s">
        <v>168</v>
      </c>
    </row>
    <row r="8069" spans="1:6" ht="22.5" hidden="1" customHeight="1" x14ac:dyDescent="0.25">
      <c r="A8069" s="3">
        <v>44136</v>
      </c>
      <c r="B8069" s="2" t="s">
        <v>263</v>
      </c>
      <c r="C8069" s="2">
        <v>-0.4</v>
      </c>
      <c r="D8069" s="2">
        <v>0.43409999999999999</v>
      </c>
      <c r="E8069" s="2">
        <v>-1.7363999999999999E-3</v>
      </c>
      <c r="F8069" s="2" t="s">
        <v>168</v>
      </c>
    </row>
    <row r="8070" spans="1:6" ht="22.5" hidden="1" customHeight="1" x14ac:dyDescent="0.25">
      <c r="A8070" s="3">
        <v>43891</v>
      </c>
      <c r="B8070" s="2" t="s">
        <v>288</v>
      </c>
      <c r="C8070" s="2">
        <v>-0.7</v>
      </c>
      <c r="D8070" s="2">
        <v>0.2495</v>
      </c>
      <c r="E8070" s="2">
        <v>-1.7465E-3</v>
      </c>
      <c r="F8070" s="2" t="s">
        <v>168</v>
      </c>
    </row>
    <row r="8071" spans="1:6" ht="22.5" hidden="1" customHeight="1" x14ac:dyDescent="0.25">
      <c r="A8071" s="3">
        <v>44501</v>
      </c>
      <c r="B8071" s="2" t="s">
        <v>368</v>
      </c>
      <c r="C8071" s="2">
        <v>0</v>
      </c>
      <c r="D8071" s="2">
        <v>0.36399999999999999</v>
      </c>
      <c r="E8071" s="2">
        <v>0</v>
      </c>
      <c r="F8071" s="2" t="s">
        <v>165</v>
      </c>
    </row>
    <row r="8072" spans="1:6" ht="22.5" hidden="1" customHeight="1" x14ac:dyDescent="0.25">
      <c r="A8072" s="3">
        <v>44501</v>
      </c>
      <c r="B8072" s="2" t="s">
        <v>369</v>
      </c>
      <c r="C8072" s="2">
        <v>0</v>
      </c>
      <c r="D8072" s="2">
        <v>0.52610000000000001</v>
      </c>
      <c r="E8072" s="2">
        <v>0</v>
      </c>
      <c r="F8072" s="2" t="s">
        <v>165</v>
      </c>
    </row>
    <row r="8073" spans="1:6" ht="22.5" hidden="1" customHeight="1" x14ac:dyDescent="0.25">
      <c r="A8073" s="3">
        <v>44501</v>
      </c>
      <c r="B8073" s="2" t="s">
        <v>370</v>
      </c>
      <c r="C8073" s="2">
        <v>1.19</v>
      </c>
      <c r="D8073" s="2">
        <v>0.94310000000000005</v>
      </c>
      <c r="E8073" s="2">
        <v>1.1222889999999999E-2</v>
      </c>
      <c r="F8073" s="2" t="s">
        <v>170</v>
      </c>
    </row>
    <row r="8074" spans="1:6" ht="22.5" hidden="1" customHeight="1" x14ac:dyDescent="0.25">
      <c r="A8074" s="3">
        <v>44501</v>
      </c>
      <c r="B8074" s="2" t="s">
        <v>371</v>
      </c>
      <c r="C8074" s="2">
        <v>0</v>
      </c>
      <c r="D8074" s="2">
        <v>7.2800000000000004E-2</v>
      </c>
      <c r="E8074" s="2">
        <v>0</v>
      </c>
      <c r="F8074" s="2" t="s">
        <v>165</v>
      </c>
    </row>
    <row r="8075" spans="1:6" ht="22.5" hidden="1" customHeight="1" x14ac:dyDescent="0.25">
      <c r="A8075" s="3">
        <v>44501</v>
      </c>
      <c r="B8075" s="2" t="s">
        <v>372</v>
      </c>
      <c r="C8075" s="2">
        <v>0</v>
      </c>
      <c r="D8075" s="2">
        <v>1.591</v>
      </c>
      <c r="E8075" s="2">
        <v>0</v>
      </c>
      <c r="F8075" s="2" t="s">
        <v>165</v>
      </c>
    </row>
    <row r="8076" spans="1:6" ht="22.5" hidden="1" customHeight="1" x14ac:dyDescent="0.25">
      <c r="A8076" s="3">
        <v>44531</v>
      </c>
      <c r="B8076" s="2" t="s">
        <v>6</v>
      </c>
      <c r="C8076" s="2">
        <v>-2.46</v>
      </c>
      <c r="D8076" s="2">
        <v>0.60319999999999996</v>
      </c>
      <c r="E8076" s="2">
        <v>-1.483872E-2</v>
      </c>
      <c r="F8076" s="2" t="s">
        <v>7</v>
      </c>
    </row>
    <row r="8077" spans="1:6" ht="22.5" hidden="1" customHeight="1" x14ac:dyDescent="0.25">
      <c r="A8077" s="3">
        <v>44531</v>
      </c>
      <c r="B8077" s="2" t="s">
        <v>8</v>
      </c>
      <c r="C8077" s="2">
        <v>-1.98</v>
      </c>
      <c r="D8077" s="2">
        <v>1.3599999999999999E-2</v>
      </c>
      <c r="E8077" s="2">
        <v>-2.6928E-4</v>
      </c>
      <c r="F8077" s="2" t="s">
        <v>7</v>
      </c>
    </row>
    <row r="8078" spans="1:6" ht="22.5" hidden="1" customHeight="1" x14ac:dyDescent="0.25">
      <c r="A8078" s="3">
        <v>44531</v>
      </c>
      <c r="B8078" s="2" t="s">
        <v>9</v>
      </c>
      <c r="C8078" s="2">
        <v>-2.08</v>
      </c>
      <c r="D8078" s="2">
        <v>6.1699999999999998E-2</v>
      </c>
      <c r="E8078" s="2">
        <v>-1.2833600000000001E-3</v>
      </c>
      <c r="F8078" s="2" t="s">
        <v>7</v>
      </c>
    </row>
    <row r="8079" spans="1:6" ht="22.5" hidden="1" customHeight="1" x14ac:dyDescent="0.25">
      <c r="A8079" s="3">
        <v>44531</v>
      </c>
      <c r="B8079" s="2" t="s">
        <v>10</v>
      </c>
      <c r="C8079" s="2">
        <v>0.67</v>
      </c>
      <c r="D8079" s="2">
        <v>2.07E-2</v>
      </c>
      <c r="E8079" s="2">
        <v>1.3868999999999999E-4</v>
      </c>
      <c r="F8079" s="2" t="s">
        <v>7</v>
      </c>
    </row>
    <row r="8080" spans="1:6" ht="22.5" hidden="1" customHeight="1" x14ac:dyDescent="0.25">
      <c r="A8080" s="3">
        <v>44531</v>
      </c>
      <c r="B8080" s="2" t="s">
        <v>11</v>
      </c>
      <c r="C8080" s="2">
        <v>-2.19</v>
      </c>
      <c r="D8080" s="2">
        <v>0.13320000000000001</v>
      </c>
      <c r="E8080" s="2">
        <v>-2.9170799999999998E-3</v>
      </c>
      <c r="F8080" s="2" t="s">
        <v>7</v>
      </c>
    </row>
    <row r="8081" spans="1:6" ht="22.5" hidden="1" customHeight="1" x14ac:dyDescent="0.25">
      <c r="A8081" s="3">
        <v>44531</v>
      </c>
      <c r="B8081" s="2" t="s">
        <v>12</v>
      </c>
      <c r="C8081" s="2">
        <v>-0.3</v>
      </c>
      <c r="D8081" s="2">
        <v>1.12E-2</v>
      </c>
      <c r="E8081" s="2">
        <v>-3.3599999999999997E-5</v>
      </c>
      <c r="F8081" s="2" t="s">
        <v>7</v>
      </c>
    </row>
    <row r="8082" spans="1:6" ht="22.5" hidden="1" customHeight="1" x14ac:dyDescent="0.25">
      <c r="A8082" s="3">
        <v>44531</v>
      </c>
      <c r="B8082" s="2" t="s">
        <v>13</v>
      </c>
      <c r="C8082" s="2">
        <v>2.23</v>
      </c>
      <c r="D8082" s="2">
        <v>2.8E-3</v>
      </c>
      <c r="E8082" s="2">
        <v>6.2440000000000005E-5</v>
      </c>
      <c r="F8082" s="2" t="s">
        <v>7</v>
      </c>
    </row>
    <row r="8083" spans="1:6" ht="22.5" hidden="1" customHeight="1" x14ac:dyDescent="0.25">
      <c r="A8083" s="3">
        <v>44531</v>
      </c>
      <c r="B8083" s="2" t="s">
        <v>14</v>
      </c>
      <c r="C8083" s="2">
        <v>0.02</v>
      </c>
      <c r="D8083" s="2">
        <v>0.15040000000000001</v>
      </c>
      <c r="E8083" s="2">
        <v>3.008E-5</v>
      </c>
      <c r="F8083" s="2" t="s">
        <v>7</v>
      </c>
    </row>
    <row r="8084" spans="1:6" ht="22.5" hidden="1" customHeight="1" x14ac:dyDescent="0.25">
      <c r="A8084" s="3">
        <v>44531</v>
      </c>
      <c r="B8084" s="2" t="s">
        <v>15</v>
      </c>
      <c r="C8084" s="2">
        <v>-0.87</v>
      </c>
      <c r="D8084" s="2">
        <v>8.8999999999999999E-3</v>
      </c>
      <c r="E8084" s="2">
        <v>-7.7429999999999996E-5</v>
      </c>
      <c r="F8084" s="2" t="s">
        <v>7</v>
      </c>
    </row>
    <row r="8085" spans="1:6" ht="22.5" hidden="1" customHeight="1" x14ac:dyDescent="0.25">
      <c r="A8085" s="3">
        <v>44531</v>
      </c>
      <c r="B8085" s="2" t="s">
        <v>16</v>
      </c>
      <c r="C8085" s="2">
        <v>1.18</v>
      </c>
      <c r="D8085" s="2">
        <v>8.8999999999999999E-3</v>
      </c>
      <c r="E8085" s="2">
        <v>1.0501999999999999E-4</v>
      </c>
      <c r="F8085" s="2" t="s">
        <v>7</v>
      </c>
    </row>
    <row r="8086" spans="1:6" ht="22.5" hidden="1" customHeight="1" x14ac:dyDescent="0.25">
      <c r="A8086" s="3">
        <v>44531</v>
      </c>
      <c r="B8086" s="2" t="s">
        <v>17</v>
      </c>
      <c r="C8086" s="2">
        <v>0.1</v>
      </c>
      <c r="D8086" s="2">
        <v>5.11E-2</v>
      </c>
      <c r="E8086" s="2">
        <v>5.1100000000000002E-5</v>
      </c>
      <c r="F8086" s="2" t="s">
        <v>7</v>
      </c>
    </row>
    <row r="8087" spans="1:6" ht="22.5" hidden="1" customHeight="1" x14ac:dyDescent="0.25">
      <c r="A8087" s="3">
        <v>44531</v>
      </c>
      <c r="B8087" s="2" t="s">
        <v>18</v>
      </c>
      <c r="C8087" s="2">
        <v>0.27</v>
      </c>
      <c r="D8087" s="2">
        <v>9.6000000000000002E-2</v>
      </c>
      <c r="E8087" s="2">
        <v>2.5920000000000001E-4</v>
      </c>
      <c r="F8087" s="2" t="s">
        <v>7</v>
      </c>
    </row>
    <row r="8088" spans="1:6" ht="22.5" hidden="1" customHeight="1" x14ac:dyDescent="0.25">
      <c r="A8088" s="3">
        <v>44531</v>
      </c>
      <c r="B8088" s="2" t="s">
        <v>19</v>
      </c>
      <c r="C8088" s="2">
        <v>0.37</v>
      </c>
      <c r="D8088" s="2">
        <v>0.12379999999999999</v>
      </c>
      <c r="E8088" s="2">
        <v>4.5805999999999999E-4</v>
      </c>
      <c r="F8088" s="2" t="s">
        <v>7</v>
      </c>
    </row>
    <row r="8089" spans="1:6" ht="22.5" hidden="1" customHeight="1" x14ac:dyDescent="0.25">
      <c r="A8089" s="3">
        <v>44531</v>
      </c>
      <c r="B8089" s="2" t="s">
        <v>20</v>
      </c>
      <c r="C8089" s="2">
        <v>0.01</v>
      </c>
      <c r="D8089" s="2">
        <v>2.5600000000000001E-2</v>
      </c>
      <c r="E8089" s="2">
        <v>2.5600000000000001E-6</v>
      </c>
      <c r="F8089" s="2" t="s">
        <v>7</v>
      </c>
    </row>
    <row r="8090" spans="1:6" ht="22.5" hidden="1" customHeight="1" x14ac:dyDescent="0.25">
      <c r="A8090" s="3">
        <v>44531</v>
      </c>
      <c r="B8090" s="2" t="s">
        <v>21</v>
      </c>
      <c r="C8090" s="2">
        <v>-0.96</v>
      </c>
      <c r="D8090" s="2">
        <v>3.7199999999999997E-2</v>
      </c>
      <c r="E8090" s="2">
        <v>-3.5712E-4</v>
      </c>
      <c r="F8090" s="2" t="s">
        <v>7</v>
      </c>
    </row>
    <row r="8091" spans="1:6" ht="22.5" hidden="1" customHeight="1" x14ac:dyDescent="0.25">
      <c r="A8091" s="3">
        <v>44531</v>
      </c>
      <c r="B8091" s="2" t="s">
        <v>22</v>
      </c>
      <c r="C8091" s="2">
        <v>-6.46</v>
      </c>
      <c r="D8091" s="2">
        <v>0.18759999999999999</v>
      </c>
      <c r="E8091" s="2">
        <v>-1.211896E-2</v>
      </c>
      <c r="F8091" s="2" t="s">
        <v>7</v>
      </c>
    </row>
    <row r="8092" spans="1:6" ht="22.5" hidden="1" customHeight="1" x14ac:dyDescent="0.25">
      <c r="A8092" s="3">
        <v>44531</v>
      </c>
      <c r="B8092" s="2" t="s">
        <v>23</v>
      </c>
      <c r="C8092" s="2">
        <v>1.1299999999999999</v>
      </c>
      <c r="D8092" s="2">
        <v>2.0799999999999999E-2</v>
      </c>
      <c r="E8092" s="2">
        <v>2.3504E-4</v>
      </c>
      <c r="F8092" s="2" t="s">
        <v>7</v>
      </c>
    </row>
    <row r="8093" spans="1:6" ht="22.5" hidden="1" customHeight="1" x14ac:dyDescent="0.25">
      <c r="A8093" s="3">
        <v>44531</v>
      </c>
      <c r="B8093" s="2" t="s">
        <v>24</v>
      </c>
      <c r="C8093" s="2">
        <v>7.1</v>
      </c>
      <c r="D8093" s="2">
        <v>7.7000000000000002E-3</v>
      </c>
      <c r="E8093" s="2">
        <v>5.4670000000000001E-4</v>
      </c>
      <c r="F8093" s="2" t="s">
        <v>7</v>
      </c>
    </row>
    <row r="8094" spans="1:6" ht="22.5" hidden="1" customHeight="1" x14ac:dyDescent="0.25">
      <c r="A8094" s="3">
        <v>44531</v>
      </c>
      <c r="B8094" s="2" t="s">
        <v>25</v>
      </c>
      <c r="C8094" s="2">
        <v>-7.86</v>
      </c>
      <c r="D8094" s="2">
        <v>2.8E-3</v>
      </c>
      <c r="E8094" s="2">
        <v>-2.2007999999999999E-4</v>
      </c>
      <c r="F8094" s="2" t="s">
        <v>7</v>
      </c>
    </row>
    <row r="8095" spans="1:6" ht="22.5" hidden="1" customHeight="1" x14ac:dyDescent="0.25">
      <c r="A8095" s="3">
        <v>44531</v>
      </c>
      <c r="B8095" s="2" t="s">
        <v>26</v>
      </c>
      <c r="C8095" s="2">
        <v>-18.47</v>
      </c>
      <c r="D8095" s="2">
        <v>2.7699999999999999E-2</v>
      </c>
      <c r="E8095" s="2">
        <v>-5.1161899999999996E-3</v>
      </c>
      <c r="F8095" s="2" t="s">
        <v>7</v>
      </c>
    </row>
    <row r="8096" spans="1:6" ht="22.5" hidden="1" customHeight="1" x14ac:dyDescent="0.25">
      <c r="A8096" s="3">
        <v>44531</v>
      </c>
      <c r="B8096" s="2" t="s">
        <v>27</v>
      </c>
      <c r="C8096" s="2">
        <v>-11.23</v>
      </c>
      <c r="D8096" s="2">
        <v>0.31230000000000002</v>
      </c>
      <c r="E8096" s="2">
        <v>-3.5071289999999998E-2</v>
      </c>
      <c r="F8096" s="2" t="s">
        <v>7</v>
      </c>
    </row>
    <row r="8097" spans="1:6" ht="22.5" hidden="1" customHeight="1" x14ac:dyDescent="0.25">
      <c r="A8097" s="3">
        <v>44531</v>
      </c>
      <c r="B8097" s="2" t="s">
        <v>28</v>
      </c>
      <c r="C8097" s="2">
        <v>19.399999999999999</v>
      </c>
      <c r="D8097" s="2">
        <v>9.2499999999999999E-2</v>
      </c>
      <c r="E8097" s="2">
        <v>1.7944999999999999E-2</v>
      </c>
      <c r="F8097" s="2" t="s">
        <v>7</v>
      </c>
    </row>
    <row r="8098" spans="1:6" ht="22.5" hidden="1" customHeight="1" x14ac:dyDescent="0.25">
      <c r="A8098" s="3">
        <v>44531</v>
      </c>
      <c r="B8098" s="2" t="s">
        <v>29</v>
      </c>
      <c r="C8098" s="2">
        <v>-0.79</v>
      </c>
      <c r="D8098" s="2">
        <v>5.1999999999999998E-2</v>
      </c>
      <c r="E8098" s="2">
        <v>-4.1080000000000001E-4</v>
      </c>
      <c r="F8098" s="2" t="s">
        <v>7</v>
      </c>
    </row>
    <row r="8099" spans="1:6" ht="22.5" hidden="1" customHeight="1" x14ac:dyDescent="0.25">
      <c r="A8099" s="3">
        <v>44531</v>
      </c>
      <c r="B8099" s="2" t="s">
        <v>30</v>
      </c>
      <c r="C8099" s="2">
        <v>0.96</v>
      </c>
      <c r="D8099" s="2">
        <v>0.12920000000000001</v>
      </c>
      <c r="E8099" s="2">
        <v>1.2403200000000001E-3</v>
      </c>
      <c r="F8099" s="2" t="s">
        <v>7</v>
      </c>
    </row>
    <row r="8100" spans="1:6" ht="22.5" hidden="1" customHeight="1" x14ac:dyDescent="0.25">
      <c r="A8100" s="3">
        <v>44531</v>
      </c>
      <c r="B8100" s="2" t="s">
        <v>31</v>
      </c>
      <c r="C8100" s="2">
        <v>1.74</v>
      </c>
      <c r="D8100" s="2">
        <v>0.12959999999999999</v>
      </c>
      <c r="E8100" s="2">
        <v>2.2550399999999998E-3</v>
      </c>
      <c r="F8100" s="2" t="s">
        <v>7</v>
      </c>
    </row>
    <row r="8101" spans="1:6" ht="22.5" hidden="1" customHeight="1" x14ac:dyDescent="0.25">
      <c r="A8101" s="3">
        <v>44531</v>
      </c>
      <c r="B8101" s="2" t="s">
        <v>32</v>
      </c>
      <c r="C8101" s="2">
        <v>-0.33</v>
      </c>
      <c r="D8101" s="2">
        <v>1.5100000000000001E-2</v>
      </c>
      <c r="E8101" s="2">
        <v>-4.9830000000000002E-5</v>
      </c>
      <c r="F8101" s="2" t="s">
        <v>7</v>
      </c>
    </row>
    <row r="8102" spans="1:6" ht="22.5" hidden="1" customHeight="1" x14ac:dyDescent="0.25">
      <c r="A8102" s="3">
        <v>44531</v>
      </c>
      <c r="B8102" s="2" t="s">
        <v>33</v>
      </c>
      <c r="C8102" s="2">
        <v>0.31</v>
      </c>
      <c r="D8102" s="2">
        <v>0.1867</v>
      </c>
      <c r="E8102" s="2">
        <v>5.7877000000000004E-4</v>
      </c>
      <c r="F8102" s="2" t="s">
        <v>7</v>
      </c>
    </row>
    <row r="8103" spans="1:6" ht="22.5" hidden="1" customHeight="1" x14ac:dyDescent="0.25">
      <c r="A8103" s="3">
        <v>44531</v>
      </c>
      <c r="B8103" s="2" t="s">
        <v>34</v>
      </c>
      <c r="C8103" s="2">
        <v>0.39</v>
      </c>
      <c r="D8103" s="2">
        <v>0.14410000000000001</v>
      </c>
      <c r="E8103" s="2">
        <v>5.6198999999999995E-4</v>
      </c>
      <c r="F8103" s="2" t="s">
        <v>7</v>
      </c>
    </row>
    <row r="8104" spans="1:6" ht="22.5" hidden="1" customHeight="1" x14ac:dyDescent="0.25">
      <c r="A8104" s="3">
        <v>44531</v>
      </c>
      <c r="B8104" s="2" t="s">
        <v>35</v>
      </c>
      <c r="C8104" s="2">
        <v>0.63</v>
      </c>
      <c r="D8104" s="2">
        <v>0.1066</v>
      </c>
      <c r="E8104" s="2">
        <v>6.7157999999999996E-4</v>
      </c>
      <c r="F8104" s="2" t="s">
        <v>7</v>
      </c>
    </row>
    <row r="8105" spans="1:6" ht="22.5" hidden="1" customHeight="1" x14ac:dyDescent="0.25">
      <c r="A8105" s="3">
        <v>44531</v>
      </c>
      <c r="B8105" s="2" t="s">
        <v>36</v>
      </c>
      <c r="C8105" s="2">
        <v>3.17</v>
      </c>
      <c r="D8105" s="2">
        <v>1.6000000000000001E-3</v>
      </c>
      <c r="E8105" s="2">
        <v>5.0720000000000002E-5</v>
      </c>
      <c r="F8105" s="2" t="s">
        <v>7</v>
      </c>
    </row>
    <row r="8106" spans="1:6" ht="22.5" hidden="1" customHeight="1" x14ac:dyDescent="0.25">
      <c r="A8106" s="3">
        <v>44531</v>
      </c>
      <c r="B8106" s="2" t="s">
        <v>37</v>
      </c>
      <c r="C8106" s="2">
        <v>1.1499999999999999</v>
      </c>
      <c r="D8106" s="2">
        <v>8.5999999999999993E-2</v>
      </c>
      <c r="E8106" s="2">
        <v>9.8900000000000008E-4</v>
      </c>
      <c r="F8106" s="2" t="s">
        <v>7</v>
      </c>
    </row>
    <row r="8107" spans="1:6" ht="22.5" hidden="1" customHeight="1" x14ac:dyDescent="0.25">
      <c r="A8107" s="3">
        <v>44531</v>
      </c>
      <c r="B8107" s="2" t="s">
        <v>38</v>
      </c>
      <c r="C8107" s="2">
        <v>0.3</v>
      </c>
      <c r="D8107" s="2">
        <v>9.1999999999999998E-3</v>
      </c>
      <c r="E8107" s="2">
        <v>2.76E-5</v>
      </c>
      <c r="F8107" s="2" t="s">
        <v>7</v>
      </c>
    </row>
    <row r="8108" spans="1:6" ht="22.5" hidden="1" customHeight="1" x14ac:dyDescent="0.25">
      <c r="A8108" s="3">
        <v>44531</v>
      </c>
      <c r="B8108" s="2" t="s">
        <v>39</v>
      </c>
      <c r="C8108" s="2">
        <v>-0.54</v>
      </c>
      <c r="D8108" s="2">
        <v>1.46E-2</v>
      </c>
      <c r="E8108" s="2">
        <v>-7.8839999999999997E-5</v>
      </c>
      <c r="F8108" s="2" t="s">
        <v>7</v>
      </c>
    </row>
    <row r="8109" spans="1:6" ht="22.5" hidden="1" customHeight="1" x14ac:dyDescent="0.25">
      <c r="A8109" s="3">
        <v>44531</v>
      </c>
      <c r="B8109" s="2" t="s">
        <v>40</v>
      </c>
      <c r="C8109" s="2">
        <v>3.94</v>
      </c>
      <c r="D8109" s="2">
        <v>2.8E-3</v>
      </c>
      <c r="E8109" s="2">
        <v>1.1032E-4</v>
      </c>
      <c r="F8109" s="2" t="s">
        <v>7</v>
      </c>
    </row>
    <row r="8110" spans="1:6" ht="22.5" hidden="1" customHeight="1" x14ac:dyDescent="0.25">
      <c r="A8110" s="3">
        <v>44531</v>
      </c>
      <c r="B8110" s="2" t="s">
        <v>41</v>
      </c>
      <c r="C8110" s="2">
        <v>-2.14</v>
      </c>
      <c r="D8110" s="2">
        <v>1.8200000000000001E-2</v>
      </c>
      <c r="E8110" s="2">
        <v>-3.8947999999999999E-4</v>
      </c>
      <c r="F8110" s="2" t="s">
        <v>7</v>
      </c>
    </row>
    <row r="8111" spans="1:6" ht="22.5" hidden="1" customHeight="1" x14ac:dyDescent="0.25">
      <c r="A8111" s="3">
        <v>44531</v>
      </c>
      <c r="B8111" s="2" t="s">
        <v>42</v>
      </c>
      <c r="C8111" s="2">
        <v>0.37</v>
      </c>
      <c r="D8111" s="2">
        <v>4.0800000000000003E-2</v>
      </c>
      <c r="E8111" s="2">
        <v>1.5096E-4</v>
      </c>
      <c r="F8111" s="2" t="s">
        <v>7</v>
      </c>
    </row>
    <row r="8112" spans="1:6" ht="22.5" hidden="1" customHeight="1" x14ac:dyDescent="0.25">
      <c r="A8112" s="3">
        <v>44531</v>
      </c>
      <c r="B8112" s="2" t="s">
        <v>43</v>
      </c>
      <c r="C8112" s="2">
        <v>-3.48</v>
      </c>
      <c r="D8112" s="2">
        <v>2.9399999999999999E-2</v>
      </c>
      <c r="E8112" s="2">
        <v>-1.02312E-3</v>
      </c>
      <c r="F8112" s="2" t="s">
        <v>7</v>
      </c>
    </row>
    <row r="8113" spans="1:6" ht="22.5" hidden="1" customHeight="1" x14ac:dyDescent="0.25">
      <c r="A8113" s="3">
        <v>44531</v>
      </c>
      <c r="B8113" s="2" t="s">
        <v>44</v>
      </c>
      <c r="C8113" s="2">
        <v>0.53</v>
      </c>
      <c r="D8113" s="2">
        <v>1.5699999999999999E-2</v>
      </c>
      <c r="E8113" s="2">
        <v>8.3209999999999998E-5</v>
      </c>
      <c r="F8113" s="2" t="s">
        <v>7</v>
      </c>
    </row>
    <row r="8114" spans="1:6" ht="22.5" hidden="1" customHeight="1" x14ac:dyDescent="0.25">
      <c r="A8114" s="3">
        <v>44531</v>
      </c>
      <c r="B8114" s="2" t="s">
        <v>45</v>
      </c>
      <c r="C8114" s="2">
        <v>0.81</v>
      </c>
      <c r="D8114" s="2">
        <v>1.47E-2</v>
      </c>
      <c r="E8114" s="2">
        <v>1.1907E-4</v>
      </c>
      <c r="F8114" s="2" t="s">
        <v>7</v>
      </c>
    </row>
    <row r="8115" spans="1:6" ht="22.5" hidden="1" customHeight="1" x14ac:dyDescent="0.25">
      <c r="A8115" s="3">
        <v>44531</v>
      </c>
      <c r="B8115" s="2" t="s">
        <v>46</v>
      </c>
      <c r="C8115" s="2">
        <v>14.58</v>
      </c>
      <c r="D8115" s="2">
        <v>1E-3</v>
      </c>
      <c r="E8115" s="2">
        <v>1.4579999999999999E-4</v>
      </c>
      <c r="F8115" s="2" t="s">
        <v>7</v>
      </c>
    </row>
    <row r="8116" spans="1:6" ht="22.5" hidden="1" customHeight="1" x14ac:dyDescent="0.25">
      <c r="A8116" s="3">
        <v>44531</v>
      </c>
      <c r="B8116" s="2" t="s">
        <v>47</v>
      </c>
      <c r="C8116" s="2">
        <v>4.29</v>
      </c>
      <c r="D8116" s="2">
        <v>8.43E-2</v>
      </c>
      <c r="E8116" s="2">
        <v>3.6164700000000001E-3</v>
      </c>
      <c r="F8116" s="2" t="s">
        <v>7</v>
      </c>
    </row>
    <row r="8117" spans="1:6" ht="22.5" hidden="1" customHeight="1" x14ac:dyDescent="0.25">
      <c r="A8117" s="3">
        <v>44531</v>
      </c>
      <c r="B8117" s="2" t="s">
        <v>48</v>
      </c>
      <c r="C8117" s="2">
        <v>8.73</v>
      </c>
      <c r="D8117" s="2">
        <v>3.7000000000000002E-3</v>
      </c>
      <c r="E8117" s="2">
        <v>3.2300999999999999E-4</v>
      </c>
      <c r="F8117" s="2" t="s">
        <v>7</v>
      </c>
    </row>
    <row r="8118" spans="1:6" ht="22.5" hidden="1" customHeight="1" x14ac:dyDescent="0.25">
      <c r="A8118" s="3">
        <v>44531</v>
      </c>
      <c r="B8118" s="2" t="s">
        <v>49</v>
      </c>
      <c r="C8118" s="2">
        <v>3.39</v>
      </c>
      <c r="D8118" s="2">
        <v>0.15079999999999999</v>
      </c>
      <c r="E8118" s="2">
        <v>5.1121200000000004E-3</v>
      </c>
      <c r="F8118" s="2" t="s">
        <v>7</v>
      </c>
    </row>
    <row r="8119" spans="1:6" ht="22.5" hidden="1" customHeight="1" x14ac:dyDescent="0.25">
      <c r="A8119" s="3">
        <v>44531</v>
      </c>
      <c r="B8119" s="2" t="s">
        <v>50</v>
      </c>
      <c r="C8119" s="2">
        <v>16.77</v>
      </c>
      <c r="D8119" s="2">
        <v>3.8999999999999998E-3</v>
      </c>
      <c r="E8119" s="2">
        <v>6.5403E-4</v>
      </c>
      <c r="F8119" s="2" t="s">
        <v>7</v>
      </c>
    </row>
    <row r="8120" spans="1:6" ht="22.5" hidden="1" customHeight="1" x14ac:dyDescent="0.25">
      <c r="A8120" s="3">
        <v>44531</v>
      </c>
      <c r="B8120" s="2" t="s">
        <v>51</v>
      </c>
      <c r="C8120" s="2">
        <v>-6.77</v>
      </c>
      <c r="D8120" s="2">
        <v>7.1000000000000004E-3</v>
      </c>
      <c r="E8120" s="2">
        <v>-4.8066999999999999E-4</v>
      </c>
      <c r="F8120" s="2" t="s">
        <v>7</v>
      </c>
    </row>
    <row r="8121" spans="1:6" ht="22.5" hidden="1" customHeight="1" x14ac:dyDescent="0.25">
      <c r="A8121" s="3">
        <v>44531</v>
      </c>
      <c r="B8121" s="2" t="s">
        <v>52</v>
      </c>
      <c r="C8121" s="2">
        <v>15.44</v>
      </c>
      <c r="D8121" s="2">
        <v>2.5399999999999999E-2</v>
      </c>
      <c r="E8121" s="2">
        <v>3.9217599999999998E-3</v>
      </c>
      <c r="F8121" s="2" t="s">
        <v>7</v>
      </c>
    </row>
    <row r="8122" spans="1:6" ht="22.5" hidden="1" customHeight="1" x14ac:dyDescent="0.25">
      <c r="A8122" s="3">
        <v>44531</v>
      </c>
      <c r="B8122" s="2" t="s">
        <v>53</v>
      </c>
      <c r="C8122" s="2">
        <v>-1.48</v>
      </c>
      <c r="D8122" s="2">
        <v>0.13239999999999999</v>
      </c>
      <c r="E8122" s="2">
        <v>-1.9595200000000002E-3</v>
      </c>
      <c r="F8122" s="2" t="s">
        <v>7</v>
      </c>
    </row>
    <row r="8123" spans="1:6" ht="22.5" hidden="1" customHeight="1" x14ac:dyDescent="0.25">
      <c r="A8123" s="3">
        <v>44531</v>
      </c>
      <c r="B8123" s="2" t="s">
        <v>54</v>
      </c>
      <c r="C8123" s="2">
        <v>20.71</v>
      </c>
      <c r="D8123" s="2">
        <v>9.1399999999999995E-2</v>
      </c>
      <c r="E8123" s="2">
        <v>1.8928939999999998E-2</v>
      </c>
      <c r="F8123" s="2" t="s">
        <v>7</v>
      </c>
    </row>
    <row r="8124" spans="1:6" ht="22.5" hidden="1" customHeight="1" x14ac:dyDescent="0.25">
      <c r="A8124" s="3">
        <v>44531</v>
      </c>
      <c r="B8124" s="2" t="s">
        <v>55</v>
      </c>
      <c r="C8124" s="2">
        <v>2.99</v>
      </c>
      <c r="D8124" s="2">
        <v>5.28E-2</v>
      </c>
      <c r="E8124" s="2">
        <v>1.57872E-3</v>
      </c>
      <c r="F8124" s="2" t="s">
        <v>7</v>
      </c>
    </row>
    <row r="8125" spans="1:6" ht="22.5" hidden="1" customHeight="1" x14ac:dyDescent="0.25">
      <c r="A8125" s="3">
        <v>44531</v>
      </c>
      <c r="B8125" s="2" t="s">
        <v>56</v>
      </c>
      <c r="C8125" s="2">
        <v>12.82</v>
      </c>
      <c r="D8125" s="2">
        <v>6.7000000000000002E-3</v>
      </c>
      <c r="E8125" s="2">
        <v>8.5893999999999999E-4</v>
      </c>
      <c r="F8125" s="2" t="s">
        <v>7</v>
      </c>
    </row>
    <row r="8126" spans="1:6" ht="22.5" hidden="1" customHeight="1" x14ac:dyDescent="0.25">
      <c r="A8126" s="3">
        <v>44531</v>
      </c>
      <c r="B8126" s="2" t="s">
        <v>57</v>
      </c>
      <c r="C8126" s="2">
        <v>6.62</v>
      </c>
      <c r="D8126" s="2">
        <v>2.8799999999999999E-2</v>
      </c>
      <c r="E8126" s="2">
        <v>1.9065600000000001E-3</v>
      </c>
      <c r="F8126" s="2" t="s">
        <v>7</v>
      </c>
    </row>
    <row r="8127" spans="1:6" ht="22.5" hidden="1" customHeight="1" x14ac:dyDescent="0.25">
      <c r="A8127" s="3">
        <v>44531</v>
      </c>
      <c r="B8127" s="2" t="s">
        <v>58</v>
      </c>
      <c r="C8127" s="2">
        <v>-3.63</v>
      </c>
      <c r="D8127" s="2">
        <v>1.6799999999999999E-2</v>
      </c>
      <c r="E8127" s="2">
        <v>-6.0983999999999995E-4</v>
      </c>
      <c r="F8127" s="2" t="s">
        <v>7</v>
      </c>
    </row>
    <row r="8128" spans="1:6" ht="22.5" hidden="1" customHeight="1" x14ac:dyDescent="0.25">
      <c r="A8128" s="3">
        <v>44531</v>
      </c>
      <c r="B8128" s="2" t="s">
        <v>59</v>
      </c>
      <c r="C8128" s="2">
        <v>13.96</v>
      </c>
      <c r="D8128" s="2">
        <v>2.3800000000000002E-2</v>
      </c>
      <c r="E8128" s="2">
        <v>3.3224800000000001E-3</v>
      </c>
      <c r="F8128" s="2" t="s">
        <v>7</v>
      </c>
    </row>
    <row r="8129" spans="1:6" ht="22.5" hidden="1" customHeight="1" x14ac:dyDescent="0.25">
      <c r="A8129" s="3">
        <v>44531</v>
      </c>
      <c r="B8129" s="2" t="s">
        <v>60</v>
      </c>
      <c r="C8129" s="2">
        <v>1.96</v>
      </c>
      <c r="D8129" s="2">
        <v>3.5099999999999999E-2</v>
      </c>
      <c r="E8129" s="2">
        <v>6.8796000000000005E-4</v>
      </c>
      <c r="F8129" s="2" t="s">
        <v>7</v>
      </c>
    </row>
    <row r="8130" spans="1:6" ht="22.5" hidden="1" customHeight="1" x14ac:dyDescent="0.25">
      <c r="A8130" s="3">
        <v>44531</v>
      </c>
      <c r="B8130" s="2" t="s">
        <v>61</v>
      </c>
      <c r="C8130" s="2">
        <v>1.25</v>
      </c>
      <c r="D8130" s="2">
        <v>6.7699999999999996E-2</v>
      </c>
      <c r="E8130" s="2">
        <v>8.4625E-4</v>
      </c>
      <c r="F8130" s="2" t="s">
        <v>7</v>
      </c>
    </row>
    <row r="8131" spans="1:6" ht="22.5" hidden="1" customHeight="1" x14ac:dyDescent="0.25">
      <c r="A8131" s="3">
        <v>44531</v>
      </c>
      <c r="B8131" s="2" t="s">
        <v>62</v>
      </c>
      <c r="C8131" s="2">
        <v>-3.09</v>
      </c>
      <c r="D8131" s="2">
        <v>0.10009999999999999</v>
      </c>
      <c r="E8131" s="2">
        <v>-3.0930900000000002E-3</v>
      </c>
      <c r="F8131" s="2" t="s">
        <v>7</v>
      </c>
    </row>
    <row r="8132" spans="1:6" ht="22.5" hidden="1" customHeight="1" x14ac:dyDescent="0.25">
      <c r="A8132" s="3">
        <v>44531</v>
      </c>
      <c r="B8132" s="2" t="s">
        <v>63</v>
      </c>
      <c r="C8132" s="2">
        <v>-2.99</v>
      </c>
      <c r="D8132" s="2">
        <v>7.7000000000000002E-3</v>
      </c>
      <c r="E8132" s="2">
        <v>-2.3023E-4</v>
      </c>
      <c r="F8132" s="2" t="s">
        <v>7</v>
      </c>
    </row>
    <row r="8133" spans="1:6" ht="22.5" hidden="1" customHeight="1" x14ac:dyDescent="0.25">
      <c r="A8133" s="3">
        <v>44531</v>
      </c>
      <c r="B8133" s="2" t="s">
        <v>64</v>
      </c>
      <c r="C8133" s="2">
        <v>1.68</v>
      </c>
      <c r="D8133" s="2">
        <v>4.1999999999999997E-3</v>
      </c>
      <c r="E8133" s="2">
        <v>7.0560000000000002E-5</v>
      </c>
      <c r="F8133" s="2" t="s">
        <v>7</v>
      </c>
    </row>
    <row r="8134" spans="1:6" ht="22.5" hidden="1" customHeight="1" x14ac:dyDescent="0.25">
      <c r="A8134" s="3">
        <v>44531</v>
      </c>
      <c r="B8134" s="2" t="s">
        <v>65</v>
      </c>
      <c r="C8134" s="2">
        <v>0.05</v>
      </c>
      <c r="D8134" s="2">
        <v>2.2100000000000002E-2</v>
      </c>
      <c r="E8134" s="2">
        <v>1.1049999999999999E-5</v>
      </c>
      <c r="F8134" s="2" t="s">
        <v>7</v>
      </c>
    </row>
    <row r="8135" spans="1:6" ht="22.5" hidden="1" customHeight="1" x14ac:dyDescent="0.25">
      <c r="A8135" s="3">
        <v>44531</v>
      </c>
      <c r="B8135" s="2" t="s">
        <v>66</v>
      </c>
      <c r="C8135" s="2">
        <v>0.28999999999999998</v>
      </c>
      <c r="D8135" s="2">
        <v>0.35470000000000002</v>
      </c>
      <c r="E8135" s="2">
        <v>1.02863E-3</v>
      </c>
      <c r="F8135" s="2" t="s">
        <v>7</v>
      </c>
    </row>
    <row r="8136" spans="1:6" ht="22.5" hidden="1" customHeight="1" x14ac:dyDescent="0.25">
      <c r="A8136" s="3">
        <v>44531</v>
      </c>
      <c r="B8136" s="2" t="s">
        <v>67</v>
      </c>
      <c r="C8136" s="2">
        <v>-3.22</v>
      </c>
      <c r="D8136" s="2">
        <v>3.8E-3</v>
      </c>
      <c r="E8136" s="2">
        <v>-1.2235999999999999E-4</v>
      </c>
      <c r="F8136" s="2" t="s">
        <v>7</v>
      </c>
    </row>
    <row r="8137" spans="1:6" ht="22.5" hidden="1" customHeight="1" x14ac:dyDescent="0.25">
      <c r="A8137" s="3">
        <v>44531</v>
      </c>
      <c r="B8137" s="2" t="s">
        <v>68</v>
      </c>
      <c r="C8137" s="2">
        <v>2</v>
      </c>
      <c r="D8137" s="2">
        <v>1.17E-2</v>
      </c>
      <c r="E8137" s="2">
        <v>2.34E-4</v>
      </c>
      <c r="F8137" s="2" t="s">
        <v>7</v>
      </c>
    </row>
    <row r="8138" spans="1:6" ht="22.5" hidden="1" customHeight="1" x14ac:dyDescent="0.25">
      <c r="A8138" s="3">
        <v>44531</v>
      </c>
      <c r="B8138" s="2" t="s">
        <v>69</v>
      </c>
      <c r="C8138" s="2">
        <v>3.51</v>
      </c>
      <c r="D8138" s="2">
        <v>0.48559999999999998</v>
      </c>
      <c r="E8138" s="2">
        <v>1.704456E-2</v>
      </c>
      <c r="F8138" s="2" t="s">
        <v>7</v>
      </c>
    </row>
    <row r="8139" spans="1:6" ht="22.5" hidden="1" customHeight="1" x14ac:dyDescent="0.25">
      <c r="A8139" s="3">
        <v>44531</v>
      </c>
      <c r="B8139" s="2" t="s">
        <v>70</v>
      </c>
      <c r="C8139" s="2">
        <v>3.37</v>
      </c>
      <c r="D8139" s="2">
        <v>2.92E-2</v>
      </c>
      <c r="E8139" s="2">
        <v>9.8404000000000004E-4</v>
      </c>
      <c r="F8139" s="2" t="s">
        <v>7</v>
      </c>
    </row>
    <row r="8140" spans="1:6" ht="22.5" hidden="1" customHeight="1" x14ac:dyDescent="0.25">
      <c r="A8140" s="3">
        <v>44531</v>
      </c>
      <c r="B8140" s="2" t="s">
        <v>71</v>
      </c>
      <c r="C8140" s="2">
        <v>0.11</v>
      </c>
      <c r="D8140" s="2">
        <v>0.34399999999999997</v>
      </c>
      <c r="E8140" s="2">
        <v>3.7839999999999998E-4</v>
      </c>
      <c r="F8140" s="2" t="s">
        <v>7</v>
      </c>
    </row>
    <row r="8141" spans="1:6" ht="22.5" hidden="1" customHeight="1" x14ac:dyDescent="0.25">
      <c r="A8141" s="3">
        <v>44531</v>
      </c>
      <c r="B8141" s="2" t="s">
        <v>72</v>
      </c>
      <c r="C8141" s="2">
        <v>1.55</v>
      </c>
      <c r="D8141" s="2">
        <v>0.37109999999999999</v>
      </c>
      <c r="E8141" s="2">
        <v>5.7520499999999999E-3</v>
      </c>
      <c r="F8141" s="2" t="s">
        <v>7</v>
      </c>
    </row>
    <row r="8142" spans="1:6" ht="22.5" hidden="1" customHeight="1" x14ac:dyDescent="0.25">
      <c r="A8142" s="3">
        <v>44531</v>
      </c>
      <c r="B8142" s="2" t="s">
        <v>73</v>
      </c>
      <c r="C8142" s="2">
        <v>0.15</v>
      </c>
      <c r="D8142" s="2">
        <v>0.18459999999999999</v>
      </c>
      <c r="E8142" s="2">
        <v>2.7690000000000001E-4</v>
      </c>
      <c r="F8142" s="2" t="s">
        <v>7</v>
      </c>
    </row>
    <row r="8143" spans="1:6" ht="22.5" hidden="1" customHeight="1" x14ac:dyDescent="0.25">
      <c r="A8143" s="3">
        <v>44531</v>
      </c>
      <c r="B8143" s="2" t="s">
        <v>74</v>
      </c>
      <c r="C8143" s="2">
        <v>-3.12</v>
      </c>
      <c r="D8143" s="2">
        <v>9.7000000000000003E-3</v>
      </c>
      <c r="E8143" s="2">
        <v>-3.0264000000000002E-4</v>
      </c>
      <c r="F8143" s="2" t="s">
        <v>7</v>
      </c>
    </row>
    <row r="8144" spans="1:6" ht="22.5" hidden="1" customHeight="1" x14ac:dyDescent="0.25">
      <c r="A8144" s="3">
        <v>44531</v>
      </c>
      <c r="B8144" s="2" t="s">
        <v>75</v>
      </c>
      <c r="C8144" s="2">
        <v>-0.54</v>
      </c>
      <c r="D8144" s="2">
        <v>8.09E-2</v>
      </c>
      <c r="E8144" s="2">
        <v>-4.3686000000000002E-4</v>
      </c>
      <c r="F8144" s="2" t="s">
        <v>7</v>
      </c>
    </row>
    <row r="8145" spans="1:6" ht="22.5" hidden="1" customHeight="1" x14ac:dyDescent="0.25">
      <c r="A8145" s="3">
        <v>44531</v>
      </c>
      <c r="B8145" s="2" t="s">
        <v>76</v>
      </c>
      <c r="C8145" s="2">
        <v>0.44</v>
      </c>
      <c r="D8145" s="2">
        <v>0.1686</v>
      </c>
      <c r="E8145" s="2">
        <v>7.4184000000000001E-4</v>
      </c>
      <c r="F8145" s="2" t="s">
        <v>7</v>
      </c>
    </row>
    <row r="8146" spans="1:6" ht="22.5" hidden="1" customHeight="1" x14ac:dyDescent="0.25">
      <c r="A8146" s="3">
        <v>44531</v>
      </c>
      <c r="B8146" s="2" t="s">
        <v>77</v>
      </c>
      <c r="C8146" s="2">
        <v>1.31</v>
      </c>
      <c r="D8146" s="2">
        <v>0.11169999999999999</v>
      </c>
      <c r="E8146" s="2">
        <v>1.46327E-3</v>
      </c>
      <c r="F8146" s="2" t="s">
        <v>7</v>
      </c>
    </row>
    <row r="8147" spans="1:6" ht="22.5" hidden="1" customHeight="1" x14ac:dyDescent="0.25">
      <c r="A8147" s="3">
        <v>44531</v>
      </c>
      <c r="B8147" s="2" t="s">
        <v>78</v>
      </c>
      <c r="C8147" s="2">
        <v>0.38</v>
      </c>
      <c r="D8147" s="2">
        <v>0.29339999999999999</v>
      </c>
      <c r="E8147" s="2">
        <v>1.1149199999999999E-3</v>
      </c>
      <c r="F8147" s="2" t="s">
        <v>7</v>
      </c>
    </row>
    <row r="8148" spans="1:6" ht="22.5" hidden="1" customHeight="1" x14ac:dyDescent="0.25">
      <c r="A8148" s="3">
        <v>44531</v>
      </c>
      <c r="B8148" s="2" t="s">
        <v>79</v>
      </c>
      <c r="C8148" s="2">
        <v>4.4000000000000004</v>
      </c>
      <c r="D8148" s="2">
        <v>1.17E-2</v>
      </c>
      <c r="E8148" s="2">
        <v>5.1480000000000004E-4</v>
      </c>
      <c r="F8148" s="2" t="s">
        <v>7</v>
      </c>
    </row>
    <row r="8149" spans="1:6" ht="22.5" hidden="1" customHeight="1" x14ac:dyDescent="0.25">
      <c r="A8149" s="3">
        <v>44531</v>
      </c>
      <c r="B8149" s="2" t="s">
        <v>80</v>
      </c>
      <c r="C8149" s="2">
        <v>0.96</v>
      </c>
      <c r="D8149" s="2">
        <v>3.5900000000000001E-2</v>
      </c>
      <c r="E8149" s="2">
        <v>3.4464000000000001E-4</v>
      </c>
      <c r="F8149" s="2" t="s">
        <v>7</v>
      </c>
    </row>
    <row r="8150" spans="1:6" ht="22.5" hidden="1" customHeight="1" x14ac:dyDescent="0.25">
      <c r="A8150" s="3">
        <v>44531</v>
      </c>
      <c r="B8150" s="2" t="s">
        <v>81</v>
      </c>
      <c r="C8150" s="2">
        <v>-1.05</v>
      </c>
      <c r="D8150" s="2">
        <v>0.3745</v>
      </c>
      <c r="E8150" s="2">
        <v>-3.93225E-3</v>
      </c>
      <c r="F8150" s="2" t="s">
        <v>7</v>
      </c>
    </row>
    <row r="8151" spans="1:6" ht="22.5" hidden="1" customHeight="1" x14ac:dyDescent="0.25">
      <c r="A8151" s="3">
        <v>44531</v>
      </c>
      <c r="B8151" s="2" t="s">
        <v>82</v>
      </c>
      <c r="C8151" s="2">
        <v>2.68</v>
      </c>
      <c r="D8151" s="2">
        <v>4.6300000000000001E-2</v>
      </c>
      <c r="E8151" s="2">
        <v>1.24084E-3</v>
      </c>
      <c r="F8151" s="2" t="s">
        <v>7</v>
      </c>
    </row>
    <row r="8152" spans="1:6" ht="22.5" hidden="1" customHeight="1" x14ac:dyDescent="0.25">
      <c r="A8152" s="3">
        <v>44531</v>
      </c>
      <c r="B8152" s="2" t="s">
        <v>83</v>
      </c>
      <c r="C8152" s="2">
        <v>0.05</v>
      </c>
      <c r="D8152" s="2">
        <v>5.9999999999999995E-4</v>
      </c>
      <c r="E8152" s="2">
        <v>2.9999999999999999E-7</v>
      </c>
      <c r="F8152" s="2" t="s">
        <v>7</v>
      </c>
    </row>
    <row r="8153" spans="1:6" ht="22.5" hidden="1" customHeight="1" x14ac:dyDescent="0.25">
      <c r="A8153" s="3">
        <v>44531</v>
      </c>
      <c r="B8153" s="2" t="s">
        <v>84</v>
      </c>
      <c r="C8153" s="2">
        <v>-1.03</v>
      </c>
      <c r="D8153" s="2">
        <v>2.1399999999999999E-2</v>
      </c>
      <c r="E8153" s="2">
        <v>-2.2042000000000001E-4</v>
      </c>
      <c r="F8153" s="2" t="s">
        <v>7</v>
      </c>
    </row>
    <row r="8154" spans="1:6" ht="22.5" hidden="1" customHeight="1" x14ac:dyDescent="0.25">
      <c r="A8154" s="3">
        <v>44531</v>
      </c>
      <c r="B8154" s="2" t="s">
        <v>85</v>
      </c>
      <c r="C8154" s="2">
        <v>-0.24</v>
      </c>
      <c r="D8154" s="2">
        <v>5.3E-3</v>
      </c>
      <c r="E8154" s="2">
        <v>-1.272E-5</v>
      </c>
      <c r="F8154" s="2" t="s">
        <v>7</v>
      </c>
    </row>
    <row r="8155" spans="1:6" ht="22.5" hidden="1" customHeight="1" x14ac:dyDescent="0.25">
      <c r="A8155" s="3">
        <v>44531</v>
      </c>
      <c r="B8155" s="2" t="s">
        <v>86</v>
      </c>
      <c r="C8155" s="2">
        <v>0.74</v>
      </c>
      <c r="D8155" s="2">
        <v>2.3099999999999999E-2</v>
      </c>
      <c r="E8155" s="2">
        <v>1.7094000000000001E-4</v>
      </c>
      <c r="F8155" s="2" t="s">
        <v>7</v>
      </c>
    </row>
    <row r="8156" spans="1:6" ht="22.5" hidden="1" customHeight="1" x14ac:dyDescent="0.25">
      <c r="A8156" s="3">
        <v>44531</v>
      </c>
      <c r="B8156" s="2" t="s">
        <v>87</v>
      </c>
      <c r="C8156" s="2">
        <v>2.33</v>
      </c>
      <c r="D8156" s="2">
        <v>1.1000000000000001E-3</v>
      </c>
      <c r="E8156" s="2">
        <v>2.563E-5</v>
      </c>
      <c r="F8156" s="2" t="s">
        <v>7</v>
      </c>
    </row>
    <row r="8157" spans="1:6" ht="22.5" hidden="1" customHeight="1" x14ac:dyDescent="0.25">
      <c r="A8157" s="3">
        <v>44531</v>
      </c>
      <c r="B8157" s="2" t="s">
        <v>88</v>
      </c>
      <c r="C8157" s="2">
        <v>1.1000000000000001</v>
      </c>
      <c r="D8157" s="2">
        <v>6.4000000000000003E-3</v>
      </c>
      <c r="E8157" s="2">
        <v>7.0400000000000004E-5</v>
      </c>
      <c r="F8157" s="2" t="s">
        <v>7</v>
      </c>
    </row>
    <row r="8158" spans="1:6" ht="22.5" hidden="1" customHeight="1" x14ac:dyDescent="0.25">
      <c r="A8158" s="3">
        <v>44531</v>
      </c>
      <c r="B8158" s="2" t="s">
        <v>89</v>
      </c>
      <c r="C8158" s="2">
        <v>0.51</v>
      </c>
      <c r="D8158" s="2">
        <v>1.7100000000000001E-2</v>
      </c>
      <c r="E8158" s="2">
        <v>8.721E-5</v>
      </c>
      <c r="F8158" s="2" t="s">
        <v>7</v>
      </c>
    </row>
    <row r="8159" spans="1:6" ht="22.5" hidden="1" customHeight="1" x14ac:dyDescent="0.25">
      <c r="A8159" s="3">
        <v>44531</v>
      </c>
      <c r="B8159" s="2" t="s">
        <v>90</v>
      </c>
      <c r="C8159" s="2">
        <v>1.67</v>
      </c>
      <c r="D8159" s="2">
        <v>1.6000000000000001E-3</v>
      </c>
      <c r="E8159" s="2">
        <v>2.6720000000000002E-5</v>
      </c>
      <c r="F8159" s="2" t="s">
        <v>7</v>
      </c>
    </row>
    <row r="8160" spans="1:6" ht="22.5" hidden="1" customHeight="1" x14ac:dyDescent="0.25">
      <c r="A8160" s="3">
        <v>44531</v>
      </c>
      <c r="B8160" s="2" t="s">
        <v>91</v>
      </c>
      <c r="C8160" s="2">
        <v>2.42</v>
      </c>
      <c r="D8160" s="2">
        <v>2.4500000000000001E-2</v>
      </c>
      <c r="E8160" s="2">
        <v>5.9290000000000005E-4</v>
      </c>
      <c r="F8160" s="2" t="s">
        <v>7</v>
      </c>
    </row>
    <row r="8161" spans="1:6" ht="22.5" hidden="1" customHeight="1" x14ac:dyDescent="0.25">
      <c r="A8161" s="3">
        <v>44531</v>
      </c>
      <c r="B8161" s="2" t="s">
        <v>92</v>
      </c>
      <c r="C8161" s="2">
        <v>-0.41</v>
      </c>
      <c r="D8161" s="2">
        <v>4.8999999999999998E-3</v>
      </c>
      <c r="E8161" s="2">
        <v>-2.0089999999999999E-5</v>
      </c>
      <c r="F8161" s="2" t="s">
        <v>7</v>
      </c>
    </row>
    <row r="8162" spans="1:6" ht="22.5" hidden="1" customHeight="1" x14ac:dyDescent="0.25">
      <c r="A8162" s="3">
        <v>44531</v>
      </c>
      <c r="B8162" s="2" t="s">
        <v>93</v>
      </c>
      <c r="C8162" s="2">
        <v>0.65</v>
      </c>
      <c r="D8162" s="2">
        <v>1.1000000000000001E-3</v>
      </c>
      <c r="E8162" s="2">
        <v>7.1500000000000002E-6</v>
      </c>
      <c r="F8162" s="2" t="s">
        <v>7</v>
      </c>
    </row>
    <row r="8163" spans="1:6" ht="22.5" hidden="1" customHeight="1" x14ac:dyDescent="0.25">
      <c r="A8163" s="3">
        <v>44531</v>
      </c>
      <c r="B8163" s="2" t="s">
        <v>94</v>
      </c>
      <c r="C8163" s="2">
        <v>4.3499999999999996</v>
      </c>
      <c r="D8163" s="2">
        <v>8.9999999999999998E-4</v>
      </c>
      <c r="E8163" s="2">
        <v>3.9150000000000003E-5</v>
      </c>
      <c r="F8163" s="2" t="s">
        <v>7</v>
      </c>
    </row>
    <row r="8164" spans="1:6" ht="22.5" hidden="1" customHeight="1" x14ac:dyDescent="0.25">
      <c r="A8164" s="3">
        <v>44531</v>
      </c>
      <c r="B8164" s="2" t="s">
        <v>95</v>
      </c>
      <c r="C8164" s="2">
        <v>0.71</v>
      </c>
      <c r="D8164" s="2">
        <v>1.5900000000000001E-2</v>
      </c>
      <c r="E8164" s="2">
        <v>1.1289E-4</v>
      </c>
      <c r="F8164" s="2" t="s">
        <v>7</v>
      </c>
    </row>
    <row r="8165" spans="1:6" ht="22.5" hidden="1" customHeight="1" x14ac:dyDescent="0.25">
      <c r="A8165" s="3">
        <v>44531</v>
      </c>
      <c r="B8165" s="2" t="s">
        <v>96</v>
      </c>
      <c r="C8165" s="2">
        <v>-0.74</v>
      </c>
      <c r="D8165" s="2">
        <v>4.7600000000000003E-2</v>
      </c>
      <c r="E8165" s="2">
        <v>-3.5223999999999997E-4</v>
      </c>
      <c r="F8165" s="2" t="s">
        <v>7</v>
      </c>
    </row>
    <row r="8166" spans="1:6" ht="22.5" hidden="1" customHeight="1" x14ac:dyDescent="0.25">
      <c r="A8166" s="3">
        <v>44531</v>
      </c>
      <c r="B8166" s="2" t="s">
        <v>97</v>
      </c>
      <c r="C8166" s="2">
        <v>1.88</v>
      </c>
      <c r="D8166" s="2">
        <v>1.03E-2</v>
      </c>
      <c r="E8166" s="2">
        <v>1.9364E-4</v>
      </c>
      <c r="F8166" s="2" t="s">
        <v>7</v>
      </c>
    </row>
    <row r="8167" spans="1:6" ht="22.5" hidden="1" customHeight="1" x14ac:dyDescent="0.25">
      <c r="A8167" s="3">
        <v>44531</v>
      </c>
      <c r="B8167" s="2" t="s">
        <v>98</v>
      </c>
      <c r="C8167" s="2">
        <v>2.64</v>
      </c>
      <c r="D8167" s="2">
        <v>6.1000000000000004E-3</v>
      </c>
      <c r="E8167" s="2">
        <v>1.6103999999999999E-4</v>
      </c>
      <c r="F8167" s="2" t="s">
        <v>7</v>
      </c>
    </row>
    <row r="8168" spans="1:6" ht="22.5" hidden="1" customHeight="1" x14ac:dyDescent="0.25">
      <c r="A8168" s="3">
        <v>44531</v>
      </c>
      <c r="B8168" s="2" t="s">
        <v>99</v>
      </c>
      <c r="C8168" s="2">
        <v>2.11</v>
      </c>
      <c r="D8168" s="2">
        <v>3.3999999999999998E-3</v>
      </c>
      <c r="E8168" s="2">
        <v>7.1740000000000001E-5</v>
      </c>
      <c r="F8168" s="2" t="s">
        <v>7</v>
      </c>
    </row>
    <row r="8169" spans="1:6" ht="22.5" hidden="1" customHeight="1" x14ac:dyDescent="0.25">
      <c r="A8169" s="3">
        <v>44531</v>
      </c>
      <c r="B8169" s="2" t="s">
        <v>100</v>
      </c>
      <c r="C8169" s="2">
        <v>-0.03</v>
      </c>
      <c r="D8169" s="2">
        <v>6.9999999999999999E-4</v>
      </c>
      <c r="E8169" s="2">
        <v>-2.1E-7</v>
      </c>
      <c r="F8169" s="2" t="s">
        <v>7</v>
      </c>
    </row>
    <row r="8170" spans="1:6" ht="22.5" hidden="1" customHeight="1" x14ac:dyDescent="0.25">
      <c r="A8170" s="3">
        <v>44531</v>
      </c>
      <c r="B8170" s="2" t="s">
        <v>101</v>
      </c>
      <c r="C8170" s="2">
        <v>-0.15</v>
      </c>
      <c r="D8170" s="2">
        <v>9.8599999999999993E-2</v>
      </c>
      <c r="E8170" s="2">
        <v>-1.4789999999999999E-4</v>
      </c>
      <c r="F8170" s="2" t="s">
        <v>7</v>
      </c>
    </row>
    <row r="8171" spans="1:6" ht="22.5" hidden="1" customHeight="1" x14ac:dyDescent="0.25">
      <c r="A8171" s="3">
        <v>44531</v>
      </c>
      <c r="B8171" s="2" t="s">
        <v>102</v>
      </c>
      <c r="C8171" s="2">
        <v>1.27</v>
      </c>
      <c r="D8171" s="2">
        <v>4.6100000000000002E-2</v>
      </c>
      <c r="E8171" s="2">
        <v>5.8547000000000004E-4</v>
      </c>
      <c r="F8171" s="2" t="s">
        <v>7</v>
      </c>
    </row>
    <row r="8172" spans="1:6" ht="22.5" hidden="1" customHeight="1" x14ac:dyDescent="0.25">
      <c r="A8172" s="3">
        <v>44531</v>
      </c>
      <c r="B8172" s="2" t="s">
        <v>103</v>
      </c>
      <c r="C8172" s="2">
        <v>0.99</v>
      </c>
      <c r="D8172" s="2">
        <v>0.36120000000000002</v>
      </c>
      <c r="E8172" s="2">
        <v>3.57588E-3</v>
      </c>
      <c r="F8172" s="2" t="s">
        <v>7</v>
      </c>
    </row>
    <row r="8173" spans="1:6" ht="22.5" hidden="1" customHeight="1" x14ac:dyDescent="0.25">
      <c r="A8173" s="3">
        <v>44531</v>
      </c>
      <c r="B8173" s="2" t="s">
        <v>104</v>
      </c>
      <c r="C8173" s="2">
        <v>-0.14000000000000001</v>
      </c>
      <c r="D8173" s="2">
        <v>5.28E-2</v>
      </c>
      <c r="E8173" s="2">
        <v>-7.3919999999999997E-5</v>
      </c>
      <c r="F8173" s="2" t="s">
        <v>7</v>
      </c>
    </row>
    <row r="8174" spans="1:6" ht="22.5" hidden="1" customHeight="1" x14ac:dyDescent="0.25">
      <c r="A8174" s="3">
        <v>44531</v>
      </c>
      <c r="B8174" s="2" t="s">
        <v>105</v>
      </c>
      <c r="C8174" s="2">
        <v>2.2000000000000002</v>
      </c>
      <c r="D8174" s="2">
        <v>8.8000000000000005E-3</v>
      </c>
      <c r="E8174" s="2">
        <v>1.9359999999999999E-4</v>
      </c>
      <c r="F8174" s="2" t="s">
        <v>7</v>
      </c>
    </row>
    <row r="8175" spans="1:6" ht="22.5" hidden="1" customHeight="1" x14ac:dyDescent="0.25">
      <c r="A8175" s="3">
        <v>44531</v>
      </c>
      <c r="B8175" s="2" t="s">
        <v>106</v>
      </c>
      <c r="C8175" s="2">
        <v>-1.42</v>
      </c>
      <c r="D8175" s="2">
        <v>8.2000000000000007E-3</v>
      </c>
      <c r="E8175" s="2">
        <v>-1.1644E-4</v>
      </c>
      <c r="F8175" s="2" t="s">
        <v>7</v>
      </c>
    </row>
    <row r="8176" spans="1:6" ht="22.5" hidden="1" customHeight="1" x14ac:dyDescent="0.25">
      <c r="A8176" s="3">
        <v>44531</v>
      </c>
      <c r="B8176" s="2" t="s">
        <v>107</v>
      </c>
      <c r="C8176" s="2">
        <v>-0.05</v>
      </c>
      <c r="D8176" s="2">
        <v>0.11700000000000001</v>
      </c>
      <c r="E8176" s="2">
        <v>-5.8499999999999999E-5</v>
      </c>
      <c r="F8176" s="2" t="s">
        <v>7</v>
      </c>
    </row>
    <row r="8177" spans="1:6" ht="22.5" hidden="1" customHeight="1" x14ac:dyDescent="0.25">
      <c r="A8177" s="3">
        <v>44531</v>
      </c>
      <c r="B8177" s="2" t="s">
        <v>108</v>
      </c>
      <c r="C8177" s="2">
        <v>-1.2</v>
      </c>
      <c r="D8177" s="2">
        <v>7.3000000000000001E-3</v>
      </c>
      <c r="E8177" s="2">
        <v>-8.7600000000000002E-5</v>
      </c>
      <c r="F8177" s="2" t="s">
        <v>7</v>
      </c>
    </row>
    <row r="8178" spans="1:6" ht="22.5" hidden="1" customHeight="1" x14ac:dyDescent="0.25">
      <c r="A8178" s="3">
        <v>44531</v>
      </c>
      <c r="B8178" s="2" t="s">
        <v>109</v>
      </c>
      <c r="C8178" s="2">
        <v>-0.17</v>
      </c>
      <c r="D8178" s="2">
        <v>0.38829999999999998</v>
      </c>
      <c r="E8178" s="2">
        <v>-6.6010999999999999E-4</v>
      </c>
      <c r="F8178" s="2" t="s">
        <v>7</v>
      </c>
    </row>
    <row r="8179" spans="1:6" ht="22.5" hidden="1" customHeight="1" x14ac:dyDescent="0.25">
      <c r="A8179" s="3">
        <v>44531</v>
      </c>
      <c r="B8179" s="2" t="s">
        <v>110</v>
      </c>
      <c r="C8179" s="2">
        <v>0.78</v>
      </c>
      <c r="D8179" s="2">
        <v>0.71709999999999996</v>
      </c>
      <c r="E8179" s="2">
        <v>5.5933800000000002E-3</v>
      </c>
      <c r="F8179" s="2" t="s">
        <v>7</v>
      </c>
    </row>
    <row r="8180" spans="1:6" ht="22.5" hidden="1" customHeight="1" x14ac:dyDescent="0.25">
      <c r="A8180" s="3">
        <v>44531</v>
      </c>
      <c r="B8180" s="2" t="s">
        <v>111</v>
      </c>
      <c r="C8180" s="2">
        <v>0.51</v>
      </c>
      <c r="D8180" s="2">
        <v>0.24360000000000001</v>
      </c>
      <c r="E8180" s="2">
        <v>1.2423600000000001E-3</v>
      </c>
      <c r="F8180" s="2" t="s">
        <v>7</v>
      </c>
    </row>
    <row r="8181" spans="1:6" ht="22.5" hidden="1" customHeight="1" x14ac:dyDescent="0.25">
      <c r="A8181" s="3">
        <v>44531</v>
      </c>
      <c r="B8181" s="2" t="s">
        <v>112</v>
      </c>
      <c r="C8181" s="2">
        <v>-3.75</v>
      </c>
      <c r="D8181" s="2">
        <v>0.69679999999999997</v>
      </c>
      <c r="E8181" s="2">
        <v>-2.613E-2</v>
      </c>
      <c r="F8181" s="2" t="s">
        <v>7</v>
      </c>
    </row>
    <row r="8182" spans="1:6" ht="22.5" hidden="1" customHeight="1" x14ac:dyDescent="0.25">
      <c r="A8182" s="3">
        <v>44531</v>
      </c>
      <c r="B8182" s="2" t="s">
        <v>113</v>
      </c>
      <c r="C8182" s="2">
        <v>-2.06</v>
      </c>
      <c r="D8182" s="2">
        <v>2.07E-2</v>
      </c>
      <c r="E8182" s="2">
        <v>-4.2642E-4</v>
      </c>
      <c r="F8182" s="2" t="s">
        <v>7</v>
      </c>
    </row>
    <row r="8183" spans="1:6" ht="22.5" hidden="1" customHeight="1" x14ac:dyDescent="0.25">
      <c r="A8183" s="3">
        <v>44531</v>
      </c>
      <c r="B8183" s="2" t="s">
        <v>114</v>
      </c>
      <c r="C8183" s="2">
        <v>-0.36</v>
      </c>
      <c r="D8183" s="2">
        <v>0.20130000000000001</v>
      </c>
      <c r="E8183" s="2">
        <v>-7.2468000000000001E-4</v>
      </c>
      <c r="F8183" s="2" t="s">
        <v>7</v>
      </c>
    </row>
    <row r="8184" spans="1:6" ht="22.5" hidden="1" customHeight="1" x14ac:dyDescent="0.25">
      <c r="A8184" s="3">
        <v>44531</v>
      </c>
      <c r="B8184" s="2" t="s">
        <v>115</v>
      </c>
      <c r="C8184" s="2">
        <v>-0.35</v>
      </c>
      <c r="D8184" s="2">
        <v>0.5474</v>
      </c>
      <c r="E8184" s="2">
        <v>-1.9158999999999999E-3</v>
      </c>
      <c r="F8184" s="2" t="s">
        <v>7</v>
      </c>
    </row>
    <row r="8185" spans="1:6" ht="22.5" hidden="1" customHeight="1" x14ac:dyDescent="0.25">
      <c r="A8185" s="3">
        <v>44531</v>
      </c>
      <c r="B8185" s="2" t="s">
        <v>116</v>
      </c>
      <c r="C8185" s="2">
        <v>0.8</v>
      </c>
      <c r="D8185" s="2">
        <v>0.1542</v>
      </c>
      <c r="E8185" s="2">
        <v>1.2336000000000001E-3</v>
      </c>
      <c r="F8185" s="2" t="s">
        <v>7</v>
      </c>
    </row>
    <row r="8186" spans="1:6" ht="22.5" hidden="1" customHeight="1" x14ac:dyDescent="0.25">
      <c r="A8186" s="3">
        <v>44531</v>
      </c>
      <c r="B8186" s="2" t="s">
        <v>117</v>
      </c>
      <c r="C8186" s="2">
        <v>0.37</v>
      </c>
      <c r="D8186" s="2">
        <v>5.8200000000000002E-2</v>
      </c>
      <c r="E8186" s="2">
        <v>2.1534000000000001E-4</v>
      </c>
      <c r="F8186" s="2" t="s">
        <v>7</v>
      </c>
    </row>
    <row r="8187" spans="1:6" ht="22.5" hidden="1" customHeight="1" x14ac:dyDescent="0.25">
      <c r="A8187" s="3">
        <v>44531</v>
      </c>
      <c r="B8187" s="2" t="s">
        <v>118</v>
      </c>
      <c r="C8187" s="2">
        <v>1.73</v>
      </c>
      <c r="D8187" s="2">
        <v>6.0900000000000003E-2</v>
      </c>
      <c r="E8187" s="2">
        <v>1.05357E-3</v>
      </c>
      <c r="F8187" s="2" t="s">
        <v>7</v>
      </c>
    </row>
    <row r="8188" spans="1:6" ht="22.5" hidden="1" customHeight="1" x14ac:dyDescent="0.25">
      <c r="A8188" s="3">
        <v>44531</v>
      </c>
      <c r="B8188" s="2" t="s">
        <v>119</v>
      </c>
      <c r="C8188" s="2">
        <v>-3.43</v>
      </c>
      <c r="D8188" s="2">
        <v>1.0800000000000001E-2</v>
      </c>
      <c r="E8188" s="2">
        <v>-3.7043999999999998E-4</v>
      </c>
      <c r="F8188" s="2" t="s">
        <v>7</v>
      </c>
    </row>
    <row r="8189" spans="1:6" ht="22.5" hidden="1" customHeight="1" x14ac:dyDescent="0.25">
      <c r="A8189" s="3">
        <v>44531</v>
      </c>
      <c r="B8189" s="2" t="s">
        <v>120</v>
      </c>
      <c r="C8189" s="2">
        <v>0.53</v>
      </c>
      <c r="D8189" s="2">
        <v>0.43840000000000001</v>
      </c>
      <c r="E8189" s="2">
        <v>2.3235199999999999E-3</v>
      </c>
      <c r="F8189" s="2" t="s">
        <v>7</v>
      </c>
    </row>
    <row r="8190" spans="1:6" ht="22.5" hidden="1" customHeight="1" x14ac:dyDescent="0.25">
      <c r="A8190" s="3">
        <v>44531</v>
      </c>
      <c r="B8190" s="2" t="s">
        <v>121</v>
      </c>
      <c r="C8190" s="2">
        <v>1.07</v>
      </c>
      <c r="D8190" s="2">
        <v>0.75800000000000001</v>
      </c>
      <c r="E8190" s="2">
        <v>8.1106000000000008E-3</v>
      </c>
      <c r="F8190" s="2" t="s">
        <v>7</v>
      </c>
    </row>
    <row r="8191" spans="1:6" ht="22.5" hidden="1" customHeight="1" x14ac:dyDescent="0.25">
      <c r="A8191" s="3">
        <v>44531</v>
      </c>
      <c r="B8191" s="2" t="s">
        <v>122</v>
      </c>
      <c r="C8191" s="2">
        <v>-0.5</v>
      </c>
      <c r="D8191" s="2">
        <v>8.0299999999999996E-2</v>
      </c>
      <c r="E8191" s="2">
        <v>-4.015E-4</v>
      </c>
      <c r="F8191" s="2" t="s">
        <v>7</v>
      </c>
    </row>
    <row r="8192" spans="1:6" ht="22.5" hidden="1" customHeight="1" x14ac:dyDescent="0.25">
      <c r="A8192" s="3">
        <v>44531</v>
      </c>
      <c r="B8192" s="2" t="s">
        <v>123</v>
      </c>
      <c r="C8192" s="2">
        <v>0.82</v>
      </c>
      <c r="D8192" s="2">
        <v>9.8900000000000002E-2</v>
      </c>
      <c r="E8192" s="2">
        <v>8.1097999999999999E-4</v>
      </c>
      <c r="F8192" s="2" t="s">
        <v>7</v>
      </c>
    </row>
    <row r="8193" spans="1:6" ht="22.5" hidden="1" customHeight="1" x14ac:dyDescent="0.25">
      <c r="A8193" s="3">
        <v>44531</v>
      </c>
      <c r="B8193" s="2" t="s">
        <v>124</v>
      </c>
      <c r="C8193" s="2">
        <v>-0.3</v>
      </c>
      <c r="D8193" s="2">
        <v>0.1341</v>
      </c>
      <c r="E8193" s="2">
        <v>-4.0230000000000002E-4</v>
      </c>
      <c r="F8193" s="2" t="s">
        <v>7</v>
      </c>
    </row>
    <row r="8194" spans="1:6" ht="22.5" hidden="1" customHeight="1" x14ac:dyDescent="0.25">
      <c r="A8194" s="3">
        <v>44531</v>
      </c>
      <c r="B8194" s="2" t="s">
        <v>125</v>
      </c>
      <c r="C8194" s="2">
        <v>-0.57999999999999996</v>
      </c>
      <c r="D8194" s="2">
        <v>3.2500000000000001E-2</v>
      </c>
      <c r="E8194" s="2">
        <v>-1.885E-4</v>
      </c>
      <c r="F8194" s="2" t="s">
        <v>7</v>
      </c>
    </row>
    <row r="8195" spans="1:6" ht="22.5" hidden="1" customHeight="1" x14ac:dyDescent="0.25">
      <c r="A8195" s="3">
        <v>44531</v>
      </c>
      <c r="B8195" s="2" t="s">
        <v>126</v>
      </c>
      <c r="C8195" s="2">
        <v>2.4700000000000002</v>
      </c>
      <c r="D8195" s="2">
        <v>0.31109999999999999</v>
      </c>
      <c r="E8195" s="2">
        <v>7.6841699999999997E-3</v>
      </c>
      <c r="F8195" s="2" t="s">
        <v>7</v>
      </c>
    </row>
    <row r="8196" spans="1:6" ht="22.5" hidden="1" customHeight="1" x14ac:dyDescent="0.25">
      <c r="A8196" s="3">
        <v>44531</v>
      </c>
      <c r="B8196" s="2" t="s">
        <v>127</v>
      </c>
      <c r="C8196" s="2">
        <v>0.64</v>
      </c>
      <c r="D8196" s="2">
        <v>6.7100000000000007E-2</v>
      </c>
      <c r="E8196" s="2">
        <v>4.2944000000000001E-4</v>
      </c>
      <c r="F8196" s="2" t="s">
        <v>7</v>
      </c>
    </row>
    <row r="8197" spans="1:6" ht="22.5" hidden="1" customHeight="1" x14ac:dyDescent="0.25">
      <c r="A8197" s="3">
        <v>44531</v>
      </c>
      <c r="B8197" s="2" t="s">
        <v>128</v>
      </c>
      <c r="C8197" s="2">
        <v>0.91</v>
      </c>
      <c r="D8197" s="2">
        <v>0.1071</v>
      </c>
      <c r="E8197" s="2">
        <v>9.7460999999999999E-4</v>
      </c>
      <c r="F8197" s="2" t="s">
        <v>7</v>
      </c>
    </row>
    <row r="8198" spans="1:6" ht="22.5" hidden="1" customHeight="1" x14ac:dyDescent="0.25">
      <c r="A8198" s="3">
        <v>44531</v>
      </c>
      <c r="B8198" s="2" t="s">
        <v>129</v>
      </c>
      <c r="C8198" s="2">
        <v>0.21</v>
      </c>
      <c r="D8198" s="2">
        <v>0.121</v>
      </c>
      <c r="E8198" s="2">
        <v>2.541E-4</v>
      </c>
      <c r="F8198" s="2" t="s">
        <v>7</v>
      </c>
    </row>
    <row r="8199" spans="1:6" ht="22.5" hidden="1" customHeight="1" x14ac:dyDescent="0.25">
      <c r="A8199" s="3">
        <v>44531</v>
      </c>
      <c r="B8199" s="2" t="s">
        <v>130</v>
      </c>
      <c r="C8199" s="2">
        <v>1.72</v>
      </c>
      <c r="D8199" s="2">
        <v>1.2800000000000001E-2</v>
      </c>
      <c r="E8199" s="2">
        <v>2.2016000000000001E-4</v>
      </c>
      <c r="F8199" s="2" t="s">
        <v>7</v>
      </c>
    </row>
    <row r="8200" spans="1:6" ht="22.5" hidden="1" customHeight="1" x14ac:dyDescent="0.25">
      <c r="A8200" s="3">
        <v>44531</v>
      </c>
      <c r="B8200" s="2" t="s">
        <v>131</v>
      </c>
      <c r="C8200" s="2">
        <v>5.6</v>
      </c>
      <c r="D8200" s="2">
        <v>4.8800000000000003E-2</v>
      </c>
      <c r="E8200" s="2">
        <v>2.7328000000000001E-3</v>
      </c>
      <c r="F8200" s="2" t="s">
        <v>7</v>
      </c>
    </row>
    <row r="8201" spans="1:6" ht="22.5" hidden="1" customHeight="1" x14ac:dyDescent="0.25">
      <c r="A8201" s="3">
        <v>44531</v>
      </c>
      <c r="B8201" s="2" t="s">
        <v>132</v>
      </c>
      <c r="C8201" s="2">
        <v>9.1</v>
      </c>
      <c r="D8201" s="2">
        <v>0.35589999999999999</v>
      </c>
      <c r="E8201" s="2">
        <v>3.2386900000000003E-2</v>
      </c>
      <c r="F8201" s="2" t="s">
        <v>7</v>
      </c>
    </row>
    <row r="8202" spans="1:6" ht="22.5" hidden="1" customHeight="1" x14ac:dyDescent="0.25">
      <c r="A8202" s="3">
        <v>44531</v>
      </c>
      <c r="B8202" s="2" t="s">
        <v>133</v>
      </c>
      <c r="C8202" s="2">
        <v>2.68</v>
      </c>
      <c r="D8202" s="2">
        <v>8.6E-3</v>
      </c>
      <c r="E8202" s="2">
        <v>2.3048E-4</v>
      </c>
      <c r="F8202" s="2" t="s">
        <v>7</v>
      </c>
    </row>
    <row r="8203" spans="1:6" ht="22.5" hidden="1" customHeight="1" x14ac:dyDescent="0.25">
      <c r="A8203" s="3">
        <v>44531</v>
      </c>
      <c r="B8203" s="2" t="s">
        <v>134</v>
      </c>
      <c r="C8203" s="2">
        <v>1.23</v>
      </c>
      <c r="D8203" s="2">
        <v>0.4879</v>
      </c>
      <c r="E8203" s="2">
        <v>6.0011700000000001E-3</v>
      </c>
      <c r="F8203" s="2" t="s">
        <v>7</v>
      </c>
    </row>
    <row r="8204" spans="1:6" ht="22.5" hidden="1" customHeight="1" x14ac:dyDescent="0.25">
      <c r="A8204" s="3">
        <v>44531</v>
      </c>
      <c r="B8204" s="2" t="s">
        <v>135</v>
      </c>
      <c r="C8204" s="2">
        <v>0.93</v>
      </c>
      <c r="D8204" s="2">
        <v>0.39850000000000002</v>
      </c>
      <c r="E8204" s="2">
        <v>3.7060499999999998E-3</v>
      </c>
      <c r="F8204" s="2" t="s">
        <v>7</v>
      </c>
    </row>
    <row r="8205" spans="1:6" ht="22.5" hidden="1" customHeight="1" x14ac:dyDescent="0.25">
      <c r="A8205" s="3">
        <v>44531</v>
      </c>
      <c r="B8205" s="2" t="s">
        <v>136</v>
      </c>
      <c r="C8205" s="2">
        <v>2.81</v>
      </c>
      <c r="D8205" s="2">
        <v>3.4000000000000002E-2</v>
      </c>
      <c r="E8205" s="2">
        <v>9.5540000000000002E-4</v>
      </c>
      <c r="F8205" s="2" t="s">
        <v>7</v>
      </c>
    </row>
    <row r="8206" spans="1:6" ht="22.5" hidden="1" customHeight="1" x14ac:dyDescent="0.25">
      <c r="A8206" s="3">
        <v>44531</v>
      </c>
      <c r="B8206" s="2" t="s">
        <v>137</v>
      </c>
      <c r="C8206" s="2">
        <v>-7.0000000000000007E-2</v>
      </c>
      <c r="D8206" s="2">
        <v>6.5199999999999994E-2</v>
      </c>
      <c r="E8206" s="2">
        <v>-4.5639999999999997E-5</v>
      </c>
      <c r="F8206" s="2" t="s">
        <v>7</v>
      </c>
    </row>
    <row r="8207" spans="1:6" ht="22.5" hidden="1" customHeight="1" x14ac:dyDescent="0.25">
      <c r="A8207" s="3">
        <v>44531</v>
      </c>
      <c r="B8207" s="2" t="s">
        <v>138</v>
      </c>
      <c r="C8207" s="2">
        <v>0.15</v>
      </c>
      <c r="D8207" s="2">
        <v>4.4699999999999997E-2</v>
      </c>
      <c r="E8207" s="2">
        <v>6.7050000000000003E-5</v>
      </c>
      <c r="F8207" s="2" t="s">
        <v>7</v>
      </c>
    </row>
    <row r="8208" spans="1:6" ht="22.5" hidden="1" customHeight="1" x14ac:dyDescent="0.25">
      <c r="A8208" s="3">
        <v>44531</v>
      </c>
      <c r="B8208" s="2" t="s">
        <v>139</v>
      </c>
      <c r="C8208" s="2">
        <v>-0.93</v>
      </c>
      <c r="D8208" s="2">
        <v>2.5000000000000001E-2</v>
      </c>
      <c r="E8208" s="2">
        <v>-2.3250000000000001E-4</v>
      </c>
      <c r="F8208" s="2" t="s">
        <v>7</v>
      </c>
    </row>
    <row r="8209" spans="1:6" ht="22.5" hidden="1" customHeight="1" x14ac:dyDescent="0.25">
      <c r="A8209" s="3">
        <v>44531</v>
      </c>
      <c r="B8209" s="2" t="s">
        <v>140</v>
      </c>
      <c r="C8209" s="2">
        <v>-2.0299999999999998</v>
      </c>
      <c r="D8209" s="2">
        <v>2.3999999999999998E-3</v>
      </c>
      <c r="E8209" s="2">
        <v>-4.8720000000000001E-5</v>
      </c>
      <c r="F8209" s="2" t="s">
        <v>7</v>
      </c>
    </row>
    <row r="8210" spans="1:6" ht="22.5" hidden="1" customHeight="1" x14ac:dyDescent="0.25">
      <c r="A8210" s="3">
        <v>44531</v>
      </c>
      <c r="B8210" s="2" t="s">
        <v>141</v>
      </c>
      <c r="C8210" s="2">
        <v>1.36</v>
      </c>
      <c r="D8210" s="2">
        <v>1.9400000000000001E-2</v>
      </c>
      <c r="E8210" s="2">
        <v>2.6383999999999999E-4</v>
      </c>
      <c r="F8210" s="2" t="s">
        <v>7</v>
      </c>
    </row>
    <row r="8211" spans="1:6" ht="22.5" hidden="1" customHeight="1" x14ac:dyDescent="0.25">
      <c r="A8211" s="3">
        <v>44531</v>
      </c>
      <c r="B8211" s="2" t="s">
        <v>142</v>
      </c>
      <c r="C8211" s="2">
        <v>0.3</v>
      </c>
      <c r="D8211" s="2">
        <v>4.1999999999999997E-3</v>
      </c>
      <c r="E8211" s="2">
        <v>1.26E-5</v>
      </c>
      <c r="F8211" s="2" t="s">
        <v>7</v>
      </c>
    </row>
    <row r="8212" spans="1:6" ht="22.5" hidden="1" customHeight="1" x14ac:dyDescent="0.25">
      <c r="A8212" s="3">
        <v>44531</v>
      </c>
      <c r="B8212" s="2" t="s">
        <v>143</v>
      </c>
      <c r="C8212" s="2">
        <v>1.53</v>
      </c>
      <c r="D8212" s="2">
        <v>4.1599999999999998E-2</v>
      </c>
      <c r="E8212" s="2">
        <v>6.3648000000000003E-4</v>
      </c>
      <c r="F8212" s="2" t="s">
        <v>7</v>
      </c>
    </row>
    <row r="8213" spans="1:6" ht="22.5" hidden="1" customHeight="1" x14ac:dyDescent="0.25">
      <c r="A8213" s="3">
        <v>44531</v>
      </c>
      <c r="B8213" s="2" t="s">
        <v>144</v>
      </c>
      <c r="C8213" s="2">
        <v>-1.28</v>
      </c>
      <c r="D8213" s="2">
        <v>1.6000000000000001E-3</v>
      </c>
      <c r="E8213" s="2">
        <v>-2.048E-5</v>
      </c>
      <c r="F8213" s="2" t="s">
        <v>7</v>
      </c>
    </row>
    <row r="8214" spans="1:6" ht="22.5" hidden="1" customHeight="1" x14ac:dyDescent="0.25">
      <c r="A8214" s="3">
        <v>44531</v>
      </c>
      <c r="B8214" s="2" t="s">
        <v>145</v>
      </c>
      <c r="C8214" s="2">
        <v>0.96</v>
      </c>
      <c r="D8214" s="2">
        <v>1.5E-3</v>
      </c>
      <c r="E8214" s="2">
        <v>1.4399999999999999E-5</v>
      </c>
      <c r="F8214" s="2" t="s">
        <v>7</v>
      </c>
    </row>
    <row r="8215" spans="1:6" ht="22.5" hidden="1" customHeight="1" x14ac:dyDescent="0.25">
      <c r="A8215" s="3">
        <v>44531</v>
      </c>
      <c r="B8215" s="2" t="s">
        <v>146</v>
      </c>
      <c r="C8215" s="2">
        <v>0.94</v>
      </c>
      <c r="D8215" s="2">
        <v>3.27E-2</v>
      </c>
      <c r="E8215" s="2">
        <v>3.0738E-4</v>
      </c>
      <c r="F8215" s="2" t="s">
        <v>7</v>
      </c>
    </row>
    <row r="8216" spans="1:6" ht="22.5" hidden="1" customHeight="1" x14ac:dyDescent="0.25">
      <c r="A8216" s="3">
        <v>44531</v>
      </c>
      <c r="B8216" s="2" t="s">
        <v>147</v>
      </c>
      <c r="C8216" s="2">
        <v>0.51</v>
      </c>
      <c r="D8216" s="2">
        <v>2.6599999999999999E-2</v>
      </c>
      <c r="E8216" s="2">
        <v>1.3566000000000001E-4</v>
      </c>
      <c r="F8216" s="2" t="s">
        <v>7</v>
      </c>
    </row>
    <row r="8217" spans="1:6" ht="22.5" hidden="1" customHeight="1" x14ac:dyDescent="0.25">
      <c r="A8217" s="3">
        <v>44531</v>
      </c>
      <c r="B8217" s="2" t="s">
        <v>148</v>
      </c>
      <c r="C8217" s="2">
        <v>-0.69</v>
      </c>
      <c r="D8217" s="2">
        <v>2.1999999999999999E-2</v>
      </c>
      <c r="E8217" s="2">
        <v>-1.518E-4</v>
      </c>
      <c r="F8217" s="2" t="s">
        <v>7</v>
      </c>
    </row>
    <row r="8218" spans="1:6" ht="22.5" hidden="1" customHeight="1" x14ac:dyDescent="0.25">
      <c r="A8218" s="3">
        <v>44531</v>
      </c>
      <c r="B8218" s="2" t="s">
        <v>149</v>
      </c>
      <c r="C8218" s="2">
        <v>7.2</v>
      </c>
      <c r="D8218" s="2">
        <v>2.3E-3</v>
      </c>
      <c r="E8218" s="2">
        <v>1.6559999999999999E-4</v>
      </c>
      <c r="F8218" s="2" t="s">
        <v>7</v>
      </c>
    </row>
    <row r="8219" spans="1:6" ht="22.5" hidden="1" customHeight="1" x14ac:dyDescent="0.25">
      <c r="A8219" s="3">
        <v>44531</v>
      </c>
      <c r="B8219" s="2" t="s">
        <v>150</v>
      </c>
      <c r="C8219" s="2">
        <v>1.42</v>
      </c>
      <c r="D8219" s="2">
        <v>0.1114</v>
      </c>
      <c r="E8219" s="2">
        <v>1.5818799999999999E-3</v>
      </c>
      <c r="F8219" s="2" t="s">
        <v>7</v>
      </c>
    </row>
    <row r="8220" spans="1:6" ht="22.5" hidden="1" customHeight="1" x14ac:dyDescent="0.25">
      <c r="A8220" s="3">
        <v>44531</v>
      </c>
      <c r="B8220" s="2" t="s">
        <v>151</v>
      </c>
      <c r="C8220" s="2">
        <v>0.81</v>
      </c>
      <c r="D8220" s="2">
        <v>0.10730000000000001</v>
      </c>
      <c r="E8220" s="2">
        <v>8.6912999999999997E-4</v>
      </c>
      <c r="F8220" s="2" t="s">
        <v>7</v>
      </c>
    </row>
    <row r="8221" spans="1:6" ht="22.5" hidden="1" customHeight="1" x14ac:dyDescent="0.25">
      <c r="A8221" s="3">
        <v>44531</v>
      </c>
      <c r="B8221" s="2" t="s">
        <v>152</v>
      </c>
      <c r="C8221" s="2">
        <v>0.65</v>
      </c>
      <c r="D8221" s="2">
        <v>3.0000000000000001E-3</v>
      </c>
      <c r="E8221" s="2">
        <v>1.95E-5</v>
      </c>
      <c r="F8221" s="2" t="s">
        <v>7</v>
      </c>
    </row>
    <row r="8222" spans="1:6" ht="22.5" hidden="1" customHeight="1" x14ac:dyDescent="0.25">
      <c r="A8222" s="3">
        <v>44531</v>
      </c>
      <c r="B8222" s="2" t="s">
        <v>153</v>
      </c>
      <c r="C8222" s="2">
        <v>0.43</v>
      </c>
      <c r="D8222" s="2">
        <v>8.0000000000000004E-4</v>
      </c>
      <c r="E8222" s="2">
        <v>3.4400000000000001E-6</v>
      </c>
      <c r="F8222" s="2" t="s">
        <v>7</v>
      </c>
    </row>
    <row r="8223" spans="1:6" ht="22.5" hidden="1" customHeight="1" x14ac:dyDescent="0.25">
      <c r="A8223" s="3">
        <v>44531</v>
      </c>
      <c r="B8223" s="2" t="s">
        <v>154</v>
      </c>
      <c r="C8223" s="2">
        <v>0.74</v>
      </c>
      <c r="D8223" s="2">
        <v>1E-3</v>
      </c>
      <c r="E8223" s="2">
        <v>7.4000000000000003E-6</v>
      </c>
      <c r="F8223" s="2" t="s">
        <v>7</v>
      </c>
    </row>
    <row r="8224" spans="1:6" ht="22.5" hidden="1" customHeight="1" x14ac:dyDescent="0.25">
      <c r="A8224" s="3">
        <v>44531</v>
      </c>
      <c r="B8224" s="2" t="s">
        <v>155</v>
      </c>
      <c r="C8224" s="2">
        <v>0.94</v>
      </c>
      <c r="D8224" s="2">
        <v>5.7999999999999996E-3</v>
      </c>
      <c r="E8224" s="2">
        <v>5.452E-5</v>
      </c>
      <c r="F8224" s="2" t="s">
        <v>7</v>
      </c>
    </row>
    <row r="8225" spans="1:6" ht="22.5" hidden="1" customHeight="1" x14ac:dyDescent="0.25">
      <c r="A8225" s="3">
        <v>44531</v>
      </c>
      <c r="B8225" s="2" t="s">
        <v>156</v>
      </c>
      <c r="C8225" s="2">
        <v>0.79</v>
      </c>
      <c r="D8225" s="2">
        <v>4.5900000000000003E-2</v>
      </c>
      <c r="E8225" s="2">
        <v>3.6261000000000003E-4</v>
      </c>
      <c r="F8225" s="2" t="s">
        <v>7</v>
      </c>
    </row>
    <row r="8226" spans="1:6" ht="22.5" hidden="1" customHeight="1" x14ac:dyDescent="0.25">
      <c r="A8226" s="3">
        <v>44531</v>
      </c>
      <c r="B8226" s="2" t="s">
        <v>157</v>
      </c>
      <c r="C8226" s="2">
        <v>-0.14000000000000001</v>
      </c>
      <c r="D8226" s="2">
        <v>1.7100000000000001E-2</v>
      </c>
      <c r="E8226" s="2">
        <v>-2.3940000000000001E-5</v>
      </c>
      <c r="F8226" s="2" t="s">
        <v>7</v>
      </c>
    </row>
    <row r="8227" spans="1:6" ht="22.5" hidden="1" customHeight="1" x14ac:dyDescent="0.25">
      <c r="A8227" s="3">
        <v>44531</v>
      </c>
      <c r="B8227" s="2" t="s">
        <v>158</v>
      </c>
      <c r="C8227" s="2">
        <v>1.03</v>
      </c>
      <c r="D8227" s="2">
        <v>9.9000000000000008E-3</v>
      </c>
      <c r="E8227" s="2">
        <v>1.0197E-4</v>
      </c>
      <c r="F8227" s="2" t="s">
        <v>7</v>
      </c>
    </row>
    <row r="8228" spans="1:6" ht="22.5" hidden="1" customHeight="1" x14ac:dyDescent="0.25">
      <c r="A8228" s="3">
        <v>44531</v>
      </c>
      <c r="B8228" s="2" t="s">
        <v>159</v>
      </c>
      <c r="C8228" s="2">
        <v>-0.56000000000000005</v>
      </c>
      <c r="D8228" s="2">
        <v>5.21E-2</v>
      </c>
      <c r="E8228" s="2">
        <v>-2.9176000000000001E-4</v>
      </c>
      <c r="F8228" s="2" t="s">
        <v>7</v>
      </c>
    </row>
    <row r="8229" spans="1:6" ht="22.5" hidden="1" customHeight="1" x14ac:dyDescent="0.25">
      <c r="A8229" s="3">
        <v>44531</v>
      </c>
      <c r="B8229" s="2" t="s">
        <v>160</v>
      </c>
      <c r="C8229" s="2">
        <v>1.62</v>
      </c>
      <c r="D8229" s="2">
        <v>3.6417999999999999</v>
      </c>
      <c r="E8229" s="2">
        <v>5.899716E-2</v>
      </c>
      <c r="F8229" s="2" t="s">
        <v>7</v>
      </c>
    </row>
    <row r="8230" spans="1:6" ht="22.5" hidden="1" customHeight="1" x14ac:dyDescent="0.25">
      <c r="A8230" s="3">
        <v>44531</v>
      </c>
      <c r="B8230" s="2" t="s">
        <v>161</v>
      </c>
      <c r="C8230" s="2">
        <v>-3.47</v>
      </c>
      <c r="D8230" s="2">
        <v>1.6939</v>
      </c>
      <c r="E8230" s="2">
        <v>-5.8778329999999997E-2</v>
      </c>
      <c r="F8230" s="2" t="s">
        <v>7</v>
      </c>
    </row>
    <row r="8231" spans="1:6" ht="22.5" hidden="1" customHeight="1" x14ac:dyDescent="0.25">
      <c r="A8231" s="3">
        <v>44531</v>
      </c>
      <c r="B8231" s="2" t="s">
        <v>134</v>
      </c>
      <c r="C8231" s="2">
        <v>0.62</v>
      </c>
      <c r="D8231" s="2">
        <v>0.12180000000000001</v>
      </c>
      <c r="E8231" s="2">
        <v>7.5515999999999995E-4</v>
      </c>
      <c r="F8231" s="2" t="s">
        <v>7</v>
      </c>
    </row>
    <row r="8232" spans="1:6" ht="22.5" hidden="1" customHeight="1" x14ac:dyDescent="0.25">
      <c r="A8232" s="3">
        <v>44531</v>
      </c>
      <c r="B8232" s="2" t="s">
        <v>162</v>
      </c>
      <c r="C8232" s="2">
        <v>-2.38</v>
      </c>
      <c r="D8232" s="2">
        <v>4.0899999999999999E-2</v>
      </c>
      <c r="E8232" s="2">
        <v>-9.7342000000000001E-4</v>
      </c>
      <c r="F8232" s="2" t="s">
        <v>7</v>
      </c>
    </row>
    <row r="8233" spans="1:6" ht="22.5" hidden="1" customHeight="1" x14ac:dyDescent="0.25">
      <c r="A8233" s="3">
        <v>44531</v>
      </c>
      <c r="B8233" s="2" t="s">
        <v>135</v>
      </c>
      <c r="C8233" s="2">
        <v>1.45</v>
      </c>
      <c r="D8233" s="2">
        <v>0.27989999999999998</v>
      </c>
      <c r="E8233" s="2">
        <v>4.0585500000000002E-3</v>
      </c>
      <c r="F8233" s="2" t="s">
        <v>7</v>
      </c>
    </row>
    <row r="8234" spans="1:6" ht="22.5" hidden="1" customHeight="1" x14ac:dyDescent="0.25">
      <c r="A8234" s="3">
        <v>44531</v>
      </c>
      <c r="B8234" s="2" t="s">
        <v>136</v>
      </c>
      <c r="C8234" s="2">
        <v>-2.98</v>
      </c>
      <c r="D8234" s="2">
        <v>4.1000000000000003E-3</v>
      </c>
      <c r="E8234" s="2">
        <v>-1.2218E-4</v>
      </c>
      <c r="F8234" s="2" t="s">
        <v>7</v>
      </c>
    </row>
    <row r="8235" spans="1:6" ht="22.5" hidden="1" customHeight="1" x14ac:dyDescent="0.25">
      <c r="A8235" s="3">
        <v>44531</v>
      </c>
      <c r="B8235" s="2" t="s">
        <v>137</v>
      </c>
      <c r="C8235" s="2">
        <v>1.63</v>
      </c>
      <c r="D8235" s="2">
        <v>1.03E-2</v>
      </c>
      <c r="E8235" s="2">
        <v>1.6788999999999999E-4</v>
      </c>
      <c r="F8235" s="2" t="s">
        <v>7</v>
      </c>
    </row>
    <row r="8236" spans="1:6" ht="22.5" hidden="1" customHeight="1" x14ac:dyDescent="0.25">
      <c r="A8236" s="3">
        <v>44531</v>
      </c>
      <c r="B8236" s="2" t="s">
        <v>163</v>
      </c>
      <c r="C8236" s="2">
        <v>-0.03</v>
      </c>
      <c r="D8236" s="2">
        <v>4.3E-3</v>
      </c>
      <c r="E8236" s="2">
        <v>-1.2899999999999999E-6</v>
      </c>
      <c r="F8236" s="2" t="s">
        <v>7</v>
      </c>
    </row>
    <row r="8237" spans="1:6" ht="22.5" hidden="1" customHeight="1" x14ac:dyDescent="0.25">
      <c r="A8237" s="3">
        <v>44531</v>
      </c>
      <c r="B8237" s="2" t="s">
        <v>34</v>
      </c>
      <c r="C8237" s="2">
        <v>1.18</v>
      </c>
      <c r="D8237" s="2">
        <v>5.2400000000000002E-2</v>
      </c>
      <c r="E8237" s="2">
        <v>6.1832E-4</v>
      </c>
      <c r="F8237" s="2" t="s">
        <v>7</v>
      </c>
    </row>
    <row r="8238" spans="1:6" ht="22.5" hidden="1" customHeight="1" x14ac:dyDescent="0.25">
      <c r="A8238" s="3">
        <v>44531</v>
      </c>
      <c r="B8238" s="2" t="s">
        <v>164</v>
      </c>
      <c r="C8238" s="2">
        <v>0.82</v>
      </c>
      <c r="D8238" s="2">
        <v>3.6705000000000001</v>
      </c>
      <c r="E8238" s="2">
        <v>3.0098099999999999E-2</v>
      </c>
      <c r="F8238" s="2" t="s">
        <v>165</v>
      </c>
    </row>
    <row r="8239" spans="1:6" ht="22.5" hidden="1" customHeight="1" x14ac:dyDescent="0.25">
      <c r="A8239" s="3">
        <v>44531</v>
      </c>
      <c r="B8239" s="2" t="s">
        <v>166</v>
      </c>
      <c r="C8239" s="2">
        <v>1.1000000000000001</v>
      </c>
      <c r="D8239" s="2">
        <v>2.2073</v>
      </c>
      <c r="E8239" s="2">
        <v>2.4280300000000001E-2</v>
      </c>
      <c r="F8239" s="2" t="s">
        <v>165</v>
      </c>
    </row>
    <row r="8240" spans="1:6" ht="22.5" hidden="1" customHeight="1" x14ac:dyDescent="0.25">
      <c r="A8240" s="3">
        <v>44228</v>
      </c>
      <c r="B8240" s="2" t="s">
        <v>264</v>
      </c>
      <c r="C8240" s="2">
        <v>-1.65</v>
      </c>
      <c r="D8240" s="2">
        <v>0.1066</v>
      </c>
      <c r="E8240" s="2">
        <v>-1.7589000000000001E-3</v>
      </c>
      <c r="F8240" s="2" t="s">
        <v>168</v>
      </c>
    </row>
    <row r="8241" spans="1:6" ht="22.5" hidden="1" customHeight="1" x14ac:dyDescent="0.25">
      <c r="A8241" s="3">
        <v>44531</v>
      </c>
      <c r="B8241" s="2" t="s">
        <v>169</v>
      </c>
      <c r="C8241" s="2">
        <v>1.96</v>
      </c>
      <c r="D8241" s="2">
        <v>1.1299999999999999E-2</v>
      </c>
      <c r="E8241" s="2">
        <v>2.2148E-4</v>
      </c>
      <c r="F8241" s="2" t="s">
        <v>170</v>
      </c>
    </row>
    <row r="8242" spans="1:6" ht="22.5" hidden="1" customHeight="1" x14ac:dyDescent="0.25">
      <c r="A8242" s="3">
        <v>44531</v>
      </c>
      <c r="B8242" s="2" t="s">
        <v>171</v>
      </c>
      <c r="C8242" s="2">
        <v>-0.86</v>
      </c>
      <c r="D8242" s="2">
        <v>1.3599999999999999E-2</v>
      </c>
      <c r="E8242" s="2">
        <v>-1.1696000000000001E-4</v>
      </c>
      <c r="F8242" s="2" t="s">
        <v>170</v>
      </c>
    </row>
    <row r="8243" spans="1:6" ht="22.5" hidden="1" customHeight="1" x14ac:dyDescent="0.25">
      <c r="A8243" s="3">
        <v>44531</v>
      </c>
      <c r="B8243" s="2" t="s">
        <v>172</v>
      </c>
      <c r="C8243" s="2">
        <v>0.63</v>
      </c>
      <c r="D8243" s="2">
        <v>3.3E-3</v>
      </c>
      <c r="E8243" s="2">
        <v>2.0789999999999999E-5</v>
      </c>
      <c r="F8243" s="2" t="s">
        <v>170</v>
      </c>
    </row>
    <row r="8244" spans="1:6" ht="22.5" hidden="1" customHeight="1" x14ac:dyDescent="0.25">
      <c r="A8244" s="3">
        <v>44531</v>
      </c>
      <c r="B8244" s="2" t="s">
        <v>173</v>
      </c>
      <c r="C8244" s="2">
        <v>1.92</v>
      </c>
      <c r="D8244" s="2">
        <v>0.27600000000000002</v>
      </c>
      <c r="E8244" s="2">
        <v>5.2991999999999996E-3</v>
      </c>
      <c r="F8244" s="2" t="s">
        <v>174</v>
      </c>
    </row>
    <row r="8245" spans="1:6" ht="22.5" hidden="1" customHeight="1" x14ac:dyDescent="0.25">
      <c r="A8245" s="3">
        <v>44531</v>
      </c>
      <c r="B8245" s="2" t="s">
        <v>175</v>
      </c>
      <c r="C8245" s="2">
        <v>1.66</v>
      </c>
      <c r="D8245" s="2">
        <v>0.2752</v>
      </c>
      <c r="E8245" s="2">
        <v>4.5683199999999998E-3</v>
      </c>
      <c r="F8245" s="2" t="s">
        <v>174</v>
      </c>
    </row>
    <row r="8246" spans="1:6" ht="22.5" hidden="1" customHeight="1" x14ac:dyDescent="0.25">
      <c r="A8246" s="3">
        <v>44531</v>
      </c>
      <c r="B8246" s="2" t="s">
        <v>176</v>
      </c>
      <c r="C8246" s="2">
        <v>0.86</v>
      </c>
      <c r="D8246" s="2">
        <v>1.3100000000000001E-2</v>
      </c>
      <c r="E8246" s="2">
        <v>1.1266E-4</v>
      </c>
      <c r="F8246" s="2" t="s">
        <v>170</v>
      </c>
    </row>
    <row r="8247" spans="1:6" ht="22.5" hidden="1" customHeight="1" x14ac:dyDescent="0.25">
      <c r="A8247" s="3">
        <v>44531</v>
      </c>
      <c r="B8247" s="2" t="s">
        <v>177</v>
      </c>
      <c r="C8247" s="2">
        <v>0.81</v>
      </c>
      <c r="D8247" s="2">
        <v>2.2200000000000001E-2</v>
      </c>
      <c r="E8247" s="2">
        <v>1.7982E-4</v>
      </c>
      <c r="F8247" s="2" t="s">
        <v>170</v>
      </c>
    </row>
    <row r="8248" spans="1:6" ht="22.5" hidden="1" customHeight="1" x14ac:dyDescent="0.25">
      <c r="A8248" s="3">
        <v>44531</v>
      </c>
      <c r="B8248" s="2" t="s">
        <v>178</v>
      </c>
      <c r="C8248" s="2">
        <v>-0.88</v>
      </c>
      <c r="D8248" s="2">
        <v>2.0299999999999999E-2</v>
      </c>
      <c r="E8248" s="2">
        <v>-1.7864000000000001E-4</v>
      </c>
      <c r="F8248" s="2" t="s">
        <v>170</v>
      </c>
    </row>
    <row r="8249" spans="1:6" ht="22.5" hidden="1" customHeight="1" x14ac:dyDescent="0.25">
      <c r="A8249" s="3">
        <v>44531</v>
      </c>
      <c r="B8249" s="2" t="s">
        <v>179</v>
      </c>
      <c r="C8249" s="2">
        <v>-0.28000000000000003</v>
      </c>
      <c r="D8249" s="2">
        <v>4.7500000000000001E-2</v>
      </c>
      <c r="E8249" s="2">
        <v>-1.3300000000000001E-4</v>
      </c>
      <c r="F8249" s="2" t="s">
        <v>170</v>
      </c>
    </row>
    <row r="8250" spans="1:6" ht="22.5" hidden="1" customHeight="1" x14ac:dyDescent="0.25">
      <c r="A8250" s="3">
        <v>44531</v>
      </c>
      <c r="B8250" s="2" t="s">
        <v>180</v>
      </c>
      <c r="C8250" s="2">
        <v>0.23</v>
      </c>
      <c r="D8250" s="2">
        <v>0.59670000000000001</v>
      </c>
      <c r="E8250" s="2">
        <v>1.3724099999999999E-3</v>
      </c>
      <c r="F8250" s="2" t="s">
        <v>165</v>
      </c>
    </row>
    <row r="8251" spans="1:6" ht="22.5" hidden="1" customHeight="1" x14ac:dyDescent="0.25">
      <c r="A8251" s="3">
        <v>44531</v>
      </c>
      <c r="B8251" s="2" t="s">
        <v>181</v>
      </c>
      <c r="C8251" s="2">
        <v>1.05</v>
      </c>
      <c r="D8251" s="2">
        <v>1.3100000000000001E-2</v>
      </c>
      <c r="E8251" s="2">
        <v>1.3755000000000001E-4</v>
      </c>
      <c r="F8251" s="2" t="s">
        <v>174</v>
      </c>
    </row>
    <row r="8252" spans="1:6" ht="22.5" hidden="1" customHeight="1" x14ac:dyDescent="0.25">
      <c r="A8252" s="3">
        <v>44531</v>
      </c>
      <c r="B8252" s="2" t="s">
        <v>182</v>
      </c>
      <c r="C8252" s="2">
        <v>0.64</v>
      </c>
      <c r="D8252" s="2">
        <v>4.0899999999999999E-2</v>
      </c>
      <c r="E8252" s="2">
        <v>2.6175999999999999E-4</v>
      </c>
      <c r="F8252" s="2" t="s">
        <v>170</v>
      </c>
    </row>
    <row r="8253" spans="1:6" ht="22.5" hidden="1" customHeight="1" x14ac:dyDescent="0.25">
      <c r="A8253" s="3">
        <v>44531</v>
      </c>
      <c r="B8253" s="2" t="s">
        <v>183</v>
      </c>
      <c r="C8253" s="2">
        <v>0.43</v>
      </c>
      <c r="D8253" s="2">
        <v>3.8E-3</v>
      </c>
      <c r="E8253" s="2">
        <v>1.6339999999999999E-5</v>
      </c>
      <c r="F8253" s="2" t="s">
        <v>174</v>
      </c>
    </row>
    <row r="8254" spans="1:6" ht="22.5" hidden="1" customHeight="1" x14ac:dyDescent="0.25">
      <c r="A8254" s="3">
        <v>44531</v>
      </c>
      <c r="B8254" s="2" t="s">
        <v>184</v>
      </c>
      <c r="C8254" s="2">
        <v>-0.06</v>
      </c>
      <c r="D8254" s="2">
        <v>6.3799999999999996E-2</v>
      </c>
      <c r="E8254" s="2">
        <v>-3.8279999999999999E-5</v>
      </c>
      <c r="F8254" s="2" t="s">
        <v>174</v>
      </c>
    </row>
    <row r="8255" spans="1:6" ht="22.5" hidden="1" customHeight="1" x14ac:dyDescent="0.25">
      <c r="A8255" s="3">
        <v>44531</v>
      </c>
      <c r="B8255" s="2" t="s">
        <v>185</v>
      </c>
      <c r="C8255" s="2">
        <v>0.28999999999999998</v>
      </c>
      <c r="D8255" s="2">
        <v>0.1525</v>
      </c>
      <c r="E8255" s="2">
        <v>4.4224999999999999E-4</v>
      </c>
      <c r="F8255" s="2" t="s">
        <v>174</v>
      </c>
    </row>
    <row r="8256" spans="1:6" ht="22.5" hidden="1" customHeight="1" x14ac:dyDescent="0.25">
      <c r="A8256" s="3">
        <v>44531</v>
      </c>
      <c r="B8256" s="2" t="s">
        <v>186</v>
      </c>
      <c r="C8256" s="2">
        <v>1.31</v>
      </c>
      <c r="D8256" s="2">
        <v>0.21149999999999999</v>
      </c>
      <c r="E8256" s="2">
        <v>2.7706499999999999E-3</v>
      </c>
      <c r="F8256" s="2" t="s">
        <v>174</v>
      </c>
    </row>
    <row r="8257" spans="1:6" ht="22.5" hidden="1" customHeight="1" x14ac:dyDescent="0.25">
      <c r="A8257" s="3">
        <v>44531</v>
      </c>
      <c r="B8257" s="2" t="s">
        <v>187</v>
      </c>
      <c r="C8257" s="2">
        <v>0.61</v>
      </c>
      <c r="D8257" s="2">
        <v>5.7299999999999997E-2</v>
      </c>
      <c r="E8257" s="2">
        <v>3.4953000000000002E-4</v>
      </c>
      <c r="F8257" s="2" t="s">
        <v>174</v>
      </c>
    </row>
    <row r="8258" spans="1:6" ht="22.5" hidden="1" customHeight="1" x14ac:dyDescent="0.25">
      <c r="A8258" s="3">
        <v>44531</v>
      </c>
      <c r="B8258" s="2" t="s">
        <v>188</v>
      </c>
      <c r="C8258" s="2">
        <v>0.82</v>
      </c>
      <c r="D8258" s="2">
        <v>2.81E-2</v>
      </c>
      <c r="E8258" s="2">
        <v>2.3042000000000001E-4</v>
      </c>
      <c r="F8258" s="2" t="s">
        <v>174</v>
      </c>
    </row>
    <row r="8259" spans="1:6" ht="22.5" hidden="1" customHeight="1" x14ac:dyDescent="0.25">
      <c r="A8259" s="3">
        <v>44531</v>
      </c>
      <c r="B8259" s="2" t="s">
        <v>189</v>
      </c>
      <c r="C8259" s="2">
        <v>1.64</v>
      </c>
      <c r="D8259" s="2">
        <v>3.8999999999999998E-3</v>
      </c>
      <c r="E8259" s="2">
        <v>6.3960000000000004E-5</v>
      </c>
      <c r="F8259" s="2" t="s">
        <v>174</v>
      </c>
    </row>
    <row r="8260" spans="1:6" ht="22.5" hidden="1" customHeight="1" x14ac:dyDescent="0.25">
      <c r="A8260" s="3">
        <v>44531</v>
      </c>
      <c r="B8260" s="2" t="s">
        <v>190</v>
      </c>
      <c r="C8260" s="2">
        <v>2.42</v>
      </c>
      <c r="D8260" s="2">
        <v>4.7999999999999996E-3</v>
      </c>
      <c r="E8260" s="2">
        <v>1.1616E-4</v>
      </c>
      <c r="F8260" s="2" t="s">
        <v>174</v>
      </c>
    </row>
    <row r="8261" spans="1:6" ht="22.5" hidden="1" customHeight="1" x14ac:dyDescent="0.25">
      <c r="A8261" s="3">
        <v>44531</v>
      </c>
      <c r="B8261" s="2" t="s">
        <v>191</v>
      </c>
      <c r="C8261" s="2">
        <v>1.83</v>
      </c>
      <c r="D8261" s="2">
        <v>2.6499999999999999E-2</v>
      </c>
      <c r="E8261" s="2">
        <v>4.8495E-4</v>
      </c>
      <c r="F8261" s="2" t="s">
        <v>174</v>
      </c>
    </row>
    <row r="8262" spans="1:6" ht="22.5" hidden="1" customHeight="1" x14ac:dyDescent="0.25">
      <c r="A8262" s="3">
        <v>44531</v>
      </c>
      <c r="B8262" s="2" t="s">
        <v>192</v>
      </c>
      <c r="C8262" s="2">
        <v>1.46</v>
      </c>
      <c r="D8262" s="2">
        <v>4.8999999999999998E-3</v>
      </c>
      <c r="E8262" s="2">
        <v>7.1539999999999996E-5</v>
      </c>
      <c r="F8262" s="2" t="s">
        <v>174</v>
      </c>
    </row>
    <row r="8263" spans="1:6" ht="22.5" hidden="1" customHeight="1" x14ac:dyDescent="0.25">
      <c r="A8263" s="3">
        <v>44531</v>
      </c>
      <c r="B8263" s="2" t="s">
        <v>193</v>
      </c>
      <c r="C8263" s="2">
        <v>0.94</v>
      </c>
      <c r="D8263" s="2">
        <v>0.1605</v>
      </c>
      <c r="E8263" s="2">
        <v>1.5087E-3</v>
      </c>
      <c r="F8263" s="2" t="s">
        <v>174</v>
      </c>
    </row>
    <row r="8264" spans="1:6" ht="22.5" hidden="1" customHeight="1" x14ac:dyDescent="0.25">
      <c r="A8264" s="3">
        <v>44531</v>
      </c>
      <c r="B8264" s="2" t="s">
        <v>194</v>
      </c>
      <c r="C8264" s="2">
        <v>-2.81</v>
      </c>
      <c r="D8264" s="2">
        <v>3.3E-3</v>
      </c>
      <c r="E8264" s="2">
        <v>-9.2730000000000002E-5</v>
      </c>
      <c r="F8264" s="2" t="s">
        <v>174</v>
      </c>
    </row>
    <row r="8265" spans="1:6" ht="22.5" hidden="1" customHeight="1" x14ac:dyDescent="0.25">
      <c r="A8265" s="3">
        <v>43952</v>
      </c>
      <c r="B8265" s="2" t="s">
        <v>290</v>
      </c>
      <c r="C8265" s="2">
        <v>-1.1200000000000001</v>
      </c>
      <c r="D8265" s="2">
        <v>0.15820000000000001</v>
      </c>
      <c r="E8265" s="2">
        <v>-1.77184E-3</v>
      </c>
      <c r="F8265" s="2" t="s">
        <v>168</v>
      </c>
    </row>
    <row r="8266" spans="1:6" ht="22.5" hidden="1" customHeight="1" x14ac:dyDescent="0.25">
      <c r="A8266" s="3">
        <v>44166</v>
      </c>
      <c r="B8266" s="2" t="s">
        <v>290</v>
      </c>
      <c r="C8266" s="2">
        <v>-1.18</v>
      </c>
      <c r="D8266" s="2">
        <v>0.15179999999999999</v>
      </c>
      <c r="E8266" s="2">
        <v>-1.7912399999999999E-3</v>
      </c>
      <c r="F8266" s="2" t="s">
        <v>168</v>
      </c>
    </row>
    <row r="8267" spans="1:6" ht="22.5" hidden="1" customHeight="1" x14ac:dyDescent="0.25">
      <c r="A8267" s="3">
        <v>43862</v>
      </c>
      <c r="B8267" s="2" t="s">
        <v>301</v>
      </c>
      <c r="C8267" s="2">
        <v>-1.1000000000000001</v>
      </c>
      <c r="D8267" s="2">
        <v>0.16339999999999999</v>
      </c>
      <c r="E8267" s="2">
        <v>-1.7974E-3</v>
      </c>
      <c r="F8267" s="2" t="s">
        <v>168</v>
      </c>
    </row>
    <row r="8268" spans="1:6" ht="22.5" hidden="1" customHeight="1" x14ac:dyDescent="0.25">
      <c r="A8268" s="3">
        <v>44531</v>
      </c>
      <c r="B8268" s="2" t="s">
        <v>198</v>
      </c>
      <c r="C8268" s="2">
        <v>2.69</v>
      </c>
      <c r="D8268" s="2">
        <v>0.34539999999999998</v>
      </c>
      <c r="E8268" s="2">
        <v>9.2912600000000008E-3</v>
      </c>
      <c r="F8268" s="2" t="s">
        <v>170</v>
      </c>
    </row>
    <row r="8269" spans="1:6" ht="22.5" hidden="1" customHeight="1" x14ac:dyDescent="0.25">
      <c r="A8269" s="3">
        <v>44531</v>
      </c>
      <c r="B8269" s="2" t="s">
        <v>199</v>
      </c>
      <c r="C8269" s="2">
        <v>2.5499999999999998</v>
      </c>
      <c r="D8269" s="2">
        <v>0.4899</v>
      </c>
      <c r="E8269" s="2">
        <v>1.249245E-2</v>
      </c>
      <c r="F8269" s="2" t="s">
        <v>170</v>
      </c>
    </row>
    <row r="8270" spans="1:6" ht="22.5" hidden="1" customHeight="1" x14ac:dyDescent="0.25">
      <c r="A8270" s="3">
        <v>44531</v>
      </c>
      <c r="B8270" s="2" t="s">
        <v>200</v>
      </c>
      <c r="C8270" s="2">
        <v>2.98</v>
      </c>
      <c r="D8270" s="2">
        <v>0.19289999999999999</v>
      </c>
      <c r="E8270" s="2">
        <v>5.7484199999999997E-3</v>
      </c>
      <c r="F8270" s="2" t="s">
        <v>170</v>
      </c>
    </row>
    <row r="8271" spans="1:6" ht="22.5" hidden="1" customHeight="1" x14ac:dyDescent="0.25">
      <c r="A8271" s="3">
        <v>44531</v>
      </c>
      <c r="B8271" s="2" t="s">
        <v>201</v>
      </c>
      <c r="C8271" s="2">
        <v>0.05</v>
      </c>
      <c r="D8271" s="2">
        <v>2.4799999999999999E-2</v>
      </c>
      <c r="E8271" s="2">
        <v>1.24E-5</v>
      </c>
      <c r="F8271" s="2" t="s">
        <v>170</v>
      </c>
    </row>
    <row r="8272" spans="1:6" ht="22.5" hidden="1" customHeight="1" x14ac:dyDescent="0.25">
      <c r="A8272" s="3">
        <v>44531</v>
      </c>
      <c r="B8272" s="2" t="s">
        <v>202</v>
      </c>
      <c r="C8272" s="2">
        <v>1.1100000000000001</v>
      </c>
      <c r="D8272" s="2">
        <v>1.7899999999999999E-2</v>
      </c>
      <c r="E8272" s="2">
        <v>1.9869000000000001E-4</v>
      </c>
      <c r="F8272" s="2" t="s">
        <v>170</v>
      </c>
    </row>
    <row r="8273" spans="1:6" ht="22.5" hidden="1" customHeight="1" x14ac:dyDescent="0.25">
      <c r="A8273" s="3">
        <v>44531</v>
      </c>
      <c r="B8273" s="2" t="s">
        <v>203</v>
      </c>
      <c r="C8273" s="2">
        <v>-0.16</v>
      </c>
      <c r="D8273" s="2">
        <v>7.8399999999999997E-2</v>
      </c>
      <c r="E8273" s="2">
        <v>-1.2543999999999999E-4</v>
      </c>
      <c r="F8273" s="2" t="s">
        <v>170</v>
      </c>
    </row>
    <row r="8274" spans="1:6" ht="22.5" hidden="1" customHeight="1" x14ac:dyDescent="0.25">
      <c r="A8274" s="3">
        <v>44531</v>
      </c>
      <c r="B8274" s="2" t="s">
        <v>204</v>
      </c>
      <c r="C8274" s="2">
        <v>1.35</v>
      </c>
      <c r="D8274" s="2">
        <v>5.6899999999999999E-2</v>
      </c>
      <c r="E8274" s="2">
        <v>7.6815E-4</v>
      </c>
      <c r="F8274" s="2" t="s">
        <v>174</v>
      </c>
    </row>
    <row r="8275" spans="1:6" ht="22.5" hidden="1" customHeight="1" x14ac:dyDescent="0.25">
      <c r="A8275" s="3">
        <v>44531</v>
      </c>
      <c r="B8275" s="2" t="s">
        <v>205</v>
      </c>
      <c r="C8275" s="2">
        <v>0.22</v>
      </c>
      <c r="D8275" s="2">
        <v>9.3600000000000003E-2</v>
      </c>
      <c r="E8275" s="2">
        <v>2.0592000000000001E-4</v>
      </c>
      <c r="F8275" s="2" t="s">
        <v>174</v>
      </c>
    </row>
    <row r="8276" spans="1:6" ht="22.5" hidden="1" customHeight="1" x14ac:dyDescent="0.25">
      <c r="A8276" s="3">
        <v>44531</v>
      </c>
      <c r="B8276" s="2" t="s">
        <v>206</v>
      </c>
      <c r="C8276" s="2">
        <v>-0.16</v>
      </c>
      <c r="D8276" s="2">
        <v>0.16059999999999999</v>
      </c>
      <c r="E8276" s="2">
        <v>-2.5695999999999998E-4</v>
      </c>
      <c r="F8276" s="2" t="s">
        <v>174</v>
      </c>
    </row>
    <row r="8277" spans="1:6" ht="22.5" hidden="1" customHeight="1" x14ac:dyDescent="0.25">
      <c r="A8277" s="3">
        <v>44531</v>
      </c>
      <c r="B8277" s="2" t="s">
        <v>207</v>
      </c>
      <c r="C8277" s="2">
        <v>0.2</v>
      </c>
      <c r="D8277" s="2">
        <v>4.82E-2</v>
      </c>
      <c r="E8277" s="2">
        <v>9.6399999999999999E-5</v>
      </c>
      <c r="F8277" s="2" t="s">
        <v>174</v>
      </c>
    </row>
    <row r="8278" spans="1:6" ht="22.5" hidden="1" customHeight="1" x14ac:dyDescent="0.25">
      <c r="A8278" s="3">
        <v>44531</v>
      </c>
      <c r="B8278" s="2" t="s">
        <v>208</v>
      </c>
      <c r="C8278" s="2">
        <v>0.4</v>
      </c>
      <c r="D8278" s="2">
        <v>8.5000000000000006E-3</v>
      </c>
      <c r="E8278" s="2">
        <v>3.4E-5</v>
      </c>
      <c r="F8278" s="2" t="s">
        <v>174</v>
      </c>
    </row>
    <row r="8279" spans="1:6" ht="22.5" hidden="1" customHeight="1" x14ac:dyDescent="0.25">
      <c r="A8279" s="3">
        <v>44531</v>
      </c>
      <c r="B8279" s="2" t="s">
        <v>209</v>
      </c>
      <c r="C8279" s="2">
        <v>0.28000000000000003</v>
      </c>
      <c r="D8279" s="2">
        <v>6.1000000000000004E-3</v>
      </c>
      <c r="E8279" s="2">
        <v>1.7079999999999999E-5</v>
      </c>
      <c r="F8279" s="2" t="s">
        <v>174</v>
      </c>
    </row>
    <row r="8280" spans="1:6" ht="22.5" hidden="1" customHeight="1" x14ac:dyDescent="0.25">
      <c r="A8280" s="3">
        <v>44531</v>
      </c>
      <c r="B8280" s="2" t="s">
        <v>210</v>
      </c>
      <c r="C8280" s="2">
        <v>1.6</v>
      </c>
      <c r="D8280" s="2">
        <v>1.3599999999999999E-2</v>
      </c>
      <c r="E8280" s="2">
        <v>2.176E-4</v>
      </c>
      <c r="F8280" s="2" t="s">
        <v>170</v>
      </c>
    </row>
    <row r="8281" spans="1:6" ht="22.5" hidden="1" customHeight="1" x14ac:dyDescent="0.25">
      <c r="A8281" s="3">
        <v>44531</v>
      </c>
      <c r="B8281" s="2" t="s">
        <v>211</v>
      </c>
      <c r="C8281" s="2">
        <v>0.24</v>
      </c>
      <c r="D8281" s="2">
        <v>0.1961</v>
      </c>
      <c r="E8281" s="2">
        <v>4.7063999999999998E-4</v>
      </c>
      <c r="F8281" s="2" t="s">
        <v>174</v>
      </c>
    </row>
    <row r="8282" spans="1:6" ht="22.5" hidden="1" customHeight="1" x14ac:dyDescent="0.25">
      <c r="A8282" s="3">
        <v>44531</v>
      </c>
      <c r="B8282" s="2" t="s">
        <v>212</v>
      </c>
      <c r="C8282" s="2">
        <v>-0.22</v>
      </c>
      <c r="D8282" s="2">
        <v>4.4000000000000003E-3</v>
      </c>
      <c r="E8282" s="2">
        <v>-9.6800000000000005E-6</v>
      </c>
      <c r="F8282" s="2" t="s">
        <v>174</v>
      </c>
    </row>
    <row r="8283" spans="1:6" ht="22.5" hidden="1" customHeight="1" x14ac:dyDescent="0.25">
      <c r="A8283" s="3">
        <v>44531</v>
      </c>
      <c r="B8283" s="2" t="s">
        <v>213</v>
      </c>
      <c r="C8283" s="2">
        <v>2.0099999999999998</v>
      </c>
      <c r="D8283" s="2">
        <v>0.3569</v>
      </c>
      <c r="E8283" s="2">
        <v>7.1736899999999999E-3</v>
      </c>
      <c r="F8283" s="2" t="s">
        <v>170</v>
      </c>
    </row>
    <row r="8284" spans="1:6" ht="22.5" hidden="1" customHeight="1" x14ac:dyDescent="0.25">
      <c r="A8284" s="3">
        <v>44531</v>
      </c>
      <c r="B8284" s="2" t="s">
        <v>214</v>
      </c>
      <c r="C8284" s="2">
        <v>0.05</v>
      </c>
      <c r="D8284" s="2">
        <v>0.10050000000000001</v>
      </c>
      <c r="E8284" s="2">
        <v>5.0250000000000002E-5</v>
      </c>
      <c r="F8284" s="2" t="s">
        <v>170</v>
      </c>
    </row>
    <row r="8285" spans="1:6" ht="22.5" hidden="1" customHeight="1" x14ac:dyDescent="0.25">
      <c r="A8285" s="3">
        <v>44531</v>
      </c>
      <c r="B8285" s="2" t="s">
        <v>215</v>
      </c>
      <c r="C8285" s="2">
        <v>0.54</v>
      </c>
      <c r="D8285" s="2">
        <v>0.25440000000000002</v>
      </c>
      <c r="E8285" s="2">
        <v>1.3737599999999999E-3</v>
      </c>
      <c r="F8285" s="2" t="s">
        <v>170</v>
      </c>
    </row>
    <row r="8286" spans="1:6" ht="22.5" hidden="1" customHeight="1" x14ac:dyDescent="0.25">
      <c r="A8286" s="3">
        <v>44531</v>
      </c>
      <c r="B8286" s="2" t="s">
        <v>216</v>
      </c>
      <c r="C8286" s="2">
        <v>2.97</v>
      </c>
      <c r="D8286" s="2">
        <v>1.44E-2</v>
      </c>
      <c r="E8286" s="2">
        <v>4.2768E-4</v>
      </c>
      <c r="F8286" s="2" t="s">
        <v>170</v>
      </c>
    </row>
    <row r="8287" spans="1:6" ht="22.5" hidden="1" customHeight="1" x14ac:dyDescent="0.25">
      <c r="A8287" s="3">
        <v>44531</v>
      </c>
      <c r="B8287" s="2" t="s">
        <v>217</v>
      </c>
      <c r="C8287" s="2">
        <v>2.67</v>
      </c>
      <c r="D8287" s="2">
        <v>0.17030000000000001</v>
      </c>
      <c r="E8287" s="2">
        <v>4.5470099999999998E-3</v>
      </c>
      <c r="F8287" s="2" t="s">
        <v>170</v>
      </c>
    </row>
    <row r="8288" spans="1:6" ht="22.5" hidden="1" customHeight="1" x14ac:dyDescent="0.25">
      <c r="A8288" s="3">
        <v>44531</v>
      </c>
      <c r="B8288" s="2" t="s">
        <v>218</v>
      </c>
      <c r="C8288" s="2">
        <v>0.46</v>
      </c>
      <c r="D8288" s="2">
        <v>7.4999999999999997E-3</v>
      </c>
      <c r="E8288" s="2">
        <v>3.4499999999999998E-5</v>
      </c>
      <c r="F8288" s="2" t="s">
        <v>170</v>
      </c>
    </row>
    <row r="8289" spans="1:6" ht="22.5" hidden="1" customHeight="1" x14ac:dyDescent="0.25">
      <c r="A8289" s="3">
        <v>44531</v>
      </c>
      <c r="B8289" s="2" t="s">
        <v>219</v>
      </c>
      <c r="C8289" s="2">
        <v>0.76</v>
      </c>
      <c r="D8289" s="2">
        <v>0.53449999999999998</v>
      </c>
      <c r="E8289" s="2">
        <v>4.0622000000000002E-3</v>
      </c>
      <c r="F8289" s="2" t="s">
        <v>170</v>
      </c>
    </row>
    <row r="8290" spans="1:6" ht="22.5" hidden="1" customHeight="1" x14ac:dyDescent="0.25">
      <c r="A8290" s="3">
        <v>44531</v>
      </c>
      <c r="B8290" s="2" t="s">
        <v>220</v>
      </c>
      <c r="C8290" s="2">
        <v>0.68</v>
      </c>
      <c r="D8290" s="2">
        <v>1.0200000000000001E-2</v>
      </c>
      <c r="E8290" s="2">
        <v>6.936E-5</v>
      </c>
      <c r="F8290" s="2" t="s">
        <v>170</v>
      </c>
    </row>
    <row r="8291" spans="1:6" ht="22.5" hidden="1" customHeight="1" x14ac:dyDescent="0.25">
      <c r="A8291" s="3">
        <v>44531</v>
      </c>
      <c r="B8291" s="2" t="s">
        <v>221</v>
      </c>
      <c r="C8291" s="2">
        <v>2.54</v>
      </c>
      <c r="D8291" s="2">
        <v>3.3999999999999998E-3</v>
      </c>
      <c r="E8291" s="2">
        <v>8.6360000000000007E-5</v>
      </c>
      <c r="F8291" s="2" t="s">
        <v>170</v>
      </c>
    </row>
    <row r="8292" spans="1:6" ht="22.5" hidden="1" customHeight="1" x14ac:dyDescent="0.25">
      <c r="A8292" s="3">
        <v>44531</v>
      </c>
      <c r="B8292" s="2" t="s">
        <v>222</v>
      </c>
      <c r="C8292" s="2">
        <v>-0.89</v>
      </c>
      <c r="D8292" s="2">
        <v>0.32419999999999999</v>
      </c>
      <c r="E8292" s="2">
        <v>-2.8853799999999999E-3</v>
      </c>
      <c r="F8292" s="2" t="s">
        <v>170</v>
      </c>
    </row>
    <row r="8293" spans="1:6" ht="22.5" hidden="1" customHeight="1" x14ac:dyDescent="0.25">
      <c r="A8293" s="3">
        <v>44531</v>
      </c>
      <c r="B8293" s="2" t="s">
        <v>223</v>
      </c>
      <c r="C8293" s="2">
        <v>2.69</v>
      </c>
      <c r="D8293" s="2">
        <v>1.5800000000000002E-2</v>
      </c>
      <c r="E8293" s="2">
        <v>4.2502000000000002E-4</v>
      </c>
      <c r="F8293" s="2" t="s">
        <v>165</v>
      </c>
    </row>
    <row r="8294" spans="1:6" ht="22.5" hidden="1" customHeight="1" x14ac:dyDescent="0.25">
      <c r="A8294" s="3">
        <v>44531</v>
      </c>
      <c r="B8294" s="2" t="s">
        <v>224</v>
      </c>
      <c r="C8294" s="2">
        <v>0.85</v>
      </c>
      <c r="D8294" s="2">
        <v>2E-3</v>
      </c>
      <c r="E8294" s="2">
        <v>1.7E-5</v>
      </c>
      <c r="F8294" s="2" t="s">
        <v>165</v>
      </c>
    </row>
    <row r="8295" spans="1:6" ht="22.5" hidden="1" customHeight="1" x14ac:dyDescent="0.25">
      <c r="A8295" s="3">
        <v>44531</v>
      </c>
      <c r="B8295" s="2" t="s">
        <v>225</v>
      </c>
      <c r="C8295" s="2">
        <v>-1.22</v>
      </c>
      <c r="D8295" s="2">
        <v>4.3E-3</v>
      </c>
      <c r="E8295" s="2">
        <v>-5.2460000000000003E-5</v>
      </c>
      <c r="F8295" s="2" t="s">
        <v>165</v>
      </c>
    </row>
    <row r="8296" spans="1:6" ht="22.5" hidden="1" customHeight="1" x14ac:dyDescent="0.25">
      <c r="A8296" s="3">
        <v>44531</v>
      </c>
      <c r="B8296" s="2" t="s">
        <v>226</v>
      </c>
      <c r="C8296" s="2">
        <v>1.3</v>
      </c>
      <c r="D8296" s="2">
        <v>4.5900000000000003E-2</v>
      </c>
      <c r="E8296" s="2">
        <v>5.9670000000000003E-4</v>
      </c>
      <c r="F8296" s="2" t="s">
        <v>165</v>
      </c>
    </row>
    <row r="8297" spans="1:6" ht="22.5" hidden="1" customHeight="1" x14ac:dyDescent="0.25">
      <c r="A8297" s="3">
        <v>44531</v>
      </c>
      <c r="B8297" s="2" t="s">
        <v>227</v>
      </c>
      <c r="C8297" s="2">
        <v>-0.08</v>
      </c>
      <c r="D8297" s="2">
        <v>6.2399999999999997E-2</v>
      </c>
      <c r="E8297" s="2">
        <v>-4.9920000000000003E-5</v>
      </c>
      <c r="F8297" s="2" t="s">
        <v>165</v>
      </c>
    </row>
    <row r="8298" spans="1:6" ht="22.5" hidden="1" customHeight="1" x14ac:dyDescent="0.25">
      <c r="A8298" s="3">
        <v>44531</v>
      </c>
      <c r="B8298" s="2" t="s">
        <v>228</v>
      </c>
      <c r="C8298" s="2">
        <v>0.39</v>
      </c>
      <c r="D8298" s="2">
        <v>0.19159999999999999</v>
      </c>
      <c r="E8298" s="2">
        <v>7.4724000000000004E-4</v>
      </c>
      <c r="F8298" s="2" t="s">
        <v>165</v>
      </c>
    </row>
    <row r="8299" spans="1:6" ht="22.5" hidden="1" customHeight="1" x14ac:dyDescent="0.25">
      <c r="A8299" s="3">
        <v>44531</v>
      </c>
      <c r="B8299" s="2" t="s">
        <v>229</v>
      </c>
      <c r="C8299" s="2">
        <v>0.4</v>
      </c>
      <c r="D8299" s="2">
        <v>0.28149999999999997</v>
      </c>
      <c r="E8299" s="2">
        <v>1.126E-3</v>
      </c>
      <c r="F8299" s="2" t="s">
        <v>174</v>
      </c>
    </row>
    <row r="8300" spans="1:6" ht="22.5" hidden="1" customHeight="1" x14ac:dyDescent="0.25">
      <c r="A8300" s="3">
        <v>44531</v>
      </c>
      <c r="B8300" s="2" t="s">
        <v>230</v>
      </c>
      <c r="C8300" s="2">
        <v>1.9</v>
      </c>
      <c r="D8300" s="2">
        <v>2.06E-2</v>
      </c>
      <c r="E8300" s="2">
        <v>3.9140000000000003E-4</v>
      </c>
      <c r="F8300" s="2" t="s">
        <v>174</v>
      </c>
    </row>
    <row r="8301" spans="1:6" ht="22.5" hidden="1" customHeight="1" x14ac:dyDescent="0.25">
      <c r="A8301" s="3">
        <v>44531</v>
      </c>
      <c r="B8301" s="2" t="s">
        <v>231</v>
      </c>
      <c r="C8301" s="2">
        <v>0.65</v>
      </c>
      <c r="D8301" s="2">
        <v>0.1676</v>
      </c>
      <c r="E8301" s="2">
        <v>1.0893999999999999E-3</v>
      </c>
      <c r="F8301" s="2" t="s">
        <v>174</v>
      </c>
    </row>
    <row r="8302" spans="1:6" ht="22.5" hidden="1" customHeight="1" x14ac:dyDescent="0.25">
      <c r="A8302" s="3">
        <v>44531</v>
      </c>
      <c r="B8302" s="2" t="s">
        <v>232</v>
      </c>
      <c r="C8302" s="2">
        <v>-1.47</v>
      </c>
      <c r="D8302" s="2">
        <v>5.7999999999999996E-3</v>
      </c>
      <c r="E8302" s="2">
        <v>-8.5259999999999993E-5</v>
      </c>
      <c r="F8302" s="2" t="s">
        <v>174</v>
      </c>
    </row>
    <row r="8303" spans="1:6" ht="22.5" hidden="1" customHeight="1" x14ac:dyDescent="0.25">
      <c r="A8303" s="3">
        <v>44531</v>
      </c>
      <c r="B8303" s="2" t="s">
        <v>233</v>
      </c>
      <c r="C8303" s="2">
        <v>1.42</v>
      </c>
      <c r="D8303" s="2">
        <v>0.56679999999999997</v>
      </c>
      <c r="E8303" s="2">
        <v>8.0485599999999997E-3</v>
      </c>
      <c r="F8303" s="2" t="s">
        <v>174</v>
      </c>
    </row>
    <row r="8304" spans="1:6" ht="22.5" hidden="1" customHeight="1" x14ac:dyDescent="0.25">
      <c r="A8304" s="3">
        <v>44531</v>
      </c>
      <c r="B8304" s="2" t="s">
        <v>234</v>
      </c>
      <c r="C8304" s="2">
        <v>0.74</v>
      </c>
      <c r="D8304" s="2">
        <v>0.3004</v>
      </c>
      <c r="E8304" s="2">
        <v>2.22296E-3</v>
      </c>
      <c r="F8304" s="2" t="s">
        <v>174</v>
      </c>
    </row>
    <row r="8305" spans="1:6" ht="22.5" hidden="1" customHeight="1" x14ac:dyDescent="0.25">
      <c r="A8305" s="3">
        <v>44531</v>
      </c>
      <c r="B8305" s="2" t="s">
        <v>235</v>
      </c>
      <c r="C8305" s="2">
        <v>-1.56</v>
      </c>
      <c r="D8305" s="2">
        <v>2.2800000000000001E-2</v>
      </c>
      <c r="E8305" s="2">
        <v>-3.5567999999999998E-4</v>
      </c>
      <c r="F8305" s="2" t="s">
        <v>174</v>
      </c>
    </row>
    <row r="8306" spans="1:6" ht="22.5" hidden="1" customHeight="1" x14ac:dyDescent="0.25">
      <c r="A8306" s="3">
        <v>44531</v>
      </c>
      <c r="B8306" s="2" t="s">
        <v>236</v>
      </c>
      <c r="C8306" s="2">
        <v>2.2200000000000002</v>
      </c>
      <c r="D8306" s="2">
        <v>6.7000000000000002E-3</v>
      </c>
      <c r="E8306" s="2">
        <v>1.4873999999999999E-4</v>
      </c>
      <c r="F8306" s="2" t="s">
        <v>174</v>
      </c>
    </row>
    <row r="8307" spans="1:6" ht="22.5" hidden="1" customHeight="1" x14ac:dyDescent="0.25">
      <c r="A8307" s="3">
        <v>44531</v>
      </c>
      <c r="B8307" s="2" t="s">
        <v>237</v>
      </c>
      <c r="C8307" s="2">
        <v>0.41</v>
      </c>
      <c r="D8307" s="2">
        <v>0.28070000000000001</v>
      </c>
      <c r="E8307" s="2">
        <v>1.15087E-3</v>
      </c>
      <c r="F8307" s="2" t="s">
        <v>174</v>
      </c>
    </row>
    <row r="8308" spans="1:6" ht="22.5" hidden="1" customHeight="1" x14ac:dyDescent="0.25">
      <c r="A8308" s="3">
        <v>44531</v>
      </c>
      <c r="B8308" s="2" t="s">
        <v>238</v>
      </c>
      <c r="C8308" s="2">
        <v>0.69</v>
      </c>
      <c r="D8308" s="2">
        <v>0.50329999999999997</v>
      </c>
      <c r="E8308" s="2">
        <v>3.47277E-3</v>
      </c>
      <c r="F8308" s="2" t="s">
        <v>174</v>
      </c>
    </row>
    <row r="8309" spans="1:6" ht="22.5" hidden="1" customHeight="1" x14ac:dyDescent="0.25">
      <c r="A8309" s="3">
        <v>44531</v>
      </c>
      <c r="B8309" s="2" t="s">
        <v>239</v>
      </c>
      <c r="C8309" s="2">
        <v>1.89</v>
      </c>
      <c r="D8309" s="2">
        <v>0.1057</v>
      </c>
      <c r="E8309" s="2">
        <v>1.9977300000000001E-3</v>
      </c>
      <c r="F8309" s="2" t="s">
        <v>174</v>
      </c>
    </row>
    <row r="8310" spans="1:6" ht="22.5" hidden="1" customHeight="1" x14ac:dyDescent="0.25">
      <c r="A8310" s="3">
        <v>44531</v>
      </c>
      <c r="B8310" s="2" t="s">
        <v>240</v>
      </c>
      <c r="C8310" s="2">
        <v>1.4</v>
      </c>
      <c r="D8310" s="2">
        <v>6.1400000000000003E-2</v>
      </c>
      <c r="E8310" s="2">
        <v>8.5959999999999997E-4</v>
      </c>
      <c r="F8310" s="2" t="s">
        <v>174</v>
      </c>
    </row>
    <row r="8311" spans="1:6" ht="22.5" hidden="1" customHeight="1" x14ac:dyDescent="0.25">
      <c r="A8311" s="3">
        <v>44531</v>
      </c>
      <c r="B8311" s="2" t="s">
        <v>241</v>
      </c>
      <c r="C8311" s="2">
        <v>1.18</v>
      </c>
      <c r="D8311" s="2">
        <v>8.3500000000000005E-2</v>
      </c>
      <c r="E8311" s="2">
        <v>9.8529999999999993E-4</v>
      </c>
      <c r="F8311" s="2" t="s">
        <v>174</v>
      </c>
    </row>
    <row r="8312" spans="1:6" ht="22.5" hidden="1" customHeight="1" x14ac:dyDescent="0.25">
      <c r="A8312" s="3">
        <v>44531</v>
      </c>
      <c r="B8312" s="2" t="s">
        <v>242</v>
      </c>
      <c r="C8312" s="2">
        <v>2.2200000000000002</v>
      </c>
      <c r="D8312" s="2">
        <v>7.0800000000000002E-2</v>
      </c>
      <c r="E8312" s="2">
        <v>1.57176E-3</v>
      </c>
      <c r="F8312" s="2" t="s">
        <v>174</v>
      </c>
    </row>
    <row r="8313" spans="1:6" ht="22.5" hidden="1" customHeight="1" x14ac:dyDescent="0.25">
      <c r="A8313" s="3">
        <v>44531</v>
      </c>
      <c r="B8313" s="2" t="s">
        <v>243</v>
      </c>
      <c r="C8313" s="2">
        <v>0.02</v>
      </c>
      <c r="D8313" s="2">
        <v>7.1999999999999998E-3</v>
      </c>
      <c r="E8313" s="2">
        <v>1.44E-6</v>
      </c>
      <c r="F8313" s="2" t="s">
        <v>174</v>
      </c>
    </row>
    <row r="8314" spans="1:6" ht="22.5" hidden="1" customHeight="1" x14ac:dyDescent="0.25">
      <c r="A8314" s="3">
        <v>44531</v>
      </c>
      <c r="B8314" s="2" t="s">
        <v>244</v>
      </c>
      <c r="C8314" s="2">
        <v>2.0099999999999998</v>
      </c>
      <c r="D8314" s="2">
        <v>4.9099999999999998E-2</v>
      </c>
      <c r="E8314" s="2">
        <v>9.8690999999999991E-4</v>
      </c>
      <c r="F8314" s="2" t="s">
        <v>174</v>
      </c>
    </row>
    <row r="8315" spans="1:6" ht="22.5" hidden="1" customHeight="1" x14ac:dyDescent="0.25">
      <c r="A8315" s="3">
        <v>44531</v>
      </c>
      <c r="B8315" s="2" t="s">
        <v>245</v>
      </c>
      <c r="C8315" s="2">
        <v>2.4</v>
      </c>
      <c r="D8315" s="2">
        <v>4.9000000000000002E-2</v>
      </c>
      <c r="E8315" s="2">
        <v>1.176E-3</v>
      </c>
      <c r="F8315" s="2" t="s">
        <v>174</v>
      </c>
    </row>
    <row r="8316" spans="1:6" ht="22.5" hidden="1" customHeight="1" x14ac:dyDescent="0.25">
      <c r="A8316" s="3">
        <v>44531</v>
      </c>
      <c r="B8316" s="2" t="s">
        <v>246</v>
      </c>
      <c r="C8316" s="2">
        <v>1.38</v>
      </c>
      <c r="D8316" s="2">
        <v>0.18329999999999999</v>
      </c>
      <c r="E8316" s="2">
        <v>2.5295399999999998E-3</v>
      </c>
      <c r="F8316" s="2" t="s">
        <v>174</v>
      </c>
    </row>
    <row r="8317" spans="1:6" ht="22.5" hidden="1" customHeight="1" x14ac:dyDescent="0.25">
      <c r="A8317" s="3">
        <v>44531</v>
      </c>
      <c r="B8317" s="2" t="s">
        <v>247</v>
      </c>
      <c r="C8317" s="2">
        <v>1.82</v>
      </c>
      <c r="D8317" s="2">
        <v>0.13109999999999999</v>
      </c>
      <c r="E8317" s="2">
        <v>2.38602E-3</v>
      </c>
      <c r="F8317" s="2" t="s">
        <v>174</v>
      </c>
    </row>
    <row r="8318" spans="1:6" ht="22.5" hidden="1" customHeight="1" x14ac:dyDescent="0.25">
      <c r="A8318" s="3">
        <v>44531</v>
      </c>
      <c r="B8318" s="2" t="s">
        <v>248</v>
      </c>
      <c r="C8318" s="2">
        <v>0.32</v>
      </c>
      <c r="D8318" s="2">
        <v>0.14610000000000001</v>
      </c>
      <c r="E8318" s="2">
        <v>4.6752000000000002E-4</v>
      </c>
      <c r="F8318" s="2" t="s">
        <v>174</v>
      </c>
    </row>
    <row r="8319" spans="1:6" ht="22.5" hidden="1" customHeight="1" x14ac:dyDescent="0.25">
      <c r="A8319" s="3">
        <v>44531</v>
      </c>
      <c r="B8319" s="2" t="s">
        <v>249</v>
      </c>
      <c r="C8319" s="2">
        <v>1.25</v>
      </c>
      <c r="D8319" s="2">
        <v>0.26019999999999999</v>
      </c>
      <c r="E8319" s="2">
        <v>3.2525000000000002E-3</v>
      </c>
      <c r="F8319" s="2" t="s">
        <v>174</v>
      </c>
    </row>
    <row r="8320" spans="1:6" ht="22.5" hidden="1" customHeight="1" x14ac:dyDescent="0.25">
      <c r="A8320" s="3">
        <v>44531</v>
      </c>
      <c r="B8320" s="2" t="s">
        <v>250</v>
      </c>
      <c r="C8320" s="2">
        <v>-0.4</v>
      </c>
      <c r="D8320" s="2">
        <v>2.4799999999999999E-2</v>
      </c>
      <c r="E8320" s="2">
        <v>-9.9199999999999999E-5</v>
      </c>
      <c r="F8320" s="2" t="s">
        <v>174</v>
      </c>
    </row>
    <row r="8321" spans="1:6" ht="22.5" hidden="1" customHeight="1" x14ac:dyDescent="0.25">
      <c r="A8321" s="3">
        <v>44531</v>
      </c>
      <c r="B8321" s="2" t="s">
        <v>251</v>
      </c>
      <c r="C8321" s="2">
        <v>2.04</v>
      </c>
      <c r="D8321" s="2">
        <v>5.9299999999999999E-2</v>
      </c>
      <c r="E8321" s="2">
        <v>1.2097200000000001E-3</v>
      </c>
      <c r="F8321" s="2" t="s">
        <v>174</v>
      </c>
    </row>
    <row r="8322" spans="1:6" ht="22.5" hidden="1" customHeight="1" x14ac:dyDescent="0.25">
      <c r="A8322" s="3">
        <v>44531</v>
      </c>
      <c r="B8322" s="2" t="s">
        <v>252</v>
      </c>
      <c r="C8322" s="2">
        <v>1.78</v>
      </c>
      <c r="D8322" s="2">
        <v>8.0000000000000002E-3</v>
      </c>
      <c r="E8322" s="2">
        <v>1.4239999999999999E-4</v>
      </c>
      <c r="F8322" s="2" t="s">
        <v>174</v>
      </c>
    </row>
    <row r="8323" spans="1:6" ht="22.5" hidden="1" customHeight="1" x14ac:dyDescent="0.25">
      <c r="A8323" s="3">
        <v>44531</v>
      </c>
      <c r="B8323" s="2" t="s">
        <v>253</v>
      </c>
      <c r="C8323" s="2">
        <v>1.85</v>
      </c>
      <c r="D8323" s="2">
        <v>0.42830000000000001</v>
      </c>
      <c r="E8323" s="2">
        <v>7.9235499999999997E-3</v>
      </c>
      <c r="F8323" s="2" t="s">
        <v>174</v>
      </c>
    </row>
    <row r="8324" spans="1:6" ht="22.5" hidden="1" customHeight="1" x14ac:dyDescent="0.25">
      <c r="A8324" s="3">
        <v>44531</v>
      </c>
      <c r="B8324" s="2" t="s">
        <v>254</v>
      </c>
      <c r="C8324" s="2">
        <v>1.2</v>
      </c>
      <c r="D8324" s="2">
        <v>0.1774</v>
      </c>
      <c r="E8324" s="2">
        <v>2.1288000000000001E-3</v>
      </c>
      <c r="F8324" s="2" t="s">
        <v>174</v>
      </c>
    </row>
    <row r="8325" spans="1:6" ht="22.5" hidden="1" customHeight="1" x14ac:dyDescent="0.25">
      <c r="A8325" s="3">
        <v>44531</v>
      </c>
      <c r="B8325" s="2" t="s">
        <v>255</v>
      </c>
      <c r="C8325" s="2">
        <v>2.2200000000000002</v>
      </c>
      <c r="D8325" s="2">
        <v>1.6400000000000001E-2</v>
      </c>
      <c r="E8325" s="2">
        <v>3.6408000000000002E-4</v>
      </c>
      <c r="F8325" s="2" t="s">
        <v>170</v>
      </c>
    </row>
    <row r="8326" spans="1:6" ht="22.5" hidden="1" customHeight="1" x14ac:dyDescent="0.25">
      <c r="A8326" s="3">
        <v>44531</v>
      </c>
      <c r="B8326" s="2" t="s">
        <v>256</v>
      </c>
      <c r="C8326" s="2">
        <v>0.65</v>
      </c>
      <c r="D8326" s="2">
        <v>0.14680000000000001</v>
      </c>
      <c r="E8326" s="2">
        <v>9.5419999999999999E-4</v>
      </c>
      <c r="F8326" s="2" t="s">
        <v>170</v>
      </c>
    </row>
    <row r="8327" spans="1:6" ht="22.5" hidden="1" customHeight="1" x14ac:dyDescent="0.25">
      <c r="A8327" s="3">
        <v>44531</v>
      </c>
      <c r="B8327" s="2" t="s">
        <v>257</v>
      </c>
      <c r="C8327" s="2">
        <v>-0.35</v>
      </c>
      <c r="D8327" s="2">
        <v>5.0599999999999999E-2</v>
      </c>
      <c r="E8327" s="2">
        <v>-1.771E-4</v>
      </c>
      <c r="F8327" s="2" t="s">
        <v>170</v>
      </c>
    </row>
    <row r="8328" spans="1:6" ht="22.5" hidden="1" customHeight="1" x14ac:dyDescent="0.25">
      <c r="A8328" s="3">
        <v>44531</v>
      </c>
      <c r="B8328" s="2" t="s">
        <v>258</v>
      </c>
      <c r="C8328" s="2">
        <v>1.63</v>
      </c>
      <c r="D8328" s="2">
        <v>4.5600000000000002E-2</v>
      </c>
      <c r="E8328" s="2">
        <v>7.4328000000000003E-4</v>
      </c>
      <c r="F8328" s="2" t="s">
        <v>174</v>
      </c>
    </row>
    <row r="8329" spans="1:6" ht="22.5" hidden="1" customHeight="1" x14ac:dyDescent="0.25">
      <c r="A8329" s="3">
        <v>44531</v>
      </c>
      <c r="B8329" s="2" t="s">
        <v>259</v>
      </c>
      <c r="C8329" s="2">
        <v>1.77</v>
      </c>
      <c r="D8329" s="2">
        <v>9.7000000000000003E-3</v>
      </c>
      <c r="E8329" s="2">
        <v>1.7169E-4</v>
      </c>
      <c r="F8329" s="2" t="s">
        <v>174</v>
      </c>
    </row>
    <row r="8330" spans="1:6" ht="22.5" hidden="1" customHeight="1" x14ac:dyDescent="0.25">
      <c r="A8330" s="3">
        <v>44409</v>
      </c>
      <c r="B8330" s="2" t="s">
        <v>295</v>
      </c>
      <c r="C8330" s="2">
        <v>-0.84</v>
      </c>
      <c r="D8330" s="2">
        <v>0.21909999999999999</v>
      </c>
      <c r="E8330" s="2">
        <v>-1.84044E-3</v>
      </c>
      <c r="F8330" s="2" t="s">
        <v>168</v>
      </c>
    </row>
    <row r="8331" spans="1:6" ht="22.5" hidden="1" customHeight="1" x14ac:dyDescent="0.25">
      <c r="A8331" s="3">
        <v>44470</v>
      </c>
      <c r="B8331" s="2" t="s">
        <v>290</v>
      </c>
      <c r="C8331" s="2">
        <v>-1.28</v>
      </c>
      <c r="D8331" s="2">
        <v>0.14760000000000001</v>
      </c>
      <c r="E8331" s="2">
        <v>-1.8892799999999999E-3</v>
      </c>
      <c r="F8331" s="2" t="s">
        <v>168</v>
      </c>
    </row>
    <row r="8332" spans="1:6" ht="22.5" hidden="1" customHeight="1" x14ac:dyDescent="0.25">
      <c r="A8332" s="3">
        <v>44166</v>
      </c>
      <c r="B8332" s="2" t="s">
        <v>288</v>
      </c>
      <c r="C8332" s="2">
        <v>-0.82</v>
      </c>
      <c r="D8332" s="2">
        <v>0.2361</v>
      </c>
      <c r="E8332" s="2">
        <v>-1.9360200000000001E-3</v>
      </c>
      <c r="F8332" s="2" t="s">
        <v>168</v>
      </c>
    </row>
    <row r="8333" spans="1:6" ht="22.5" hidden="1" customHeight="1" x14ac:dyDescent="0.25">
      <c r="A8333" s="3">
        <v>43922</v>
      </c>
      <c r="B8333" s="2" t="s">
        <v>294</v>
      </c>
      <c r="C8333" s="2">
        <v>-1.41</v>
      </c>
      <c r="D8333" s="2">
        <v>0.13819999999999999</v>
      </c>
      <c r="E8333" s="2">
        <v>-1.9486200000000001E-3</v>
      </c>
      <c r="F8333" s="2" t="s">
        <v>168</v>
      </c>
    </row>
    <row r="8334" spans="1:6" ht="22.5" hidden="1" customHeight="1" x14ac:dyDescent="0.25">
      <c r="A8334" s="3">
        <v>44256</v>
      </c>
      <c r="B8334" s="2" t="s">
        <v>293</v>
      </c>
      <c r="C8334" s="2">
        <v>-1.18</v>
      </c>
      <c r="D8334" s="2">
        <v>0.1658</v>
      </c>
      <c r="E8334" s="2">
        <v>-1.9564399999999998E-3</v>
      </c>
      <c r="F8334" s="2" t="s">
        <v>168</v>
      </c>
    </row>
    <row r="8335" spans="1:6" ht="22.5" hidden="1" customHeight="1" x14ac:dyDescent="0.25">
      <c r="A8335" s="3">
        <v>44136</v>
      </c>
      <c r="B8335" s="2" t="s">
        <v>289</v>
      </c>
      <c r="C8335" s="2">
        <v>-0.37</v>
      </c>
      <c r="D8335" s="2">
        <v>0.5504</v>
      </c>
      <c r="E8335" s="2">
        <v>-2.0364799999999998E-3</v>
      </c>
      <c r="F8335" s="2" t="s">
        <v>168</v>
      </c>
    </row>
    <row r="8336" spans="1:6" ht="22.5" hidden="1" customHeight="1" x14ac:dyDescent="0.25">
      <c r="A8336" s="3">
        <v>43862</v>
      </c>
      <c r="B8336" s="2" t="s">
        <v>296</v>
      </c>
      <c r="C8336" s="2">
        <v>-1.04</v>
      </c>
      <c r="D8336" s="2">
        <v>0.2024</v>
      </c>
      <c r="E8336" s="2">
        <v>-2.1049599999999999E-3</v>
      </c>
      <c r="F8336" s="2" t="s">
        <v>168</v>
      </c>
    </row>
    <row r="8337" spans="1:6" ht="22.5" hidden="1" customHeight="1" x14ac:dyDescent="0.25">
      <c r="A8337" s="3">
        <v>44531</v>
      </c>
      <c r="B8337" s="2" t="s">
        <v>267</v>
      </c>
      <c r="C8337" s="2">
        <v>0</v>
      </c>
      <c r="D8337" s="2">
        <v>0.1191</v>
      </c>
      <c r="E8337" s="2">
        <v>0</v>
      </c>
      <c r="F8337" s="2" t="s">
        <v>165</v>
      </c>
    </row>
    <row r="8338" spans="1:6" ht="22.5" hidden="1" customHeight="1" x14ac:dyDescent="0.25">
      <c r="A8338" s="3">
        <v>44531</v>
      </c>
      <c r="B8338" s="2" t="s">
        <v>268</v>
      </c>
      <c r="C8338" s="2">
        <v>7.9</v>
      </c>
      <c r="D8338" s="2">
        <v>0.215</v>
      </c>
      <c r="E8338" s="2">
        <v>1.6985E-2</v>
      </c>
      <c r="F8338" s="2" t="s">
        <v>165</v>
      </c>
    </row>
    <row r="8339" spans="1:6" ht="22.5" hidden="1" customHeight="1" x14ac:dyDescent="0.25">
      <c r="A8339" s="3">
        <v>44531</v>
      </c>
      <c r="B8339" s="2" t="s">
        <v>269</v>
      </c>
      <c r="C8339" s="2">
        <v>0</v>
      </c>
      <c r="D8339" s="2">
        <v>6.25E-2</v>
      </c>
      <c r="E8339" s="2">
        <v>0</v>
      </c>
      <c r="F8339" s="2" t="s">
        <v>165</v>
      </c>
    </row>
    <row r="8340" spans="1:6" ht="22.5" hidden="1" customHeight="1" x14ac:dyDescent="0.25">
      <c r="A8340" s="3">
        <v>44531</v>
      </c>
      <c r="B8340" s="2" t="s">
        <v>270</v>
      </c>
      <c r="C8340" s="2">
        <v>2.11</v>
      </c>
      <c r="D8340" s="2">
        <v>3.0192999999999999</v>
      </c>
      <c r="E8340" s="2">
        <v>6.3707230000000004E-2</v>
      </c>
      <c r="F8340" s="2" t="s">
        <v>170</v>
      </c>
    </row>
    <row r="8341" spans="1:6" ht="22.5" hidden="1" customHeight="1" x14ac:dyDescent="0.25">
      <c r="A8341" s="3">
        <v>43922</v>
      </c>
      <c r="B8341" s="2" t="s">
        <v>290</v>
      </c>
      <c r="C8341" s="2">
        <v>-1.32</v>
      </c>
      <c r="D8341" s="2">
        <v>0.1603</v>
      </c>
      <c r="E8341" s="2">
        <v>-2.1159600000000001E-3</v>
      </c>
      <c r="F8341" s="2" t="s">
        <v>168</v>
      </c>
    </row>
    <row r="8342" spans="1:6" ht="22.5" hidden="1" customHeight="1" x14ac:dyDescent="0.25">
      <c r="A8342" s="3">
        <v>44531</v>
      </c>
      <c r="B8342" s="2" t="s">
        <v>272</v>
      </c>
      <c r="C8342" s="2">
        <v>3.31</v>
      </c>
      <c r="D8342" s="2">
        <v>0.72460000000000002</v>
      </c>
      <c r="E8342" s="2">
        <v>2.398426E-2</v>
      </c>
      <c r="F8342" s="2" t="s">
        <v>165</v>
      </c>
    </row>
    <row r="8343" spans="1:6" ht="22.5" hidden="1" customHeight="1" x14ac:dyDescent="0.25">
      <c r="A8343" s="3">
        <v>43952</v>
      </c>
      <c r="B8343" s="2" t="s">
        <v>294</v>
      </c>
      <c r="C8343" s="2">
        <v>-1.56</v>
      </c>
      <c r="D8343" s="2">
        <v>0.13619999999999999</v>
      </c>
      <c r="E8343" s="2">
        <v>-2.1247200000000001E-3</v>
      </c>
      <c r="F8343" s="2" t="s">
        <v>168</v>
      </c>
    </row>
    <row r="8344" spans="1:6" ht="22.5" hidden="1" customHeight="1" x14ac:dyDescent="0.25">
      <c r="A8344" s="3">
        <v>44531</v>
      </c>
      <c r="B8344" s="2" t="s">
        <v>274</v>
      </c>
      <c r="C8344" s="2">
        <v>1.38</v>
      </c>
      <c r="D8344" s="2">
        <v>0.13850000000000001</v>
      </c>
      <c r="E8344" s="2">
        <v>1.9113000000000001E-3</v>
      </c>
      <c r="F8344" s="2" t="s">
        <v>170</v>
      </c>
    </row>
    <row r="8345" spans="1:6" ht="22.5" hidden="1" customHeight="1" x14ac:dyDescent="0.25">
      <c r="A8345" s="3">
        <v>44531</v>
      </c>
      <c r="B8345" s="2" t="s">
        <v>275</v>
      </c>
      <c r="C8345" s="2">
        <v>1.0900000000000001</v>
      </c>
      <c r="D8345" s="2">
        <v>0.1716</v>
      </c>
      <c r="E8345" s="2">
        <v>1.8704399999999999E-3</v>
      </c>
      <c r="F8345" s="2" t="s">
        <v>170</v>
      </c>
    </row>
    <row r="8346" spans="1:6" ht="22.5" hidden="1" customHeight="1" x14ac:dyDescent="0.25">
      <c r="A8346" s="3">
        <v>44531</v>
      </c>
      <c r="B8346" s="2" t="s">
        <v>276</v>
      </c>
      <c r="C8346" s="2">
        <v>2.2000000000000002</v>
      </c>
      <c r="D8346" s="2">
        <v>0.2505</v>
      </c>
      <c r="E8346" s="2">
        <v>5.5110000000000003E-3</v>
      </c>
      <c r="F8346" s="2" t="s">
        <v>170</v>
      </c>
    </row>
    <row r="8347" spans="1:6" ht="22.5" hidden="1" customHeight="1" x14ac:dyDescent="0.25">
      <c r="A8347" s="3">
        <v>44531</v>
      </c>
      <c r="B8347" s="2" t="s">
        <v>277</v>
      </c>
      <c r="C8347" s="2">
        <v>1.67</v>
      </c>
      <c r="D8347" s="2">
        <v>1.5911</v>
      </c>
      <c r="E8347" s="2">
        <v>2.657137E-2</v>
      </c>
      <c r="F8347" s="2" t="s">
        <v>165</v>
      </c>
    </row>
    <row r="8348" spans="1:6" ht="22.5" hidden="1" customHeight="1" x14ac:dyDescent="0.25">
      <c r="A8348" s="3">
        <v>44531</v>
      </c>
      <c r="B8348" s="2" t="s">
        <v>278</v>
      </c>
      <c r="C8348" s="2">
        <v>1.06</v>
      </c>
      <c r="D8348" s="2">
        <v>6.3700000000000007E-2</v>
      </c>
      <c r="E8348" s="2">
        <v>6.7522000000000003E-4</v>
      </c>
      <c r="F8348" s="2" t="s">
        <v>165</v>
      </c>
    </row>
    <row r="8349" spans="1:6" ht="22.5" hidden="1" customHeight="1" x14ac:dyDescent="0.25">
      <c r="A8349" s="3">
        <v>44256</v>
      </c>
      <c r="B8349" s="2" t="s">
        <v>301</v>
      </c>
      <c r="C8349" s="2">
        <v>-1.51</v>
      </c>
      <c r="D8349" s="2">
        <v>0.14530000000000001</v>
      </c>
      <c r="E8349" s="2">
        <v>-2.19403E-3</v>
      </c>
      <c r="F8349" s="2" t="s">
        <v>168</v>
      </c>
    </row>
    <row r="8350" spans="1:6" ht="22.5" hidden="1" customHeight="1" x14ac:dyDescent="0.25">
      <c r="A8350" s="3">
        <v>44531</v>
      </c>
      <c r="B8350" s="2" t="s">
        <v>280</v>
      </c>
      <c r="C8350" s="2">
        <v>1.28</v>
      </c>
      <c r="D8350" s="2">
        <v>1.9368000000000001</v>
      </c>
      <c r="E8350" s="2">
        <v>2.479104E-2</v>
      </c>
      <c r="F8350" s="2" t="s">
        <v>170</v>
      </c>
    </row>
    <row r="8351" spans="1:6" ht="22.5" hidden="1" customHeight="1" x14ac:dyDescent="0.25">
      <c r="A8351" s="3">
        <v>44531</v>
      </c>
      <c r="B8351" s="2" t="s">
        <v>281</v>
      </c>
      <c r="C8351" s="2">
        <v>-0.35</v>
      </c>
      <c r="D8351" s="2">
        <v>1.6E-2</v>
      </c>
      <c r="E8351" s="2">
        <v>-5.5999999999999999E-5</v>
      </c>
      <c r="F8351" s="2" t="s">
        <v>165</v>
      </c>
    </row>
    <row r="8352" spans="1:6" ht="22.5" hidden="1" customHeight="1" x14ac:dyDescent="0.25">
      <c r="A8352" s="3">
        <v>44531</v>
      </c>
      <c r="B8352" s="2" t="s">
        <v>282</v>
      </c>
      <c r="C8352" s="2">
        <v>-2.4300000000000002</v>
      </c>
      <c r="D8352" s="2">
        <v>2.4899999999999999E-2</v>
      </c>
      <c r="E8352" s="2">
        <v>-6.0506999999999998E-4</v>
      </c>
      <c r="F8352" s="2" t="s">
        <v>165</v>
      </c>
    </row>
    <row r="8353" spans="1:6" ht="22.5" hidden="1" customHeight="1" x14ac:dyDescent="0.25">
      <c r="A8353" s="3">
        <v>44531</v>
      </c>
      <c r="B8353" s="2" t="s">
        <v>283</v>
      </c>
      <c r="C8353" s="2">
        <v>1.34</v>
      </c>
      <c r="D8353" s="2">
        <v>0.56899999999999995</v>
      </c>
      <c r="E8353" s="2">
        <v>7.6245999999999996E-3</v>
      </c>
      <c r="F8353" s="2" t="s">
        <v>170</v>
      </c>
    </row>
    <row r="8354" spans="1:6" ht="22.5" hidden="1" customHeight="1" x14ac:dyDescent="0.25">
      <c r="A8354" s="3">
        <v>44166</v>
      </c>
      <c r="B8354" s="2" t="s">
        <v>300</v>
      </c>
      <c r="C8354" s="2">
        <v>-1.23</v>
      </c>
      <c r="D8354" s="2">
        <v>0.18</v>
      </c>
      <c r="E8354" s="2">
        <v>-2.2139999999999998E-3</v>
      </c>
      <c r="F8354" s="2" t="s">
        <v>168</v>
      </c>
    </row>
    <row r="8355" spans="1:6" ht="22.5" hidden="1" customHeight="1" x14ac:dyDescent="0.25">
      <c r="A8355" s="3">
        <v>44105</v>
      </c>
      <c r="B8355" s="2" t="s">
        <v>298</v>
      </c>
      <c r="C8355" s="2">
        <v>-0.36</v>
      </c>
      <c r="D8355" s="2">
        <v>0.61560000000000004</v>
      </c>
      <c r="E8355" s="2">
        <v>-2.21616E-3</v>
      </c>
      <c r="F8355" s="2" t="s">
        <v>168</v>
      </c>
    </row>
    <row r="8356" spans="1:6" ht="22.5" hidden="1" customHeight="1" x14ac:dyDescent="0.25">
      <c r="A8356" s="3">
        <v>44531</v>
      </c>
      <c r="B8356" s="2" t="s">
        <v>310</v>
      </c>
      <c r="C8356" s="2">
        <v>-0.06</v>
      </c>
      <c r="D8356" s="2">
        <v>3.7313000000000001</v>
      </c>
      <c r="E8356" s="2">
        <v>-2.2387800000000001E-3</v>
      </c>
      <c r="F8356" s="2" t="s">
        <v>168</v>
      </c>
    </row>
    <row r="8357" spans="1:6" ht="22.5" hidden="1" customHeight="1" x14ac:dyDescent="0.25">
      <c r="A8357" s="3">
        <v>44105</v>
      </c>
      <c r="B8357" s="2" t="s">
        <v>367</v>
      </c>
      <c r="C8357" s="2">
        <v>-0.14000000000000001</v>
      </c>
      <c r="D8357" s="2">
        <v>1.6029</v>
      </c>
      <c r="E8357" s="2">
        <v>-2.24406E-3</v>
      </c>
      <c r="F8357" s="2" t="s">
        <v>168</v>
      </c>
    </row>
    <row r="8358" spans="1:6" ht="22.5" hidden="1" customHeight="1" x14ac:dyDescent="0.25">
      <c r="A8358" s="3">
        <v>44075</v>
      </c>
      <c r="B8358" s="2" t="s">
        <v>196</v>
      </c>
      <c r="C8358" s="2">
        <v>-1.65</v>
      </c>
      <c r="D8358" s="2">
        <v>0.13619999999999999</v>
      </c>
      <c r="E8358" s="2">
        <v>-2.2472999999999998E-3</v>
      </c>
      <c r="F8358" s="2" t="s">
        <v>168</v>
      </c>
    </row>
    <row r="8359" spans="1:6" ht="22.5" hidden="1" customHeight="1" x14ac:dyDescent="0.25">
      <c r="A8359" s="3">
        <v>44409</v>
      </c>
      <c r="B8359" s="2" t="s">
        <v>299</v>
      </c>
      <c r="C8359" s="2">
        <v>-2.4900000000000002</v>
      </c>
      <c r="D8359" s="2">
        <v>9.0300000000000005E-2</v>
      </c>
      <c r="E8359" s="2">
        <v>-2.2484699999999998E-3</v>
      </c>
      <c r="F8359" s="2" t="s">
        <v>168</v>
      </c>
    </row>
    <row r="8360" spans="1:6" ht="22.5" hidden="1" customHeight="1" x14ac:dyDescent="0.25">
      <c r="A8360" s="3">
        <v>44501</v>
      </c>
      <c r="B8360" s="2" t="s">
        <v>310</v>
      </c>
      <c r="C8360" s="2">
        <v>-0.06</v>
      </c>
      <c r="D8360" s="2">
        <v>3.7770000000000001</v>
      </c>
      <c r="E8360" s="2">
        <v>-2.2661999999999999E-3</v>
      </c>
      <c r="F8360" s="2" t="s">
        <v>168</v>
      </c>
    </row>
    <row r="8361" spans="1:6" ht="22.5" hidden="1" customHeight="1" x14ac:dyDescent="0.25">
      <c r="A8361" s="3">
        <v>44470</v>
      </c>
      <c r="B8361" s="2" t="s">
        <v>310</v>
      </c>
      <c r="C8361" s="2">
        <v>-0.06</v>
      </c>
      <c r="D8361" s="2">
        <v>3.8248000000000002</v>
      </c>
      <c r="E8361" s="2">
        <v>-2.29488E-3</v>
      </c>
      <c r="F8361" s="2" t="s">
        <v>168</v>
      </c>
    </row>
    <row r="8362" spans="1:6" ht="22.5" hidden="1" customHeight="1" x14ac:dyDescent="0.25">
      <c r="A8362" s="3">
        <v>44256</v>
      </c>
      <c r="B8362" s="2" t="s">
        <v>288</v>
      </c>
      <c r="C8362" s="2">
        <v>-1.02</v>
      </c>
      <c r="D8362" s="2">
        <v>0.22650000000000001</v>
      </c>
      <c r="E8362" s="2">
        <v>-2.3102999999999999E-3</v>
      </c>
      <c r="F8362" s="2" t="s">
        <v>168</v>
      </c>
    </row>
    <row r="8363" spans="1:6" ht="22.5" hidden="1" customHeight="1" x14ac:dyDescent="0.25">
      <c r="A8363" s="3">
        <v>44440</v>
      </c>
      <c r="B8363" s="2" t="s">
        <v>310</v>
      </c>
      <c r="C8363" s="2">
        <v>-0.06</v>
      </c>
      <c r="D8363" s="2">
        <v>3.8698999999999999</v>
      </c>
      <c r="E8363" s="2">
        <v>-2.3219400000000002E-3</v>
      </c>
      <c r="F8363" s="2" t="s">
        <v>168</v>
      </c>
    </row>
    <row r="8364" spans="1:6" ht="22.5" hidden="1" customHeight="1" x14ac:dyDescent="0.25">
      <c r="A8364" s="3">
        <v>44105</v>
      </c>
      <c r="B8364" s="2" t="s">
        <v>301</v>
      </c>
      <c r="C8364" s="2">
        <v>-1.55</v>
      </c>
      <c r="D8364" s="2">
        <v>0.1545</v>
      </c>
      <c r="E8364" s="2">
        <v>-2.3947500000000002E-3</v>
      </c>
      <c r="F8364" s="2" t="s">
        <v>168</v>
      </c>
    </row>
    <row r="8365" spans="1:6" ht="22.5" hidden="1" customHeight="1" x14ac:dyDescent="0.25">
      <c r="A8365" s="3">
        <v>44044</v>
      </c>
      <c r="B8365" s="2" t="s">
        <v>290</v>
      </c>
      <c r="C8365" s="2">
        <v>-1.5</v>
      </c>
      <c r="D8365" s="2">
        <v>0.16009999999999999</v>
      </c>
      <c r="E8365" s="2">
        <v>-2.4015E-3</v>
      </c>
      <c r="F8365" s="2" t="s">
        <v>168</v>
      </c>
    </row>
    <row r="8366" spans="1:6" ht="22.5" hidden="1" customHeight="1" x14ac:dyDescent="0.25">
      <c r="A8366" s="3">
        <v>43952</v>
      </c>
      <c r="B8366" s="2" t="s">
        <v>301</v>
      </c>
      <c r="C8366" s="2">
        <v>-1.51</v>
      </c>
      <c r="D8366" s="2">
        <v>0.15939999999999999</v>
      </c>
      <c r="E8366" s="2">
        <v>-2.4069400000000002E-3</v>
      </c>
      <c r="F8366" s="2" t="s">
        <v>168</v>
      </c>
    </row>
    <row r="8367" spans="1:6" ht="22.5" hidden="1" customHeight="1" x14ac:dyDescent="0.25">
      <c r="A8367" s="3">
        <v>44136</v>
      </c>
      <c r="B8367" s="2" t="s">
        <v>367</v>
      </c>
      <c r="C8367" s="2">
        <v>-0.16</v>
      </c>
      <c r="D8367" s="2">
        <v>1.5860000000000001</v>
      </c>
      <c r="E8367" s="2">
        <v>-2.5376000000000001E-3</v>
      </c>
      <c r="F8367" s="2" t="s">
        <v>168</v>
      </c>
    </row>
    <row r="8368" spans="1:6" ht="22.5" hidden="1" customHeight="1" x14ac:dyDescent="0.25">
      <c r="A8368" s="3">
        <v>43983</v>
      </c>
      <c r="B8368" s="2" t="s">
        <v>298</v>
      </c>
      <c r="C8368" s="2">
        <v>-0.41</v>
      </c>
      <c r="D8368" s="2">
        <v>0.623</v>
      </c>
      <c r="E8368" s="2">
        <v>-2.5542999999999998E-3</v>
      </c>
      <c r="F8368" s="2" t="s">
        <v>168</v>
      </c>
    </row>
    <row r="8369" spans="1:6" ht="22.5" hidden="1" customHeight="1" x14ac:dyDescent="0.25">
      <c r="A8369" s="3">
        <v>44228</v>
      </c>
      <c r="B8369" s="2" t="s">
        <v>298</v>
      </c>
      <c r="C8369" s="2">
        <v>-0.43</v>
      </c>
      <c r="D8369" s="2">
        <v>0.59899999999999998</v>
      </c>
      <c r="E8369" s="2">
        <v>-2.5757000000000002E-3</v>
      </c>
      <c r="F8369" s="2" t="s">
        <v>168</v>
      </c>
    </row>
    <row r="8370" spans="1:6" ht="22.5" hidden="1" customHeight="1" x14ac:dyDescent="0.25">
      <c r="A8370" s="3">
        <v>44075</v>
      </c>
      <c r="B8370" s="2" t="s">
        <v>264</v>
      </c>
      <c r="C8370" s="2">
        <v>-2.2799999999999998</v>
      </c>
      <c r="D8370" s="2">
        <v>0.114</v>
      </c>
      <c r="E8370" s="2">
        <v>-2.5991999999999999E-3</v>
      </c>
      <c r="F8370" s="2" t="s">
        <v>168</v>
      </c>
    </row>
    <row r="8371" spans="1:6" ht="22.5" hidden="1" customHeight="1" x14ac:dyDescent="0.25">
      <c r="A8371" s="3">
        <v>44228</v>
      </c>
      <c r="B8371" s="2" t="s">
        <v>288</v>
      </c>
      <c r="C8371" s="2">
        <v>-1.1499999999999999</v>
      </c>
      <c r="D8371" s="2">
        <v>0.23019999999999999</v>
      </c>
      <c r="E8371" s="2">
        <v>-2.6473E-3</v>
      </c>
      <c r="F8371" s="2" t="s">
        <v>168</v>
      </c>
    </row>
    <row r="8372" spans="1:6" ht="22.5" hidden="1" customHeight="1" x14ac:dyDescent="0.25">
      <c r="A8372" s="3">
        <v>44531</v>
      </c>
      <c r="B8372" s="2" t="s">
        <v>302</v>
      </c>
      <c r="C8372" s="2">
        <v>0.83</v>
      </c>
      <c r="D8372" s="2">
        <v>0.26200000000000001</v>
      </c>
      <c r="E8372" s="2">
        <v>2.1746000000000001E-3</v>
      </c>
      <c r="F8372" s="2" t="s">
        <v>170</v>
      </c>
    </row>
    <row r="8373" spans="1:6" ht="22.5" hidden="1" customHeight="1" x14ac:dyDescent="0.25">
      <c r="A8373" s="3">
        <v>44531</v>
      </c>
      <c r="B8373" s="2" t="s">
        <v>303</v>
      </c>
      <c r="C8373" s="2">
        <v>0.37</v>
      </c>
      <c r="D8373" s="2">
        <v>0.51180000000000003</v>
      </c>
      <c r="E8373" s="2">
        <v>1.8936599999999999E-3</v>
      </c>
      <c r="F8373" s="2" t="s">
        <v>165</v>
      </c>
    </row>
    <row r="8374" spans="1:6" ht="22.5" hidden="1" customHeight="1" x14ac:dyDescent="0.25">
      <c r="A8374" s="3">
        <v>44531</v>
      </c>
      <c r="B8374" s="2" t="s">
        <v>304</v>
      </c>
      <c r="C8374" s="2">
        <v>0.84</v>
      </c>
      <c r="D8374" s="2">
        <v>0.50109999999999999</v>
      </c>
      <c r="E8374" s="2">
        <v>4.2092400000000004E-3</v>
      </c>
      <c r="F8374" s="2" t="s">
        <v>165</v>
      </c>
    </row>
    <row r="8375" spans="1:6" ht="22.5" hidden="1" customHeight="1" x14ac:dyDescent="0.25">
      <c r="A8375" s="3">
        <v>44531</v>
      </c>
      <c r="B8375" s="2" t="s">
        <v>305</v>
      </c>
      <c r="C8375" s="2">
        <v>0</v>
      </c>
      <c r="D8375" s="2">
        <v>1.7500000000000002E-2</v>
      </c>
      <c r="E8375" s="2">
        <v>0</v>
      </c>
      <c r="F8375" s="2" t="s">
        <v>170</v>
      </c>
    </row>
    <row r="8376" spans="1:6" ht="22.5" hidden="1" customHeight="1" x14ac:dyDescent="0.25">
      <c r="A8376" s="3">
        <v>44531</v>
      </c>
      <c r="B8376" s="2" t="s">
        <v>306</v>
      </c>
      <c r="C8376" s="2">
        <v>-0.19</v>
      </c>
      <c r="D8376" s="2">
        <v>4.5999999999999999E-2</v>
      </c>
      <c r="E8376" s="2">
        <v>-8.7399999999999997E-5</v>
      </c>
      <c r="F8376" s="2" t="s">
        <v>165</v>
      </c>
    </row>
    <row r="8377" spans="1:6" ht="22.5" hidden="1" customHeight="1" x14ac:dyDescent="0.25">
      <c r="A8377" s="3">
        <v>44531</v>
      </c>
      <c r="B8377" s="2" t="s">
        <v>307</v>
      </c>
      <c r="C8377" s="2">
        <v>0.56999999999999995</v>
      </c>
      <c r="D8377" s="2">
        <v>0.1031</v>
      </c>
      <c r="E8377" s="2">
        <v>5.8766999999999999E-4</v>
      </c>
      <c r="F8377" s="2" t="s">
        <v>165</v>
      </c>
    </row>
    <row r="8378" spans="1:6" ht="22.5" hidden="1" customHeight="1" x14ac:dyDescent="0.25">
      <c r="A8378" s="3">
        <v>44531</v>
      </c>
      <c r="B8378" s="2" t="s">
        <v>308</v>
      </c>
      <c r="C8378" s="2">
        <v>1.1299999999999999</v>
      </c>
      <c r="D8378" s="2">
        <v>0.35460000000000003</v>
      </c>
      <c r="E8378" s="2">
        <v>4.0069800000000003E-3</v>
      </c>
      <c r="F8378" s="2" t="s">
        <v>165</v>
      </c>
    </row>
    <row r="8379" spans="1:6" ht="22.5" hidden="1" customHeight="1" x14ac:dyDescent="0.25">
      <c r="A8379" s="3">
        <v>44531</v>
      </c>
      <c r="B8379" s="2" t="s">
        <v>309</v>
      </c>
      <c r="C8379" s="2">
        <v>0.34</v>
      </c>
      <c r="D8379" s="2">
        <v>0.1232</v>
      </c>
      <c r="E8379" s="2">
        <v>4.1888E-4</v>
      </c>
      <c r="F8379" s="2" t="s">
        <v>165</v>
      </c>
    </row>
    <row r="8380" spans="1:6" ht="22.5" hidden="1" customHeight="1" x14ac:dyDescent="0.25">
      <c r="A8380" s="3">
        <v>44136</v>
      </c>
      <c r="B8380" s="2" t="s">
        <v>295</v>
      </c>
      <c r="C8380" s="2">
        <v>-1.19</v>
      </c>
      <c r="D8380" s="2">
        <v>0.22670000000000001</v>
      </c>
      <c r="E8380" s="2">
        <v>-2.6977300000000002E-3</v>
      </c>
      <c r="F8380" s="2" t="s">
        <v>168</v>
      </c>
    </row>
    <row r="8381" spans="1:6" ht="22.5" hidden="1" customHeight="1" x14ac:dyDescent="0.25">
      <c r="A8381" s="3">
        <v>44531</v>
      </c>
      <c r="B8381" s="2" t="s">
        <v>311</v>
      </c>
      <c r="C8381" s="2">
        <v>1.19</v>
      </c>
      <c r="D8381" s="2">
        <v>0.5746</v>
      </c>
      <c r="E8381" s="2">
        <v>6.8377400000000001E-3</v>
      </c>
      <c r="F8381" s="2" t="s">
        <v>174</v>
      </c>
    </row>
    <row r="8382" spans="1:6" ht="22.5" hidden="1" customHeight="1" x14ac:dyDescent="0.25">
      <c r="A8382" s="3">
        <v>44531</v>
      </c>
      <c r="B8382" s="2" t="s">
        <v>312</v>
      </c>
      <c r="C8382" s="2">
        <v>0.5</v>
      </c>
      <c r="D8382" s="2">
        <v>0.20469999999999999</v>
      </c>
      <c r="E8382" s="2">
        <v>1.0235000000000001E-3</v>
      </c>
      <c r="F8382" s="2" t="s">
        <v>174</v>
      </c>
    </row>
    <row r="8383" spans="1:6" ht="22.5" hidden="1" customHeight="1" x14ac:dyDescent="0.25">
      <c r="A8383" s="3">
        <v>44531</v>
      </c>
      <c r="B8383" s="2" t="s">
        <v>313</v>
      </c>
      <c r="C8383" s="2">
        <v>0.18</v>
      </c>
      <c r="D8383" s="2">
        <v>0.1227</v>
      </c>
      <c r="E8383" s="2">
        <v>2.2086E-4</v>
      </c>
      <c r="F8383" s="2" t="s">
        <v>174</v>
      </c>
    </row>
    <row r="8384" spans="1:6" ht="22.5" hidden="1" customHeight="1" x14ac:dyDescent="0.25">
      <c r="A8384" s="3">
        <v>44531</v>
      </c>
      <c r="B8384" s="2" t="s">
        <v>314</v>
      </c>
      <c r="C8384" s="2">
        <v>-8.6999999999999993</v>
      </c>
      <c r="D8384" s="2">
        <v>0.38579999999999998</v>
      </c>
      <c r="E8384" s="2">
        <v>-3.35646E-2</v>
      </c>
      <c r="F8384" s="2" t="s">
        <v>174</v>
      </c>
    </row>
    <row r="8385" spans="1:6" ht="22.5" hidden="1" customHeight="1" x14ac:dyDescent="0.25">
      <c r="A8385" s="3">
        <v>44531</v>
      </c>
      <c r="B8385" s="2" t="s">
        <v>315</v>
      </c>
      <c r="C8385" s="2">
        <v>0.66</v>
      </c>
      <c r="D8385" s="2">
        <v>0.25600000000000001</v>
      </c>
      <c r="E8385" s="2">
        <v>1.6896000000000001E-3</v>
      </c>
      <c r="F8385" s="2" t="s">
        <v>174</v>
      </c>
    </row>
    <row r="8386" spans="1:6" ht="22.5" hidden="1" customHeight="1" x14ac:dyDescent="0.25">
      <c r="A8386" s="3">
        <v>44531</v>
      </c>
      <c r="B8386" s="2" t="s">
        <v>316</v>
      </c>
      <c r="C8386" s="2">
        <v>-2.78</v>
      </c>
      <c r="D8386" s="2">
        <v>3.7000000000000002E-3</v>
      </c>
      <c r="E8386" s="2">
        <v>-1.0286E-4</v>
      </c>
      <c r="F8386" s="2" t="s">
        <v>174</v>
      </c>
    </row>
    <row r="8387" spans="1:6" ht="22.5" hidden="1" customHeight="1" x14ac:dyDescent="0.25">
      <c r="A8387" s="3">
        <v>44531</v>
      </c>
      <c r="B8387" s="2" t="s">
        <v>317</v>
      </c>
      <c r="C8387" s="2">
        <v>-9.82</v>
      </c>
      <c r="D8387" s="2">
        <v>0.97199999999999998</v>
      </c>
      <c r="E8387" s="2">
        <v>-9.5450400000000005E-2</v>
      </c>
      <c r="F8387" s="2" t="s">
        <v>174</v>
      </c>
    </row>
    <row r="8388" spans="1:6" ht="22.5" hidden="1" customHeight="1" x14ac:dyDescent="0.25">
      <c r="A8388" s="3">
        <v>44531</v>
      </c>
      <c r="B8388" s="2" t="s">
        <v>318</v>
      </c>
      <c r="C8388" s="2">
        <v>-0.08</v>
      </c>
      <c r="D8388" s="2">
        <v>0.41239999999999999</v>
      </c>
      <c r="E8388" s="2">
        <v>-3.2991999999999999E-4</v>
      </c>
      <c r="F8388" s="2" t="s">
        <v>174</v>
      </c>
    </row>
    <row r="8389" spans="1:6" ht="22.5" hidden="1" customHeight="1" x14ac:dyDescent="0.25">
      <c r="A8389" s="3">
        <v>44531</v>
      </c>
      <c r="B8389" s="2" t="s">
        <v>319</v>
      </c>
      <c r="C8389" s="2">
        <v>0.81</v>
      </c>
      <c r="D8389" s="2">
        <v>0.1052</v>
      </c>
      <c r="E8389" s="2">
        <v>8.5212000000000005E-4</v>
      </c>
      <c r="F8389" s="2" t="s">
        <v>174</v>
      </c>
    </row>
    <row r="8390" spans="1:6" ht="22.5" hidden="1" customHeight="1" x14ac:dyDescent="0.25">
      <c r="A8390" s="3">
        <v>44531</v>
      </c>
      <c r="B8390" s="2" t="s">
        <v>320</v>
      </c>
      <c r="C8390" s="2">
        <v>0.75</v>
      </c>
      <c r="D8390" s="2">
        <v>0.31</v>
      </c>
      <c r="E8390" s="2">
        <v>2.3249999999999998E-3</v>
      </c>
      <c r="F8390" s="2" t="s">
        <v>174</v>
      </c>
    </row>
    <row r="8391" spans="1:6" ht="22.5" hidden="1" customHeight="1" x14ac:dyDescent="0.25">
      <c r="A8391" s="3">
        <v>44531</v>
      </c>
      <c r="B8391" s="2" t="s">
        <v>321</v>
      </c>
      <c r="C8391" s="2">
        <v>-0.05</v>
      </c>
      <c r="D8391" s="2">
        <v>0.20380000000000001</v>
      </c>
      <c r="E8391" s="2">
        <v>-1.019E-4</v>
      </c>
      <c r="F8391" s="2" t="s">
        <v>174</v>
      </c>
    </row>
    <row r="8392" spans="1:6" ht="22.5" hidden="1" customHeight="1" x14ac:dyDescent="0.25">
      <c r="A8392" s="3">
        <v>44531</v>
      </c>
      <c r="B8392" s="2" t="s">
        <v>322</v>
      </c>
      <c r="C8392" s="2">
        <v>-4.71</v>
      </c>
      <c r="D8392" s="2">
        <v>0.1598</v>
      </c>
      <c r="E8392" s="2">
        <v>-7.5265799999999997E-3</v>
      </c>
      <c r="F8392" s="2" t="s">
        <v>174</v>
      </c>
    </row>
    <row r="8393" spans="1:6" ht="22.5" hidden="1" customHeight="1" x14ac:dyDescent="0.25">
      <c r="A8393" s="3">
        <v>44531</v>
      </c>
      <c r="B8393" s="2" t="s">
        <v>323</v>
      </c>
      <c r="C8393" s="2">
        <v>3.61</v>
      </c>
      <c r="D8393" s="2">
        <v>1.0699999999999999E-2</v>
      </c>
      <c r="E8393" s="2">
        <v>3.8627000000000003E-4</v>
      </c>
      <c r="F8393" s="2" t="s">
        <v>165</v>
      </c>
    </row>
    <row r="8394" spans="1:6" ht="22.5" hidden="1" customHeight="1" x14ac:dyDescent="0.25">
      <c r="A8394" s="3">
        <v>44531</v>
      </c>
      <c r="B8394" s="2" t="s">
        <v>324</v>
      </c>
      <c r="C8394" s="2">
        <v>0.63</v>
      </c>
      <c r="D8394" s="2">
        <v>0.37640000000000001</v>
      </c>
      <c r="E8394" s="2">
        <v>2.3713200000000001E-3</v>
      </c>
      <c r="F8394" s="2" t="s">
        <v>165</v>
      </c>
    </row>
    <row r="8395" spans="1:6" ht="22.5" hidden="1" customHeight="1" x14ac:dyDescent="0.25">
      <c r="A8395" s="3">
        <v>44531</v>
      </c>
      <c r="B8395" s="2" t="s">
        <v>325</v>
      </c>
      <c r="C8395" s="2">
        <v>0.14000000000000001</v>
      </c>
      <c r="D8395" s="2">
        <v>2.8715999999999999</v>
      </c>
      <c r="E8395" s="2">
        <v>4.0202399999999996E-3</v>
      </c>
      <c r="F8395" s="2" t="s">
        <v>165</v>
      </c>
    </row>
    <row r="8396" spans="1:6" ht="22.5" hidden="1" customHeight="1" x14ac:dyDescent="0.25">
      <c r="A8396" s="3">
        <v>44531</v>
      </c>
      <c r="B8396" s="2" t="s">
        <v>326</v>
      </c>
      <c r="C8396" s="2">
        <v>0.11</v>
      </c>
      <c r="D8396" s="2">
        <v>0.99539999999999995</v>
      </c>
      <c r="E8396" s="2">
        <v>1.09494E-3</v>
      </c>
      <c r="F8396" s="2" t="s">
        <v>165</v>
      </c>
    </row>
    <row r="8397" spans="1:6" ht="22.5" hidden="1" customHeight="1" x14ac:dyDescent="0.25">
      <c r="A8397" s="3">
        <v>44531</v>
      </c>
      <c r="B8397" s="2" t="s">
        <v>327</v>
      </c>
      <c r="C8397" s="2">
        <v>0.84</v>
      </c>
      <c r="D8397" s="2">
        <v>5.8700000000000002E-2</v>
      </c>
      <c r="E8397" s="2">
        <v>4.9308000000000002E-4</v>
      </c>
      <c r="F8397" s="2" t="s">
        <v>165</v>
      </c>
    </row>
    <row r="8398" spans="1:6" ht="22.5" hidden="1" customHeight="1" x14ac:dyDescent="0.25">
      <c r="A8398" s="3">
        <v>44531</v>
      </c>
      <c r="B8398" s="2" t="s">
        <v>328</v>
      </c>
      <c r="C8398" s="2">
        <v>0</v>
      </c>
      <c r="D8398" s="2">
        <v>1.78E-2</v>
      </c>
      <c r="E8398" s="2">
        <v>0</v>
      </c>
      <c r="F8398" s="2" t="s">
        <v>165</v>
      </c>
    </row>
    <row r="8399" spans="1:6" ht="22.5" hidden="1" customHeight="1" x14ac:dyDescent="0.25">
      <c r="A8399" s="3">
        <v>44531</v>
      </c>
      <c r="B8399" s="2" t="s">
        <v>329</v>
      </c>
      <c r="C8399" s="2">
        <v>1.97</v>
      </c>
      <c r="D8399" s="2">
        <v>9.4299999999999995E-2</v>
      </c>
      <c r="E8399" s="2">
        <v>1.85771E-3</v>
      </c>
      <c r="F8399" s="2" t="s">
        <v>165</v>
      </c>
    </row>
    <row r="8400" spans="1:6" ht="22.5" hidden="1" customHeight="1" x14ac:dyDescent="0.25">
      <c r="A8400" s="3">
        <v>44531</v>
      </c>
      <c r="B8400" s="2" t="s">
        <v>330</v>
      </c>
      <c r="C8400" s="2">
        <v>0.1</v>
      </c>
      <c r="D8400" s="2">
        <v>1.6432</v>
      </c>
      <c r="E8400" s="2">
        <v>1.6432E-3</v>
      </c>
      <c r="F8400" s="2" t="s">
        <v>165</v>
      </c>
    </row>
    <row r="8401" spans="1:6" ht="22.5" hidden="1" customHeight="1" x14ac:dyDescent="0.25">
      <c r="A8401" s="3">
        <v>44531</v>
      </c>
      <c r="B8401" s="2" t="s">
        <v>331</v>
      </c>
      <c r="C8401" s="2">
        <v>0.06</v>
      </c>
      <c r="D8401" s="2">
        <v>5.3100000000000001E-2</v>
      </c>
      <c r="E8401" s="2">
        <v>3.1860000000000003E-5</v>
      </c>
      <c r="F8401" s="2" t="s">
        <v>165</v>
      </c>
    </row>
    <row r="8402" spans="1:6" ht="22.5" hidden="1" customHeight="1" x14ac:dyDescent="0.25">
      <c r="A8402" s="3">
        <v>44531</v>
      </c>
      <c r="B8402" s="2" t="s">
        <v>332</v>
      </c>
      <c r="C8402" s="2">
        <v>0.66</v>
      </c>
      <c r="D8402" s="2">
        <v>0.10539999999999999</v>
      </c>
      <c r="E8402" s="2">
        <v>6.9563999999999997E-4</v>
      </c>
      <c r="F8402" s="2" t="s">
        <v>165</v>
      </c>
    </row>
    <row r="8403" spans="1:6" ht="22.5" hidden="1" customHeight="1" x14ac:dyDescent="0.25">
      <c r="A8403" s="3">
        <v>44531</v>
      </c>
      <c r="B8403" s="2" t="s">
        <v>333</v>
      </c>
      <c r="C8403" s="2">
        <v>0.79</v>
      </c>
      <c r="D8403" s="2">
        <v>7.85E-2</v>
      </c>
      <c r="E8403" s="2">
        <v>6.2014999999999998E-4</v>
      </c>
      <c r="F8403" s="2" t="s">
        <v>165</v>
      </c>
    </row>
    <row r="8404" spans="1:6" ht="22.5" hidden="1" customHeight="1" x14ac:dyDescent="0.25">
      <c r="A8404" s="3">
        <v>44531</v>
      </c>
      <c r="B8404" s="2" t="s">
        <v>334</v>
      </c>
      <c r="C8404" s="2">
        <v>0.05</v>
      </c>
      <c r="D8404" s="2">
        <v>2.0799999999999999E-2</v>
      </c>
      <c r="E8404" s="2">
        <v>1.04E-5</v>
      </c>
      <c r="F8404" s="2" t="s">
        <v>170</v>
      </c>
    </row>
    <row r="8405" spans="1:6" ht="22.5" hidden="1" customHeight="1" x14ac:dyDescent="0.25">
      <c r="A8405" s="3">
        <v>44531</v>
      </c>
      <c r="B8405" s="2" t="s">
        <v>335</v>
      </c>
      <c r="C8405" s="2">
        <v>0.82</v>
      </c>
      <c r="D8405" s="2">
        <v>0.27729999999999999</v>
      </c>
      <c r="E8405" s="2">
        <v>2.2738599999999999E-3</v>
      </c>
      <c r="F8405" s="2" t="s">
        <v>165</v>
      </c>
    </row>
    <row r="8406" spans="1:6" ht="22.5" hidden="1" customHeight="1" x14ac:dyDescent="0.25">
      <c r="A8406" s="3">
        <v>44531</v>
      </c>
      <c r="B8406" s="2" t="s">
        <v>336</v>
      </c>
      <c r="C8406" s="2">
        <v>0.42</v>
      </c>
      <c r="D8406" s="2">
        <v>0.1021</v>
      </c>
      <c r="E8406" s="2">
        <v>4.2882E-4</v>
      </c>
      <c r="F8406" s="2" t="s">
        <v>170</v>
      </c>
    </row>
    <row r="8407" spans="1:6" ht="22.5" hidden="1" customHeight="1" x14ac:dyDescent="0.25">
      <c r="A8407" s="3">
        <v>44531</v>
      </c>
      <c r="B8407" s="2" t="s">
        <v>337</v>
      </c>
      <c r="C8407" s="2">
        <v>0.26</v>
      </c>
      <c r="D8407" s="2">
        <v>0.38100000000000001</v>
      </c>
      <c r="E8407" s="2">
        <v>9.905999999999999E-4</v>
      </c>
      <c r="F8407" s="2" t="s">
        <v>174</v>
      </c>
    </row>
    <row r="8408" spans="1:6" ht="22.5" hidden="1" customHeight="1" x14ac:dyDescent="0.25">
      <c r="A8408" s="3">
        <v>44531</v>
      </c>
      <c r="B8408" s="2" t="s">
        <v>338</v>
      </c>
      <c r="C8408" s="2">
        <v>2.0099999999999998</v>
      </c>
      <c r="D8408" s="2">
        <v>0.1961</v>
      </c>
      <c r="E8408" s="2">
        <v>3.9416099999999999E-3</v>
      </c>
      <c r="F8408" s="2" t="s">
        <v>174</v>
      </c>
    </row>
    <row r="8409" spans="1:6" ht="22.5" hidden="1" customHeight="1" x14ac:dyDescent="0.25">
      <c r="A8409" s="3">
        <v>44531</v>
      </c>
      <c r="B8409" s="2" t="s">
        <v>339</v>
      </c>
      <c r="C8409" s="2">
        <v>-1.33</v>
      </c>
      <c r="D8409" s="2">
        <v>3.9800000000000002E-2</v>
      </c>
      <c r="E8409" s="2">
        <v>-5.2934E-4</v>
      </c>
      <c r="F8409" s="2" t="s">
        <v>165</v>
      </c>
    </row>
    <row r="8410" spans="1:6" ht="22.5" hidden="1" customHeight="1" x14ac:dyDescent="0.25">
      <c r="A8410" s="3">
        <v>43891</v>
      </c>
      <c r="B8410" s="2" t="s">
        <v>298</v>
      </c>
      <c r="C8410" s="2">
        <v>-0.43</v>
      </c>
      <c r="D8410" s="2">
        <v>0.65159999999999996</v>
      </c>
      <c r="E8410" s="2">
        <v>-2.8018800000000001E-3</v>
      </c>
      <c r="F8410" s="2" t="s">
        <v>168</v>
      </c>
    </row>
    <row r="8411" spans="1:6" ht="22.5" hidden="1" customHeight="1" x14ac:dyDescent="0.25">
      <c r="A8411" s="3">
        <v>44531</v>
      </c>
      <c r="B8411" s="2" t="s">
        <v>341</v>
      </c>
      <c r="C8411" s="2">
        <v>1.74</v>
      </c>
      <c r="D8411" s="2">
        <v>1.0800000000000001E-2</v>
      </c>
      <c r="E8411" s="2">
        <v>1.8792E-4</v>
      </c>
      <c r="F8411" s="2" t="s">
        <v>174</v>
      </c>
    </row>
    <row r="8412" spans="1:6" ht="22.5" hidden="1" customHeight="1" x14ac:dyDescent="0.25">
      <c r="A8412" s="3">
        <v>44531</v>
      </c>
      <c r="B8412" s="2" t="s">
        <v>342</v>
      </c>
      <c r="C8412" s="2">
        <v>3.11</v>
      </c>
      <c r="D8412" s="2">
        <v>0.50990000000000002</v>
      </c>
      <c r="E8412" s="2">
        <v>1.5857889999999999E-2</v>
      </c>
      <c r="F8412" s="2" t="s">
        <v>165</v>
      </c>
    </row>
    <row r="8413" spans="1:6" ht="22.5" hidden="1" customHeight="1" x14ac:dyDescent="0.25">
      <c r="A8413" s="3">
        <v>44531</v>
      </c>
      <c r="B8413" s="2" t="s">
        <v>343</v>
      </c>
      <c r="C8413" s="2">
        <v>2.2200000000000002</v>
      </c>
      <c r="D8413" s="2">
        <v>0.51100000000000001</v>
      </c>
      <c r="E8413" s="2">
        <v>1.13442E-2</v>
      </c>
      <c r="F8413" s="2" t="s">
        <v>165</v>
      </c>
    </row>
    <row r="8414" spans="1:6" ht="22.5" hidden="1" customHeight="1" x14ac:dyDescent="0.25">
      <c r="A8414" s="3">
        <v>44531</v>
      </c>
      <c r="B8414" s="2" t="s">
        <v>344</v>
      </c>
      <c r="C8414" s="2">
        <v>0.88</v>
      </c>
      <c r="D8414" s="2">
        <v>0.13880000000000001</v>
      </c>
      <c r="E8414" s="2">
        <v>1.2214400000000001E-3</v>
      </c>
      <c r="F8414" s="2" t="s">
        <v>165</v>
      </c>
    </row>
    <row r="8415" spans="1:6" ht="22.5" hidden="1" customHeight="1" x14ac:dyDescent="0.25">
      <c r="A8415" s="3">
        <v>44531</v>
      </c>
      <c r="B8415" s="2" t="s">
        <v>345</v>
      </c>
      <c r="C8415" s="2">
        <v>0.14000000000000001</v>
      </c>
      <c r="D8415" s="2">
        <v>0.49349999999999999</v>
      </c>
      <c r="E8415" s="2">
        <v>6.9090000000000004E-4</v>
      </c>
      <c r="F8415" s="2" t="s">
        <v>165</v>
      </c>
    </row>
    <row r="8416" spans="1:6" ht="22.5" hidden="1" customHeight="1" x14ac:dyDescent="0.25">
      <c r="A8416" s="3">
        <v>44531</v>
      </c>
      <c r="B8416" s="2" t="s">
        <v>346</v>
      </c>
      <c r="C8416" s="2">
        <v>0.28000000000000003</v>
      </c>
      <c r="D8416" s="2">
        <v>0.52429999999999999</v>
      </c>
      <c r="E8416" s="2">
        <v>1.4680400000000001E-3</v>
      </c>
      <c r="F8416" s="2" t="s">
        <v>174</v>
      </c>
    </row>
    <row r="8417" spans="1:6" ht="22.5" hidden="1" customHeight="1" x14ac:dyDescent="0.25">
      <c r="A8417" s="3">
        <v>44531</v>
      </c>
      <c r="B8417" s="2" t="s">
        <v>347</v>
      </c>
      <c r="C8417" s="2">
        <v>0</v>
      </c>
      <c r="D8417" s="2">
        <v>0.18459999999999999</v>
      </c>
      <c r="E8417" s="2">
        <v>0</v>
      </c>
      <c r="F8417" s="2" t="s">
        <v>165</v>
      </c>
    </row>
    <row r="8418" spans="1:6" ht="22.5" hidden="1" customHeight="1" x14ac:dyDescent="0.25">
      <c r="A8418" s="3">
        <v>44531</v>
      </c>
      <c r="B8418" s="2" t="s">
        <v>348</v>
      </c>
      <c r="C8418" s="2">
        <v>0</v>
      </c>
      <c r="D8418" s="2">
        <v>0.30430000000000001</v>
      </c>
      <c r="E8418" s="2">
        <v>0</v>
      </c>
      <c r="F8418" s="2" t="s">
        <v>165</v>
      </c>
    </row>
    <row r="8419" spans="1:6" ht="22.5" hidden="1" customHeight="1" x14ac:dyDescent="0.25">
      <c r="A8419" s="3">
        <v>44531</v>
      </c>
      <c r="B8419" s="2" t="s">
        <v>349</v>
      </c>
      <c r="C8419" s="2">
        <v>0</v>
      </c>
      <c r="D8419" s="2">
        <v>1.4596</v>
      </c>
      <c r="E8419" s="2">
        <v>0</v>
      </c>
      <c r="F8419" s="2" t="s">
        <v>165</v>
      </c>
    </row>
    <row r="8420" spans="1:6" ht="22.5" hidden="1" customHeight="1" x14ac:dyDescent="0.25">
      <c r="A8420" s="3">
        <v>44531</v>
      </c>
      <c r="B8420" s="2" t="s">
        <v>350</v>
      </c>
      <c r="C8420" s="2">
        <v>0</v>
      </c>
      <c r="D8420" s="2">
        <v>0.36880000000000002</v>
      </c>
      <c r="E8420" s="2">
        <v>0</v>
      </c>
      <c r="F8420" s="2" t="s">
        <v>165</v>
      </c>
    </row>
    <row r="8421" spans="1:6" ht="22.5" hidden="1" customHeight="1" x14ac:dyDescent="0.25">
      <c r="A8421" s="3">
        <v>44531</v>
      </c>
      <c r="B8421" s="2" t="s">
        <v>351</v>
      </c>
      <c r="C8421" s="2">
        <v>0</v>
      </c>
      <c r="D8421" s="2">
        <v>1.6146</v>
      </c>
      <c r="E8421" s="2">
        <v>0</v>
      </c>
      <c r="F8421" s="2" t="s">
        <v>165</v>
      </c>
    </row>
    <row r="8422" spans="1:6" ht="22.5" hidden="1" customHeight="1" x14ac:dyDescent="0.25">
      <c r="A8422" s="3">
        <v>44531</v>
      </c>
      <c r="B8422" s="2" t="s">
        <v>352</v>
      </c>
      <c r="C8422" s="2">
        <v>0</v>
      </c>
      <c r="D8422" s="2">
        <v>0.26619999999999999</v>
      </c>
      <c r="E8422" s="2">
        <v>0</v>
      </c>
      <c r="F8422" s="2" t="s">
        <v>165</v>
      </c>
    </row>
    <row r="8423" spans="1:6" ht="22.5" hidden="1" customHeight="1" x14ac:dyDescent="0.25">
      <c r="A8423" s="3">
        <v>44531</v>
      </c>
      <c r="B8423" s="2" t="s">
        <v>353</v>
      </c>
      <c r="C8423" s="2">
        <v>0</v>
      </c>
      <c r="D8423" s="2">
        <v>3.85E-2</v>
      </c>
      <c r="E8423" s="2">
        <v>0</v>
      </c>
      <c r="F8423" s="2" t="s">
        <v>165</v>
      </c>
    </row>
    <row r="8424" spans="1:6" ht="22.5" hidden="1" customHeight="1" x14ac:dyDescent="0.25">
      <c r="A8424" s="3">
        <v>44531</v>
      </c>
      <c r="B8424" s="2" t="s">
        <v>354</v>
      </c>
      <c r="C8424" s="2">
        <v>0</v>
      </c>
      <c r="D8424" s="2">
        <v>2.9100000000000001E-2</v>
      </c>
      <c r="E8424" s="2">
        <v>0</v>
      </c>
      <c r="F8424" s="2" t="s">
        <v>165</v>
      </c>
    </row>
    <row r="8425" spans="1:6" ht="22.5" hidden="1" customHeight="1" x14ac:dyDescent="0.25">
      <c r="A8425" s="3">
        <v>44531</v>
      </c>
      <c r="B8425" s="2" t="s">
        <v>355</v>
      </c>
      <c r="C8425" s="2">
        <v>0.57999999999999996</v>
      </c>
      <c r="D8425" s="2">
        <v>2.8299999999999999E-2</v>
      </c>
      <c r="E8425" s="2">
        <v>1.6414000000000001E-4</v>
      </c>
      <c r="F8425" s="2" t="s">
        <v>174</v>
      </c>
    </row>
    <row r="8426" spans="1:6" ht="22.5" hidden="1" customHeight="1" x14ac:dyDescent="0.25">
      <c r="A8426" s="3">
        <v>44531</v>
      </c>
      <c r="B8426" s="2" t="s">
        <v>356</v>
      </c>
      <c r="C8426" s="2">
        <v>3.83</v>
      </c>
      <c r="D8426" s="2">
        <v>3.3300000000000003E-2</v>
      </c>
      <c r="E8426" s="2">
        <v>1.2753899999999999E-3</v>
      </c>
      <c r="F8426" s="2" t="s">
        <v>174</v>
      </c>
    </row>
    <row r="8427" spans="1:6" ht="22.5" hidden="1" customHeight="1" x14ac:dyDescent="0.25">
      <c r="A8427" s="3">
        <v>44531</v>
      </c>
      <c r="B8427" s="2" t="s">
        <v>357</v>
      </c>
      <c r="C8427" s="2">
        <v>0</v>
      </c>
      <c r="D8427" s="2">
        <v>0.3458</v>
      </c>
      <c r="E8427" s="2">
        <v>0</v>
      </c>
      <c r="F8427" s="2" t="s">
        <v>174</v>
      </c>
    </row>
    <row r="8428" spans="1:6" ht="22.5" hidden="1" customHeight="1" x14ac:dyDescent="0.25">
      <c r="A8428" s="3">
        <v>44531</v>
      </c>
      <c r="B8428" s="2" t="s">
        <v>358</v>
      </c>
      <c r="C8428" s="2">
        <v>-1.2</v>
      </c>
      <c r="D8428" s="2">
        <v>9.3200000000000005E-2</v>
      </c>
      <c r="E8428" s="2">
        <v>-1.1184000000000001E-3</v>
      </c>
      <c r="F8428" s="2" t="s">
        <v>174</v>
      </c>
    </row>
    <row r="8429" spans="1:6" ht="22.5" hidden="1" customHeight="1" x14ac:dyDescent="0.25">
      <c r="A8429" s="3">
        <v>44531</v>
      </c>
      <c r="B8429" s="2" t="s">
        <v>359</v>
      </c>
      <c r="C8429" s="2">
        <v>0.43</v>
      </c>
      <c r="D8429" s="2">
        <v>4.65E-2</v>
      </c>
      <c r="E8429" s="2">
        <v>1.9995000000000001E-4</v>
      </c>
      <c r="F8429" s="2" t="s">
        <v>174</v>
      </c>
    </row>
    <row r="8430" spans="1:6" ht="22.5" hidden="1" customHeight="1" x14ac:dyDescent="0.25">
      <c r="A8430" s="3">
        <v>44531</v>
      </c>
      <c r="B8430" s="2" t="s">
        <v>360</v>
      </c>
      <c r="C8430" s="2">
        <v>-0.7</v>
      </c>
      <c r="D8430" s="2">
        <v>8.6999999999999994E-2</v>
      </c>
      <c r="E8430" s="2">
        <v>-6.0899999999999995E-4</v>
      </c>
      <c r="F8430" s="2" t="s">
        <v>174</v>
      </c>
    </row>
    <row r="8431" spans="1:6" ht="22.5" hidden="1" customHeight="1" x14ac:dyDescent="0.25">
      <c r="A8431" s="3">
        <v>44531</v>
      </c>
      <c r="B8431" s="2" t="s">
        <v>361</v>
      </c>
      <c r="C8431" s="2">
        <v>0</v>
      </c>
      <c r="D8431" s="2">
        <v>7.1499999999999994E-2</v>
      </c>
      <c r="E8431" s="2">
        <v>0</v>
      </c>
      <c r="F8431" s="2" t="s">
        <v>165</v>
      </c>
    </row>
    <row r="8432" spans="1:6" ht="22.5" hidden="1" customHeight="1" x14ac:dyDescent="0.25">
      <c r="A8432" s="3">
        <v>44531</v>
      </c>
      <c r="B8432" s="2" t="s">
        <v>362</v>
      </c>
      <c r="C8432" s="2">
        <v>0</v>
      </c>
      <c r="D8432" s="2">
        <v>0.2767</v>
      </c>
      <c r="E8432" s="2">
        <v>0</v>
      </c>
      <c r="F8432" s="2" t="s">
        <v>165</v>
      </c>
    </row>
    <row r="8433" spans="1:6" ht="22.5" hidden="1" customHeight="1" x14ac:dyDescent="0.25">
      <c r="A8433" s="3">
        <v>44531</v>
      </c>
      <c r="B8433" s="2" t="s">
        <v>363</v>
      </c>
      <c r="C8433" s="2">
        <v>-0.03</v>
      </c>
      <c r="D8433" s="2">
        <v>4.7899999999999998E-2</v>
      </c>
      <c r="E8433" s="2">
        <v>-1.437E-5</v>
      </c>
      <c r="F8433" s="2" t="s">
        <v>165</v>
      </c>
    </row>
    <row r="8434" spans="1:6" ht="22.5" hidden="1" customHeight="1" x14ac:dyDescent="0.25">
      <c r="A8434" s="3">
        <v>44531</v>
      </c>
      <c r="B8434" s="2" t="s">
        <v>364</v>
      </c>
      <c r="C8434" s="2">
        <v>0.05</v>
      </c>
      <c r="D8434" s="2">
        <v>0.3805</v>
      </c>
      <c r="E8434" s="2">
        <v>1.9024999999999999E-4</v>
      </c>
      <c r="F8434" s="2" t="s">
        <v>165</v>
      </c>
    </row>
    <row r="8435" spans="1:6" ht="22.5" hidden="1" customHeight="1" x14ac:dyDescent="0.25">
      <c r="A8435" s="3">
        <v>43983</v>
      </c>
      <c r="B8435" s="2" t="s">
        <v>285</v>
      </c>
      <c r="C8435" s="2">
        <v>-0.49</v>
      </c>
      <c r="D8435" s="2">
        <v>0.58450000000000002</v>
      </c>
      <c r="E8435" s="2">
        <v>-2.8640499999999999E-3</v>
      </c>
      <c r="F8435" s="2" t="s">
        <v>168</v>
      </c>
    </row>
    <row r="8436" spans="1:6" ht="22.5" hidden="1" customHeight="1" x14ac:dyDescent="0.25">
      <c r="A8436" s="3">
        <v>44228</v>
      </c>
      <c r="B8436" s="2" t="s">
        <v>263</v>
      </c>
      <c r="C8436" s="2">
        <v>-0.69</v>
      </c>
      <c r="D8436" s="2">
        <v>0.41880000000000001</v>
      </c>
      <c r="E8436" s="2">
        <v>-2.8897200000000001E-3</v>
      </c>
      <c r="F8436" s="2" t="s">
        <v>168</v>
      </c>
    </row>
    <row r="8437" spans="1:6" ht="22.5" hidden="1" customHeight="1" x14ac:dyDescent="0.25">
      <c r="A8437" s="3">
        <v>43922</v>
      </c>
      <c r="B8437" s="2" t="s">
        <v>292</v>
      </c>
      <c r="C8437" s="2">
        <v>-2.2599999999999998</v>
      </c>
      <c r="D8437" s="2">
        <v>0.12809999999999999</v>
      </c>
      <c r="E8437" s="2">
        <v>-2.8950600000000001E-3</v>
      </c>
      <c r="F8437" s="2" t="s">
        <v>168</v>
      </c>
    </row>
    <row r="8438" spans="1:6" ht="22.5" hidden="1" customHeight="1" x14ac:dyDescent="0.25">
      <c r="A8438" s="3">
        <v>44531</v>
      </c>
      <c r="B8438" s="2" t="s">
        <v>368</v>
      </c>
      <c r="C8438" s="2">
        <v>0</v>
      </c>
      <c r="D8438" s="2">
        <v>0.35980000000000001</v>
      </c>
      <c r="E8438" s="2">
        <v>0</v>
      </c>
      <c r="F8438" s="2" t="s">
        <v>165</v>
      </c>
    </row>
    <row r="8439" spans="1:6" ht="22.5" hidden="1" customHeight="1" x14ac:dyDescent="0.25">
      <c r="A8439" s="3">
        <v>44531</v>
      </c>
      <c r="B8439" s="2" t="s">
        <v>369</v>
      </c>
      <c r="C8439" s="2">
        <v>0</v>
      </c>
      <c r="D8439" s="2">
        <v>0.51970000000000005</v>
      </c>
      <c r="E8439" s="2">
        <v>0</v>
      </c>
      <c r="F8439" s="2" t="s">
        <v>165</v>
      </c>
    </row>
    <row r="8440" spans="1:6" ht="22.5" hidden="1" customHeight="1" x14ac:dyDescent="0.25">
      <c r="A8440" s="3">
        <v>44531</v>
      </c>
      <c r="B8440" s="2" t="s">
        <v>370</v>
      </c>
      <c r="C8440" s="2">
        <v>0.8</v>
      </c>
      <c r="D8440" s="2">
        <v>0.94320000000000004</v>
      </c>
      <c r="E8440" s="2">
        <v>7.5456000000000004E-3</v>
      </c>
      <c r="F8440" s="2" t="s">
        <v>170</v>
      </c>
    </row>
    <row r="8441" spans="1:6" ht="22.5" hidden="1" customHeight="1" x14ac:dyDescent="0.25">
      <c r="A8441" s="3">
        <v>44531</v>
      </c>
      <c r="B8441" s="2" t="s">
        <v>371</v>
      </c>
      <c r="C8441" s="2">
        <v>0</v>
      </c>
      <c r="D8441" s="2">
        <v>7.1900000000000006E-2</v>
      </c>
      <c r="E8441" s="2">
        <v>0</v>
      </c>
      <c r="F8441" s="2" t="s">
        <v>165</v>
      </c>
    </row>
    <row r="8442" spans="1:6" ht="22.5" hidden="1" customHeight="1" x14ac:dyDescent="0.25">
      <c r="A8442" s="3">
        <v>44531</v>
      </c>
      <c r="B8442" s="2" t="s">
        <v>372</v>
      </c>
      <c r="C8442" s="2">
        <v>0</v>
      </c>
      <c r="D8442" s="2">
        <v>1.573</v>
      </c>
      <c r="E8442" s="2">
        <v>0</v>
      </c>
      <c r="F8442" s="2" t="s">
        <v>165</v>
      </c>
    </row>
    <row r="8443" spans="1:6" ht="22.5" hidden="1" customHeight="1" x14ac:dyDescent="0.25">
      <c r="A8443" s="3">
        <v>44562</v>
      </c>
      <c r="B8443" s="2" t="s">
        <v>6</v>
      </c>
      <c r="C8443" s="2">
        <v>-2.99</v>
      </c>
      <c r="D8443" s="2">
        <v>0.58399999999999996</v>
      </c>
      <c r="E8443" s="2">
        <v>-1.7461600000000001E-2</v>
      </c>
      <c r="F8443" s="2" t="s">
        <v>7</v>
      </c>
    </row>
    <row r="8444" spans="1:6" ht="22.5" hidden="1" customHeight="1" x14ac:dyDescent="0.25">
      <c r="A8444" s="3">
        <v>44562</v>
      </c>
      <c r="B8444" s="2" t="s">
        <v>8</v>
      </c>
      <c r="C8444" s="2">
        <v>-3.53</v>
      </c>
      <c r="D8444" s="2">
        <v>1.32E-2</v>
      </c>
      <c r="E8444" s="2">
        <v>-4.6596000000000002E-4</v>
      </c>
      <c r="F8444" s="2" t="s">
        <v>7</v>
      </c>
    </row>
    <row r="8445" spans="1:6" ht="22.5" hidden="1" customHeight="1" x14ac:dyDescent="0.25">
      <c r="A8445" s="3">
        <v>44562</v>
      </c>
      <c r="B8445" s="2" t="s">
        <v>9</v>
      </c>
      <c r="C8445" s="2">
        <v>-3.52</v>
      </c>
      <c r="D8445" s="2">
        <v>0.06</v>
      </c>
      <c r="E8445" s="2">
        <v>-2.1120000000000002E-3</v>
      </c>
      <c r="F8445" s="2" t="s">
        <v>7</v>
      </c>
    </row>
    <row r="8446" spans="1:6" ht="22.5" hidden="1" customHeight="1" x14ac:dyDescent="0.25">
      <c r="A8446" s="3">
        <v>44562</v>
      </c>
      <c r="B8446" s="2" t="s">
        <v>10</v>
      </c>
      <c r="C8446" s="2">
        <v>-1.71</v>
      </c>
      <c r="D8446" s="2">
        <v>2.07E-2</v>
      </c>
      <c r="E8446" s="2">
        <v>-3.5397E-4</v>
      </c>
      <c r="F8446" s="2" t="s">
        <v>7</v>
      </c>
    </row>
    <row r="8447" spans="1:6" ht="22.5" hidden="1" customHeight="1" x14ac:dyDescent="0.25">
      <c r="A8447" s="3">
        <v>44562</v>
      </c>
      <c r="B8447" s="2" t="s">
        <v>11</v>
      </c>
      <c r="C8447" s="2">
        <v>-2.4700000000000002</v>
      </c>
      <c r="D8447" s="2">
        <v>0.1293</v>
      </c>
      <c r="E8447" s="2">
        <v>-3.1937100000000002E-3</v>
      </c>
      <c r="F8447" s="2" t="s">
        <v>7</v>
      </c>
    </row>
    <row r="8448" spans="1:6" ht="22.5" hidden="1" customHeight="1" x14ac:dyDescent="0.25">
      <c r="A8448" s="3">
        <v>44562</v>
      </c>
      <c r="B8448" s="2" t="s">
        <v>12</v>
      </c>
      <c r="C8448" s="2">
        <v>2.04</v>
      </c>
      <c r="D8448" s="2">
        <v>1.11E-2</v>
      </c>
      <c r="E8448" s="2">
        <v>2.2644000000000001E-4</v>
      </c>
      <c r="F8448" s="2" t="s">
        <v>7</v>
      </c>
    </row>
    <row r="8449" spans="1:6" ht="22.5" hidden="1" customHeight="1" x14ac:dyDescent="0.25">
      <c r="A8449" s="3">
        <v>44562</v>
      </c>
      <c r="B8449" s="2" t="s">
        <v>13</v>
      </c>
      <c r="C8449" s="2">
        <v>0.26</v>
      </c>
      <c r="D8449" s="2">
        <v>2.8E-3</v>
      </c>
      <c r="E8449" s="2">
        <v>7.2799999999999998E-6</v>
      </c>
      <c r="F8449" s="2" t="s">
        <v>7</v>
      </c>
    </row>
    <row r="8450" spans="1:6" ht="22.5" hidden="1" customHeight="1" x14ac:dyDescent="0.25">
      <c r="A8450" s="3">
        <v>44562</v>
      </c>
      <c r="B8450" s="2" t="s">
        <v>14</v>
      </c>
      <c r="C8450" s="2">
        <v>0.42</v>
      </c>
      <c r="D8450" s="2">
        <v>0.14929999999999999</v>
      </c>
      <c r="E8450" s="2">
        <v>6.2706000000000003E-4</v>
      </c>
      <c r="F8450" s="2" t="s">
        <v>7</v>
      </c>
    </row>
    <row r="8451" spans="1:6" ht="22.5" hidden="1" customHeight="1" x14ac:dyDescent="0.25">
      <c r="A8451" s="3">
        <v>44562</v>
      </c>
      <c r="B8451" s="2" t="s">
        <v>15</v>
      </c>
      <c r="C8451" s="2">
        <v>2.82</v>
      </c>
      <c r="D8451" s="2">
        <v>8.8000000000000005E-3</v>
      </c>
      <c r="E8451" s="2">
        <v>2.4815999999999998E-4</v>
      </c>
      <c r="F8451" s="2" t="s">
        <v>7</v>
      </c>
    </row>
    <row r="8452" spans="1:6" ht="22.5" hidden="1" customHeight="1" x14ac:dyDescent="0.25">
      <c r="A8452" s="3">
        <v>44562</v>
      </c>
      <c r="B8452" s="2" t="s">
        <v>16</v>
      </c>
      <c r="C8452" s="2">
        <v>3.7</v>
      </c>
      <c r="D8452" s="2">
        <v>8.8999999999999999E-3</v>
      </c>
      <c r="E8452" s="2">
        <v>3.2929999999999998E-4</v>
      </c>
      <c r="F8452" s="2" t="s">
        <v>7</v>
      </c>
    </row>
    <row r="8453" spans="1:6" ht="22.5" hidden="1" customHeight="1" x14ac:dyDescent="0.25">
      <c r="A8453" s="3">
        <v>44562</v>
      </c>
      <c r="B8453" s="2" t="s">
        <v>17</v>
      </c>
      <c r="C8453" s="2">
        <v>0.84</v>
      </c>
      <c r="D8453" s="2">
        <v>5.0700000000000002E-2</v>
      </c>
      <c r="E8453" s="2">
        <v>4.2588000000000001E-4</v>
      </c>
      <c r="F8453" s="2" t="s">
        <v>7</v>
      </c>
    </row>
    <row r="8454" spans="1:6" ht="22.5" hidden="1" customHeight="1" x14ac:dyDescent="0.25">
      <c r="A8454" s="3">
        <v>44562</v>
      </c>
      <c r="B8454" s="2" t="s">
        <v>18</v>
      </c>
      <c r="C8454" s="2">
        <v>4.01</v>
      </c>
      <c r="D8454" s="2">
        <v>9.5699999999999993E-2</v>
      </c>
      <c r="E8454" s="2">
        <v>3.8375699999999998E-3</v>
      </c>
      <c r="F8454" s="2" t="s">
        <v>7</v>
      </c>
    </row>
    <row r="8455" spans="1:6" ht="22.5" hidden="1" customHeight="1" x14ac:dyDescent="0.25">
      <c r="A8455" s="3">
        <v>44562</v>
      </c>
      <c r="B8455" s="2" t="s">
        <v>19</v>
      </c>
      <c r="C8455" s="2">
        <v>0.52</v>
      </c>
      <c r="D8455" s="2">
        <v>0.12330000000000001</v>
      </c>
      <c r="E8455" s="2">
        <v>6.4115999999999999E-4</v>
      </c>
      <c r="F8455" s="2" t="s">
        <v>7</v>
      </c>
    </row>
    <row r="8456" spans="1:6" ht="22.5" hidden="1" customHeight="1" x14ac:dyDescent="0.25">
      <c r="A8456" s="3">
        <v>44562</v>
      </c>
      <c r="B8456" s="2" t="s">
        <v>20</v>
      </c>
      <c r="C8456" s="2">
        <v>0.36</v>
      </c>
      <c r="D8456" s="2">
        <v>2.5399999999999999E-2</v>
      </c>
      <c r="E8456" s="2">
        <v>9.1440000000000005E-5</v>
      </c>
      <c r="F8456" s="2" t="s">
        <v>7</v>
      </c>
    </row>
    <row r="8457" spans="1:6" ht="22.5" hidden="1" customHeight="1" x14ac:dyDescent="0.25">
      <c r="A8457" s="3">
        <v>44562</v>
      </c>
      <c r="B8457" s="2" t="s">
        <v>21</v>
      </c>
      <c r="C8457" s="2">
        <v>-11.09</v>
      </c>
      <c r="D8457" s="2">
        <v>3.6499999999999998E-2</v>
      </c>
      <c r="E8457" s="2">
        <v>-4.0478500000000004E-3</v>
      </c>
      <c r="F8457" s="2" t="s">
        <v>7</v>
      </c>
    </row>
    <row r="8458" spans="1:6" ht="22.5" hidden="1" customHeight="1" x14ac:dyDescent="0.25">
      <c r="A8458" s="3">
        <v>44562</v>
      </c>
      <c r="B8458" s="2" t="s">
        <v>22</v>
      </c>
      <c r="C8458" s="2">
        <v>-9.1999999999999993</v>
      </c>
      <c r="D8458" s="2">
        <v>0.17419999999999999</v>
      </c>
      <c r="E8458" s="2">
        <v>-1.60264E-2</v>
      </c>
      <c r="F8458" s="2" t="s">
        <v>7</v>
      </c>
    </row>
    <row r="8459" spans="1:6" ht="22.5" hidden="1" customHeight="1" x14ac:dyDescent="0.25">
      <c r="A8459" s="3">
        <v>44562</v>
      </c>
      <c r="B8459" s="2" t="s">
        <v>23</v>
      </c>
      <c r="C8459" s="2">
        <v>1.64</v>
      </c>
      <c r="D8459" s="2">
        <v>2.0899999999999998E-2</v>
      </c>
      <c r="E8459" s="2">
        <v>3.4276E-4</v>
      </c>
      <c r="F8459" s="2" t="s">
        <v>7</v>
      </c>
    </row>
    <row r="8460" spans="1:6" ht="22.5" hidden="1" customHeight="1" x14ac:dyDescent="0.25">
      <c r="A8460" s="3">
        <v>44562</v>
      </c>
      <c r="B8460" s="2" t="s">
        <v>24</v>
      </c>
      <c r="C8460" s="2">
        <v>12.38</v>
      </c>
      <c r="D8460" s="2">
        <v>8.2000000000000007E-3</v>
      </c>
      <c r="E8460" s="2">
        <v>1.01516E-3</v>
      </c>
      <c r="F8460" s="2" t="s">
        <v>7</v>
      </c>
    </row>
    <row r="8461" spans="1:6" ht="22.5" hidden="1" customHeight="1" x14ac:dyDescent="0.25">
      <c r="A8461" s="3">
        <v>44562</v>
      </c>
      <c r="B8461" s="2" t="s">
        <v>25</v>
      </c>
      <c r="C8461" s="2">
        <v>27.52</v>
      </c>
      <c r="D8461" s="2">
        <v>2.5999999999999999E-3</v>
      </c>
      <c r="E8461" s="2">
        <v>7.1551999999999998E-4</v>
      </c>
      <c r="F8461" s="2" t="s">
        <v>7</v>
      </c>
    </row>
    <row r="8462" spans="1:6" ht="22.5" hidden="1" customHeight="1" x14ac:dyDescent="0.25">
      <c r="A8462" s="3">
        <v>44562</v>
      </c>
      <c r="B8462" s="2" t="s">
        <v>26</v>
      </c>
      <c r="C8462" s="2">
        <v>-14.35</v>
      </c>
      <c r="D8462" s="2">
        <v>2.24E-2</v>
      </c>
      <c r="E8462" s="2">
        <v>-3.2144000000000001E-3</v>
      </c>
      <c r="F8462" s="2" t="s">
        <v>7</v>
      </c>
    </row>
    <row r="8463" spans="1:6" ht="22.5" hidden="1" customHeight="1" x14ac:dyDescent="0.25">
      <c r="A8463" s="3">
        <v>44562</v>
      </c>
      <c r="B8463" s="2" t="s">
        <v>27</v>
      </c>
      <c r="C8463" s="2">
        <v>1.86</v>
      </c>
      <c r="D8463" s="2">
        <v>0.27510000000000001</v>
      </c>
      <c r="E8463" s="2">
        <v>5.11686E-3</v>
      </c>
      <c r="F8463" s="2" t="s">
        <v>7</v>
      </c>
    </row>
    <row r="8464" spans="1:6" ht="22.5" hidden="1" customHeight="1" x14ac:dyDescent="0.25">
      <c r="A8464" s="3">
        <v>44562</v>
      </c>
      <c r="B8464" s="2" t="s">
        <v>28</v>
      </c>
      <c r="C8464" s="2">
        <v>17.09</v>
      </c>
      <c r="D8464" s="2">
        <v>0.1096</v>
      </c>
      <c r="E8464" s="2">
        <v>1.873064E-2</v>
      </c>
      <c r="F8464" s="2" t="s">
        <v>7</v>
      </c>
    </row>
    <row r="8465" spans="1:6" ht="22.5" hidden="1" customHeight="1" x14ac:dyDescent="0.25">
      <c r="A8465" s="3">
        <v>44562</v>
      </c>
      <c r="B8465" s="2" t="s">
        <v>29</v>
      </c>
      <c r="C8465" s="2">
        <v>6.77</v>
      </c>
      <c r="D8465" s="2">
        <v>5.1200000000000002E-2</v>
      </c>
      <c r="E8465" s="2">
        <v>3.4662400000000002E-3</v>
      </c>
      <c r="F8465" s="2" t="s">
        <v>7</v>
      </c>
    </row>
    <row r="8466" spans="1:6" ht="22.5" hidden="1" customHeight="1" x14ac:dyDescent="0.25">
      <c r="A8466" s="3">
        <v>44562</v>
      </c>
      <c r="B8466" s="2" t="s">
        <v>30</v>
      </c>
      <c r="C8466" s="2">
        <v>-0.02</v>
      </c>
      <c r="D8466" s="2">
        <v>0.12939999999999999</v>
      </c>
      <c r="E8466" s="2">
        <v>-2.588E-5</v>
      </c>
      <c r="F8466" s="2" t="s">
        <v>7</v>
      </c>
    </row>
    <row r="8467" spans="1:6" ht="22.5" hidden="1" customHeight="1" x14ac:dyDescent="0.25">
      <c r="A8467" s="3">
        <v>44562</v>
      </c>
      <c r="B8467" s="2" t="s">
        <v>31</v>
      </c>
      <c r="C8467" s="2">
        <v>3.05</v>
      </c>
      <c r="D8467" s="2">
        <v>0.13100000000000001</v>
      </c>
      <c r="E8467" s="2">
        <v>3.9954999999999999E-3</v>
      </c>
      <c r="F8467" s="2" t="s">
        <v>7</v>
      </c>
    </row>
    <row r="8468" spans="1:6" ht="22.5" hidden="1" customHeight="1" x14ac:dyDescent="0.25">
      <c r="A8468" s="3">
        <v>44562</v>
      </c>
      <c r="B8468" s="2" t="s">
        <v>32</v>
      </c>
      <c r="C8468" s="2">
        <v>0.17</v>
      </c>
      <c r="D8468" s="2">
        <v>1.49E-2</v>
      </c>
      <c r="E8468" s="2">
        <v>2.533E-5</v>
      </c>
      <c r="F8468" s="2" t="s">
        <v>7</v>
      </c>
    </row>
    <row r="8469" spans="1:6" ht="22.5" hidden="1" customHeight="1" x14ac:dyDescent="0.25">
      <c r="A8469" s="3">
        <v>44562</v>
      </c>
      <c r="B8469" s="2" t="s">
        <v>33</v>
      </c>
      <c r="C8469" s="2">
        <v>0.34</v>
      </c>
      <c r="D8469" s="2">
        <v>0.18579999999999999</v>
      </c>
      <c r="E8469" s="2">
        <v>6.3172E-4</v>
      </c>
      <c r="F8469" s="2" t="s">
        <v>7</v>
      </c>
    </row>
    <row r="8470" spans="1:6" ht="22.5" hidden="1" customHeight="1" x14ac:dyDescent="0.25">
      <c r="A8470" s="3">
        <v>44562</v>
      </c>
      <c r="B8470" s="2" t="s">
        <v>34</v>
      </c>
      <c r="C8470" s="2">
        <v>0.28999999999999998</v>
      </c>
      <c r="D8470" s="2">
        <v>0.14349999999999999</v>
      </c>
      <c r="E8470" s="2">
        <v>4.1615000000000001E-4</v>
      </c>
      <c r="F8470" s="2" t="s">
        <v>7</v>
      </c>
    </row>
    <row r="8471" spans="1:6" ht="22.5" hidden="1" customHeight="1" x14ac:dyDescent="0.25">
      <c r="A8471" s="3">
        <v>44562</v>
      </c>
      <c r="B8471" s="2" t="s">
        <v>35</v>
      </c>
      <c r="C8471" s="2">
        <v>2.31</v>
      </c>
      <c r="D8471" s="2">
        <v>0.10639999999999999</v>
      </c>
      <c r="E8471" s="2">
        <v>2.4578400000000002E-3</v>
      </c>
      <c r="F8471" s="2" t="s">
        <v>7</v>
      </c>
    </row>
    <row r="8472" spans="1:6" ht="22.5" hidden="1" customHeight="1" x14ac:dyDescent="0.25">
      <c r="A8472" s="3">
        <v>44562</v>
      </c>
      <c r="B8472" s="2" t="s">
        <v>36</v>
      </c>
      <c r="C8472" s="2">
        <v>-0.55000000000000004</v>
      </c>
      <c r="D8472" s="2">
        <v>1.6999999999999999E-3</v>
      </c>
      <c r="E8472" s="2">
        <v>-9.3500000000000003E-6</v>
      </c>
      <c r="F8472" s="2" t="s">
        <v>7</v>
      </c>
    </row>
    <row r="8473" spans="1:6" ht="22.5" hidden="1" customHeight="1" x14ac:dyDescent="0.25">
      <c r="A8473" s="3">
        <v>44562</v>
      </c>
      <c r="B8473" s="2" t="s">
        <v>37</v>
      </c>
      <c r="C8473" s="2">
        <v>2.56</v>
      </c>
      <c r="D8473" s="2">
        <v>8.6300000000000002E-2</v>
      </c>
      <c r="E8473" s="2">
        <v>2.2092800000000001E-3</v>
      </c>
      <c r="F8473" s="2" t="s">
        <v>7</v>
      </c>
    </row>
    <row r="8474" spans="1:6" ht="22.5" hidden="1" customHeight="1" x14ac:dyDescent="0.25">
      <c r="A8474" s="3">
        <v>44562</v>
      </c>
      <c r="B8474" s="2" t="s">
        <v>38</v>
      </c>
      <c r="C8474" s="2">
        <v>-3.6</v>
      </c>
      <c r="D8474" s="2">
        <v>9.1000000000000004E-3</v>
      </c>
      <c r="E8474" s="2">
        <v>-3.2759999999999999E-4</v>
      </c>
      <c r="F8474" s="2" t="s">
        <v>7</v>
      </c>
    </row>
    <row r="8475" spans="1:6" ht="22.5" hidden="1" customHeight="1" x14ac:dyDescent="0.25">
      <c r="A8475" s="3">
        <v>44562</v>
      </c>
      <c r="B8475" s="2" t="s">
        <v>39</v>
      </c>
      <c r="C8475" s="2">
        <v>0.37</v>
      </c>
      <c r="D8475" s="2">
        <v>1.44E-2</v>
      </c>
      <c r="E8475" s="2">
        <v>5.3279999999999998E-5</v>
      </c>
      <c r="F8475" s="2" t="s">
        <v>7</v>
      </c>
    </row>
    <row r="8476" spans="1:6" ht="22.5" hidden="1" customHeight="1" x14ac:dyDescent="0.25">
      <c r="A8476" s="3">
        <v>44562</v>
      </c>
      <c r="B8476" s="2" t="s">
        <v>40</v>
      </c>
      <c r="C8476" s="2">
        <v>2.75</v>
      </c>
      <c r="D8476" s="2">
        <v>2.8999999999999998E-3</v>
      </c>
      <c r="E8476" s="2">
        <v>7.975E-5</v>
      </c>
      <c r="F8476" s="2" t="s">
        <v>7</v>
      </c>
    </row>
    <row r="8477" spans="1:6" ht="22.5" hidden="1" customHeight="1" x14ac:dyDescent="0.25">
      <c r="A8477" s="3">
        <v>44562</v>
      </c>
      <c r="B8477" s="2" t="s">
        <v>41</v>
      </c>
      <c r="C8477" s="2">
        <v>0.89</v>
      </c>
      <c r="D8477" s="2">
        <v>1.7600000000000001E-2</v>
      </c>
      <c r="E8477" s="2">
        <v>1.5663999999999999E-4</v>
      </c>
      <c r="F8477" s="2" t="s">
        <v>7</v>
      </c>
    </row>
    <row r="8478" spans="1:6" ht="22.5" hidden="1" customHeight="1" x14ac:dyDescent="0.25">
      <c r="A8478" s="3">
        <v>44562</v>
      </c>
      <c r="B8478" s="2" t="s">
        <v>42</v>
      </c>
      <c r="C8478" s="2">
        <v>3.2</v>
      </c>
      <c r="D8478" s="2">
        <v>4.07E-2</v>
      </c>
      <c r="E8478" s="2">
        <v>1.3024E-3</v>
      </c>
      <c r="F8478" s="2" t="s">
        <v>7</v>
      </c>
    </row>
    <row r="8479" spans="1:6" ht="22.5" hidden="1" customHeight="1" x14ac:dyDescent="0.25">
      <c r="A8479" s="3">
        <v>44562</v>
      </c>
      <c r="B8479" s="2" t="s">
        <v>43</v>
      </c>
      <c r="C8479" s="2">
        <v>1.98</v>
      </c>
      <c r="D8479" s="2">
        <v>2.81E-2</v>
      </c>
      <c r="E8479" s="2">
        <v>5.5637999999999998E-4</v>
      </c>
      <c r="F8479" s="2" t="s">
        <v>7</v>
      </c>
    </row>
    <row r="8480" spans="1:6" ht="22.5" hidden="1" customHeight="1" x14ac:dyDescent="0.25">
      <c r="A8480" s="3">
        <v>44562</v>
      </c>
      <c r="B8480" s="2" t="s">
        <v>44</v>
      </c>
      <c r="C8480" s="2">
        <v>2.62</v>
      </c>
      <c r="D8480" s="2">
        <v>1.5699999999999999E-2</v>
      </c>
      <c r="E8480" s="2">
        <v>4.1134E-4</v>
      </c>
      <c r="F8480" s="2" t="s">
        <v>7</v>
      </c>
    </row>
    <row r="8481" spans="1:6" ht="22.5" hidden="1" customHeight="1" x14ac:dyDescent="0.25">
      <c r="A8481" s="3">
        <v>44562</v>
      </c>
      <c r="B8481" s="2" t="s">
        <v>45</v>
      </c>
      <c r="C8481" s="2">
        <v>9.08</v>
      </c>
      <c r="D8481" s="2">
        <v>1.4800000000000001E-2</v>
      </c>
      <c r="E8481" s="2">
        <v>1.34384E-3</v>
      </c>
      <c r="F8481" s="2" t="s">
        <v>7</v>
      </c>
    </row>
    <row r="8482" spans="1:6" ht="22.5" hidden="1" customHeight="1" x14ac:dyDescent="0.25">
      <c r="A8482" s="3">
        <v>44562</v>
      </c>
      <c r="B8482" s="2" t="s">
        <v>46</v>
      </c>
      <c r="C8482" s="2">
        <v>10.34</v>
      </c>
      <c r="D8482" s="2">
        <v>1.1000000000000001E-3</v>
      </c>
      <c r="E8482" s="2">
        <v>1.1374000000000001E-4</v>
      </c>
      <c r="F8482" s="2" t="s">
        <v>7</v>
      </c>
    </row>
    <row r="8483" spans="1:6" ht="22.5" hidden="1" customHeight="1" x14ac:dyDescent="0.25">
      <c r="A8483" s="3">
        <v>44562</v>
      </c>
      <c r="B8483" s="2" t="s">
        <v>47</v>
      </c>
      <c r="C8483" s="2">
        <v>13.09</v>
      </c>
      <c r="D8483" s="2">
        <v>8.72E-2</v>
      </c>
      <c r="E8483" s="2">
        <v>1.1414479999999999E-2</v>
      </c>
      <c r="F8483" s="2" t="s">
        <v>7</v>
      </c>
    </row>
    <row r="8484" spans="1:6" ht="22.5" hidden="1" customHeight="1" x14ac:dyDescent="0.25">
      <c r="A8484" s="3">
        <v>44562</v>
      </c>
      <c r="B8484" s="2" t="s">
        <v>48</v>
      </c>
      <c r="C8484" s="2">
        <v>10.029999999999999</v>
      </c>
      <c r="D8484" s="2">
        <v>4.0000000000000001E-3</v>
      </c>
      <c r="E8484" s="2">
        <v>4.0119999999999999E-4</v>
      </c>
      <c r="F8484" s="2" t="s">
        <v>7</v>
      </c>
    </row>
    <row r="8485" spans="1:6" ht="22.5" hidden="1" customHeight="1" x14ac:dyDescent="0.25">
      <c r="A8485" s="3">
        <v>44562</v>
      </c>
      <c r="B8485" s="2" t="s">
        <v>49</v>
      </c>
      <c r="C8485" s="2">
        <v>24.54</v>
      </c>
      <c r="D8485" s="2">
        <v>0.1547</v>
      </c>
      <c r="E8485" s="2">
        <v>3.7963379999999998E-2</v>
      </c>
      <c r="F8485" s="2" t="s">
        <v>7</v>
      </c>
    </row>
    <row r="8486" spans="1:6" ht="22.5" hidden="1" customHeight="1" x14ac:dyDescent="0.25">
      <c r="A8486" s="3">
        <v>44562</v>
      </c>
      <c r="B8486" s="2" t="s">
        <v>50</v>
      </c>
      <c r="C8486" s="2">
        <v>9.82</v>
      </c>
      <c r="D8486" s="2">
        <v>4.5999999999999999E-3</v>
      </c>
      <c r="E8486" s="2">
        <v>4.5172000000000002E-4</v>
      </c>
      <c r="F8486" s="2" t="s">
        <v>7</v>
      </c>
    </row>
    <row r="8487" spans="1:6" ht="22.5" hidden="1" customHeight="1" x14ac:dyDescent="0.25">
      <c r="A8487" s="3">
        <v>44562</v>
      </c>
      <c r="B8487" s="2" t="s">
        <v>51</v>
      </c>
      <c r="C8487" s="2">
        <v>-7.63</v>
      </c>
      <c r="D8487" s="2">
        <v>6.6E-3</v>
      </c>
      <c r="E8487" s="2">
        <v>-5.0358E-4</v>
      </c>
      <c r="F8487" s="2" t="s">
        <v>7</v>
      </c>
    </row>
    <row r="8488" spans="1:6" ht="22.5" hidden="1" customHeight="1" x14ac:dyDescent="0.25">
      <c r="A8488" s="3">
        <v>44562</v>
      </c>
      <c r="B8488" s="2" t="s">
        <v>52</v>
      </c>
      <c r="C8488" s="2">
        <v>-6.91</v>
      </c>
      <c r="D8488" s="2">
        <v>2.9100000000000001E-2</v>
      </c>
      <c r="E8488" s="2">
        <v>-2.01081E-3</v>
      </c>
      <c r="F8488" s="2" t="s">
        <v>7</v>
      </c>
    </row>
    <row r="8489" spans="1:6" ht="22.5" hidden="1" customHeight="1" x14ac:dyDescent="0.25">
      <c r="A8489" s="3">
        <v>44562</v>
      </c>
      <c r="B8489" s="2" t="s">
        <v>53</v>
      </c>
      <c r="C8489" s="2">
        <v>1.3</v>
      </c>
      <c r="D8489" s="2">
        <v>0.12939999999999999</v>
      </c>
      <c r="E8489" s="2">
        <v>1.6822E-3</v>
      </c>
      <c r="F8489" s="2" t="s">
        <v>7</v>
      </c>
    </row>
    <row r="8490" spans="1:6" ht="22.5" hidden="1" customHeight="1" x14ac:dyDescent="0.25">
      <c r="A8490" s="3">
        <v>44562</v>
      </c>
      <c r="B8490" s="2" t="s">
        <v>54</v>
      </c>
      <c r="C8490" s="2">
        <v>8.2200000000000006</v>
      </c>
      <c r="D8490" s="2">
        <v>0.1094</v>
      </c>
      <c r="E8490" s="2">
        <v>8.9926799999999994E-3</v>
      </c>
      <c r="F8490" s="2" t="s">
        <v>7</v>
      </c>
    </row>
    <row r="8491" spans="1:6" ht="22.5" hidden="1" customHeight="1" x14ac:dyDescent="0.25">
      <c r="A8491" s="3">
        <v>44562</v>
      </c>
      <c r="B8491" s="2" t="s">
        <v>55</v>
      </c>
      <c r="C8491" s="2">
        <v>5.1100000000000003</v>
      </c>
      <c r="D8491" s="2">
        <v>5.3900000000000003E-2</v>
      </c>
      <c r="E8491" s="2">
        <v>2.75429E-3</v>
      </c>
      <c r="F8491" s="2" t="s">
        <v>7</v>
      </c>
    </row>
    <row r="8492" spans="1:6" ht="22.5" hidden="1" customHeight="1" x14ac:dyDescent="0.25">
      <c r="A8492" s="3">
        <v>44562</v>
      </c>
      <c r="B8492" s="2" t="s">
        <v>56</v>
      </c>
      <c r="C8492" s="2">
        <v>1.57</v>
      </c>
      <c r="D8492" s="2">
        <v>7.4999999999999997E-3</v>
      </c>
      <c r="E8492" s="2">
        <v>1.1775E-4</v>
      </c>
      <c r="F8492" s="2" t="s">
        <v>7</v>
      </c>
    </row>
    <row r="8493" spans="1:6" ht="22.5" hidden="1" customHeight="1" x14ac:dyDescent="0.25">
      <c r="A8493" s="3">
        <v>44562</v>
      </c>
      <c r="B8493" s="2" t="s">
        <v>57</v>
      </c>
      <c r="C8493" s="2">
        <v>-0.05</v>
      </c>
      <c r="D8493" s="2">
        <v>3.0499999999999999E-2</v>
      </c>
      <c r="E8493" s="2">
        <v>-1.525E-5</v>
      </c>
      <c r="F8493" s="2" t="s">
        <v>7</v>
      </c>
    </row>
    <row r="8494" spans="1:6" ht="22.5" hidden="1" customHeight="1" x14ac:dyDescent="0.25">
      <c r="A8494" s="3">
        <v>44562</v>
      </c>
      <c r="B8494" s="2" t="s">
        <v>58</v>
      </c>
      <c r="C8494" s="2">
        <v>-2.2599999999999998</v>
      </c>
      <c r="D8494" s="2">
        <v>1.6E-2</v>
      </c>
      <c r="E8494" s="2">
        <v>-3.6160000000000001E-4</v>
      </c>
      <c r="F8494" s="2" t="s">
        <v>7</v>
      </c>
    </row>
    <row r="8495" spans="1:6" ht="22.5" hidden="1" customHeight="1" x14ac:dyDescent="0.25">
      <c r="A8495" s="3">
        <v>44562</v>
      </c>
      <c r="B8495" s="2" t="s">
        <v>59</v>
      </c>
      <c r="C8495" s="2">
        <v>-2.2000000000000002</v>
      </c>
      <c r="D8495" s="2">
        <v>2.69E-2</v>
      </c>
      <c r="E8495" s="2">
        <v>-5.9179999999999996E-4</v>
      </c>
      <c r="F8495" s="2" t="s">
        <v>7</v>
      </c>
    </row>
    <row r="8496" spans="1:6" ht="22.5" hidden="1" customHeight="1" x14ac:dyDescent="0.25">
      <c r="A8496" s="3">
        <v>44562</v>
      </c>
      <c r="B8496" s="2" t="s">
        <v>60</v>
      </c>
      <c r="C8496" s="2">
        <v>2.27</v>
      </c>
      <c r="D8496" s="2">
        <v>3.5400000000000001E-2</v>
      </c>
      <c r="E8496" s="2">
        <v>8.0358000000000003E-4</v>
      </c>
      <c r="F8496" s="2" t="s">
        <v>7</v>
      </c>
    </row>
    <row r="8497" spans="1:6" ht="22.5" hidden="1" customHeight="1" x14ac:dyDescent="0.25">
      <c r="A8497" s="3">
        <v>44562</v>
      </c>
      <c r="B8497" s="2" t="s">
        <v>61</v>
      </c>
      <c r="C8497" s="2">
        <v>2.15</v>
      </c>
      <c r="D8497" s="2">
        <v>6.8000000000000005E-2</v>
      </c>
      <c r="E8497" s="2">
        <v>1.462E-3</v>
      </c>
      <c r="F8497" s="2" t="s">
        <v>7</v>
      </c>
    </row>
    <row r="8498" spans="1:6" ht="22.5" hidden="1" customHeight="1" x14ac:dyDescent="0.25">
      <c r="A8498" s="3">
        <v>44562</v>
      </c>
      <c r="B8498" s="2" t="s">
        <v>62</v>
      </c>
      <c r="C8498" s="2">
        <v>-0.46</v>
      </c>
      <c r="D8498" s="2">
        <v>9.6299999999999997E-2</v>
      </c>
      <c r="E8498" s="2">
        <v>-4.4297999999999999E-4</v>
      </c>
      <c r="F8498" s="2" t="s">
        <v>7</v>
      </c>
    </row>
    <row r="8499" spans="1:6" ht="22.5" hidden="1" customHeight="1" x14ac:dyDescent="0.25">
      <c r="A8499" s="3">
        <v>44562</v>
      </c>
      <c r="B8499" s="2" t="s">
        <v>63</v>
      </c>
      <c r="C8499" s="2">
        <v>-3.09</v>
      </c>
      <c r="D8499" s="2">
        <v>7.4000000000000003E-3</v>
      </c>
      <c r="E8499" s="2">
        <v>-2.2866E-4</v>
      </c>
      <c r="F8499" s="2" t="s">
        <v>7</v>
      </c>
    </row>
    <row r="8500" spans="1:6" ht="22.5" hidden="1" customHeight="1" x14ac:dyDescent="0.25">
      <c r="A8500" s="3">
        <v>44562</v>
      </c>
      <c r="B8500" s="2" t="s">
        <v>64</v>
      </c>
      <c r="C8500" s="2">
        <v>8.7100000000000009</v>
      </c>
      <c r="D8500" s="2">
        <v>4.3E-3</v>
      </c>
      <c r="E8500" s="2">
        <v>3.7452999999999998E-4</v>
      </c>
      <c r="F8500" s="2" t="s">
        <v>7</v>
      </c>
    </row>
    <row r="8501" spans="1:6" ht="22.5" hidden="1" customHeight="1" x14ac:dyDescent="0.25">
      <c r="A8501" s="3">
        <v>44562</v>
      </c>
      <c r="B8501" s="2" t="s">
        <v>65</v>
      </c>
      <c r="C8501" s="2">
        <v>0.9</v>
      </c>
      <c r="D8501" s="2">
        <v>2.1899999999999999E-2</v>
      </c>
      <c r="E8501" s="2">
        <v>1.9709999999999999E-4</v>
      </c>
      <c r="F8501" s="2" t="s">
        <v>7</v>
      </c>
    </row>
    <row r="8502" spans="1:6" ht="22.5" hidden="1" customHeight="1" x14ac:dyDescent="0.25">
      <c r="A8502" s="3">
        <v>44562</v>
      </c>
      <c r="B8502" s="2" t="s">
        <v>66</v>
      </c>
      <c r="C8502" s="2">
        <v>-0.54</v>
      </c>
      <c r="D8502" s="2">
        <v>0.35310000000000002</v>
      </c>
      <c r="E8502" s="2">
        <v>-1.9067400000000001E-3</v>
      </c>
      <c r="F8502" s="2" t="s">
        <v>7</v>
      </c>
    </row>
    <row r="8503" spans="1:6" ht="22.5" hidden="1" customHeight="1" x14ac:dyDescent="0.25">
      <c r="A8503" s="3">
        <v>44562</v>
      </c>
      <c r="B8503" s="2" t="s">
        <v>67</v>
      </c>
      <c r="C8503" s="2">
        <v>-4.93</v>
      </c>
      <c r="D8503" s="2">
        <v>3.5999999999999999E-3</v>
      </c>
      <c r="E8503" s="2">
        <v>-1.7747999999999999E-4</v>
      </c>
      <c r="F8503" s="2" t="s">
        <v>7</v>
      </c>
    </row>
    <row r="8504" spans="1:6" ht="22.5" hidden="1" customHeight="1" x14ac:dyDescent="0.25">
      <c r="A8504" s="3">
        <v>44562</v>
      </c>
      <c r="B8504" s="2" t="s">
        <v>68</v>
      </c>
      <c r="C8504" s="2">
        <v>4.42</v>
      </c>
      <c r="D8504" s="2">
        <v>1.18E-2</v>
      </c>
      <c r="E8504" s="2">
        <v>5.2156000000000001E-4</v>
      </c>
      <c r="F8504" s="2" t="s">
        <v>7</v>
      </c>
    </row>
    <row r="8505" spans="1:6" ht="22.5" hidden="1" customHeight="1" x14ac:dyDescent="0.25">
      <c r="A8505" s="3">
        <v>44562</v>
      </c>
      <c r="B8505" s="2" t="s">
        <v>69</v>
      </c>
      <c r="C8505" s="2">
        <v>1.82</v>
      </c>
      <c r="D8505" s="2">
        <v>0.49890000000000001</v>
      </c>
      <c r="E8505" s="2">
        <v>9.0799799999999996E-3</v>
      </c>
      <c r="F8505" s="2" t="s">
        <v>7</v>
      </c>
    </row>
    <row r="8506" spans="1:6" ht="22.5" hidden="1" customHeight="1" x14ac:dyDescent="0.25">
      <c r="A8506" s="3">
        <v>44562</v>
      </c>
      <c r="B8506" s="2" t="s">
        <v>70</v>
      </c>
      <c r="C8506" s="2">
        <v>3.87</v>
      </c>
      <c r="D8506" s="2">
        <v>0.03</v>
      </c>
      <c r="E8506" s="2">
        <v>1.1609999999999999E-3</v>
      </c>
      <c r="F8506" s="2" t="s">
        <v>7</v>
      </c>
    </row>
    <row r="8507" spans="1:6" ht="22.5" hidden="1" customHeight="1" x14ac:dyDescent="0.25">
      <c r="A8507" s="3">
        <v>44562</v>
      </c>
      <c r="B8507" s="2" t="s">
        <v>71</v>
      </c>
      <c r="C8507" s="2">
        <v>1.44</v>
      </c>
      <c r="D8507" s="2">
        <v>0.3417</v>
      </c>
      <c r="E8507" s="2">
        <v>4.9204799999999996E-3</v>
      </c>
      <c r="F8507" s="2" t="s">
        <v>7</v>
      </c>
    </row>
    <row r="8508" spans="1:6" ht="22.5" hidden="1" customHeight="1" x14ac:dyDescent="0.25">
      <c r="A8508" s="3">
        <v>44562</v>
      </c>
      <c r="B8508" s="2" t="s">
        <v>72</v>
      </c>
      <c r="C8508" s="2">
        <v>1.1299999999999999</v>
      </c>
      <c r="D8508" s="2">
        <v>0.37409999999999999</v>
      </c>
      <c r="E8508" s="2">
        <v>4.2273299999999996E-3</v>
      </c>
      <c r="F8508" s="2" t="s">
        <v>7</v>
      </c>
    </row>
    <row r="8509" spans="1:6" ht="22.5" hidden="1" customHeight="1" x14ac:dyDescent="0.25">
      <c r="A8509" s="3">
        <v>44562</v>
      </c>
      <c r="B8509" s="2" t="s">
        <v>73</v>
      </c>
      <c r="C8509" s="2">
        <v>0.02</v>
      </c>
      <c r="D8509" s="2">
        <v>0.18360000000000001</v>
      </c>
      <c r="E8509" s="2">
        <v>3.6720000000000001E-5</v>
      </c>
      <c r="F8509" s="2" t="s">
        <v>7</v>
      </c>
    </row>
    <row r="8510" spans="1:6" ht="22.5" hidden="1" customHeight="1" x14ac:dyDescent="0.25">
      <c r="A8510" s="3">
        <v>44562</v>
      </c>
      <c r="B8510" s="2" t="s">
        <v>74</v>
      </c>
      <c r="C8510" s="2">
        <v>2.69</v>
      </c>
      <c r="D8510" s="2">
        <v>9.4000000000000004E-3</v>
      </c>
      <c r="E8510" s="2">
        <v>2.5285999999999999E-4</v>
      </c>
      <c r="F8510" s="2" t="s">
        <v>7</v>
      </c>
    </row>
    <row r="8511" spans="1:6" ht="22.5" hidden="1" customHeight="1" x14ac:dyDescent="0.25">
      <c r="A8511" s="3">
        <v>44562</v>
      </c>
      <c r="B8511" s="2" t="s">
        <v>75</v>
      </c>
      <c r="C8511" s="2">
        <v>3.43</v>
      </c>
      <c r="D8511" s="2">
        <v>7.9799999999999996E-2</v>
      </c>
      <c r="E8511" s="2">
        <v>2.7371399999999999E-3</v>
      </c>
      <c r="F8511" s="2" t="s">
        <v>7</v>
      </c>
    </row>
    <row r="8512" spans="1:6" ht="22.5" hidden="1" customHeight="1" x14ac:dyDescent="0.25">
      <c r="A8512" s="3">
        <v>44562</v>
      </c>
      <c r="B8512" s="2" t="s">
        <v>76</v>
      </c>
      <c r="C8512" s="2">
        <v>1.1000000000000001</v>
      </c>
      <c r="D8512" s="2">
        <v>0.16800000000000001</v>
      </c>
      <c r="E8512" s="2">
        <v>1.848E-3</v>
      </c>
      <c r="F8512" s="2" t="s">
        <v>7</v>
      </c>
    </row>
    <row r="8513" spans="1:6" ht="22.5" hidden="1" customHeight="1" x14ac:dyDescent="0.25">
      <c r="A8513" s="3">
        <v>44562</v>
      </c>
      <c r="B8513" s="2" t="s">
        <v>77</v>
      </c>
      <c r="C8513" s="2">
        <v>0.26</v>
      </c>
      <c r="D8513" s="2">
        <v>0.1124</v>
      </c>
      <c r="E8513" s="2">
        <v>2.9223999999999998E-4</v>
      </c>
      <c r="F8513" s="2" t="s">
        <v>7</v>
      </c>
    </row>
    <row r="8514" spans="1:6" ht="22.5" hidden="1" customHeight="1" x14ac:dyDescent="0.25">
      <c r="A8514" s="3">
        <v>44562</v>
      </c>
      <c r="B8514" s="2" t="s">
        <v>78</v>
      </c>
      <c r="C8514" s="2">
        <v>2.61</v>
      </c>
      <c r="D8514" s="2">
        <v>0.2923</v>
      </c>
      <c r="E8514" s="2">
        <v>7.6290300000000002E-3</v>
      </c>
      <c r="F8514" s="2" t="s">
        <v>7</v>
      </c>
    </row>
    <row r="8515" spans="1:6" ht="22.5" hidden="1" customHeight="1" x14ac:dyDescent="0.25">
      <c r="A8515" s="3">
        <v>44562</v>
      </c>
      <c r="B8515" s="2" t="s">
        <v>79</v>
      </c>
      <c r="C8515" s="2">
        <v>-3.5</v>
      </c>
      <c r="D8515" s="2">
        <v>1.21E-2</v>
      </c>
      <c r="E8515" s="2">
        <v>-4.2349999999999999E-4</v>
      </c>
      <c r="F8515" s="2" t="s">
        <v>7</v>
      </c>
    </row>
    <row r="8516" spans="1:6" ht="22.5" hidden="1" customHeight="1" x14ac:dyDescent="0.25">
      <c r="A8516" s="3">
        <v>44562</v>
      </c>
      <c r="B8516" s="2" t="s">
        <v>80</v>
      </c>
      <c r="C8516" s="2">
        <v>-0.33</v>
      </c>
      <c r="D8516" s="2">
        <v>3.5999999999999997E-2</v>
      </c>
      <c r="E8516" s="2">
        <v>-1.188E-4</v>
      </c>
      <c r="F8516" s="2" t="s">
        <v>7</v>
      </c>
    </row>
    <row r="8517" spans="1:6" ht="22.5" hidden="1" customHeight="1" x14ac:dyDescent="0.25">
      <c r="A8517" s="3">
        <v>44562</v>
      </c>
      <c r="B8517" s="2" t="s">
        <v>81</v>
      </c>
      <c r="C8517" s="2">
        <v>0.28999999999999998</v>
      </c>
      <c r="D8517" s="2">
        <v>0.36759999999999998</v>
      </c>
      <c r="E8517" s="2">
        <v>1.0660400000000001E-3</v>
      </c>
      <c r="F8517" s="2" t="s">
        <v>7</v>
      </c>
    </row>
    <row r="8518" spans="1:6" ht="22.5" hidden="1" customHeight="1" x14ac:dyDescent="0.25">
      <c r="A8518" s="3">
        <v>44562</v>
      </c>
      <c r="B8518" s="2" t="s">
        <v>82</v>
      </c>
      <c r="C8518" s="2">
        <v>5.56</v>
      </c>
      <c r="D8518" s="2">
        <v>4.7199999999999999E-2</v>
      </c>
      <c r="E8518" s="2">
        <v>2.6243199999999999E-3</v>
      </c>
      <c r="F8518" s="2" t="s">
        <v>7</v>
      </c>
    </row>
    <row r="8519" spans="1:6" ht="22.5" hidden="1" customHeight="1" x14ac:dyDescent="0.25">
      <c r="A8519" s="3">
        <v>44562</v>
      </c>
      <c r="B8519" s="2" t="s">
        <v>83</v>
      </c>
      <c r="C8519" s="2">
        <v>1.24</v>
      </c>
      <c r="D8519" s="2">
        <v>5.9999999999999995E-4</v>
      </c>
      <c r="E8519" s="2">
        <v>7.4399999999999999E-6</v>
      </c>
      <c r="F8519" s="2" t="s">
        <v>7</v>
      </c>
    </row>
    <row r="8520" spans="1:6" ht="22.5" hidden="1" customHeight="1" x14ac:dyDescent="0.25">
      <c r="A8520" s="3">
        <v>44562</v>
      </c>
      <c r="B8520" s="2" t="s">
        <v>84</v>
      </c>
      <c r="C8520" s="2">
        <v>2.25</v>
      </c>
      <c r="D8520" s="2">
        <v>2.1000000000000001E-2</v>
      </c>
      <c r="E8520" s="2">
        <v>4.7249999999999999E-4</v>
      </c>
      <c r="F8520" s="2" t="s">
        <v>7</v>
      </c>
    </row>
    <row r="8521" spans="1:6" ht="22.5" hidden="1" customHeight="1" x14ac:dyDescent="0.25">
      <c r="A8521" s="3">
        <v>44562</v>
      </c>
      <c r="B8521" s="2" t="s">
        <v>85</v>
      </c>
      <c r="C8521" s="2">
        <v>1.24</v>
      </c>
      <c r="D8521" s="2">
        <v>5.3E-3</v>
      </c>
      <c r="E8521" s="2">
        <v>6.5720000000000001E-5</v>
      </c>
      <c r="F8521" s="2" t="s">
        <v>7</v>
      </c>
    </row>
    <row r="8522" spans="1:6" ht="22.5" hidden="1" customHeight="1" x14ac:dyDescent="0.25">
      <c r="A8522" s="3">
        <v>44562</v>
      </c>
      <c r="B8522" s="2" t="s">
        <v>86</v>
      </c>
      <c r="C8522" s="2">
        <v>2.13</v>
      </c>
      <c r="D8522" s="2">
        <v>2.3199999999999998E-2</v>
      </c>
      <c r="E8522" s="2">
        <v>4.9416E-4</v>
      </c>
      <c r="F8522" s="2" t="s">
        <v>7</v>
      </c>
    </row>
    <row r="8523" spans="1:6" ht="22.5" hidden="1" customHeight="1" x14ac:dyDescent="0.25">
      <c r="A8523" s="3">
        <v>44562</v>
      </c>
      <c r="B8523" s="2" t="s">
        <v>87</v>
      </c>
      <c r="C8523" s="2">
        <v>-1.47</v>
      </c>
      <c r="D8523" s="2">
        <v>1.1000000000000001E-3</v>
      </c>
      <c r="E8523" s="2">
        <v>-1.6169999999999999E-5</v>
      </c>
      <c r="F8523" s="2" t="s">
        <v>7</v>
      </c>
    </row>
    <row r="8524" spans="1:6" ht="22.5" hidden="1" customHeight="1" x14ac:dyDescent="0.25">
      <c r="A8524" s="3">
        <v>44562</v>
      </c>
      <c r="B8524" s="2" t="s">
        <v>88</v>
      </c>
      <c r="C8524" s="2">
        <v>1.59</v>
      </c>
      <c r="D8524" s="2">
        <v>6.4999999999999997E-3</v>
      </c>
      <c r="E8524" s="2">
        <v>1.0335E-4</v>
      </c>
      <c r="F8524" s="2" t="s">
        <v>7</v>
      </c>
    </row>
    <row r="8525" spans="1:6" ht="22.5" hidden="1" customHeight="1" x14ac:dyDescent="0.25">
      <c r="A8525" s="3">
        <v>44562</v>
      </c>
      <c r="B8525" s="2" t="s">
        <v>89</v>
      </c>
      <c r="C8525" s="2">
        <v>2.02</v>
      </c>
      <c r="D8525" s="2">
        <v>1.7100000000000001E-2</v>
      </c>
      <c r="E8525" s="2">
        <v>3.4541999999999998E-4</v>
      </c>
      <c r="F8525" s="2" t="s">
        <v>7</v>
      </c>
    </row>
    <row r="8526" spans="1:6" ht="22.5" hidden="1" customHeight="1" x14ac:dyDescent="0.25">
      <c r="A8526" s="3">
        <v>44562</v>
      </c>
      <c r="B8526" s="2" t="s">
        <v>90</v>
      </c>
      <c r="C8526" s="2">
        <v>0.27</v>
      </c>
      <c r="D8526" s="2">
        <v>1.6000000000000001E-3</v>
      </c>
      <c r="E8526" s="2">
        <v>4.3200000000000001E-6</v>
      </c>
      <c r="F8526" s="2" t="s">
        <v>7</v>
      </c>
    </row>
    <row r="8527" spans="1:6" ht="22.5" hidden="1" customHeight="1" x14ac:dyDescent="0.25">
      <c r="A8527" s="3">
        <v>44562</v>
      </c>
      <c r="B8527" s="2" t="s">
        <v>91</v>
      </c>
      <c r="C8527" s="2">
        <v>-1.51</v>
      </c>
      <c r="D8527" s="2">
        <v>2.4899999999999999E-2</v>
      </c>
      <c r="E8527" s="2">
        <v>-3.7598999999999998E-4</v>
      </c>
      <c r="F8527" s="2" t="s">
        <v>7</v>
      </c>
    </row>
    <row r="8528" spans="1:6" ht="22.5" hidden="1" customHeight="1" x14ac:dyDescent="0.25">
      <c r="A8528" s="3">
        <v>44562</v>
      </c>
      <c r="B8528" s="2" t="s">
        <v>92</v>
      </c>
      <c r="C8528" s="2">
        <v>0.5</v>
      </c>
      <c r="D8528" s="2">
        <v>4.8999999999999998E-3</v>
      </c>
      <c r="E8528" s="2">
        <v>2.4499999999999999E-5</v>
      </c>
      <c r="F8528" s="2" t="s">
        <v>7</v>
      </c>
    </row>
    <row r="8529" spans="1:6" ht="22.5" hidden="1" customHeight="1" x14ac:dyDescent="0.25">
      <c r="A8529" s="3">
        <v>44562</v>
      </c>
      <c r="B8529" s="2" t="s">
        <v>93</v>
      </c>
      <c r="C8529" s="2">
        <v>1.24</v>
      </c>
      <c r="D8529" s="2">
        <v>1.1000000000000001E-3</v>
      </c>
      <c r="E8529" s="2">
        <v>1.364E-5</v>
      </c>
      <c r="F8529" s="2" t="s">
        <v>7</v>
      </c>
    </row>
    <row r="8530" spans="1:6" ht="22.5" hidden="1" customHeight="1" x14ac:dyDescent="0.25">
      <c r="A8530" s="3">
        <v>44562</v>
      </c>
      <c r="B8530" s="2" t="s">
        <v>94</v>
      </c>
      <c r="C8530" s="2">
        <v>-2.12</v>
      </c>
      <c r="D8530" s="2">
        <v>1E-3</v>
      </c>
      <c r="E8530" s="2">
        <v>-2.12E-5</v>
      </c>
      <c r="F8530" s="2" t="s">
        <v>7</v>
      </c>
    </row>
    <row r="8531" spans="1:6" ht="22.5" hidden="1" customHeight="1" x14ac:dyDescent="0.25">
      <c r="A8531" s="3">
        <v>44562</v>
      </c>
      <c r="B8531" s="2" t="s">
        <v>95</v>
      </c>
      <c r="C8531" s="2">
        <v>0.73</v>
      </c>
      <c r="D8531" s="2">
        <v>1.5800000000000002E-2</v>
      </c>
      <c r="E8531" s="2">
        <v>1.1534E-4</v>
      </c>
      <c r="F8531" s="2" t="s">
        <v>7</v>
      </c>
    </row>
    <row r="8532" spans="1:6" ht="22.5" hidden="1" customHeight="1" x14ac:dyDescent="0.25">
      <c r="A8532" s="3">
        <v>44562</v>
      </c>
      <c r="B8532" s="2" t="s">
        <v>96</v>
      </c>
      <c r="C8532" s="2">
        <v>-0.19</v>
      </c>
      <c r="D8532" s="2">
        <v>4.6899999999999997E-2</v>
      </c>
      <c r="E8532" s="2">
        <v>-8.9110000000000006E-5</v>
      </c>
      <c r="F8532" s="2" t="s">
        <v>7</v>
      </c>
    </row>
    <row r="8533" spans="1:6" ht="22.5" hidden="1" customHeight="1" x14ac:dyDescent="0.25">
      <c r="A8533" s="3">
        <v>44562</v>
      </c>
      <c r="B8533" s="2" t="s">
        <v>97</v>
      </c>
      <c r="C8533" s="2">
        <v>2.0299999999999998</v>
      </c>
      <c r="D8533" s="2">
        <v>1.04E-2</v>
      </c>
      <c r="E8533" s="2">
        <v>2.1112E-4</v>
      </c>
      <c r="F8533" s="2" t="s">
        <v>7</v>
      </c>
    </row>
    <row r="8534" spans="1:6" ht="22.5" hidden="1" customHeight="1" x14ac:dyDescent="0.25">
      <c r="A8534" s="3">
        <v>44562</v>
      </c>
      <c r="B8534" s="2" t="s">
        <v>98</v>
      </c>
      <c r="C8534" s="2">
        <v>-0.88</v>
      </c>
      <c r="D8534" s="2">
        <v>6.1999999999999998E-3</v>
      </c>
      <c r="E8534" s="2">
        <v>-5.4559999999999999E-5</v>
      </c>
      <c r="F8534" s="2" t="s">
        <v>7</v>
      </c>
    </row>
    <row r="8535" spans="1:6" ht="22.5" hidden="1" customHeight="1" x14ac:dyDescent="0.25">
      <c r="A8535" s="3">
        <v>44562</v>
      </c>
      <c r="B8535" s="2" t="s">
        <v>99</v>
      </c>
      <c r="C8535" s="2">
        <v>0.81</v>
      </c>
      <c r="D8535" s="2">
        <v>3.3999999999999998E-3</v>
      </c>
      <c r="E8535" s="2">
        <v>2.7540000000000001E-5</v>
      </c>
      <c r="F8535" s="2" t="s">
        <v>7</v>
      </c>
    </row>
    <row r="8536" spans="1:6" ht="22.5" hidden="1" customHeight="1" x14ac:dyDescent="0.25">
      <c r="A8536" s="3">
        <v>44562</v>
      </c>
      <c r="B8536" s="2" t="s">
        <v>100</v>
      </c>
      <c r="C8536" s="2">
        <v>-1.61</v>
      </c>
      <c r="D8536" s="2">
        <v>5.9999999999999995E-4</v>
      </c>
      <c r="E8536" s="2">
        <v>-9.6600000000000007E-6</v>
      </c>
      <c r="F8536" s="2" t="s">
        <v>7</v>
      </c>
    </row>
    <row r="8537" spans="1:6" ht="22.5" hidden="1" customHeight="1" x14ac:dyDescent="0.25">
      <c r="A8537" s="3">
        <v>44562</v>
      </c>
      <c r="B8537" s="2" t="s">
        <v>101</v>
      </c>
      <c r="C8537" s="2">
        <v>0.57999999999999996</v>
      </c>
      <c r="D8537" s="2">
        <v>9.7600000000000006E-2</v>
      </c>
      <c r="E8537" s="2">
        <v>5.6607999999999995E-4</v>
      </c>
      <c r="F8537" s="2" t="s">
        <v>7</v>
      </c>
    </row>
    <row r="8538" spans="1:6" ht="22.5" hidden="1" customHeight="1" x14ac:dyDescent="0.25">
      <c r="A8538" s="3">
        <v>44562</v>
      </c>
      <c r="B8538" s="2" t="s">
        <v>102</v>
      </c>
      <c r="C8538" s="2">
        <v>0.4</v>
      </c>
      <c r="D8538" s="2">
        <v>4.6199999999999998E-2</v>
      </c>
      <c r="E8538" s="2">
        <v>1.8479999999999999E-4</v>
      </c>
      <c r="F8538" s="2" t="s">
        <v>7</v>
      </c>
    </row>
    <row r="8539" spans="1:6" ht="22.5" hidden="1" customHeight="1" x14ac:dyDescent="0.25">
      <c r="A8539" s="3">
        <v>44562</v>
      </c>
      <c r="B8539" s="2" t="s">
        <v>103</v>
      </c>
      <c r="C8539" s="2">
        <v>-0.78</v>
      </c>
      <c r="D8539" s="2">
        <v>0.3619</v>
      </c>
      <c r="E8539" s="2">
        <v>-2.8228200000000002E-3</v>
      </c>
      <c r="F8539" s="2" t="s">
        <v>7</v>
      </c>
    </row>
    <row r="8540" spans="1:6" ht="22.5" hidden="1" customHeight="1" x14ac:dyDescent="0.25">
      <c r="A8540" s="3">
        <v>44562</v>
      </c>
      <c r="B8540" s="2" t="s">
        <v>104</v>
      </c>
      <c r="C8540" s="2">
        <v>0.54</v>
      </c>
      <c r="D8540" s="2">
        <v>5.2400000000000002E-2</v>
      </c>
      <c r="E8540" s="2">
        <v>2.8296000000000001E-4</v>
      </c>
      <c r="F8540" s="2" t="s">
        <v>7</v>
      </c>
    </row>
    <row r="8541" spans="1:6" ht="22.5" hidden="1" customHeight="1" x14ac:dyDescent="0.25">
      <c r="A8541" s="3">
        <v>44562</v>
      </c>
      <c r="B8541" s="2" t="s">
        <v>105</v>
      </c>
      <c r="C8541" s="2">
        <v>-2</v>
      </c>
      <c r="D8541" s="2">
        <v>8.8999999999999999E-3</v>
      </c>
      <c r="E8541" s="2">
        <v>-1.7799999999999999E-4</v>
      </c>
      <c r="F8541" s="2" t="s">
        <v>7</v>
      </c>
    </row>
    <row r="8542" spans="1:6" ht="22.5" hidden="1" customHeight="1" x14ac:dyDescent="0.25">
      <c r="A8542" s="3">
        <v>44562</v>
      </c>
      <c r="B8542" s="2" t="s">
        <v>106</v>
      </c>
      <c r="C8542" s="2">
        <v>0.31</v>
      </c>
      <c r="D8542" s="2">
        <v>8.0999999999999996E-3</v>
      </c>
      <c r="E8542" s="2">
        <v>2.5109999999999998E-5</v>
      </c>
      <c r="F8542" s="2" t="s">
        <v>7</v>
      </c>
    </row>
    <row r="8543" spans="1:6" ht="22.5" hidden="1" customHeight="1" x14ac:dyDescent="0.25">
      <c r="A8543" s="3">
        <v>44562</v>
      </c>
      <c r="B8543" s="2" t="s">
        <v>107</v>
      </c>
      <c r="C8543" s="2">
        <v>0.88</v>
      </c>
      <c r="D8543" s="2">
        <v>0.11600000000000001</v>
      </c>
      <c r="E8543" s="2">
        <v>1.0208000000000001E-3</v>
      </c>
      <c r="F8543" s="2" t="s">
        <v>7</v>
      </c>
    </row>
    <row r="8544" spans="1:6" ht="22.5" hidden="1" customHeight="1" x14ac:dyDescent="0.25">
      <c r="A8544" s="3">
        <v>44562</v>
      </c>
      <c r="B8544" s="2" t="s">
        <v>108</v>
      </c>
      <c r="C8544" s="2">
        <v>0.78</v>
      </c>
      <c r="D8544" s="2">
        <v>7.1999999999999998E-3</v>
      </c>
      <c r="E8544" s="2">
        <v>5.6159999999999998E-5</v>
      </c>
      <c r="F8544" s="2" t="s">
        <v>7</v>
      </c>
    </row>
    <row r="8545" spans="1:6" ht="22.5" hidden="1" customHeight="1" x14ac:dyDescent="0.25">
      <c r="A8545" s="3">
        <v>44562</v>
      </c>
      <c r="B8545" s="2" t="s">
        <v>109</v>
      </c>
      <c r="C8545" s="2">
        <v>-0.48</v>
      </c>
      <c r="D8545" s="2">
        <v>0.38500000000000001</v>
      </c>
      <c r="E8545" s="2">
        <v>-1.848E-3</v>
      </c>
      <c r="F8545" s="2" t="s">
        <v>7</v>
      </c>
    </row>
    <row r="8546" spans="1:6" ht="22.5" hidden="1" customHeight="1" x14ac:dyDescent="0.25">
      <c r="A8546" s="3">
        <v>44562</v>
      </c>
      <c r="B8546" s="2" t="s">
        <v>110</v>
      </c>
      <c r="C8546" s="2">
        <v>-0.25</v>
      </c>
      <c r="D8546" s="2">
        <v>0.71709999999999996</v>
      </c>
      <c r="E8546" s="2">
        <v>-1.7927500000000001E-3</v>
      </c>
      <c r="F8546" s="2" t="s">
        <v>7</v>
      </c>
    </row>
    <row r="8547" spans="1:6" ht="22.5" hidden="1" customHeight="1" x14ac:dyDescent="0.25">
      <c r="A8547" s="3">
        <v>44562</v>
      </c>
      <c r="B8547" s="2" t="s">
        <v>111</v>
      </c>
      <c r="C8547" s="2">
        <v>-0.01</v>
      </c>
      <c r="D8547" s="2">
        <v>0.24299999999999999</v>
      </c>
      <c r="E8547" s="2">
        <v>-2.4300000000000001E-5</v>
      </c>
      <c r="F8547" s="2" t="s">
        <v>7</v>
      </c>
    </row>
    <row r="8548" spans="1:6" ht="22.5" hidden="1" customHeight="1" x14ac:dyDescent="0.25">
      <c r="A8548" s="3">
        <v>44562</v>
      </c>
      <c r="B8548" s="2" t="s">
        <v>112</v>
      </c>
      <c r="C8548" s="2">
        <v>-1.7</v>
      </c>
      <c r="D8548" s="2">
        <v>0.66539999999999999</v>
      </c>
      <c r="E8548" s="2">
        <v>-1.13118E-2</v>
      </c>
      <c r="F8548" s="2" t="s">
        <v>7</v>
      </c>
    </row>
    <row r="8549" spans="1:6" ht="22.5" hidden="1" customHeight="1" x14ac:dyDescent="0.25">
      <c r="A8549" s="3">
        <v>44562</v>
      </c>
      <c r="B8549" s="2" t="s">
        <v>113</v>
      </c>
      <c r="C8549" s="2">
        <v>1.23</v>
      </c>
      <c r="D8549" s="2">
        <v>2.0199999999999999E-2</v>
      </c>
      <c r="E8549" s="2">
        <v>2.4845999999999999E-4</v>
      </c>
      <c r="F8549" s="2" t="s">
        <v>7</v>
      </c>
    </row>
    <row r="8550" spans="1:6" ht="22.5" hidden="1" customHeight="1" x14ac:dyDescent="0.25">
      <c r="A8550" s="3">
        <v>44562</v>
      </c>
      <c r="B8550" s="2" t="s">
        <v>114</v>
      </c>
      <c r="C8550" s="2">
        <v>0.28999999999999998</v>
      </c>
      <c r="D8550" s="2">
        <v>0.1991</v>
      </c>
      <c r="E8550" s="2">
        <v>5.7739E-4</v>
      </c>
      <c r="F8550" s="2" t="s">
        <v>7</v>
      </c>
    </row>
    <row r="8551" spans="1:6" ht="22.5" hidden="1" customHeight="1" x14ac:dyDescent="0.25">
      <c r="A8551" s="3">
        <v>44562</v>
      </c>
      <c r="B8551" s="2" t="s">
        <v>115</v>
      </c>
      <c r="C8551" s="2">
        <v>-0.02</v>
      </c>
      <c r="D8551" s="2">
        <v>0.54110000000000003</v>
      </c>
      <c r="E8551" s="2">
        <v>-1.0822E-4</v>
      </c>
      <c r="F8551" s="2" t="s">
        <v>7</v>
      </c>
    </row>
    <row r="8552" spans="1:6" ht="22.5" hidden="1" customHeight="1" x14ac:dyDescent="0.25">
      <c r="A8552" s="3">
        <v>44562</v>
      </c>
      <c r="B8552" s="2" t="s">
        <v>116</v>
      </c>
      <c r="C8552" s="2">
        <v>0.35</v>
      </c>
      <c r="D8552" s="2">
        <v>0.1542</v>
      </c>
      <c r="E8552" s="2">
        <v>5.3970000000000005E-4</v>
      </c>
      <c r="F8552" s="2" t="s">
        <v>7</v>
      </c>
    </row>
    <row r="8553" spans="1:6" ht="22.5" hidden="1" customHeight="1" x14ac:dyDescent="0.25">
      <c r="A8553" s="3">
        <v>44562</v>
      </c>
      <c r="B8553" s="2" t="s">
        <v>117</v>
      </c>
      <c r="C8553" s="2">
        <v>1.93</v>
      </c>
      <c r="D8553" s="2">
        <v>5.79E-2</v>
      </c>
      <c r="E8553" s="2">
        <v>1.11747E-3</v>
      </c>
      <c r="F8553" s="2" t="s">
        <v>7</v>
      </c>
    </row>
    <row r="8554" spans="1:6" ht="22.5" hidden="1" customHeight="1" x14ac:dyDescent="0.25">
      <c r="A8554" s="3">
        <v>44562</v>
      </c>
      <c r="B8554" s="2" t="s">
        <v>118</v>
      </c>
      <c r="C8554" s="2">
        <v>0.09</v>
      </c>
      <c r="D8554" s="2">
        <v>6.1499999999999999E-2</v>
      </c>
      <c r="E8554" s="2">
        <v>5.5349999999999997E-5</v>
      </c>
      <c r="F8554" s="2" t="s">
        <v>7</v>
      </c>
    </row>
    <row r="8555" spans="1:6" ht="22.5" hidden="1" customHeight="1" x14ac:dyDescent="0.25">
      <c r="A8555" s="3">
        <v>44562</v>
      </c>
      <c r="B8555" s="2" t="s">
        <v>119</v>
      </c>
      <c r="C8555" s="2">
        <v>0.19</v>
      </c>
      <c r="D8555" s="2">
        <v>1.03E-2</v>
      </c>
      <c r="E8555" s="2">
        <v>1.9570000000000001E-5</v>
      </c>
      <c r="F8555" s="2" t="s">
        <v>7</v>
      </c>
    </row>
    <row r="8556" spans="1:6" ht="22.5" hidden="1" customHeight="1" x14ac:dyDescent="0.25">
      <c r="A8556" s="3">
        <v>44562</v>
      </c>
      <c r="B8556" s="2" t="s">
        <v>120</v>
      </c>
      <c r="C8556" s="2">
        <v>1.43</v>
      </c>
      <c r="D8556" s="2">
        <v>0.43740000000000001</v>
      </c>
      <c r="E8556" s="2">
        <v>6.2548200000000003E-3</v>
      </c>
      <c r="F8556" s="2" t="s">
        <v>7</v>
      </c>
    </row>
    <row r="8557" spans="1:6" ht="22.5" hidden="1" customHeight="1" x14ac:dyDescent="0.25">
      <c r="A8557" s="3">
        <v>44562</v>
      </c>
      <c r="B8557" s="2" t="s">
        <v>121</v>
      </c>
      <c r="C8557" s="2">
        <v>0.69</v>
      </c>
      <c r="D8557" s="2">
        <v>0.76029999999999998</v>
      </c>
      <c r="E8557" s="2">
        <v>5.2460700000000002E-3</v>
      </c>
      <c r="F8557" s="2" t="s">
        <v>7</v>
      </c>
    </row>
    <row r="8558" spans="1:6" ht="22.5" hidden="1" customHeight="1" x14ac:dyDescent="0.25">
      <c r="A8558" s="3">
        <v>44562</v>
      </c>
      <c r="B8558" s="2" t="s">
        <v>122</v>
      </c>
      <c r="C8558" s="2">
        <v>1.45</v>
      </c>
      <c r="D8558" s="2">
        <v>7.9299999999999995E-2</v>
      </c>
      <c r="E8558" s="2">
        <v>1.14985E-3</v>
      </c>
      <c r="F8558" s="2" t="s">
        <v>7</v>
      </c>
    </row>
    <row r="8559" spans="1:6" ht="22.5" hidden="1" customHeight="1" x14ac:dyDescent="0.25">
      <c r="A8559" s="3">
        <v>44562</v>
      </c>
      <c r="B8559" s="2" t="s">
        <v>123</v>
      </c>
      <c r="C8559" s="2">
        <v>2.4700000000000002</v>
      </c>
      <c r="D8559" s="2">
        <v>9.8900000000000002E-2</v>
      </c>
      <c r="E8559" s="2">
        <v>2.44283E-3</v>
      </c>
      <c r="F8559" s="2" t="s">
        <v>7</v>
      </c>
    </row>
    <row r="8560" spans="1:6" ht="22.5" hidden="1" customHeight="1" x14ac:dyDescent="0.25">
      <c r="A8560" s="3">
        <v>44562</v>
      </c>
      <c r="B8560" s="2" t="s">
        <v>124</v>
      </c>
      <c r="C8560" s="2">
        <v>0.37</v>
      </c>
      <c r="D8560" s="2">
        <v>0.13270000000000001</v>
      </c>
      <c r="E8560" s="2">
        <v>4.9098999999999996E-4</v>
      </c>
      <c r="F8560" s="2" t="s">
        <v>7</v>
      </c>
    </row>
    <row r="8561" spans="1:6" ht="22.5" hidden="1" customHeight="1" x14ac:dyDescent="0.25">
      <c r="A8561" s="3">
        <v>44562</v>
      </c>
      <c r="B8561" s="2" t="s">
        <v>125</v>
      </c>
      <c r="C8561" s="2">
        <v>1.21</v>
      </c>
      <c r="D8561" s="2">
        <v>3.2199999999999999E-2</v>
      </c>
      <c r="E8561" s="2">
        <v>3.8962000000000003E-4</v>
      </c>
      <c r="F8561" s="2" t="s">
        <v>7</v>
      </c>
    </row>
    <row r="8562" spans="1:6" ht="22.5" hidden="1" customHeight="1" x14ac:dyDescent="0.25">
      <c r="A8562" s="3">
        <v>44562</v>
      </c>
      <c r="B8562" s="2" t="s">
        <v>126</v>
      </c>
      <c r="C8562" s="2">
        <v>2.0099999999999998</v>
      </c>
      <c r="D8562" s="2">
        <v>0.31640000000000001</v>
      </c>
      <c r="E8562" s="2">
        <v>6.3596399999999997E-3</v>
      </c>
      <c r="F8562" s="2" t="s">
        <v>7</v>
      </c>
    </row>
    <row r="8563" spans="1:6" ht="22.5" hidden="1" customHeight="1" x14ac:dyDescent="0.25">
      <c r="A8563" s="3">
        <v>44562</v>
      </c>
      <c r="B8563" s="2" t="s">
        <v>127</v>
      </c>
      <c r="C8563" s="2">
        <v>1.72</v>
      </c>
      <c r="D8563" s="2">
        <v>6.7000000000000004E-2</v>
      </c>
      <c r="E8563" s="2">
        <v>1.1524E-3</v>
      </c>
      <c r="F8563" s="2" t="s">
        <v>7</v>
      </c>
    </row>
    <row r="8564" spans="1:6" ht="22.5" hidden="1" customHeight="1" x14ac:dyDescent="0.25">
      <c r="A8564" s="3">
        <v>44562</v>
      </c>
      <c r="B8564" s="2" t="s">
        <v>128</v>
      </c>
      <c r="C8564" s="2">
        <v>0.84</v>
      </c>
      <c r="D8564" s="2">
        <v>0.10730000000000001</v>
      </c>
      <c r="E8564" s="2">
        <v>9.0132000000000005E-4</v>
      </c>
      <c r="F8564" s="2" t="s">
        <v>7</v>
      </c>
    </row>
    <row r="8565" spans="1:6" ht="22.5" hidden="1" customHeight="1" x14ac:dyDescent="0.25">
      <c r="A8565" s="3">
        <v>44562</v>
      </c>
      <c r="B8565" s="2" t="s">
        <v>129</v>
      </c>
      <c r="C8565" s="2">
        <v>0.17</v>
      </c>
      <c r="D8565" s="2">
        <v>0.1203</v>
      </c>
      <c r="E8565" s="2">
        <v>2.0451000000000001E-4</v>
      </c>
      <c r="F8565" s="2" t="s">
        <v>7</v>
      </c>
    </row>
    <row r="8566" spans="1:6" ht="22.5" hidden="1" customHeight="1" x14ac:dyDescent="0.25">
      <c r="A8566" s="3">
        <v>44562</v>
      </c>
      <c r="B8566" s="2" t="s">
        <v>130</v>
      </c>
      <c r="C8566" s="2">
        <v>1.1599999999999999</v>
      </c>
      <c r="D8566" s="2">
        <v>1.29E-2</v>
      </c>
      <c r="E8566" s="2">
        <v>1.4964000000000001E-4</v>
      </c>
      <c r="F8566" s="2" t="s">
        <v>7</v>
      </c>
    </row>
    <row r="8567" spans="1:6" ht="22.5" hidden="1" customHeight="1" x14ac:dyDescent="0.25">
      <c r="A8567" s="3">
        <v>44562</v>
      </c>
      <c r="B8567" s="2" t="s">
        <v>131</v>
      </c>
      <c r="C8567" s="2">
        <v>6.33</v>
      </c>
      <c r="D8567" s="2">
        <v>5.1299999999999998E-2</v>
      </c>
      <c r="E8567" s="2">
        <v>3.2472899999999999E-3</v>
      </c>
      <c r="F8567" s="2" t="s">
        <v>7</v>
      </c>
    </row>
    <row r="8568" spans="1:6" ht="22.5" hidden="1" customHeight="1" x14ac:dyDescent="0.25">
      <c r="A8568" s="3">
        <v>44562</v>
      </c>
      <c r="B8568" s="2" t="s">
        <v>132</v>
      </c>
      <c r="C8568" s="2">
        <v>6.5</v>
      </c>
      <c r="D8568" s="2">
        <v>0.38529999999999998</v>
      </c>
      <c r="E8568" s="2">
        <v>2.5044500000000001E-2</v>
      </c>
      <c r="F8568" s="2" t="s">
        <v>7</v>
      </c>
    </row>
    <row r="8569" spans="1:6" ht="22.5" hidden="1" customHeight="1" x14ac:dyDescent="0.25">
      <c r="A8569" s="3">
        <v>44562</v>
      </c>
      <c r="B8569" s="2" t="s">
        <v>133</v>
      </c>
      <c r="C8569" s="2">
        <v>2.38</v>
      </c>
      <c r="D8569" s="2">
        <v>8.6999999999999994E-3</v>
      </c>
      <c r="E8569" s="2">
        <v>2.0706000000000001E-4</v>
      </c>
      <c r="F8569" s="2" t="s">
        <v>7</v>
      </c>
    </row>
    <row r="8570" spans="1:6" ht="22.5" hidden="1" customHeight="1" x14ac:dyDescent="0.25">
      <c r="A8570" s="3">
        <v>44562</v>
      </c>
      <c r="B8570" s="2" t="s">
        <v>134</v>
      </c>
      <c r="C8570" s="2">
        <v>1</v>
      </c>
      <c r="D8570" s="2">
        <v>0.49</v>
      </c>
      <c r="E8570" s="2">
        <v>4.8999999999999998E-3</v>
      </c>
      <c r="F8570" s="2" t="s">
        <v>7</v>
      </c>
    </row>
    <row r="8571" spans="1:6" ht="22.5" hidden="1" customHeight="1" x14ac:dyDescent="0.25">
      <c r="A8571" s="3">
        <v>44562</v>
      </c>
      <c r="B8571" s="2" t="s">
        <v>135</v>
      </c>
      <c r="C8571" s="2">
        <v>0.42</v>
      </c>
      <c r="D8571" s="2">
        <v>0.39910000000000001</v>
      </c>
      <c r="E8571" s="2">
        <v>1.67622E-3</v>
      </c>
      <c r="F8571" s="2" t="s">
        <v>7</v>
      </c>
    </row>
    <row r="8572" spans="1:6" ht="22.5" hidden="1" customHeight="1" x14ac:dyDescent="0.25">
      <c r="A8572" s="3">
        <v>44562</v>
      </c>
      <c r="B8572" s="2" t="s">
        <v>136</v>
      </c>
      <c r="C8572" s="2">
        <v>3.07</v>
      </c>
      <c r="D8572" s="2">
        <v>3.4799999999999998E-2</v>
      </c>
      <c r="E8572" s="2">
        <v>1.06836E-3</v>
      </c>
      <c r="F8572" s="2" t="s">
        <v>7</v>
      </c>
    </row>
    <row r="8573" spans="1:6" ht="22.5" hidden="1" customHeight="1" x14ac:dyDescent="0.25">
      <c r="A8573" s="3">
        <v>44562</v>
      </c>
      <c r="B8573" s="2" t="s">
        <v>137</v>
      </c>
      <c r="C8573" s="2">
        <v>0.79</v>
      </c>
      <c r="D8573" s="2">
        <v>6.4600000000000005E-2</v>
      </c>
      <c r="E8573" s="2">
        <v>5.1033999999999997E-4</v>
      </c>
      <c r="F8573" s="2" t="s">
        <v>7</v>
      </c>
    </row>
    <row r="8574" spans="1:6" ht="22.5" hidden="1" customHeight="1" x14ac:dyDescent="0.25">
      <c r="A8574" s="3">
        <v>44562</v>
      </c>
      <c r="B8574" s="2" t="s">
        <v>138</v>
      </c>
      <c r="C8574" s="2">
        <v>-0.18</v>
      </c>
      <c r="D8574" s="2">
        <v>4.4499999999999998E-2</v>
      </c>
      <c r="E8574" s="2">
        <v>-8.0099999999999995E-5</v>
      </c>
      <c r="F8574" s="2" t="s">
        <v>7</v>
      </c>
    </row>
    <row r="8575" spans="1:6" ht="22.5" hidden="1" customHeight="1" x14ac:dyDescent="0.25">
      <c r="A8575" s="3">
        <v>44562</v>
      </c>
      <c r="B8575" s="2" t="s">
        <v>139</v>
      </c>
      <c r="C8575" s="2">
        <v>0.62</v>
      </c>
      <c r="D8575" s="2">
        <v>2.46E-2</v>
      </c>
      <c r="E8575" s="2">
        <v>1.5252000000000001E-4</v>
      </c>
      <c r="F8575" s="2" t="s">
        <v>7</v>
      </c>
    </row>
    <row r="8576" spans="1:6" ht="22.5" hidden="1" customHeight="1" x14ac:dyDescent="0.25">
      <c r="A8576" s="3">
        <v>44562</v>
      </c>
      <c r="B8576" s="2" t="s">
        <v>140</v>
      </c>
      <c r="C8576" s="2">
        <v>3.09</v>
      </c>
      <c r="D8576" s="2">
        <v>2.3E-3</v>
      </c>
      <c r="E8576" s="2">
        <v>7.1069999999999995E-5</v>
      </c>
      <c r="F8576" s="2" t="s">
        <v>7</v>
      </c>
    </row>
    <row r="8577" spans="1:6" ht="22.5" hidden="1" customHeight="1" x14ac:dyDescent="0.25">
      <c r="A8577" s="3">
        <v>44562</v>
      </c>
      <c r="B8577" s="2" t="s">
        <v>141</v>
      </c>
      <c r="C8577" s="2">
        <v>1</v>
      </c>
      <c r="D8577" s="2">
        <v>1.95E-2</v>
      </c>
      <c r="E8577" s="2">
        <v>1.95E-4</v>
      </c>
      <c r="F8577" s="2" t="s">
        <v>7</v>
      </c>
    </row>
    <row r="8578" spans="1:6" ht="22.5" hidden="1" customHeight="1" x14ac:dyDescent="0.25">
      <c r="A8578" s="3">
        <v>44562</v>
      </c>
      <c r="B8578" s="2" t="s">
        <v>142</v>
      </c>
      <c r="C8578" s="2">
        <v>3.09</v>
      </c>
      <c r="D8578" s="2">
        <v>4.1999999999999997E-3</v>
      </c>
      <c r="E8578" s="2">
        <v>1.2977999999999999E-4</v>
      </c>
      <c r="F8578" s="2" t="s">
        <v>7</v>
      </c>
    </row>
    <row r="8579" spans="1:6" ht="22.5" hidden="1" customHeight="1" x14ac:dyDescent="0.25">
      <c r="A8579" s="3">
        <v>44562</v>
      </c>
      <c r="B8579" s="2" t="s">
        <v>143</v>
      </c>
      <c r="C8579" s="2">
        <v>2.3199999999999998</v>
      </c>
      <c r="D8579" s="2">
        <v>4.19E-2</v>
      </c>
      <c r="E8579" s="2">
        <v>9.7207999999999995E-4</v>
      </c>
      <c r="F8579" s="2" t="s">
        <v>7</v>
      </c>
    </row>
    <row r="8580" spans="1:6" ht="22.5" hidden="1" customHeight="1" x14ac:dyDescent="0.25">
      <c r="A8580" s="3">
        <v>44562</v>
      </c>
      <c r="B8580" s="2" t="s">
        <v>144</v>
      </c>
      <c r="C8580" s="2">
        <v>-1.01</v>
      </c>
      <c r="D8580" s="2">
        <v>1.6000000000000001E-3</v>
      </c>
      <c r="E8580" s="2">
        <v>-1.6160000000000001E-5</v>
      </c>
      <c r="F8580" s="2" t="s">
        <v>7</v>
      </c>
    </row>
    <row r="8581" spans="1:6" ht="22.5" hidden="1" customHeight="1" x14ac:dyDescent="0.25">
      <c r="A8581" s="3">
        <v>44562</v>
      </c>
      <c r="B8581" s="2" t="s">
        <v>145</v>
      </c>
      <c r="C8581" s="2">
        <v>-0.28999999999999998</v>
      </c>
      <c r="D8581" s="2">
        <v>1.5E-3</v>
      </c>
      <c r="E8581" s="2">
        <v>-4.3499999999999999E-6</v>
      </c>
      <c r="F8581" s="2" t="s">
        <v>7</v>
      </c>
    </row>
    <row r="8582" spans="1:6" ht="22.5" hidden="1" customHeight="1" x14ac:dyDescent="0.25">
      <c r="A8582" s="3">
        <v>44562</v>
      </c>
      <c r="B8582" s="2" t="s">
        <v>146</v>
      </c>
      <c r="C8582" s="2">
        <v>1.39</v>
      </c>
      <c r="D8582" s="2">
        <v>3.2800000000000003E-2</v>
      </c>
      <c r="E8582" s="2">
        <v>4.5592000000000001E-4</v>
      </c>
      <c r="F8582" s="2" t="s">
        <v>7</v>
      </c>
    </row>
    <row r="8583" spans="1:6" ht="22.5" hidden="1" customHeight="1" x14ac:dyDescent="0.25">
      <c r="A8583" s="3">
        <v>44562</v>
      </c>
      <c r="B8583" s="2" t="s">
        <v>147</v>
      </c>
      <c r="C8583" s="2">
        <v>0.89</v>
      </c>
      <c r="D8583" s="2">
        <v>2.6499999999999999E-2</v>
      </c>
      <c r="E8583" s="2">
        <v>2.3584999999999999E-4</v>
      </c>
      <c r="F8583" s="2" t="s">
        <v>7</v>
      </c>
    </row>
    <row r="8584" spans="1:6" ht="22.5" hidden="1" customHeight="1" x14ac:dyDescent="0.25">
      <c r="A8584" s="3">
        <v>44562</v>
      </c>
      <c r="B8584" s="2" t="s">
        <v>148</v>
      </c>
      <c r="C8584" s="2">
        <v>3.15</v>
      </c>
      <c r="D8584" s="2">
        <v>2.1600000000000001E-2</v>
      </c>
      <c r="E8584" s="2">
        <v>6.8039999999999995E-4</v>
      </c>
      <c r="F8584" s="2" t="s">
        <v>7</v>
      </c>
    </row>
    <row r="8585" spans="1:6" ht="22.5" hidden="1" customHeight="1" x14ac:dyDescent="0.25">
      <c r="A8585" s="3">
        <v>44562</v>
      </c>
      <c r="B8585" s="2" t="s">
        <v>149</v>
      </c>
      <c r="C8585" s="2">
        <v>0.21</v>
      </c>
      <c r="D8585" s="2">
        <v>2.5000000000000001E-3</v>
      </c>
      <c r="E8585" s="2">
        <v>5.2499999999999997E-6</v>
      </c>
      <c r="F8585" s="2" t="s">
        <v>7</v>
      </c>
    </row>
    <row r="8586" spans="1:6" ht="22.5" hidden="1" customHeight="1" x14ac:dyDescent="0.25">
      <c r="A8586" s="3">
        <v>44562</v>
      </c>
      <c r="B8586" s="2" t="s">
        <v>150</v>
      </c>
      <c r="C8586" s="2">
        <v>0.73</v>
      </c>
      <c r="D8586" s="2">
        <v>0.11210000000000001</v>
      </c>
      <c r="E8586" s="2">
        <v>8.1833000000000003E-4</v>
      </c>
      <c r="F8586" s="2" t="s">
        <v>7</v>
      </c>
    </row>
    <row r="8587" spans="1:6" ht="22.5" hidden="1" customHeight="1" x14ac:dyDescent="0.25">
      <c r="A8587" s="3">
        <v>44562</v>
      </c>
      <c r="B8587" s="2" t="s">
        <v>151</v>
      </c>
      <c r="C8587" s="2">
        <v>0.27</v>
      </c>
      <c r="D8587" s="2">
        <v>0.1074</v>
      </c>
      <c r="E8587" s="2">
        <v>2.8998000000000001E-4</v>
      </c>
      <c r="F8587" s="2" t="s">
        <v>7</v>
      </c>
    </row>
    <row r="8588" spans="1:6" ht="22.5" hidden="1" customHeight="1" x14ac:dyDescent="0.25">
      <c r="A8588" s="3">
        <v>44562</v>
      </c>
      <c r="B8588" s="2" t="s">
        <v>152</v>
      </c>
      <c r="C8588" s="2">
        <v>-0.81</v>
      </c>
      <c r="D8588" s="2">
        <v>3.0000000000000001E-3</v>
      </c>
      <c r="E8588" s="2">
        <v>-2.4300000000000001E-5</v>
      </c>
      <c r="F8588" s="2" t="s">
        <v>7</v>
      </c>
    </row>
    <row r="8589" spans="1:6" ht="22.5" hidden="1" customHeight="1" x14ac:dyDescent="0.25">
      <c r="A8589" s="3">
        <v>44562</v>
      </c>
      <c r="B8589" s="2" t="s">
        <v>153</v>
      </c>
      <c r="C8589" s="2">
        <v>8.44</v>
      </c>
      <c r="D8589" s="2">
        <v>8.0000000000000004E-4</v>
      </c>
      <c r="E8589" s="2">
        <v>6.7520000000000004E-5</v>
      </c>
      <c r="F8589" s="2" t="s">
        <v>7</v>
      </c>
    </row>
    <row r="8590" spans="1:6" ht="22.5" hidden="1" customHeight="1" x14ac:dyDescent="0.25">
      <c r="A8590" s="3">
        <v>44562</v>
      </c>
      <c r="B8590" s="2" t="s">
        <v>154</v>
      </c>
      <c r="C8590" s="2">
        <v>1.1599999999999999</v>
      </c>
      <c r="D8590" s="2">
        <v>1E-3</v>
      </c>
      <c r="E8590" s="2">
        <v>1.1600000000000001E-5</v>
      </c>
      <c r="F8590" s="2" t="s">
        <v>7</v>
      </c>
    </row>
    <row r="8591" spans="1:6" ht="22.5" hidden="1" customHeight="1" x14ac:dyDescent="0.25">
      <c r="A8591" s="3">
        <v>44562</v>
      </c>
      <c r="B8591" s="2" t="s">
        <v>155</v>
      </c>
      <c r="C8591" s="2">
        <v>0.24</v>
      </c>
      <c r="D8591" s="2">
        <v>5.7999999999999996E-3</v>
      </c>
      <c r="E8591" s="2">
        <v>1.3920000000000001E-5</v>
      </c>
      <c r="F8591" s="2" t="s">
        <v>7</v>
      </c>
    </row>
    <row r="8592" spans="1:6" ht="22.5" hidden="1" customHeight="1" x14ac:dyDescent="0.25">
      <c r="A8592" s="3">
        <v>44562</v>
      </c>
      <c r="B8592" s="2" t="s">
        <v>156</v>
      </c>
      <c r="C8592" s="2">
        <v>1.08</v>
      </c>
      <c r="D8592" s="2">
        <v>4.5900000000000003E-2</v>
      </c>
      <c r="E8592" s="2">
        <v>4.9571999999999995E-4</v>
      </c>
      <c r="F8592" s="2" t="s">
        <v>7</v>
      </c>
    </row>
    <row r="8593" spans="1:6" ht="22.5" hidden="1" customHeight="1" x14ac:dyDescent="0.25">
      <c r="A8593" s="3">
        <v>44562</v>
      </c>
      <c r="B8593" s="2" t="s">
        <v>157</v>
      </c>
      <c r="C8593" s="2">
        <v>0.66</v>
      </c>
      <c r="D8593" s="2">
        <v>1.6899999999999998E-2</v>
      </c>
      <c r="E8593" s="2">
        <v>1.1154000000000001E-4</v>
      </c>
      <c r="F8593" s="2" t="s">
        <v>7</v>
      </c>
    </row>
    <row r="8594" spans="1:6" ht="22.5" hidden="1" customHeight="1" x14ac:dyDescent="0.25">
      <c r="A8594" s="3">
        <v>44562</v>
      </c>
      <c r="B8594" s="2" t="s">
        <v>158</v>
      </c>
      <c r="C8594" s="2">
        <v>0</v>
      </c>
      <c r="D8594" s="2">
        <v>9.9000000000000008E-3</v>
      </c>
      <c r="E8594" s="2">
        <v>0</v>
      </c>
      <c r="F8594" s="2" t="s">
        <v>7</v>
      </c>
    </row>
    <row r="8595" spans="1:6" ht="22.5" hidden="1" customHeight="1" x14ac:dyDescent="0.25">
      <c r="A8595" s="3">
        <v>44562</v>
      </c>
      <c r="B8595" s="2" t="s">
        <v>159</v>
      </c>
      <c r="C8595" s="2">
        <v>1.35</v>
      </c>
      <c r="D8595" s="2">
        <v>5.1400000000000001E-2</v>
      </c>
      <c r="E8595" s="2">
        <v>6.9390000000000001E-4</v>
      </c>
      <c r="F8595" s="2" t="s">
        <v>7</v>
      </c>
    </row>
    <row r="8596" spans="1:6" ht="22.5" hidden="1" customHeight="1" x14ac:dyDescent="0.25">
      <c r="A8596" s="3">
        <v>44562</v>
      </c>
      <c r="B8596" s="2" t="s">
        <v>160</v>
      </c>
      <c r="C8596" s="2">
        <v>0.63</v>
      </c>
      <c r="D8596" s="2">
        <v>3.6722000000000001</v>
      </c>
      <c r="E8596" s="2">
        <v>2.313486E-2</v>
      </c>
      <c r="F8596" s="2" t="s">
        <v>7</v>
      </c>
    </row>
    <row r="8597" spans="1:6" ht="22.5" hidden="1" customHeight="1" x14ac:dyDescent="0.25">
      <c r="A8597" s="3">
        <v>44562</v>
      </c>
      <c r="B8597" s="2" t="s">
        <v>161</v>
      </c>
      <c r="C8597" s="2">
        <v>1.25</v>
      </c>
      <c r="D8597" s="2">
        <v>1.6226</v>
      </c>
      <c r="E8597" s="2">
        <v>2.0282499999999998E-2</v>
      </c>
      <c r="F8597" s="2" t="s">
        <v>7</v>
      </c>
    </row>
    <row r="8598" spans="1:6" ht="22.5" hidden="1" customHeight="1" x14ac:dyDescent="0.25">
      <c r="A8598" s="3">
        <v>44562</v>
      </c>
      <c r="B8598" s="2" t="s">
        <v>134</v>
      </c>
      <c r="C8598" s="2">
        <v>0.23</v>
      </c>
      <c r="D8598" s="2">
        <v>0.1216</v>
      </c>
      <c r="E8598" s="2">
        <v>2.7967999999999998E-4</v>
      </c>
      <c r="F8598" s="2" t="s">
        <v>7</v>
      </c>
    </row>
    <row r="8599" spans="1:6" ht="22.5" hidden="1" customHeight="1" x14ac:dyDescent="0.25">
      <c r="A8599" s="3">
        <v>44562</v>
      </c>
      <c r="B8599" s="2" t="s">
        <v>162</v>
      </c>
      <c r="C8599" s="2">
        <v>2.21</v>
      </c>
      <c r="D8599" s="2">
        <v>3.9600000000000003E-2</v>
      </c>
      <c r="E8599" s="2">
        <v>8.7516000000000004E-4</v>
      </c>
      <c r="F8599" s="2" t="s">
        <v>7</v>
      </c>
    </row>
    <row r="8600" spans="1:6" ht="22.5" hidden="1" customHeight="1" x14ac:dyDescent="0.25">
      <c r="A8600" s="3">
        <v>44562</v>
      </c>
      <c r="B8600" s="2" t="s">
        <v>135</v>
      </c>
      <c r="C8600" s="2">
        <v>0.97</v>
      </c>
      <c r="D8600" s="2">
        <v>0.28179999999999999</v>
      </c>
      <c r="E8600" s="2">
        <v>2.7334600000000001E-3</v>
      </c>
      <c r="F8600" s="2" t="s">
        <v>7</v>
      </c>
    </row>
    <row r="8601" spans="1:6" ht="22.5" hidden="1" customHeight="1" x14ac:dyDescent="0.25">
      <c r="A8601" s="3">
        <v>44562</v>
      </c>
      <c r="B8601" s="2" t="s">
        <v>136</v>
      </c>
      <c r="C8601" s="2">
        <v>-0.82</v>
      </c>
      <c r="D8601" s="2">
        <v>4.0000000000000001E-3</v>
      </c>
      <c r="E8601" s="2">
        <v>-3.2799999999999998E-5</v>
      </c>
      <c r="F8601" s="2" t="s">
        <v>7</v>
      </c>
    </row>
    <row r="8602" spans="1:6" ht="22.5" hidden="1" customHeight="1" x14ac:dyDescent="0.25">
      <c r="A8602" s="3">
        <v>44562</v>
      </c>
      <c r="B8602" s="2" t="s">
        <v>137</v>
      </c>
      <c r="C8602" s="2">
        <v>-0.14000000000000001</v>
      </c>
      <c r="D8602" s="2">
        <v>1.04E-2</v>
      </c>
      <c r="E8602" s="2">
        <v>-1.456E-5</v>
      </c>
      <c r="F8602" s="2" t="s">
        <v>7</v>
      </c>
    </row>
    <row r="8603" spans="1:6" ht="22.5" hidden="1" customHeight="1" x14ac:dyDescent="0.25">
      <c r="A8603" s="3">
        <v>44562</v>
      </c>
      <c r="B8603" s="2" t="s">
        <v>163</v>
      </c>
      <c r="C8603" s="2">
        <v>1.1299999999999999</v>
      </c>
      <c r="D8603" s="2">
        <v>4.3E-3</v>
      </c>
      <c r="E8603" s="2">
        <v>4.8590000000000001E-5</v>
      </c>
      <c r="F8603" s="2" t="s">
        <v>7</v>
      </c>
    </row>
    <row r="8604" spans="1:6" ht="22.5" hidden="1" customHeight="1" x14ac:dyDescent="0.25">
      <c r="A8604" s="3">
        <v>44562</v>
      </c>
      <c r="B8604" s="2" t="s">
        <v>34</v>
      </c>
      <c r="C8604" s="2">
        <v>-0.36</v>
      </c>
      <c r="D8604" s="2">
        <v>5.2600000000000001E-2</v>
      </c>
      <c r="E8604" s="2">
        <v>-1.8935999999999999E-4</v>
      </c>
      <c r="F8604" s="2" t="s">
        <v>7</v>
      </c>
    </row>
    <row r="8605" spans="1:6" ht="22.5" hidden="1" customHeight="1" x14ac:dyDescent="0.25">
      <c r="A8605" s="3">
        <v>44562</v>
      </c>
      <c r="B8605" s="2" t="s">
        <v>164</v>
      </c>
      <c r="C8605" s="2">
        <v>1.55</v>
      </c>
      <c r="D8605" s="2">
        <v>3.6720000000000002</v>
      </c>
      <c r="E8605" s="2">
        <v>5.6916000000000001E-2</v>
      </c>
      <c r="F8605" s="2" t="s">
        <v>165</v>
      </c>
    </row>
    <row r="8606" spans="1:6" ht="22.5" hidden="1" customHeight="1" x14ac:dyDescent="0.25">
      <c r="A8606" s="3">
        <v>44562</v>
      </c>
      <c r="B8606" s="2" t="s">
        <v>166</v>
      </c>
      <c r="C8606" s="2">
        <v>0.69</v>
      </c>
      <c r="D8606" s="2">
        <v>2.214</v>
      </c>
      <c r="E8606" s="2">
        <v>1.52766E-2</v>
      </c>
      <c r="F8606" s="2" t="s">
        <v>165</v>
      </c>
    </row>
    <row r="8607" spans="1:6" ht="22.5" hidden="1" customHeight="1" x14ac:dyDescent="0.25">
      <c r="A8607" s="3">
        <v>43983</v>
      </c>
      <c r="B8607" s="2" t="s">
        <v>297</v>
      </c>
      <c r="C8607" s="2">
        <v>-0.96</v>
      </c>
      <c r="D8607" s="2">
        <v>0.30549999999999999</v>
      </c>
      <c r="E8607" s="2">
        <v>-2.9328000000000002E-3</v>
      </c>
      <c r="F8607" s="2" t="s">
        <v>168</v>
      </c>
    </row>
    <row r="8608" spans="1:6" ht="22.5" hidden="1" customHeight="1" x14ac:dyDescent="0.25">
      <c r="A8608" s="3">
        <v>44562</v>
      </c>
      <c r="B8608" s="2" t="s">
        <v>169</v>
      </c>
      <c r="C8608" s="2">
        <v>0.72</v>
      </c>
      <c r="D8608" s="2">
        <v>1.15E-2</v>
      </c>
      <c r="E8608" s="2">
        <v>8.2799999999999993E-5</v>
      </c>
      <c r="F8608" s="2" t="s">
        <v>170</v>
      </c>
    </row>
    <row r="8609" spans="1:6" ht="22.5" hidden="1" customHeight="1" x14ac:dyDescent="0.25">
      <c r="A8609" s="3">
        <v>44562</v>
      </c>
      <c r="B8609" s="2" t="s">
        <v>171</v>
      </c>
      <c r="C8609" s="2">
        <v>1.07</v>
      </c>
      <c r="D8609" s="2">
        <v>1.34E-2</v>
      </c>
      <c r="E8609" s="2">
        <v>1.4338E-4</v>
      </c>
      <c r="F8609" s="2" t="s">
        <v>170</v>
      </c>
    </row>
    <row r="8610" spans="1:6" ht="22.5" hidden="1" customHeight="1" x14ac:dyDescent="0.25">
      <c r="A8610" s="3">
        <v>44562</v>
      </c>
      <c r="B8610" s="2" t="s">
        <v>172</v>
      </c>
      <c r="C8610" s="2">
        <v>2.2599999999999998</v>
      </c>
      <c r="D8610" s="2">
        <v>3.3E-3</v>
      </c>
      <c r="E8610" s="2">
        <v>7.4579999999999994E-5</v>
      </c>
      <c r="F8610" s="2" t="s">
        <v>170</v>
      </c>
    </row>
    <row r="8611" spans="1:6" ht="22.5" hidden="1" customHeight="1" x14ac:dyDescent="0.25">
      <c r="A8611" s="3">
        <v>44562</v>
      </c>
      <c r="B8611" s="2" t="s">
        <v>173</v>
      </c>
      <c r="C8611" s="2">
        <v>2.1800000000000002</v>
      </c>
      <c r="D8611" s="2">
        <v>0.27910000000000001</v>
      </c>
      <c r="E8611" s="2">
        <v>6.0843800000000003E-3</v>
      </c>
      <c r="F8611" s="2" t="s">
        <v>174</v>
      </c>
    </row>
    <row r="8612" spans="1:6" ht="22.5" hidden="1" customHeight="1" x14ac:dyDescent="0.25">
      <c r="A8612" s="3">
        <v>44562</v>
      </c>
      <c r="B8612" s="2" t="s">
        <v>175</v>
      </c>
      <c r="C8612" s="2">
        <v>0.3</v>
      </c>
      <c r="D8612" s="2">
        <v>0.27760000000000001</v>
      </c>
      <c r="E8612" s="2">
        <v>8.3279999999999997E-4</v>
      </c>
      <c r="F8612" s="2" t="s">
        <v>174</v>
      </c>
    </row>
    <row r="8613" spans="1:6" ht="22.5" hidden="1" customHeight="1" x14ac:dyDescent="0.25">
      <c r="A8613" s="3">
        <v>44562</v>
      </c>
      <c r="B8613" s="2" t="s">
        <v>176</v>
      </c>
      <c r="C8613" s="2">
        <v>2.41</v>
      </c>
      <c r="D8613" s="2">
        <v>1.3100000000000001E-2</v>
      </c>
      <c r="E8613" s="2">
        <v>3.1571000000000002E-4</v>
      </c>
      <c r="F8613" s="2" t="s">
        <v>170</v>
      </c>
    </row>
    <row r="8614" spans="1:6" ht="22.5" hidden="1" customHeight="1" x14ac:dyDescent="0.25">
      <c r="A8614" s="3">
        <v>44562</v>
      </c>
      <c r="B8614" s="2" t="s">
        <v>177</v>
      </c>
      <c r="C8614" s="2">
        <v>-0.03</v>
      </c>
      <c r="D8614" s="2">
        <v>2.2200000000000001E-2</v>
      </c>
      <c r="E8614" s="2">
        <v>-6.6599999999999998E-6</v>
      </c>
      <c r="F8614" s="2" t="s">
        <v>170</v>
      </c>
    </row>
    <row r="8615" spans="1:6" ht="22.5" hidden="1" customHeight="1" x14ac:dyDescent="0.25">
      <c r="A8615" s="3">
        <v>44562</v>
      </c>
      <c r="B8615" s="2" t="s">
        <v>178</v>
      </c>
      <c r="C8615" s="2">
        <v>-2.38</v>
      </c>
      <c r="D8615" s="2">
        <v>0.02</v>
      </c>
      <c r="E8615" s="2">
        <v>-4.7600000000000002E-4</v>
      </c>
      <c r="F8615" s="2" t="s">
        <v>170</v>
      </c>
    </row>
    <row r="8616" spans="1:6" ht="22.5" hidden="1" customHeight="1" x14ac:dyDescent="0.25">
      <c r="A8616" s="3">
        <v>44562</v>
      </c>
      <c r="B8616" s="2" t="s">
        <v>179</v>
      </c>
      <c r="C8616" s="2">
        <v>1.86</v>
      </c>
      <c r="D8616" s="2">
        <v>4.7E-2</v>
      </c>
      <c r="E8616" s="2">
        <v>8.742E-4</v>
      </c>
      <c r="F8616" s="2" t="s">
        <v>170</v>
      </c>
    </row>
    <row r="8617" spans="1:6" ht="22.5" hidden="1" customHeight="1" x14ac:dyDescent="0.25">
      <c r="A8617" s="3">
        <v>44562</v>
      </c>
      <c r="B8617" s="2" t="s">
        <v>180</v>
      </c>
      <c r="C8617" s="2">
        <v>0.23</v>
      </c>
      <c r="D8617" s="2">
        <v>0.59330000000000005</v>
      </c>
      <c r="E8617" s="2">
        <v>1.3645899999999999E-3</v>
      </c>
      <c r="F8617" s="2" t="s">
        <v>165</v>
      </c>
    </row>
    <row r="8618" spans="1:6" ht="22.5" hidden="1" customHeight="1" x14ac:dyDescent="0.25">
      <c r="A8618" s="3">
        <v>44562</v>
      </c>
      <c r="B8618" s="2" t="s">
        <v>181</v>
      </c>
      <c r="C8618" s="2">
        <v>-1.37</v>
      </c>
      <c r="D8618" s="2">
        <v>1.3100000000000001E-2</v>
      </c>
      <c r="E8618" s="2">
        <v>-1.7946999999999999E-4</v>
      </c>
      <c r="F8618" s="2" t="s">
        <v>174</v>
      </c>
    </row>
    <row r="8619" spans="1:6" ht="22.5" hidden="1" customHeight="1" x14ac:dyDescent="0.25">
      <c r="A8619" s="3">
        <v>44562</v>
      </c>
      <c r="B8619" s="2" t="s">
        <v>182</v>
      </c>
      <c r="C8619" s="2">
        <v>1.46</v>
      </c>
      <c r="D8619" s="2">
        <v>4.0899999999999999E-2</v>
      </c>
      <c r="E8619" s="2">
        <v>5.9714000000000002E-4</v>
      </c>
      <c r="F8619" s="2" t="s">
        <v>170</v>
      </c>
    </row>
    <row r="8620" spans="1:6" ht="22.5" hidden="1" customHeight="1" x14ac:dyDescent="0.25">
      <c r="A8620" s="3">
        <v>44562</v>
      </c>
      <c r="B8620" s="2" t="s">
        <v>183</v>
      </c>
      <c r="C8620" s="2">
        <v>-2.92</v>
      </c>
      <c r="D8620" s="2">
        <v>3.8E-3</v>
      </c>
      <c r="E8620" s="2">
        <v>-1.1095999999999999E-4</v>
      </c>
      <c r="F8620" s="2" t="s">
        <v>174</v>
      </c>
    </row>
    <row r="8621" spans="1:6" ht="22.5" hidden="1" customHeight="1" x14ac:dyDescent="0.25">
      <c r="A8621" s="3">
        <v>44562</v>
      </c>
      <c r="B8621" s="2" t="s">
        <v>184</v>
      </c>
      <c r="C8621" s="2">
        <v>0.64</v>
      </c>
      <c r="D8621" s="2">
        <v>6.3299999999999995E-2</v>
      </c>
      <c r="E8621" s="2">
        <v>4.0512000000000002E-4</v>
      </c>
      <c r="F8621" s="2" t="s">
        <v>174</v>
      </c>
    </row>
    <row r="8622" spans="1:6" ht="22.5" hidden="1" customHeight="1" x14ac:dyDescent="0.25">
      <c r="A8622" s="3">
        <v>44562</v>
      </c>
      <c r="B8622" s="2" t="s">
        <v>185</v>
      </c>
      <c r="C8622" s="2">
        <v>0.79</v>
      </c>
      <c r="D8622" s="2">
        <v>0.1517</v>
      </c>
      <c r="E8622" s="2">
        <v>1.1984299999999999E-3</v>
      </c>
      <c r="F8622" s="2" t="s">
        <v>174</v>
      </c>
    </row>
    <row r="8623" spans="1:6" ht="22.5" hidden="1" customHeight="1" x14ac:dyDescent="0.25">
      <c r="A8623" s="3">
        <v>44562</v>
      </c>
      <c r="B8623" s="2" t="s">
        <v>186</v>
      </c>
      <c r="C8623" s="2">
        <v>1.23</v>
      </c>
      <c r="D8623" s="2">
        <v>0.21260000000000001</v>
      </c>
      <c r="E8623" s="2">
        <v>2.6149799999999998E-3</v>
      </c>
      <c r="F8623" s="2" t="s">
        <v>174</v>
      </c>
    </row>
    <row r="8624" spans="1:6" ht="22.5" hidden="1" customHeight="1" x14ac:dyDescent="0.25">
      <c r="A8624" s="3">
        <v>44562</v>
      </c>
      <c r="B8624" s="2" t="s">
        <v>187</v>
      </c>
      <c r="C8624" s="2">
        <v>0.68</v>
      </c>
      <c r="D8624" s="2">
        <v>5.7200000000000001E-2</v>
      </c>
      <c r="E8624" s="2">
        <v>3.8895999999999999E-4</v>
      </c>
      <c r="F8624" s="2" t="s">
        <v>174</v>
      </c>
    </row>
    <row r="8625" spans="1:6" ht="22.5" hidden="1" customHeight="1" x14ac:dyDescent="0.25">
      <c r="A8625" s="3">
        <v>44562</v>
      </c>
      <c r="B8625" s="2" t="s">
        <v>188</v>
      </c>
      <c r="C8625" s="2">
        <v>1.47</v>
      </c>
      <c r="D8625" s="2">
        <v>2.8199999999999999E-2</v>
      </c>
      <c r="E8625" s="2">
        <v>4.1454000000000003E-4</v>
      </c>
      <c r="F8625" s="2" t="s">
        <v>174</v>
      </c>
    </row>
    <row r="8626" spans="1:6" ht="22.5" hidden="1" customHeight="1" x14ac:dyDescent="0.25">
      <c r="A8626" s="3">
        <v>44562</v>
      </c>
      <c r="B8626" s="2" t="s">
        <v>189</v>
      </c>
      <c r="C8626" s="2">
        <v>0.05</v>
      </c>
      <c r="D8626" s="2">
        <v>3.8999999999999998E-3</v>
      </c>
      <c r="E8626" s="2">
        <v>1.95E-6</v>
      </c>
      <c r="F8626" s="2" t="s">
        <v>174</v>
      </c>
    </row>
    <row r="8627" spans="1:6" ht="22.5" hidden="1" customHeight="1" x14ac:dyDescent="0.25">
      <c r="A8627" s="3">
        <v>44562</v>
      </c>
      <c r="B8627" s="2" t="s">
        <v>190</v>
      </c>
      <c r="C8627" s="2">
        <v>1.19</v>
      </c>
      <c r="D8627" s="2">
        <v>4.8999999999999998E-3</v>
      </c>
      <c r="E8627" s="2">
        <v>5.8310000000000002E-5</v>
      </c>
      <c r="F8627" s="2" t="s">
        <v>174</v>
      </c>
    </row>
    <row r="8628" spans="1:6" ht="22.5" hidden="1" customHeight="1" x14ac:dyDescent="0.25">
      <c r="A8628" s="3">
        <v>44562</v>
      </c>
      <c r="B8628" s="2" t="s">
        <v>191</v>
      </c>
      <c r="C8628" s="2">
        <v>1.72</v>
      </c>
      <c r="D8628" s="2">
        <v>2.6800000000000001E-2</v>
      </c>
      <c r="E8628" s="2">
        <v>4.6096E-4</v>
      </c>
      <c r="F8628" s="2" t="s">
        <v>174</v>
      </c>
    </row>
    <row r="8629" spans="1:6" ht="22.5" hidden="1" customHeight="1" x14ac:dyDescent="0.25">
      <c r="A8629" s="3">
        <v>44562</v>
      </c>
      <c r="B8629" s="2" t="s">
        <v>192</v>
      </c>
      <c r="C8629" s="2">
        <v>1.85</v>
      </c>
      <c r="D8629" s="2">
        <v>5.0000000000000001E-3</v>
      </c>
      <c r="E8629" s="2">
        <v>9.2499999999999999E-5</v>
      </c>
      <c r="F8629" s="2" t="s">
        <v>174</v>
      </c>
    </row>
    <row r="8630" spans="1:6" ht="22.5" hidden="1" customHeight="1" x14ac:dyDescent="0.25">
      <c r="A8630" s="3">
        <v>44562</v>
      </c>
      <c r="B8630" s="2" t="s">
        <v>193</v>
      </c>
      <c r="C8630" s="2">
        <v>0.96</v>
      </c>
      <c r="D8630" s="2">
        <v>0.16070000000000001</v>
      </c>
      <c r="E8630" s="2">
        <v>1.54272E-3</v>
      </c>
      <c r="F8630" s="2" t="s">
        <v>174</v>
      </c>
    </row>
    <row r="8631" spans="1:6" ht="22.5" hidden="1" customHeight="1" x14ac:dyDescent="0.25">
      <c r="A8631" s="3">
        <v>44562</v>
      </c>
      <c r="B8631" s="2" t="s">
        <v>194</v>
      </c>
      <c r="C8631" s="2">
        <v>1.07</v>
      </c>
      <c r="D8631" s="2">
        <v>3.2000000000000002E-3</v>
      </c>
      <c r="E8631" s="2">
        <v>3.4239999999999997E-5</v>
      </c>
      <c r="F8631" s="2" t="s">
        <v>174</v>
      </c>
    </row>
    <row r="8632" spans="1:6" ht="22.5" hidden="1" customHeight="1" x14ac:dyDescent="0.25">
      <c r="A8632" s="3">
        <v>44044</v>
      </c>
      <c r="B8632" s="2" t="s">
        <v>291</v>
      </c>
      <c r="C8632" s="2">
        <v>-1.48</v>
      </c>
      <c r="D8632" s="2">
        <v>0.19839999999999999</v>
      </c>
      <c r="E8632" s="2">
        <v>-2.9363200000000001E-3</v>
      </c>
      <c r="F8632" s="2" t="s">
        <v>168</v>
      </c>
    </row>
    <row r="8633" spans="1:6" ht="22.5" hidden="1" customHeight="1" x14ac:dyDescent="0.25">
      <c r="A8633" s="3">
        <v>43922</v>
      </c>
      <c r="B8633" s="2" t="s">
        <v>295</v>
      </c>
      <c r="C8633" s="2">
        <v>-1.32</v>
      </c>
      <c r="D8633" s="2">
        <v>0.22700000000000001</v>
      </c>
      <c r="E8633" s="2">
        <v>-2.9964000000000002E-3</v>
      </c>
      <c r="F8633" s="2" t="s">
        <v>168</v>
      </c>
    </row>
    <row r="8634" spans="1:6" ht="22.5" hidden="1" customHeight="1" x14ac:dyDescent="0.25">
      <c r="A8634" s="3">
        <v>44440</v>
      </c>
      <c r="B8634" s="2" t="s">
        <v>298</v>
      </c>
      <c r="C8634" s="2">
        <v>-0.51</v>
      </c>
      <c r="D8634" s="2">
        <v>0.5877</v>
      </c>
      <c r="E8634" s="2">
        <v>-2.9972699999999998E-3</v>
      </c>
      <c r="F8634" s="2" t="s">
        <v>168</v>
      </c>
    </row>
    <row r="8635" spans="1:6" ht="22.5" hidden="1" customHeight="1" x14ac:dyDescent="0.25">
      <c r="A8635" s="3">
        <v>44562</v>
      </c>
      <c r="B8635" s="2" t="s">
        <v>198</v>
      </c>
      <c r="C8635" s="2">
        <v>2.4900000000000002</v>
      </c>
      <c r="D8635" s="2">
        <v>0.35189999999999999</v>
      </c>
      <c r="E8635" s="2">
        <v>8.7623100000000006E-3</v>
      </c>
      <c r="F8635" s="2" t="s">
        <v>170</v>
      </c>
    </row>
    <row r="8636" spans="1:6" ht="22.5" hidden="1" customHeight="1" x14ac:dyDescent="0.25">
      <c r="A8636" s="3">
        <v>44562</v>
      </c>
      <c r="B8636" s="2" t="s">
        <v>199</v>
      </c>
      <c r="C8636" s="2">
        <v>1.89</v>
      </c>
      <c r="D8636" s="2">
        <v>0.49859999999999999</v>
      </c>
      <c r="E8636" s="2">
        <v>9.4235399999999993E-3</v>
      </c>
      <c r="F8636" s="2" t="s">
        <v>170</v>
      </c>
    </row>
    <row r="8637" spans="1:6" ht="22.5" hidden="1" customHeight="1" x14ac:dyDescent="0.25">
      <c r="A8637" s="3">
        <v>44562</v>
      </c>
      <c r="B8637" s="2" t="s">
        <v>200</v>
      </c>
      <c r="C8637" s="2">
        <v>2.1</v>
      </c>
      <c r="D8637" s="2">
        <v>0.1971</v>
      </c>
      <c r="E8637" s="2">
        <v>4.1390999999999997E-3</v>
      </c>
      <c r="F8637" s="2" t="s">
        <v>170</v>
      </c>
    </row>
    <row r="8638" spans="1:6" ht="22.5" hidden="1" customHeight="1" x14ac:dyDescent="0.25">
      <c r="A8638" s="3">
        <v>44562</v>
      </c>
      <c r="B8638" s="2" t="s">
        <v>201</v>
      </c>
      <c r="C8638" s="2">
        <v>0.96</v>
      </c>
      <c r="D8638" s="2">
        <v>2.46E-2</v>
      </c>
      <c r="E8638" s="2">
        <v>2.3615999999999999E-4</v>
      </c>
      <c r="F8638" s="2" t="s">
        <v>170</v>
      </c>
    </row>
    <row r="8639" spans="1:6" ht="22.5" hidden="1" customHeight="1" x14ac:dyDescent="0.25">
      <c r="A8639" s="3">
        <v>44562</v>
      </c>
      <c r="B8639" s="2" t="s">
        <v>202</v>
      </c>
      <c r="C8639" s="2">
        <v>-1.87</v>
      </c>
      <c r="D8639" s="2">
        <v>1.7999999999999999E-2</v>
      </c>
      <c r="E8639" s="2">
        <v>-3.366E-4</v>
      </c>
      <c r="F8639" s="2" t="s">
        <v>170</v>
      </c>
    </row>
    <row r="8640" spans="1:6" ht="22.5" hidden="1" customHeight="1" x14ac:dyDescent="0.25">
      <c r="A8640" s="3">
        <v>44562</v>
      </c>
      <c r="B8640" s="2" t="s">
        <v>203</v>
      </c>
      <c r="C8640" s="2">
        <v>1.25</v>
      </c>
      <c r="D8640" s="2">
        <v>7.7600000000000002E-2</v>
      </c>
      <c r="E8640" s="2">
        <v>9.7000000000000005E-4</v>
      </c>
      <c r="F8640" s="2" t="s">
        <v>170</v>
      </c>
    </row>
    <row r="8641" spans="1:6" ht="22.5" hidden="1" customHeight="1" x14ac:dyDescent="0.25">
      <c r="A8641" s="3">
        <v>44562</v>
      </c>
      <c r="B8641" s="2" t="s">
        <v>204</v>
      </c>
      <c r="C8641" s="2">
        <v>0.03</v>
      </c>
      <c r="D8641" s="2">
        <v>5.7200000000000001E-2</v>
      </c>
      <c r="E8641" s="2">
        <v>1.7159999999999998E-5</v>
      </c>
      <c r="F8641" s="2" t="s">
        <v>174</v>
      </c>
    </row>
    <row r="8642" spans="1:6" ht="22.5" hidden="1" customHeight="1" x14ac:dyDescent="0.25">
      <c r="A8642" s="3">
        <v>44562</v>
      </c>
      <c r="B8642" s="2" t="s">
        <v>205</v>
      </c>
      <c r="C8642" s="2">
        <v>1.2</v>
      </c>
      <c r="D8642" s="2">
        <v>9.3100000000000002E-2</v>
      </c>
      <c r="E8642" s="2">
        <v>1.1172000000000001E-3</v>
      </c>
      <c r="F8642" s="2" t="s">
        <v>174</v>
      </c>
    </row>
    <row r="8643" spans="1:6" ht="22.5" hidden="1" customHeight="1" x14ac:dyDescent="0.25">
      <c r="A8643" s="3">
        <v>44562</v>
      </c>
      <c r="B8643" s="2" t="s">
        <v>206</v>
      </c>
      <c r="C8643" s="2">
        <v>-0.3</v>
      </c>
      <c r="D8643" s="2">
        <v>0.15909999999999999</v>
      </c>
      <c r="E8643" s="2">
        <v>-4.773E-4</v>
      </c>
      <c r="F8643" s="2" t="s">
        <v>174</v>
      </c>
    </row>
    <row r="8644" spans="1:6" ht="22.5" hidden="1" customHeight="1" x14ac:dyDescent="0.25">
      <c r="A8644" s="3">
        <v>44562</v>
      </c>
      <c r="B8644" s="2" t="s">
        <v>207</v>
      </c>
      <c r="C8644" s="2">
        <v>0.94</v>
      </c>
      <c r="D8644" s="2">
        <v>4.7899999999999998E-2</v>
      </c>
      <c r="E8644" s="2">
        <v>4.5026000000000002E-4</v>
      </c>
      <c r="F8644" s="2" t="s">
        <v>174</v>
      </c>
    </row>
    <row r="8645" spans="1:6" ht="22.5" hidden="1" customHeight="1" x14ac:dyDescent="0.25">
      <c r="A8645" s="3">
        <v>44562</v>
      </c>
      <c r="B8645" s="2" t="s">
        <v>208</v>
      </c>
      <c r="C8645" s="2">
        <v>0.55000000000000004</v>
      </c>
      <c r="D8645" s="2">
        <v>8.5000000000000006E-3</v>
      </c>
      <c r="E8645" s="2">
        <v>4.6749999999999998E-5</v>
      </c>
      <c r="F8645" s="2" t="s">
        <v>174</v>
      </c>
    </row>
    <row r="8646" spans="1:6" ht="22.5" hidden="1" customHeight="1" x14ac:dyDescent="0.25">
      <c r="A8646" s="3">
        <v>44562</v>
      </c>
      <c r="B8646" s="2" t="s">
        <v>209</v>
      </c>
      <c r="C8646" s="2">
        <v>-4.7300000000000004</v>
      </c>
      <c r="D8646" s="2">
        <v>6.1000000000000004E-3</v>
      </c>
      <c r="E8646" s="2">
        <v>-2.8853E-4</v>
      </c>
      <c r="F8646" s="2" t="s">
        <v>174</v>
      </c>
    </row>
    <row r="8647" spans="1:6" ht="22.5" hidden="1" customHeight="1" x14ac:dyDescent="0.25">
      <c r="A8647" s="3">
        <v>44562</v>
      </c>
      <c r="B8647" s="2" t="s">
        <v>210</v>
      </c>
      <c r="C8647" s="2">
        <v>0.4</v>
      </c>
      <c r="D8647" s="2">
        <v>1.37E-2</v>
      </c>
      <c r="E8647" s="2">
        <v>5.4799999999999997E-5</v>
      </c>
      <c r="F8647" s="2" t="s">
        <v>170</v>
      </c>
    </row>
    <row r="8648" spans="1:6" ht="22.5" hidden="1" customHeight="1" x14ac:dyDescent="0.25">
      <c r="A8648" s="3">
        <v>44562</v>
      </c>
      <c r="B8648" s="2" t="s">
        <v>211</v>
      </c>
      <c r="C8648" s="2">
        <v>0.67</v>
      </c>
      <c r="D8648" s="2">
        <v>0.1951</v>
      </c>
      <c r="E8648" s="2">
        <v>1.3071700000000001E-3</v>
      </c>
      <c r="F8648" s="2" t="s">
        <v>174</v>
      </c>
    </row>
    <row r="8649" spans="1:6" ht="22.5" hidden="1" customHeight="1" x14ac:dyDescent="0.25">
      <c r="A8649" s="3">
        <v>44562</v>
      </c>
      <c r="B8649" s="2" t="s">
        <v>212</v>
      </c>
      <c r="C8649" s="2">
        <v>1.17</v>
      </c>
      <c r="D8649" s="2">
        <v>4.4000000000000003E-3</v>
      </c>
      <c r="E8649" s="2">
        <v>5.1480000000000002E-5</v>
      </c>
      <c r="F8649" s="2" t="s">
        <v>174</v>
      </c>
    </row>
    <row r="8650" spans="1:6" ht="22.5" hidden="1" customHeight="1" x14ac:dyDescent="0.25">
      <c r="A8650" s="3">
        <v>44562</v>
      </c>
      <c r="B8650" s="2" t="s">
        <v>213</v>
      </c>
      <c r="C8650" s="2">
        <v>3.28</v>
      </c>
      <c r="D8650" s="2">
        <v>0.36130000000000001</v>
      </c>
      <c r="E8650" s="2">
        <v>1.1850640000000001E-2</v>
      </c>
      <c r="F8650" s="2" t="s">
        <v>170</v>
      </c>
    </row>
    <row r="8651" spans="1:6" ht="22.5" hidden="1" customHeight="1" x14ac:dyDescent="0.25">
      <c r="A8651" s="3">
        <v>44562</v>
      </c>
      <c r="B8651" s="2" t="s">
        <v>214</v>
      </c>
      <c r="C8651" s="2">
        <v>1.7</v>
      </c>
      <c r="D8651" s="2">
        <v>9.98E-2</v>
      </c>
      <c r="E8651" s="2">
        <v>1.6965999999999999E-3</v>
      </c>
      <c r="F8651" s="2" t="s">
        <v>170</v>
      </c>
    </row>
    <row r="8652" spans="1:6" ht="22.5" hidden="1" customHeight="1" x14ac:dyDescent="0.25">
      <c r="A8652" s="3">
        <v>44562</v>
      </c>
      <c r="B8652" s="2" t="s">
        <v>215</v>
      </c>
      <c r="C8652" s="2">
        <v>1.87</v>
      </c>
      <c r="D8652" s="2">
        <v>0.25380000000000003</v>
      </c>
      <c r="E8652" s="2">
        <v>4.7460599999999999E-3</v>
      </c>
      <c r="F8652" s="2" t="s">
        <v>170</v>
      </c>
    </row>
    <row r="8653" spans="1:6" ht="22.5" hidden="1" customHeight="1" x14ac:dyDescent="0.25">
      <c r="A8653" s="3">
        <v>44562</v>
      </c>
      <c r="B8653" s="2" t="s">
        <v>216</v>
      </c>
      <c r="C8653" s="2">
        <v>2.72</v>
      </c>
      <c r="D8653" s="2">
        <v>1.4800000000000001E-2</v>
      </c>
      <c r="E8653" s="2">
        <v>4.0255999999999999E-4</v>
      </c>
      <c r="F8653" s="2" t="s">
        <v>170</v>
      </c>
    </row>
    <row r="8654" spans="1:6" ht="22.5" hidden="1" customHeight="1" x14ac:dyDescent="0.25">
      <c r="A8654" s="3">
        <v>44562</v>
      </c>
      <c r="B8654" s="2" t="s">
        <v>217</v>
      </c>
      <c r="C8654" s="2">
        <v>1.08</v>
      </c>
      <c r="D8654" s="2">
        <v>0.1734</v>
      </c>
      <c r="E8654" s="2">
        <v>1.87272E-3</v>
      </c>
      <c r="F8654" s="2" t="s">
        <v>170</v>
      </c>
    </row>
    <row r="8655" spans="1:6" ht="22.5" hidden="1" customHeight="1" x14ac:dyDescent="0.25">
      <c r="A8655" s="3">
        <v>44562</v>
      </c>
      <c r="B8655" s="2" t="s">
        <v>218</v>
      </c>
      <c r="C8655" s="2">
        <v>-0.62</v>
      </c>
      <c r="D8655" s="2">
        <v>7.4999999999999997E-3</v>
      </c>
      <c r="E8655" s="2">
        <v>-4.6499999999999999E-5</v>
      </c>
      <c r="F8655" s="2" t="s">
        <v>170</v>
      </c>
    </row>
    <row r="8656" spans="1:6" ht="22.5" hidden="1" customHeight="1" x14ac:dyDescent="0.25">
      <c r="A8656" s="3">
        <v>44562</v>
      </c>
      <c r="B8656" s="2" t="s">
        <v>219</v>
      </c>
      <c r="C8656" s="2">
        <v>0.53</v>
      </c>
      <c r="D8656" s="2">
        <v>0.53439999999999999</v>
      </c>
      <c r="E8656" s="2">
        <v>2.8323200000000001E-3</v>
      </c>
      <c r="F8656" s="2" t="s">
        <v>170</v>
      </c>
    </row>
    <row r="8657" spans="1:6" ht="22.5" hidden="1" customHeight="1" x14ac:dyDescent="0.25">
      <c r="A8657" s="3">
        <v>44562</v>
      </c>
      <c r="B8657" s="2" t="s">
        <v>220</v>
      </c>
      <c r="C8657" s="2">
        <v>1.99</v>
      </c>
      <c r="D8657" s="2">
        <v>1.0200000000000001E-2</v>
      </c>
      <c r="E8657" s="2">
        <v>2.0298000000000001E-4</v>
      </c>
      <c r="F8657" s="2" t="s">
        <v>170</v>
      </c>
    </row>
    <row r="8658" spans="1:6" ht="22.5" hidden="1" customHeight="1" x14ac:dyDescent="0.25">
      <c r="A8658" s="3">
        <v>44562</v>
      </c>
      <c r="B8658" s="2" t="s">
        <v>221</v>
      </c>
      <c r="C8658" s="2">
        <v>2.59</v>
      </c>
      <c r="D8658" s="2">
        <v>3.3999999999999998E-3</v>
      </c>
      <c r="E8658" s="2">
        <v>8.8059999999999994E-5</v>
      </c>
      <c r="F8658" s="2" t="s">
        <v>170</v>
      </c>
    </row>
    <row r="8659" spans="1:6" ht="22.5" hidden="1" customHeight="1" x14ac:dyDescent="0.25">
      <c r="A8659" s="3">
        <v>44562</v>
      </c>
      <c r="B8659" s="2" t="s">
        <v>222</v>
      </c>
      <c r="C8659" s="2">
        <v>0.33</v>
      </c>
      <c r="D8659" s="2">
        <v>0.31879999999999997</v>
      </c>
      <c r="E8659" s="2">
        <v>1.05204E-3</v>
      </c>
      <c r="F8659" s="2" t="s">
        <v>170</v>
      </c>
    </row>
    <row r="8660" spans="1:6" ht="22.5" hidden="1" customHeight="1" x14ac:dyDescent="0.25">
      <c r="A8660" s="3">
        <v>44562</v>
      </c>
      <c r="B8660" s="2" t="s">
        <v>223</v>
      </c>
      <c r="C8660" s="2">
        <v>2.67</v>
      </c>
      <c r="D8660" s="2">
        <v>1.61E-2</v>
      </c>
      <c r="E8660" s="2">
        <v>4.2987E-4</v>
      </c>
      <c r="F8660" s="2" t="s">
        <v>165</v>
      </c>
    </row>
    <row r="8661" spans="1:6" ht="22.5" hidden="1" customHeight="1" x14ac:dyDescent="0.25">
      <c r="A8661" s="3">
        <v>44562</v>
      </c>
      <c r="B8661" s="2" t="s">
        <v>224</v>
      </c>
      <c r="C8661" s="2">
        <v>0.44</v>
      </c>
      <c r="D8661" s="2">
        <v>2E-3</v>
      </c>
      <c r="E8661" s="2">
        <v>8.8000000000000004E-6</v>
      </c>
      <c r="F8661" s="2" t="s">
        <v>165</v>
      </c>
    </row>
    <row r="8662" spans="1:6" ht="22.5" hidden="1" customHeight="1" x14ac:dyDescent="0.25">
      <c r="A8662" s="3">
        <v>44562</v>
      </c>
      <c r="B8662" s="2" t="s">
        <v>225</v>
      </c>
      <c r="C8662" s="2">
        <v>1.08</v>
      </c>
      <c r="D8662" s="2">
        <v>4.1999999999999997E-3</v>
      </c>
      <c r="E8662" s="2">
        <v>4.5359999999999999E-5</v>
      </c>
      <c r="F8662" s="2" t="s">
        <v>165</v>
      </c>
    </row>
    <row r="8663" spans="1:6" ht="22.5" hidden="1" customHeight="1" x14ac:dyDescent="0.25">
      <c r="A8663" s="3">
        <v>44562</v>
      </c>
      <c r="B8663" s="2" t="s">
        <v>226</v>
      </c>
      <c r="C8663" s="2">
        <v>2.2000000000000002</v>
      </c>
      <c r="D8663" s="2">
        <v>4.6100000000000002E-2</v>
      </c>
      <c r="E8663" s="2">
        <v>1.0142E-3</v>
      </c>
      <c r="F8663" s="2" t="s">
        <v>165</v>
      </c>
    </row>
    <row r="8664" spans="1:6" ht="22.5" hidden="1" customHeight="1" x14ac:dyDescent="0.25">
      <c r="A8664" s="3">
        <v>44562</v>
      </c>
      <c r="B8664" s="2" t="s">
        <v>227</v>
      </c>
      <c r="C8664" s="2">
        <v>0.53</v>
      </c>
      <c r="D8664" s="2">
        <v>6.1800000000000001E-2</v>
      </c>
      <c r="E8664" s="2">
        <v>3.2754000000000003E-4</v>
      </c>
      <c r="F8664" s="2" t="s">
        <v>165</v>
      </c>
    </row>
    <row r="8665" spans="1:6" ht="22.5" hidden="1" customHeight="1" x14ac:dyDescent="0.25">
      <c r="A8665" s="3">
        <v>44562</v>
      </c>
      <c r="B8665" s="2" t="s">
        <v>228</v>
      </c>
      <c r="C8665" s="2">
        <v>1.02</v>
      </c>
      <c r="D8665" s="2">
        <v>0.19089999999999999</v>
      </c>
      <c r="E8665" s="2">
        <v>1.94718E-3</v>
      </c>
      <c r="F8665" s="2" t="s">
        <v>165</v>
      </c>
    </row>
    <row r="8666" spans="1:6" ht="22.5" hidden="1" customHeight="1" x14ac:dyDescent="0.25">
      <c r="A8666" s="3">
        <v>44562</v>
      </c>
      <c r="B8666" s="2" t="s">
        <v>229</v>
      </c>
      <c r="C8666" s="2">
        <v>1.89</v>
      </c>
      <c r="D8666" s="2">
        <v>0.28050000000000003</v>
      </c>
      <c r="E8666" s="2">
        <v>5.3014500000000001E-3</v>
      </c>
      <c r="F8666" s="2" t="s">
        <v>174</v>
      </c>
    </row>
    <row r="8667" spans="1:6" ht="22.5" hidden="1" customHeight="1" x14ac:dyDescent="0.25">
      <c r="A8667" s="3">
        <v>44562</v>
      </c>
      <c r="B8667" s="2" t="s">
        <v>230</v>
      </c>
      <c r="C8667" s="2">
        <v>-2.0099999999999998</v>
      </c>
      <c r="D8667" s="2">
        <v>2.0799999999999999E-2</v>
      </c>
      <c r="E8667" s="2">
        <v>-4.1807999999999998E-4</v>
      </c>
      <c r="F8667" s="2" t="s">
        <v>174</v>
      </c>
    </row>
    <row r="8668" spans="1:6" ht="22.5" hidden="1" customHeight="1" x14ac:dyDescent="0.25">
      <c r="A8668" s="3">
        <v>44562</v>
      </c>
      <c r="B8668" s="2" t="s">
        <v>231</v>
      </c>
      <c r="C8668" s="2">
        <v>2.33</v>
      </c>
      <c r="D8668" s="2">
        <v>0.16739999999999999</v>
      </c>
      <c r="E8668" s="2">
        <v>3.9004199999999999E-3</v>
      </c>
      <c r="F8668" s="2" t="s">
        <v>174</v>
      </c>
    </row>
    <row r="8669" spans="1:6" ht="22.5" hidden="1" customHeight="1" x14ac:dyDescent="0.25">
      <c r="A8669" s="3">
        <v>44562</v>
      </c>
      <c r="B8669" s="2" t="s">
        <v>232</v>
      </c>
      <c r="C8669" s="2">
        <v>2.85</v>
      </c>
      <c r="D8669" s="2">
        <v>5.7000000000000002E-3</v>
      </c>
      <c r="E8669" s="2">
        <v>1.6244999999999999E-4</v>
      </c>
      <c r="F8669" s="2" t="s">
        <v>174</v>
      </c>
    </row>
    <row r="8670" spans="1:6" ht="22.5" hidden="1" customHeight="1" x14ac:dyDescent="0.25">
      <c r="A8670" s="3">
        <v>44562</v>
      </c>
      <c r="B8670" s="2" t="s">
        <v>233</v>
      </c>
      <c r="C8670" s="2">
        <v>2.73</v>
      </c>
      <c r="D8670" s="2">
        <v>0.57050000000000001</v>
      </c>
      <c r="E8670" s="2">
        <v>1.5574650000000001E-2</v>
      </c>
      <c r="F8670" s="2" t="s">
        <v>174</v>
      </c>
    </row>
    <row r="8671" spans="1:6" ht="22.5" hidden="1" customHeight="1" x14ac:dyDescent="0.25">
      <c r="A8671" s="3">
        <v>44562</v>
      </c>
      <c r="B8671" s="2" t="s">
        <v>234</v>
      </c>
      <c r="C8671" s="2">
        <v>0.5</v>
      </c>
      <c r="D8671" s="2">
        <v>0.30030000000000001</v>
      </c>
      <c r="E8671" s="2">
        <v>1.5015E-3</v>
      </c>
      <c r="F8671" s="2" t="s">
        <v>174</v>
      </c>
    </row>
    <row r="8672" spans="1:6" ht="22.5" hidden="1" customHeight="1" x14ac:dyDescent="0.25">
      <c r="A8672" s="3">
        <v>44562</v>
      </c>
      <c r="B8672" s="2" t="s">
        <v>235</v>
      </c>
      <c r="C8672" s="2">
        <v>0.91</v>
      </c>
      <c r="D8672" s="2">
        <v>2.23E-2</v>
      </c>
      <c r="E8672" s="2">
        <v>2.0293000000000001E-4</v>
      </c>
      <c r="F8672" s="2" t="s">
        <v>174</v>
      </c>
    </row>
    <row r="8673" spans="1:6" ht="22.5" hidden="1" customHeight="1" x14ac:dyDescent="0.25">
      <c r="A8673" s="3">
        <v>44562</v>
      </c>
      <c r="B8673" s="2" t="s">
        <v>236</v>
      </c>
      <c r="C8673" s="2">
        <v>1.77</v>
      </c>
      <c r="D8673" s="2">
        <v>6.7999999999999996E-3</v>
      </c>
      <c r="E8673" s="2">
        <v>1.2036000000000001E-4</v>
      </c>
      <c r="F8673" s="2" t="s">
        <v>174</v>
      </c>
    </row>
    <row r="8674" spans="1:6" ht="22.5" hidden="1" customHeight="1" x14ac:dyDescent="0.25">
      <c r="A8674" s="3">
        <v>44562</v>
      </c>
      <c r="B8674" s="2" t="s">
        <v>237</v>
      </c>
      <c r="C8674" s="2">
        <v>1</v>
      </c>
      <c r="D8674" s="2">
        <v>0.2797</v>
      </c>
      <c r="E8674" s="2">
        <v>2.797E-3</v>
      </c>
      <c r="F8674" s="2" t="s">
        <v>174</v>
      </c>
    </row>
    <row r="8675" spans="1:6" ht="22.5" hidden="1" customHeight="1" x14ac:dyDescent="0.25">
      <c r="A8675" s="3">
        <v>44562</v>
      </c>
      <c r="B8675" s="2" t="s">
        <v>238</v>
      </c>
      <c r="C8675" s="2">
        <v>1.85</v>
      </c>
      <c r="D8675" s="2">
        <v>0.50280000000000002</v>
      </c>
      <c r="E8675" s="2">
        <v>9.3018000000000007E-3</v>
      </c>
      <c r="F8675" s="2" t="s">
        <v>174</v>
      </c>
    </row>
    <row r="8676" spans="1:6" ht="22.5" hidden="1" customHeight="1" x14ac:dyDescent="0.25">
      <c r="A8676" s="3">
        <v>44562</v>
      </c>
      <c r="B8676" s="2" t="s">
        <v>239</v>
      </c>
      <c r="C8676" s="2">
        <v>1.31</v>
      </c>
      <c r="D8676" s="2">
        <v>0.10680000000000001</v>
      </c>
      <c r="E8676" s="2">
        <v>1.39908E-3</v>
      </c>
      <c r="F8676" s="2" t="s">
        <v>174</v>
      </c>
    </row>
    <row r="8677" spans="1:6" ht="22.5" hidden="1" customHeight="1" x14ac:dyDescent="0.25">
      <c r="A8677" s="3">
        <v>44562</v>
      </c>
      <c r="B8677" s="2" t="s">
        <v>240</v>
      </c>
      <c r="C8677" s="2">
        <v>-0.21</v>
      </c>
      <c r="D8677" s="2">
        <v>6.1899999999999997E-2</v>
      </c>
      <c r="E8677" s="2">
        <v>-1.2998999999999999E-4</v>
      </c>
      <c r="F8677" s="2" t="s">
        <v>174</v>
      </c>
    </row>
    <row r="8678" spans="1:6" ht="22.5" hidden="1" customHeight="1" x14ac:dyDescent="0.25">
      <c r="A8678" s="3">
        <v>44562</v>
      </c>
      <c r="B8678" s="2" t="s">
        <v>241</v>
      </c>
      <c r="C8678" s="2">
        <v>1.8</v>
      </c>
      <c r="D8678" s="2">
        <v>8.3900000000000002E-2</v>
      </c>
      <c r="E8678" s="2">
        <v>1.5102E-3</v>
      </c>
      <c r="F8678" s="2" t="s">
        <v>174</v>
      </c>
    </row>
    <row r="8679" spans="1:6" ht="22.5" hidden="1" customHeight="1" x14ac:dyDescent="0.25">
      <c r="A8679" s="3">
        <v>44562</v>
      </c>
      <c r="B8679" s="2" t="s">
        <v>242</v>
      </c>
      <c r="C8679" s="2">
        <v>0.87</v>
      </c>
      <c r="D8679" s="2">
        <v>7.1800000000000003E-2</v>
      </c>
      <c r="E8679" s="2">
        <v>6.2465999999999997E-4</v>
      </c>
      <c r="F8679" s="2" t="s">
        <v>174</v>
      </c>
    </row>
    <row r="8680" spans="1:6" ht="22.5" hidden="1" customHeight="1" x14ac:dyDescent="0.25">
      <c r="A8680" s="3">
        <v>44562</v>
      </c>
      <c r="B8680" s="2" t="s">
        <v>243</v>
      </c>
      <c r="C8680" s="2">
        <v>0.89</v>
      </c>
      <c r="D8680" s="2">
        <v>7.1000000000000004E-3</v>
      </c>
      <c r="E8680" s="2">
        <v>6.3189999999999996E-5</v>
      </c>
      <c r="F8680" s="2" t="s">
        <v>174</v>
      </c>
    </row>
    <row r="8681" spans="1:6" ht="22.5" hidden="1" customHeight="1" x14ac:dyDescent="0.25">
      <c r="A8681" s="3">
        <v>44562</v>
      </c>
      <c r="B8681" s="2" t="s">
        <v>244</v>
      </c>
      <c r="C8681" s="2">
        <v>1.77</v>
      </c>
      <c r="D8681" s="2">
        <v>4.9700000000000001E-2</v>
      </c>
      <c r="E8681" s="2">
        <v>8.7969000000000003E-4</v>
      </c>
      <c r="F8681" s="2" t="s">
        <v>174</v>
      </c>
    </row>
    <row r="8682" spans="1:6" ht="22.5" hidden="1" customHeight="1" x14ac:dyDescent="0.25">
      <c r="A8682" s="3">
        <v>44562</v>
      </c>
      <c r="B8682" s="2" t="s">
        <v>245</v>
      </c>
      <c r="C8682" s="2">
        <v>2.0299999999999998</v>
      </c>
      <c r="D8682" s="2">
        <v>4.9799999999999997E-2</v>
      </c>
      <c r="E8682" s="2">
        <v>1.0109400000000001E-3</v>
      </c>
      <c r="F8682" s="2" t="s">
        <v>174</v>
      </c>
    </row>
    <row r="8683" spans="1:6" ht="22.5" hidden="1" customHeight="1" x14ac:dyDescent="0.25">
      <c r="A8683" s="3">
        <v>44562</v>
      </c>
      <c r="B8683" s="2" t="s">
        <v>246</v>
      </c>
      <c r="C8683" s="2">
        <v>1.95</v>
      </c>
      <c r="D8683" s="2">
        <v>0.18440000000000001</v>
      </c>
      <c r="E8683" s="2">
        <v>3.5958000000000001E-3</v>
      </c>
      <c r="F8683" s="2" t="s">
        <v>174</v>
      </c>
    </row>
    <row r="8684" spans="1:6" ht="22.5" hidden="1" customHeight="1" x14ac:dyDescent="0.25">
      <c r="A8684" s="3">
        <v>44562</v>
      </c>
      <c r="B8684" s="2" t="s">
        <v>247</v>
      </c>
      <c r="C8684" s="2">
        <v>0.2</v>
      </c>
      <c r="D8684" s="2">
        <v>0.13250000000000001</v>
      </c>
      <c r="E8684" s="2">
        <v>2.6499999999999999E-4</v>
      </c>
      <c r="F8684" s="2" t="s">
        <v>174</v>
      </c>
    </row>
    <row r="8685" spans="1:6" ht="22.5" hidden="1" customHeight="1" x14ac:dyDescent="0.25">
      <c r="A8685" s="3">
        <v>44562</v>
      </c>
      <c r="B8685" s="2" t="s">
        <v>248</v>
      </c>
      <c r="C8685" s="2">
        <v>1.67</v>
      </c>
      <c r="D8685" s="2">
        <v>0.14549999999999999</v>
      </c>
      <c r="E8685" s="2">
        <v>2.4298499999999999E-3</v>
      </c>
      <c r="F8685" s="2" t="s">
        <v>174</v>
      </c>
    </row>
    <row r="8686" spans="1:6" ht="22.5" hidden="1" customHeight="1" x14ac:dyDescent="0.25">
      <c r="A8686" s="3">
        <v>44562</v>
      </c>
      <c r="B8686" s="2" t="s">
        <v>249</v>
      </c>
      <c r="C8686" s="2">
        <v>0.55000000000000004</v>
      </c>
      <c r="D8686" s="2">
        <v>0.26140000000000002</v>
      </c>
      <c r="E8686" s="2">
        <v>1.4377000000000001E-3</v>
      </c>
      <c r="F8686" s="2" t="s">
        <v>174</v>
      </c>
    </row>
    <row r="8687" spans="1:6" ht="22.5" hidden="1" customHeight="1" x14ac:dyDescent="0.25">
      <c r="A8687" s="3">
        <v>44562</v>
      </c>
      <c r="B8687" s="2" t="s">
        <v>250</v>
      </c>
      <c r="C8687" s="2">
        <v>1.42</v>
      </c>
      <c r="D8687" s="2">
        <v>2.4500000000000001E-2</v>
      </c>
      <c r="E8687" s="2">
        <v>3.479E-4</v>
      </c>
      <c r="F8687" s="2" t="s">
        <v>174</v>
      </c>
    </row>
    <row r="8688" spans="1:6" ht="22.5" hidden="1" customHeight="1" x14ac:dyDescent="0.25">
      <c r="A8688" s="3">
        <v>44562</v>
      </c>
      <c r="B8688" s="2" t="s">
        <v>251</v>
      </c>
      <c r="C8688" s="2">
        <v>0.77</v>
      </c>
      <c r="D8688" s="2">
        <v>6.0100000000000001E-2</v>
      </c>
      <c r="E8688" s="2">
        <v>4.6276999999999999E-4</v>
      </c>
      <c r="F8688" s="2" t="s">
        <v>174</v>
      </c>
    </row>
    <row r="8689" spans="1:6" ht="22.5" hidden="1" customHeight="1" x14ac:dyDescent="0.25">
      <c r="A8689" s="3">
        <v>44562</v>
      </c>
      <c r="B8689" s="2" t="s">
        <v>252</v>
      </c>
      <c r="C8689" s="2">
        <v>1.46</v>
      </c>
      <c r="D8689" s="2">
        <v>8.0999999999999996E-3</v>
      </c>
      <c r="E8689" s="2">
        <v>1.1826E-4</v>
      </c>
      <c r="F8689" s="2" t="s">
        <v>174</v>
      </c>
    </row>
    <row r="8690" spans="1:6" ht="22.5" hidden="1" customHeight="1" x14ac:dyDescent="0.25">
      <c r="A8690" s="3">
        <v>44562</v>
      </c>
      <c r="B8690" s="2" t="s">
        <v>253</v>
      </c>
      <c r="C8690" s="2">
        <v>1.23</v>
      </c>
      <c r="D8690" s="2">
        <v>0.43269999999999997</v>
      </c>
      <c r="E8690" s="2">
        <v>5.32221E-3</v>
      </c>
      <c r="F8690" s="2" t="s">
        <v>174</v>
      </c>
    </row>
    <row r="8691" spans="1:6" ht="22.5" hidden="1" customHeight="1" x14ac:dyDescent="0.25">
      <c r="A8691" s="3">
        <v>44562</v>
      </c>
      <c r="B8691" s="2" t="s">
        <v>254</v>
      </c>
      <c r="C8691" s="2">
        <v>1.78</v>
      </c>
      <c r="D8691" s="2">
        <v>0.1782</v>
      </c>
      <c r="E8691" s="2">
        <v>3.1719600000000001E-3</v>
      </c>
      <c r="F8691" s="2" t="s">
        <v>174</v>
      </c>
    </row>
    <row r="8692" spans="1:6" ht="22.5" hidden="1" customHeight="1" x14ac:dyDescent="0.25">
      <c r="A8692" s="3">
        <v>44562</v>
      </c>
      <c r="B8692" s="2" t="s">
        <v>255</v>
      </c>
      <c r="C8692" s="2">
        <v>1.85</v>
      </c>
      <c r="D8692" s="2">
        <v>1.67E-2</v>
      </c>
      <c r="E8692" s="2">
        <v>3.0895E-4</v>
      </c>
      <c r="F8692" s="2" t="s">
        <v>170</v>
      </c>
    </row>
    <row r="8693" spans="1:6" ht="22.5" hidden="1" customHeight="1" x14ac:dyDescent="0.25">
      <c r="A8693" s="3">
        <v>44562</v>
      </c>
      <c r="B8693" s="2" t="s">
        <v>256</v>
      </c>
      <c r="C8693" s="2">
        <v>0.82</v>
      </c>
      <c r="D8693" s="2">
        <v>0.14660000000000001</v>
      </c>
      <c r="E8693" s="2">
        <v>1.2021200000000001E-3</v>
      </c>
      <c r="F8693" s="2" t="s">
        <v>170</v>
      </c>
    </row>
    <row r="8694" spans="1:6" ht="22.5" hidden="1" customHeight="1" x14ac:dyDescent="0.25">
      <c r="A8694" s="3">
        <v>44562</v>
      </c>
      <c r="B8694" s="2" t="s">
        <v>257</v>
      </c>
      <c r="C8694" s="2">
        <v>1.6</v>
      </c>
      <c r="D8694" s="2">
        <v>0.05</v>
      </c>
      <c r="E8694" s="2">
        <v>8.0000000000000004E-4</v>
      </c>
      <c r="F8694" s="2" t="s">
        <v>170</v>
      </c>
    </row>
    <row r="8695" spans="1:6" ht="22.5" hidden="1" customHeight="1" x14ac:dyDescent="0.25">
      <c r="A8695" s="3">
        <v>44562</v>
      </c>
      <c r="B8695" s="2" t="s">
        <v>258</v>
      </c>
      <c r="C8695" s="2">
        <v>0.36</v>
      </c>
      <c r="D8695" s="2">
        <v>4.5999999999999999E-2</v>
      </c>
      <c r="E8695" s="2">
        <v>1.6559999999999999E-4</v>
      </c>
      <c r="F8695" s="2" t="s">
        <v>174</v>
      </c>
    </row>
    <row r="8696" spans="1:6" ht="22.5" hidden="1" customHeight="1" x14ac:dyDescent="0.25">
      <c r="A8696" s="3">
        <v>44562</v>
      </c>
      <c r="B8696" s="2" t="s">
        <v>259</v>
      </c>
      <c r="C8696" s="2">
        <v>-0.78</v>
      </c>
      <c r="D8696" s="2">
        <v>9.7999999999999997E-3</v>
      </c>
      <c r="E8696" s="2">
        <v>-7.6440000000000007E-5</v>
      </c>
      <c r="F8696" s="2" t="s">
        <v>174</v>
      </c>
    </row>
    <row r="8697" spans="1:6" ht="22.5" hidden="1" customHeight="1" x14ac:dyDescent="0.25">
      <c r="A8697" s="3">
        <v>44105</v>
      </c>
      <c r="B8697" s="2" t="s">
        <v>264</v>
      </c>
      <c r="C8697" s="2">
        <v>-2.73</v>
      </c>
      <c r="D8697" s="2">
        <v>0.1109</v>
      </c>
      <c r="E8697" s="2">
        <v>-3.0275699999999998E-3</v>
      </c>
      <c r="F8697" s="2" t="s">
        <v>168</v>
      </c>
    </row>
    <row r="8698" spans="1:6" ht="22.5" hidden="1" customHeight="1" x14ac:dyDescent="0.25">
      <c r="A8698" s="3">
        <v>44044</v>
      </c>
      <c r="B8698" s="2" t="s">
        <v>264</v>
      </c>
      <c r="C8698" s="2">
        <v>-2.61</v>
      </c>
      <c r="D8698" s="2">
        <v>0.1173</v>
      </c>
      <c r="E8698" s="2">
        <v>-3.0615299999999998E-3</v>
      </c>
      <c r="F8698" s="2" t="s">
        <v>168</v>
      </c>
    </row>
    <row r="8699" spans="1:6" ht="22.5" hidden="1" customHeight="1" x14ac:dyDescent="0.25">
      <c r="A8699" s="3">
        <v>44044</v>
      </c>
      <c r="B8699" s="2" t="s">
        <v>293</v>
      </c>
      <c r="C8699" s="2">
        <v>-1.77</v>
      </c>
      <c r="D8699" s="2">
        <v>0.1762</v>
      </c>
      <c r="E8699" s="2">
        <v>-3.1187400000000001E-3</v>
      </c>
      <c r="F8699" s="2" t="s">
        <v>168</v>
      </c>
    </row>
    <row r="8700" spans="1:6" ht="22.5" hidden="1" customHeight="1" x14ac:dyDescent="0.25">
      <c r="A8700" s="3">
        <v>43922</v>
      </c>
      <c r="B8700" s="2" t="s">
        <v>293</v>
      </c>
      <c r="C8700" s="2">
        <v>-1.81</v>
      </c>
      <c r="D8700" s="2">
        <v>0.1784</v>
      </c>
      <c r="E8700" s="2">
        <v>-3.2290399999999999E-3</v>
      </c>
      <c r="F8700" s="2" t="s">
        <v>168</v>
      </c>
    </row>
    <row r="8701" spans="1:6" ht="22.5" hidden="1" customHeight="1" x14ac:dyDescent="0.25">
      <c r="A8701" s="3">
        <v>43922</v>
      </c>
      <c r="B8701" s="2" t="s">
        <v>297</v>
      </c>
      <c r="C8701" s="2">
        <v>-1.05</v>
      </c>
      <c r="D8701" s="2">
        <v>0.30819999999999997</v>
      </c>
      <c r="E8701" s="2">
        <v>-3.2361E-3</v>
      </c>
      <c r="F8701" s="2" t="s">
        <v>168</v>
      </c>
    </row>
    <row r="8702" spans="1:6" ht="22.5" hidden="1" customHeight="1" x14ac:dyDescent="0.25">
      <c r="A8702" s="3">
        <v>44378</v>
      </c>
      <c r="B8702" s="2" t="s">
        <v>293</v>
      </c>
      <c r="C8702" s="2">
        <v>-1.94</v>
      </c>
      <c r="D8702" s="2">
        <v>0.1726</v>
      </c>
      <c r="E8702" s="2">
        <v>-3.3484399999999998E-3</v>
      </c>
      <c r="F8702" s="2" t="s">
        <v>168</v>
      </c>
    </row>
    <row r="8703" spans="1:6" ht="22.5" hidden="1" customHeight="1" x14ac:dyDescent="0.25">
      <c r="A8703" s="3">
        <v>44593</v>
      </c>
      <c r="B8703" s="2" t="s">
        <v>195</v>
      </c>
      <c r="C8703" s="2">
        <v>-0.25</v>
      </c>
      <c r="D8703" s="2">
        <v>1.3431999999999999</v>
      </c>
      <c r="E8703" s="2">
        <v>-3.3579999999999999E-3</v>
      </c>
      <c r="F8703" s="2" t="s">
        <v>168</v>
      </c>
    </row>
    <row r="8704" spans="1:6" ht="22.5" hidden="1" customHeight="1" x14ac:dyDescent="0.25">
      <c r="A8704" s="3">
        <v>44562</v>
      </c>
      <c r="B8704" s="2" t="s">
        <v>267</v>
      </c>
      <c r="C8704" s="2">
        <v>0.12</v>
      </c>
      <c r="D8704" s="2">
        <v>0.1182</v>
      </c>
      <c r="E8704" s="2">
        <v>1.4184000000000001E-4</v>
      </c>
      <c r="F8704" s="2" t="s">
        <v>165</v>
      </c>
    </row>
    <row r="8705" spans="1:6" ht="22.5" hidden="1" customHeight="1" x14ac:dyDescent="0.25">
      <c r="A8705" s="3">
        <v>44562</v>
      </c>
      <c r="B8705" s="2" t="s">
        <v>268</v>
      </c>
      <c r="C8705" s="2">
        <v>1.02</v>
      </c>
      <c r="D8705" s="2">
        <v>0.2301</v>
      </c>
      <c r="E8705" s="2">
        <v>2.34702E-3</v>
      </c>
      <c r="F8705" s="2" t="s">
        <v>165</v>
      </c>
    </row>
    <row r="8706" spans="1:6" ht="22.5" hidden="1" customHeight="1" x14ac:dyDescent="0.25">
      <c r="A8706" s="3">
        <v>44562</v>
      </c>
      <c r="B8706" s="2" t="s">
        <v>269</v>
      </c>
      <c r="C8706" s="2">
        <v>0</v>
      </c>
      <c r="D8706" s="2">
        <v>6.2E-2</v>
      </c>
      <c r="E8706" s="2">
        <v>0</v>
      </c>
      <c r="F8706" s="2" t="s">
        <v>165</v>
      </c>
    </row>
    <row r="8707" spans="1:6" ht="22.5" hidden="1" customHeight="1" x14ac:dyDescent="0.25">
      <c r="A8707" s="3">
        <v>44562</v>
      </c>
      <c r="B8707" s="2" t="s">
        <v>270</v>
      </c>
      <c r="C8707" s="2">
        <v>1.9</v>
      </c>
      <c r="D8707" s="2">
        <v>3.0590999999999999</v>
      </c>
      <c r="E8707" s="2">
        <v>5.8122899999999998E-2</v>
      </c>
      <c r="F8707" s="2" t="s">
        <v>170</v>
      </c>
    </row>
    <row r="8708" spans="1:6" ht="22.5" hidden="1" customHeight="1" x14ac:dyDescent="0.25">
      <c r="A8708" s="3">
        <v>44378</v>
      </c>
      <c r="B8708" s="2" t="s">
        <v>285</v>
      </c>
      <c r="C8708" s="2">
        <v>-0.4</v>
      </c>
      <c r="D8708" s="2">
        <v>0.84560000000000002</v>
      </c>
      <c r="E8708" s="2">
        <v>-3.3823999999999998E-3</v>
      </c>
      <c r="F8708" s="2" t="s">
        <v>168</v>
      </c>
    </row>
    <row r="8709" spans="1:6" ht="22.5" hidden="1" customHeight="1" x14ac:dyDescent="0.25">
      <c r="A8709" s="3">
        <v>44562</v>
      </c>
      <c r="B8709" s="2" t="s">
        <v>272</v>
      </c>
      <c r="C8709" s="2">
        <v>3.25</v>
      </c>
      <c r="D8709" s="2">
        <v>0.74270000000000003</v>
      </c>
      <c r="E8709" s="2">
        <v>2.4137749999999999E-2</v>
      </c>
      <c r="F8709" s="2" t="s">
        <v>165</v>
      </c>
    </row>
    <row r="8710" spans="1:6" ht="22.5" hidden="1" customHeight="1" x14ac:dyDescent="0.25">
      <c r="A8710" s="3">
        <v>44166</v>
      </c>
      <c r="B8710" s="2" t="s">
        <v>260</v>
      </c>
      <c r="C8710" s="2">
        <v>-0.25</v>
      </c>
      <c r="D8710" s="2">
        <v>1.3593</v>
      </c>
      <c r="E8710" s="2">
        <v>-3.3982499999999998E-3</v>
      </c>
      <c r="F8710" s="2" t="s">
        <v>168</v>
      </c>
    </row>
    <row r="8711" spans="1:6" ht="22.5" hidden="1" customHeight="1" x14ac:dyDescent="0.25">
      <c r="A8711" s="3">
        <v>44562</v>
      </c>
      <c r="B8711" s="2" t="s">
        <v>274</v>
      </c>
      <c r="C8711" s="2">
        <v>0.43</v>
      </c>
      <c r="D8711" s="2">
        <v>0.1394</v>
      </c>
      <c r="E8711" s="2">
        <v>5.9942000000000003E-4</v>
      </c>
      <c r="F8711" s="2" t="s">
        <v>170</v>
      </c>
    </row>
    <row r="8712" spans="1:6" ht="22.5" hidden="1" customHeight="1" x14ac:dyDescent="0.25">
      <c r="A8712" s="3">
        <v>44562</v>
      </c>
      <c r="B8712" s="2" t="s">
        <v>275</v>
      </c>
      <c r="C8712" s="2">
        <v>0.57999999999999996</v>
      </c>
      <c r="D8712" s="2">
        <v>0.1721</v>
      </c>
      <c r="E8712" s="2">
        <v>9.9817999999999999E-4</v>
      </c>
      <c r="F8712" s="2" t="s">
        <v>170</v>
      </c>
    </row>
    <row r="8713" spans="1:6" ht="22.5" hidden="1" customHeight="1" x14ac:dyDescent="0.25">
      <c r="A8713" s="3">
        <v>44562</v>
      </c>
      <c r="B8713" s="2" t="s">
        <v>276</v>
      </c>
      <c r="C8713" s="2">
        <v>2.85</v>
      </c>
      <c r="D8713" s="2">
        <v>0.254</v>
      </c>
      <c r="E8713" s="2">
        <v>7.2389999999999998E-3</v>
      </c>
      <c r="F8713" s="2" t="s">
        <v>170</v>
      </c>
    </row>
    <row r="8714" spans="1:6" ht="22.5" hidden="1" customHeight="1" x14ac:dyDescent="0.25">
      <c r="A8714" s="3">
        <v>44562</v>
      </c>
      <c r="B8714" s="2" t="s">
        <v>277</v>
      </c>
      <c r="C8714" s="2">
        <v>1.39</v>
      </c>
      <c r="D8714" s="2">
        <v>1.605</v>
      </c>
      <c r="E8714" s="2">
        <v>2.2309499999999999E-2</v>
      </c>
      <c r="F8714" s="2" t="s">
        <v>165</v>
      </c>
    </row>
    <row r="8715" spans="1:6" ht="22.5" hidden="1" customHeight="1" x14ac:dyDescent="0.25">
      <c r="A8715" s="3">
        <v>44562</v>
      </c>
      <c r="B8715" s="2" t="s">
        <v>278</v>
      </c>
      <c r="C8715" s="2">
        <v>0.7</v>
      </c>
      <c r="D8715" s="2">
        <v>6.3799999999999996E-2</v>
      </c>
      <c r="E8715" s="2">
        <v>4.4660000000000001E-4</v>
      </c>
      <c r="F8715" s="2" t="s">
        <v>165</v>
      </c>
    </row>
    <row r="8716" spans="1:6" ht="22.5" hidden="1" customHeight="1" x14ac:dyDescent="0.25">
      <c r="A8716" s="3">
        <v>44409</v>
      </c>
      <c r="B8716" s="2" t="s">
        <v>291</v>
      </c>
      <c r="C8716" s="2">
        <v>-1.86</v>
      </c>
      <c r="D8716" s="2">
        <v>0.18410000000000001</v>
      </c>
      <c r="E8716" s="2">
        <v>-3.4242600000000002E-3</v>
      </c>
      <c r="F8716" s="2" t="s">
        <v>168</v>
      </c>
    </row>
    <row r="8717" spans="1:6" ht="22.5" hidden="1" customHeight="1" x14ac:dyDescent="0.25">
      <c r="A8717" s="3">
        <v>44562</v>
      </c>
      <c r="B8717" s="2" t="s">
        <v>280</v>
      </c>
      <c r="C8717" s="2">
        <v>0.59</v>
      </c>
      <c r="D8717" s="2">
        <v>1.9466000000000001</v>
      </c>
      <c r="E8717" s="2">
        <v>1.1484940000000001E-2</v>
      </c>
      <c r="F8717" s="2" t="s">
        <v>170</v>
      </c>
    </row>
    <row r="8718" spans="1:6" ht="22.5" hidden="1" customHeight="1" x14ac:dyDescent="0.25">
      <c r="A8718" s="3">
        <v>44562</v>
      </c>
      <c r="B8718" s="2" t="s">
        <v>281</v>
      </c>
      <c r="C8718" s="2">
        <v>0.44</v>
      </c>
      <c r="D8718" s="2">
        <v>1.5800000000000002E-2</v>
      </c>
      <c r="E8718" s="2">
        <v>6.9519999999999998E-5</v>
      </c>
      <c r="F8718" s="2" t="s">
        <v>165</v>
      </c>
    </row>
    <row r="8719" spans="1:6" ht="22.5" hidden="1" customHeight="1" x14ac:dyDescent="0.25">
      <c r="A8719" s="3">
        <v>44562</v>
      </c>
      <c r="B8719" s="2" t="s">
        <v>282</v>
      </c>
      <c r="C8719" s="2">
        <v>12.94</v>
      </c>
      <c r="D8719" s="2">
        <v>2.41E-2</v>
      </c>
      <c r="E8719" s="2">
        <v>3.1185399999999999E-3</v>
      </c>
      <c r="F8719" s="2" t="s">
        <v>165</v>
      </c>
    </row>
    <row r="8720" spans="1:6" ht="22.5" hidden="1" customHeight="1" x14ac:dyDescent="0.25">
      <c r="A8720" s="3">
        <v>44562</v>
      </c>
      <c r="B8720" s="2" t="s">
        <v>283</v>
      </c>
      <c r="C8720" s="2">
        <v>1.72</v>
      </c>
      <c r="D8720" s="2">
        <v>0.57230000000000003</v>
      </c>
      <c r="E8720" s="2">
        <v>9.8435599999999995E-3</v>
      </c>
      <c r="F8720" s="2" t="s">
        <v>170</v>
      </c>
    </row>
    <row r="8721" spans="1:6" ht="22.5" hidden="1" customHeight="1" x14ac:dyDescent="0.25">
      <c r="A8721" s="3">
        <v>44166</v>
      </c>
      <c r="B8721" s="2" t="s">
        <v>297</v>
      </c>
      <c r="C8721" s="2">
        <v>-1.17</v>
      </c>
      <c r="D8721" s="2">
        <v>0.29709999999999998</v>
      </c>
      <c r="E8721" s="2">
        <v>-3.4760699999999999E-3</v>
      </c>
      <c r="F8721" s="2" t="s">
        <v>168</v>
      </c>
    </row>
    <row r="8722" spans="1:6" ht="22.5" hidden="1" customHeight="1" x14ac:dyDescent="0.25">
      <c r="A8722" s="3">
        <v>44166</v>
      </c>
      <c r="B8722" s="2" t="s">
        <v>263</v>
      </c>
      <c r="C8722" s="2">
        <v>-0.82</v>
      </c>
      <c r="D8722" s="2">
        <v>0.42899999999999999</v>
      </c>
      <c r="E8722" s="2">
        <v>-3.5178000000000002E-3</v>
      </c>
      <c r="F8722" s="2" t="s">
        <v>168</v>
      </c>
    </row>
    <row r="8723" spans="1:6" ht="22.5" hidden="1" customHeight="1" x14ac:dyDescent="0.25">
      <c r="A8723" s="3">
        <v>43891</v>
      </c>
      <c r="B8723" s="2" t="s">
        <v>286</v>
      </c>
      <c r="C8723" s="2">
        <v>-1.95</v>
      </c>
      <c r="D8723" s="2">
        <v>0.1953</v>
      </c>
      <c r="E8723" s="2">
        <v>-3.8083499999999998E-3</v>
      </c>
      <c r="F8723" s="2" t="s">
        <v>168</v>
      </c>
    </row>
    <row r="8724" spans="1:6" ht="22.5" hidden="1" customHeight="1" x14ac:dyDescent="0.25">
      <c r="A8724" s="3">
        <v>43952</v>
      </c>
      <c r="B8724" s="2" t="s">
        <v>300</v>
      </c>
      <c r="C8724" s="2">
        <v>-2.0299999999999998</v>
      </c>
      <c r="D8724" s="2">
        <v>0.18920000000000001</v>
      </c>
      <c r="E8724" s="2">
        <v>-3.8407599999999999E-3</v>
      </c>
      <c r="F8724" s="2" t="s">
        <v>168</v>
      </c>
    </row>
    <row r="8725" spans="1:6" ht="22.5" hidden="1" customHeight="1" x14ac:dyDescent="0.25">
      <c r="A8725" s="3">
        <v>43922</v>
      </c>
      <c r="B8725" s="2" t="s">
        <v>197</v>
      </c>
      <c r="C8725" s="2">
        <v>-0.1</v>
      </c>
      <c r="D8725" s="2">
        <v>4.2827999999999999</v>
      </c>
      <c r="E8725" s="2">
        <v>-4.2827999999999998E-3</v>
      </c>
      <c r="F8725" s="2" t="s">
        <v>168</v>
      </c>
    </row>
    <row r="8726" spans="1:6" ht="22.5" hidden="1" customHeight="1" x14ac:dyDescent="0.25">
      <c r="A8726" s="3">
        <v>44409</v>
      </c>
      <c r="B8726" s="2" t="s">
        <v>310</v>
      </c>
      <c r="C8726" s="2">
        <v>-0.11</v>
      </c>
      <c r="D8726" s="2">
        <v>3.9079999999999999</v>
      </c>
      <c r="E8726" s="2">
        <v>-4.2988000000000002E-3</v>
      </c>
      <c r="F8726" s="2" t="s">
        <v>168</v>
      </c>
    </row>
    <row r="8727" spans="1:6" ht="22.5" hidden="1" customHeight="1" x14ac:dyDescent="0.25">
      <c r="A8727" s="3">
        <v>43952</v>
      </c>
      <c r="B8727" s="2" t="s">
        <v>291</v>
      </c>
      <c r="C8727" s="2">
        <v>-2.2200000000000002</v>
      </c>
      <c r="D8727" s="2">
        <v>0.20039999999999999</v>
      </c>
      <c r="E8727" s="2">
        <v>-4.4488799999999997E-3</v>
      </c>
      <c r="F8727" s="2" t="s">
        <v>168</v>
      </c>
    </row>
    <row r="8728" spans="1:6" ht="22.5" hidden="1" customHeight="1" x14ac:dyDescent="0.25">
      <c r="A8728" s="3">
        <v>44044</v>
      </c>
      <c r="B8728" s="2" t="s">
        <v>298</v>
      </c>
      <c r="C8728" s="2">
        <v>-0.73</v>
      </c>
      <c r="D8728" s="2">
        <v>0.62539999999999996</v>
      </c>
      <c r="E8728" s="2">
        <v>-4.5654199999999997E-3</v>
      </c>
      <c r="F8728" s="2" t="s">
        <v>168</v>
      </c>
    </row>
    <row r="8729" spans="1:6" ht="22.5" hidden="1" customHeight="1" x14ac:dyDescent="0.25">
      <c r="A8729" s="3">
        <v>43862</v>
      </c>
      <c r="B8729" s="2" t="s">
        <v>197</v>
      </c>
      <c r="C8729" s="2">
        <v>-0.12</v>
      </c>
      <c r="D8729" s="2">
        <v>4.3548</v>
      </c>
      <c r="E8729" s="2">
        <v>-5.2257600000000003E-3</v>
      </c>
      <c r="F8729" s="2" t="s">
        <v>168</v>
      </c>
    </row>
    <row r="8730" spans="1:6" ht="22.5" hidden="1" customHeight="1" x14ac:dyDescent="0.25">
      <c r="A8730" s="3">
        <v>44409</v>
      </c>
      <c r="B8730" s="2" t="s">
        <v>296</v>
      </c>
      <c r="C8730" s="2">
        <v>-3.09</v>
      </c>
      <c r="D8730" s="2">
        <v>0.19670000000000001</v>
      </c>
      <c r="E8730" s="2">
        <v>-6.0780299999999999E-3</v>
      </c>
      <c r="F8730" s="2" t="s">
        <v>168</v>
      </c>
    </row>
    <row r="8731" spans="1:6" ht="22.5" hidden="1" customHeight="1" x14ac:dyDescent="0.25">
      <c r="A8731" s="3">
        <v>44044</v>
      </c>
      <c r="B8731" s="2" t="s">
        <v>265</v>
      </c>
      <c r="C8731" s="2">
        <v>-1.88</v>
      </c>
      <c r="D8731" s="2">
        <v>0.32619999999999999</v>
      </c>
      <c r="E8731" s="2">
        <v>-6.1325599999999996E-3</v>
      </c>
      <c r="F8731" s="2" t="s">
        <v>168</v>
      </c>
    </row>
    <row r="8732" spans="1:6" ht="22.5" hidden="1" customHeight="1" x14ac:dyDescent="0.25">
      <c r="A8732" s="3">
        <v>44197</v>
      </c>
      <c r="B8732" s="2" t="s">
        <v>285</v>
      </c>
      <c r="C8732" s="2">
        <v>-0.97</v>
      </c>
      <c r="D8732" s="2">
        <v>0.66139999999999999</v>
      </c>
      <c r="E8732" s="2">
        <v>-6.4155799999999997E-3</v>
      </c>
      <c r="F8732" s="2" t="s">
        <v>168</v>
      </c>
    </row>
    <row r="8733" spans="1:6" ht="22.5" hidden="1" customHeight="1" x14ac:dyDescent="0.25">
      <c r="A8733" s="3">
        <v>44562</v>
      </c>
      <c r="B8733" s="2" t="s">
        <v>195</v>
      </c>
      <c r="C8733" s="2">
        <v>-0.49</v>
      </c>
      <c r="D8733" s="2">
        <v>1.3581000000000001</v>
      </c>
      <c r="E8733" s="2">
        <v>-6.6546900000000004E-3</v>
      </c>
      <c r="F8733" s="2" t="s">
        <v>168</v>
      </c>
    </row>
    <row r="8734" spans="1:6" ht="22.5" hidden="1" customHeight="1" x14ac:dyDescent="0.25">
      <c r="A8734" s="3">
        <v>43952</v>
      </c>
      <c r="B8734" s="2" t="s">
        <v>289</v>
      </c>
      <c r="C8734" s="2">
        <v>-1.2</v>
      </c>
      <c r="D8734" s="2">
        <v>0.55489999999999995</v>
      </c>
      <c r="E8734" s="2">
        <v>-6.6588000000000003E-3</v>
      </c>
      <c r="F8734" s="2" t="s">
        <v>168</v>
      </c>
    </row>
    <row r="8735" spans="1:6" ht="22.5" hidden="1" customHeight="1" x14ac:dyDescent="0.25">
      <c r="A8735" s="3">
        <v>44378</v>
      </c>
      <c r="B8735" s="2" t="s">
        <v>298</v>
      </c>
      <c r="C8735" s="2">
        <v>-1.1399999999999999</v>
      </c>
      <c r="D8735" s="2">
        <v>0.60389999999999999</v>
      </c>
      <c r="E8735" s="2">
        <v>-6.8844600000000002E-3</v>
      </c>
      <c r="F8735" s="2" t="s">
        <v>168</v>
      </c>
    </row>
    <row r="8736" spans="1:6" ht="22.5" hidden="1" customHeight="1" x14ac:dyDescent="0.25">
      <c r="A8736" s="3">
        <v>43952</v>
      </c>
      <c r="B8736" s="2" t="s">
        <v>288</v>
      </c>
      <c r="C8736" s="2">
        <v>-2.8</v>
      </c>
      <c r="D8736" s="2">
        <v>0.24610000000000001</v>
      </c>
      <c r="E8736" s="2">
        <v>-6.8907999999999999E-3</v>
      </c>
      <c r="F8736" s="2" t="s">
        <v>168</v>
      </c>
    </row>
    <row r="8737" spans="1:6" ht="22.5" hidden="1" customHeight="1" x14ac:dyDescent="0.25">
      <c r="A8737" s="3">
        <v>43922</v>
      </c>
      <c r="B8737" s="2" t="s">
        <v>300</v>
      </c>
      <c r="C8737" s="2">
        <v>-3.79</v>
      </c>
      <c r="D8737" s="2">
        <v>0.1968</v>
      </c>
      <c r="E8737" s="2">
        <v>-7.4587200000000003E-3</v>
      </c>
      <c r="F8737" s="2" t="s">
        <v>168</v>
      </c>
    </row>
    <row r="8738" spans="1:6" ht="22.5" hidden="1" customHeight="1" x14ac:dyDescent="0.25">
      <c r="A8738" s="3">
        <v>43983</v>
      </c>
      <c r="B8738" s="2" t="s">
        <v>284</v>
      </c>
      <c r="C8738" s="2">
        <v>-0.17</v>
      </c>
      <c r="D8738" s="2">
        <v>4.4080000000000004</v>
      </c>
      <c r="E8738" s="2">
        <v>-7.4935999999999996E-3</v>
      </c>
      <c r="F8738" s="2" t="s">
        <v>168</v>
      </c>
    </row>
    <row r="8739" spans="1:6" ht="22.5" hidden="1" customHeight="1" x14ac:dyDescent="0.25">
      <c r="A8739" s="3">
        <v>44562</v>
      </c>
      <c r="B8739" s="2" t="s">
        <v>302</v>
      </c>
      <c r="C8739" s="2">
        <v>-0.78</v>
      </c>
      <c r="D8739" s="2">
        <v>0.26219999999999999</v>
      </c>
      <c r="E8739" s="2">
        <v>-2.0451599999999999E-3</v>
      </c>
      <c r="F8739" s="2" t="s">
        <v>170</v>
      </c>
    </row>
    <row r="8740" spans="1:6" ht="22.5" hidden="1" customHeight="1" x14ac:dyDescent="0.25">
      <c r="A8740" s="3">
        <v>44562</v>
      </c>
      <c r="B8740" s="2" t="s">
        <v>303</v>
      </c>
      <c r="C8740" s="2">
        <v>0.7</v>
      </c>
      <c r="D8740" s="2">
        <v>0.50980000000000003</v>
      </c>
      <c r="E8740" s="2">
        <v>3.5685999999999999E-3</v>
      </c>
      <c r="F8740" s="2" t="s">
        <v>165</v>
      </c>
    </row>
    <row r="8741" spans="1:6" ht="22.5" hidden="1" customHeight="1" x14ac:dyDescent="0.25">
      <c r="A8741" s="3">
        <v>44562</v>
      </c>
      <c r="B8741" s="2" t="s">
        <v>304</v>
      </c>
      <c r="C8741" s="2">
        <v>0.28000000000000003</v>
      </c>
      <c r="D8741" s="2">
        <v>0.50129999999999997</v>
      </c>
      <c r="E8741" s="2">
        <v>1.4036400000000001E-3</v>
      </c>
      <c r="F8741" s="2" t="s">
        <v>165</v>
      </c>
    </row>
    <row r="8742" spans="1:6" ht="22.5" hidden="1" customHeight="1" x14ac:dyDescent="0.25">
      <c r="A8742" s="3">
        <v>44562</v>
      </c>
      <c r="B8742" s="2" t="s">
        <v>305</v>
      </c>
      <c r="C8742" s="2">
        <v>0.26</v>
      </c>
      <c r="D8742" s="2">
        <v>1.7399999999999999E-2</v>
      </c>
      <c r="E8742" s="2">
        <v>4.5240000000000001E-5</v>
      </c>
      <c r="F8742" s="2" t="s">
        <v>170</v>
      </c>
    </row>
    <row r="8743" spans="1:6" ht="22.5" hidden="1" customHeight="1" x14ac:dyDescent="0.25">
      <c r="A8743" s="3">
        <v>44562</v>
      </c>
      <c r="B8743" s="2" t="s">
        <v>306</v>
      </c>
      <c r="C8743" s="2">
        <v>0.09</v>
      </c>
      <c r="D8743" s="2">
        <v>4.5499999999999999E-2</v>
      </c>
      <c r="E8743" s="2">
        <v>4.0949999999999999E-5</v>
      </c>
      <c r="F8743" s="2" t="s">
        <v>165</v>
      </c>
    </row>
    <row r="8744" spans="1:6" ht="22.5" hidden="1" customHeight="1" x14ac:dyDescent="0.25">
      <c r="A8744" s="3">
        <v>44562</v>
      </c>
      <c r="B8744" s="2" t="s">
        <v>307</v>
      </c>
      <c r="C8744" s="2">
        <v>-0.06</v>
      </c>
      <c r="D8744" s="2">
        <v>0.10290000000000001</v>
      </c>
      <c r="E8744" s="2">
        <v>-6.1740000000000002E-5</v>
      </c>
      <c r="F8744" s="2" t="s">
        <v>165</v>
      </c>
    </row>
    <row r="8745" spans="1:6" ht="22.5" hidden="1" customHeight="1" x14ac:dyDescent="0.25">
      <c r="A8745" s="3">
        <v>44562</v>
      </c>
      <c r="B8745" s="2" t="s">
        <v>308</v>
      </c>
      <c r="C8745" s="2">
        <v>0.03</v>
      </c>
      <c r="D8745" s="2">
        <v>0.35589999999999999</v>
      </c>
      <c r="E8745" s="2">
        <v>1.0677E-4</v>
      </c>
      <c r="F8745" s="2" t="s">
        <v>165</v>
      </c>
    </row>
    <row r="8746" spans="1:6" ht="22.5" hidden="1" customHeight="1" x14ac:dyDescent="0.25">
      <c r="A8746" s="3">
        <v>44562</v>
      </c>
      <c r="B8746" s="2" t="s">
        <v>309</v>
      </c>
      <c r="C8746" s="2">
        <v>0.76</v>
      </c>
      <c r="D8746" s="2">
        <v>0.1227</v>
      </c>
      <c r="E8746" s="2">
        <v>9.3252000000000005E-4</v>
      </c>
      <c r="F8746" s="2" t="s">
        <v>165</v>
      </c>
    </row>
    <row r="8747" spans="1:6" ht="22.5" hidden="1" customHeight="1" x14ac:dyDescent="0.25">
      <c r="A8747" s="3">
        <v>44470</v>
      </c>
      <c r="B8747" s="2" t="s">
        <v>298</v>
      </c>
      <c r="C8747" s="2">
        <v>-1.3</v>
      </c>
      <c r="D8747" s="2">
        <v>0.57820000000000005</v>
      </c>
      <c r="E8747" s="2">
        <v>-7.5166E-3</v>
      </c>
      <c r="F8747" s="2" t="s">
        <v>168</v>
      </c>
    </row>
    <row r="8748" spans="1:6" ht="22.5" hidden="1" customHeight="1" x14ac:dyDescent="0.25">
      <c r="A8748" s="3">
        <v>44562</v>
      </c>
      <c r="B8748" s="2" t="s">
        <v>311</v>
      </c>
      <c r="C8748" s="2">
        <v>0.85</v>
      </c>
      <c r="D8748" s="2">
        <v>0.57699999999999996</v>
      </c>
      <c r="E8748" s="2">
        <v>4.9045E-3</v>
      </c>
      <c r="F8748" s="2" t="s">
        <v>174</v>
      </c>
    </row>
    <row r="8749" spans="1:6" ht="22.5" hidden="1" customHeight="1" x14ac:dyDescent="0.25">
      <c r="A8749" s="3">
        <v>44562</v>
      </c>
      <c r="B8749" s="2" t="s">
        <v>312</v>
      </c>
      <c r="C8749" s="2">
        <v>0.71</v>
      </c>
      <c r="D8749" s="2">
        <v>0.20419999999999999</v>
      </c>
      <c r="E8749" s="2">
        <v>1.4498200000000001E-3</v>
      </c>
      <c r="F8749" s="2" t="s">
        <v>174</v>
      </c>
    </row>
    <row r="8750" spans="1:6" ht="22.5" hidden="1" customHeight="1" x14ac:dyDescent="0.25">
      <c r="A8750" s="3">
        <v>44562</v>
      </c>
      <c r="B8750" s="2" t="s">
        <v>313</v>
      </c>
      <c r="C8750" s="2">
        <v>-0.39</v>
      </c>
      <c r="D8750" s="2">
        <v>0.122</v>
      </c>
      <c r="E8750" s="2">
        <v>-4.7580000000000002E-4</v>
      </c>
      <c r="F8750" s="2" t="s">
        <v>174</v>
      </c>
    </row>
    <row r="8751" spans="1:6" ht="22.5" hidden="1" customHeight="1" x14ac:dyDescent="0.25">
      <c r="A8751" s="3">
        <v>44562</v>
      </c>
      <c r="B8751" s="2" t="s">
        <v>314</v>
      </c>
      <c r="C8751" s="2">
        <v>9</v>
      </c>
      <c r="D8751" s="2">
        <v>0.34949999999999998</v>
      </c>
      <c r="E8751" s="2">
        <v>3.1454999999999997E-2</v>
      </c>
      <c r="F8751" s="2" t="s">
        <v>174</v>
      </c>
    </row>
    <row r="8752" spans="1:6" ht="22.5" hidden="1" customHeight="1" x14ac:dyDescent="0.25">
      <c r="A8752" s="3">
        <v>44562</v>
      </c>
      <c r="B8752" s="2" t="s">
        <v>315</v>
      </c>
      <c r="C8752" s="2">
        <v>0.82</v>
      </c>
      <c r="D8752" s="2">
        <v>0.25569999999999998</v>
      </c>
      <c r="E8752" s="2">
        <v>2.0967400000000001E-3</v>
      </c>
      <c r="F8752" s="2" t="s">
        <v>174</v>
      </c>
    </row>
    <row r="8753" spans="1:6" ht="22.5" hidden="1" customHeight="1" x14ac:dyDescent="0.25">
      <c r="A8753" s="3">
        <v>44562</v>
      </c>
      <c r="B8753" s="2" t="s">
        <v>316</v>
      </c>
      <c r="C8753" s="2">
        <v>0.5</v>
      </c>
      <c r="D8753" s="2">
        <v>3.5999999999999999E-3</v>
      </c>
      <c r="E8753" s="2">
        <v>1.8E-5</v>
      </c>
      <c r="F8753" s="2" t="s">
        <v>174</v>
      </c>
    </row>
    <row r="8754" spans="1:6" ht="22.5" hidden="1" customHeight="1" x14ac:dyDescent="0.25">
      <c r="A8754" s="3">
        <v>44562</v>
      </c>
      <c r="B8754" s="2" t="s">
        <v>317</v>
      </c>
      <c r="C8754" s="2">
        <v>9.34</v>
      </c>
      <c r="D8754" s="2">
        <v>0.87009999999999998</v>
      </c>
      <c r="E8754" s="2">
        <v>8.1267339999999993E-2</v>
      </c>
      <c r="F8754" s="2" t="s">
        <v>174</v>
      </c>
    </row>
    <row r="8755" spans="1:6" ht="22.5" hidden="1" customHeight="1" x14ac:dyDescent="0.25">
      <c r="A8755" s="3">
        <v>44562</v>
      </c>
      <c r="B8755" s="2" t="s">
        <v>318</v>
      </c>
      <c r="C8755" s="2">
        <v>0.46</v>
      </c>
      <c r="D8755" s="2">
        <v>0.40889999999999999</v>
      </c>
      <c r="E8755" s="2">
        <v>1.88094E-3</v>
      </c>
      <c r="F8755" s="2" t="s">
        <v>174</v>
      </c>
    </row>
    <row r="8756" spans="1:6" ht="22.5" hidden="1" customHeight="1" x14ac:dyDescent="0.25">
      <c r="A8756" s="3">
        <v>44562</v>
      </c>
      <c r="B8756" s="2" t="s">
        <v>319</v>
      </c>
      <c r="C8756" s="2">
        <v>0.77</v>
      </c>
      <c r="D8756" s="2">
        <v>0.1052</v>
      </c>
      <c r="E8756" s="2">
        <v>8.1004000000000004E-4</v>
      </c>
      <c r="F8756" s="2" t="s">
        <v>174</v>
      </c>
    </row>
    <row r="8757" spans="1:6" ht="22.5" hidden="1" customHeight="1" x14ac:dyDescent="0.25">
      <c r="A8757" s="3">
        <v>44562</v>
      </c>
      <c r="B8757" s="2" t="s">
        <v>320</v>
      </c>
      <c r="C8757" s="2">
        <v>1.92</v>
      </c>
      <c r="D8757" s="2">
        <v>0.31</v>
      </c>
      <c r="E8757" s="2">
        <v>5.9519999999999998E-3</v>
      </c>
      <c r="F8757" s="2" t="s">
        <v>174</v>
      </c>
    </row>
    <row r="8758" spans="1:6" ht="22.5" hidden="1" customHeight="1" x14ac:dyDescent="0.25">
      <c r="A8758" s="3">
        <v>44562</v>
      </c>
      <c r="B8758" s="2" t="s">
        <v>321</v>
      </c>
      <c r="C8758" s="2">
        <v>1.24</v>
      </c>
      <c r="D8758" s="2">
        <v>0.2021</v>
      </c>
      <c r="E8758" s="2">
        <v>2.5060400000000002E-3</v>
      </c>
      <c r="F8758" s="2" t="s">
        <v>174</v>
      </c>
    </row>
    <row r="8759" spans="1:6" ht="22.5" hidden="1" customHeight="1" x14ac:dyDescent="0.25">
      <c r="A8759" s="3">
        <v>44562</v>
      </c>
      <c r="B8759" s="2" t="s">
        <v>322</v>
      </c>
      <c r="C8759" s="2">
        <v>2.1</v>
      </c>
      <c r="D8759" s="2">
        <v>0.1512</v>
      </c>
      <c r="E8759" s="2">
        <v>3.1752E-3</v>
      </c>
      <c r="F8759" s="2" t="s">
        <v>174</v>
      </c>
    </row>
    <row r="8760" spans="1:6" ht="22.5" hidden="1" customHeight="1" x14ac:dyDescent="0.25">
      <c r="A8760" s="3">
        <v>44562</v>
      </c>
      <c r="B8760" s="2" t="s">
        <v>323</v>
      </c>
      <c r="C8760" s="2">
        <v>-0.09</v>
      </c>
      <c r="D8760" s="2">
        <v>1.0999999999999999E-2</v>
      </c>
      <c r="E8760" s="2">
        <v>-9.9000000000000001E-6</v>
      </c>
      <c r="F8760" s="2" t="s">
        <v>165</v>
      </c>
    </row>
    <row r="8761" spans="1:6" ht="22.5" hidden="1" customHeight="1" x14ac:dyDescent="0.25">
      <c r="A8761" s="3">
        <v>44562</v>
      </c>
      <c r="B8761" s="2" t="s">
        <v>324</v>
      </c>
      <c r="C8761" s="2">
        <v>0.68</v>
      </c>
      <c r="D8761" s="2">
        <v>0.37580000000000002</v>
      </c>
      <c r="E8761" s="2">
        <v>2.55544E-3</v>
      </c>
      <c r="F8761" s="2" t="s">
        <v>165</v>
      </c>
    </row>
    <row r="8762" spans="1:6" ht="22.5" hidden="1" customHeight="1" x14ac:dyDescent="0.25">
      <c r="A8762" s="3">
        <v>44562</v>
      </c>
      <c r="B8762" s="2" t="s">
        <v>325</v>
      </c>
      <c r="C8762" s="2">
        <v>0.13</v>
      </c>
      <c r="D8762" s="2">
        <v>2.8530000000000002</v>
      </c>
      <c r="E8762" s="2">
        <v>3.7088999999999998E-3</v>
      </c>
      <c r="F8762" s="2" t="s">
        <v>165</v>
      </c>
    </row>
    <row r="8763" spans="1:6" ht="22.5" hidden="1" customHeight="1" x14ac:dyDescent="0.25">
      <c r="A8763" s="3">
        <v>44562</v>
      </c>
      <c r="B8763" s="2" t="s">
        <v>326</v>
      </c>
      <c r="C8763" s="2">
        <v>0.37</v>
      </c>
      <c r="D8763" s="2">
        <v>0.98870000000000002</v>
      </c>
      <c r="E8763" s="2">
        <v>3.65819E-3</v>
      </c>
      <c r="F8763" s="2" t="s">
        <v>165</v>
      </c>
    </row>
    <row r="8764" spans="1:6" ht="22.5" hidden="1" customHeight="1" x14ac:dyDescent="0.25">
      <c r="A8764" s="3">
        <v>44562</v>
      </c>
      <c r="B8764" s="2" t="s">
        <v>327</v>
      </c>
      <c r="C8764" s="2">
        <v>1.05</v>
      </c>
      <c r="D8764" s="2">
        <v>5.8700000000000002E-2</v>
      </c>
      <c r="E8764" s="2">
        <v>6.1634999999999999E-4</v>
      </c>
      <c r="F8764" s="2" t="s">
        <v>165</v>
      </c>
    </row>
    <row r="8765" spans="1:6" ht="22.5" hidden="1" customHeight="1" x14ac:dyDescent="0.25">
      <c r="A8765" s="3">
        <v>44562</v>
      </c>
      <c r="B8765" s="2" t="s">
        <v>328</v>
      </c>
      <c r="C8765" s="2">
        <v>4.16</v>
      </c>
      <c r="D8765" s="2">
        <v>1.7600000000000001E-2</v>
      </c>
      <c r="E8765" s="2">
        <v>7.3216000000000004E-4</v>
      </c>
      <c r="F8765" s="2" t="s">
        <v>165</v>
      </c>
    </row>
    <row r="8766" spans="1:6" ht="22.5" hidden="1" customHeight="1" x14ac:dyDescent="0.25">
      <c r="A8766" s="3">
        <v>44562</v>
      </c>
      <c r="B8766" s="2" t="s">
        <v>329</v>
      </c>
      <c r="C8766" s="2">
        <v>1.08</v>
      </c>
      <c r="D8766" s="2">
        <v>9.5399999999999999E-2</v>
      </c>
      <c r="E8766" s="2">
        <v>1.0303199999999999E-3</v>
      </c>
      <c r="F8766" s="2" t="s">
        <v>165</v>
      </c>
    </row>
    <row r="8767" spans="1:6" ht="22.5" hidden="1" customHeight="1" x14ac:dyDescent="0.25">
      <c r="A8767" s="3">
        <v>44562</v>
      </c>
      <c r="B8767" s="2" t="s">
        <v>330</v>
      </c>
      <c r="C8767" s="2">
        <v>0.44</v>
      </c>
      <c r="D8767" s="2">
        <v>1.6318999999999999</v>
      </c>
      <c r="E8767" s="2">
        <v>7.1803600000000002E-3</v>
      </c>
      <c r="F8767" s="2" t="s">
        <v>165</v>
      </c>
    </row>
    <row r="8768" spans="1:6" ht="22.5" hidden="1" customHeight="1" x14ac:dyDescent="0.25">
      <c r="A8768" s="3">
        <v>44562</v>
      </c>
      <c r="B8768" s="2" t="s">
        <v>331</v>
      </c>
      <c r="C8768" s="2">
        <v>0.2</v>
      </c>
      <c r="D8768" s="2">
        <v>5.2699999999999997E-2</v>
      </c>
      <c r="E8768" s="2">
        <v>1.054E-4</v>
      </c>
      <c r="F8768" s="2" t="s">
        <v>165</v>
      </c>
    </row>
    <row r="8769" spans="1:6" ht="22.5" hidden="1" customHeight="1" x14ac:dyDescent="0.25">
      <c r="A8769" s="3">
        <v>44562</v>
      </c>
      <c r="B8769" s="2" t="s">
        <v>332</v>
      </c>
      <c r="C8769" s="2">
        <v>0.61</v>
      </c>
      <c r="D8769" s="2">
        <v>0.1053</v>
      </c>
      <c r="E8769" s="2">
        <v>6.4232999999999998E-4</v>
      </c>
      <c r="F8769" s="2" t="s">
        <v>165</v>
      </c>
    </row>
    <row r="8770" spans="1:6" ht="22.5" hidden="1" customHeight="1" x14ac:dyDescent="0.25">
      <c r="A8770" s="3">
        <v>44562</v>
      </c>
      <c r="B8770" s="2" t="s">
        <v>333</v>
      </c>
      <c r="C8770" s="2">
        <v>0.76</v>
      </c>
      <c r="D8770" s="2">
        <v>7.85E-2</v>
      </c>
      <c r="E8770" s="2">
        <v>5.9659999999999997E-4</v>
      </c>
      <c r="F8770" s="2" t="s">
        <v>165</v>
      </c>
    </row>
    <row r="8771" spans="1:6" ht="22.5" hidden="1" customHeight="1" x14ac:dyDescent="0.25">
      <c r="A8771" s="3">
        <v>44562</v>
      </c>
      <c r="B8771" s="2" t="s">
        <v>334</v>
      </c>
      <c r="C8771" s="2">
        <v>1.1499999999999999</v>
      </c>
      <c r="D8771" s="2">
        <v>2.06E-2</v>
      </c>
      <c r="E8771" s="2">
        <v>2.3690000000000001E-4</v>
      </c>
      <c r="F8771" s="2" t="s">
        <v>170</v>
      </c>
    </row>
    <row r="8772" spans="1:6" ht="22.5" hidden="1" customHeight="1" x14ac:dyDescent="0.25">
      <c r="A8772" s="3">
        <v>44562</v>
      </c>
      <c r="B8772" s="2" t="s">
        <v>335</v>
      </c>
      <c r="C8772" s="2">
        <v>0.69</v>
      </c>
      <c r="D8772" s="2">
        <v>0.27739999999999998</v>
      </c>
      <c r="E8772" s="2">
        <v>1.91406E-3</v>
      </c>
      <c r="F8772" s="2" t="s">
        <v>165</v>
      </c>
    </row>
    <row r="8773" spans="1:6" ht="22.5" hidden="1" customHeight="1" x14ac:dyDescent="0.25">
      <c r="A8773" s="3">
        <v>44562</v>
      </c>
      <c r="B8773" s="2" t="s">
        <v>336</v>
      </c>
      <c r="C8773" s="2">
        <v>0.85</v>
      </c>
      <c r="D8773" s="2">
        <v>0.1017</v>
      </c>
      <c r="E8773" s="2">
        <v>8.6445000000000001E-4</v>
      </c>
      <c r="F8773" s="2" t="s">
        <v>170</v>
      </c>
    </row>
    <row r="8774" spans="1:6" ht="22.5" hidden="1" customHeight="1" x14ac:dyDescent="0.25">
      <c r="A8774" s="3">
        <v>44562</v>
      </c>
      <c r="B8774" s="2" t="s">
        <v>337</v>
      </c>
      <c r="C8774" s="2">
        <v>0.85</v>
      </c>
      <c r="D8774" s="2">
        <v>0.37909999999999999</v>
      </c>
      <c r="E8774" s="2">
        <v>3.2223500000000001E-3</v>
      </c>
      <c r="F8774" s="2" t="s">
        <v>174</v>
      </c>
    </row>
    <row r="8775" spans="1:6" ht="22.5" hidden="1" customHeight="1" x14ac:dyDescent="0.25">
      <c r="A8775" s="3">
        <v>44562</v>
      </c>
      <c r="B8775" s="2" t="s">
        <v>338</v>
      </c>
      <c r="C8775" s="2">
        <v>2.81</v>
      </c>
      <c r="D8775" s="2">
        <v>0.19850000000000001</v>
      </c>
      <c r="E8775" s="2">
        <v>5.5778499999999996E-3</v>
      </c>
      <c r="F8775" s="2" t="s">
        <v>174</v>
      </c>
    </row>
    <row r="8776" spans="1:6" ht="22.5" hidden="1" customHeight="1" x14ac:dyDescent="0.25">
      <c r="A8776" s="3">
        <v>44562</v>
      </c>
      <c r="B8776" s="2" t="s">
        <v>339</v>
      </c>
      <c r="C8776" s="2">
        <v>-0.68</v>
      </c>
      <c r="D8776" s="2">
        <v>3.9E-2</v>
      </c>
      <c r="E8776" s="2">
        <v>-2.652E-4</v>
      </c>
      <c r="F8776" s="2" t="s">
        <v>165</v>
      </c>
    </row>
    <row r="8777" spans="1:6" ht="22.5" hidden="1" customHeight="1" x14ac:dyDescent="0.25">
      <c r="A8777" s="3">
        <v>43983</v>
      </c>
      <c r="B8777" s="2" t="s">
        <v>286</v>
      </c>
      <c r="C8777" s="2">
        <v>-4.3899999999999997</v>
      </c>
      <c r="D8777" s="2">
        <v>0.1736</v>
      </c>
      <c r="E8777" s="2">
        <v>-7.6210399999999999E-3</v>
      </c>
      <c r="F8777" s="2" t="s">
        <v>168</v>
      </c>
    </row>
    <row r="8778" spans="1:6" ht="22.5" hidden="1" customHeight="1" x14ac:dyDescent="0.25">
      <c r="A8778" s="3">
        <v>44562</v>
      </c>
      <c r="B8778" s="2" t="s">
        <v>341</v>
      </c>
      <c r="C8778" s="2">
        <v>1.61</v>
      </c>
      <c r="D8778" s="2">
        <v>1.09E-2</v>
      </c>
      <c r="E8778" s="2">
        <v>1.7548999999999999E-4</v>
      </c>
      <c r="F8778" s="2" t="s">
        <v>174</v>
      </c>
    </row>
    <row r="8779" spans="1:6" ht="22.5" hidden="1" customHeight="1" x14ac:dyDescent="0.25">
      <c r="A8779" s="3">
        <v>44562</v>
      </c>
      <c r="B8779" s="2" t="s">
        <v>342</v>
      </c>
      <c r="C8779" s="2">
        <v>1.6</v>
      </c>
      <c r="D8779" s="2">
        <v>0.52159999999999995</v>
      </c>
      <c r="E8779" s="2">
        <v>8.3455999999999999E-3</v>
      </c>
      <c r="F8779" s="2" t="s">
        <v>165</v>
      </c>
    </row>
    <row r="8780" spans="1:6" ht="22.5" hidden="1" customHeight="1" x14ac:dyDescent="0.25">
      <c r="A8780" s="3">
        <v>44562</v>
      </c>
      <c r="B8780" s="2" t="s">
        <v>343</v>
      </c>
      <c r="C8780" s="2">
        <v>2.75</v>
      </c>
      <c r="D8780" s="2">
        <v>0.51819999999999999</v>
      </c>
      <c r="E8780" s="2">
        <v>1.4250499999999999E-2</v>
      </c>
      <c r="F8780" s="2" t="s">
        <v>165</v>
      </c>
    </row>
    <row r="8781" spans="1:6" ht="22.5" hidden="1" customHeight="1" x14ac:dyDescent="0.25">
      <c r="A8781" s="3">
        <v>44562</v>
      </c>
      <c r="B8781" s="2" t="s">
        <v>344</v>
      </c>
      <c r="C8781" s="2">
        <v>1.0900000000000001</v>
      </c>
      <c r="D8781" s="2">
        <v>0.1389</v>
      </c>
      <c r="E8781" s="2">
        <v>1.5140100000000001E-3</v>
      </c>
      <c r="F8781" s="2" t="s">
        <v>165</v>
      </c>
    </row>
    <row r="8782" spans="1:6" ht="22.5" hidden="1" customHeight="1" x14ac:dyDescent="0.25">
      <c r="A8782" s="3">
        <v>44562</v>
      </c>
      <c r="B8782" s="2" t="s">
        <v>345</v>
      </c>
      <c r="C8782" s="2">
        <v>0.97</v>
      </c>
      <c r="D8782" s="2">
        <v>0.4904</v>
      </c>
      <c r="E8782" s="2">
        <v>4.7568799999999998E-3</v>
      </c>
      <c r="F8782" s="2" t="s">
        <v>165</v>
      </c>
    </row>
    <row r="8783" spans="1:6" ht="22.5" hidden="1" customHeight="1" x14ac:dyDescent="0.25">
      <c r="A8783" s="3">
        <v>44562</v>
      </c>
      <c r="B8783" s="2" t="s">
        <v>346</v>
      </c>
      <c r="C8783" s="2">
        <v>0.26</v>
      </c>
      <c r="D8783" s="2">
        <v>0.52159999999999995</v>
      </c>
      <c r="E8783" s="2">
        <v>1.3561599999999999E-3</v>
      </c>
      <c r="F8783" s="2" t="s">
        <v>174</v>
      </c>
    </row>
    <row r="8784" spans="1:6" ht="22.5" hidden="1" customHeight="1" x14ac:dyDescent="0.25">
      <c r="A8784" s="3">
        <v>44562</v>
      </c>
      <c r="B8784" s="2" t="s">
        <v>347</v>
      </c>
      <c r="C8784" s="2">
        <v>0</v>
      </c>
      <c r="D8784" s="2">
        <v>0.18310000000000001</v>
      </c>
      <c r="E8784" s="2">
        <v>0</v>
      </c>
      <c r="F8784" s="2" t="s">
        <v>165</v>
      </c>
    </row>
    <row r="8785" spans="1:6" ht="22.5" hidden="1" customHeight="1" x14ac:dyDescent="0.25">
      <c r="A8785" s="3">
        <v>44562</v>
      </c>
      <c r="B8785" s="2" t="s">
        <v>348</v>
      </c>
      <c r="C8785" s="2">
        <v>0</v>
      </c>
      <c r="D8785" s="2">
        <v>0.30199999999999999</v>
      </c>
      <c r="E8785" s="2">
        <v>0</v>
      </c>
      <c r="F8785" s="2" t="s">
        <v>165</v>
      </c>
    </row>
    <row r="8786" spans="1:6" ht="22.5" hidden="1" customHeight="1" x14ac:dyDescent="0.25">
      <c r="A8786" s="3">
        <v>44562</v>
      </c>
      <c r="B8786" s="2" t="s">
        <v>349</v>
      </c>
      <c r="C8786" s="2">
        <v>0</v>
      </c>
      <c r="D8786" s="2">
        <v>1.4481999999999999</v>
      </c>
      <c r="E8786" s="2">
        <v>0</v>
      </c>
      <c r="F8786" s="2" t="s">
        <v>165</v>
      </c>
    </row>
    <row r="8787" spans="1:6" ht="22.5" hidden="1" customHeight="1" x14ac:dyDescent="0.25">
      <c r="A8787" s="3">
        <v>44562</v>
      </c>
      <c r="B8787" s="2" t="s">
        <v>350</v>
      </c>
      <c r="C8787" s="2">
        <v>0</v>
      </c>
      <c r="D8787" s="2">
        <v>0.3659</v>
      </c>
      <c r="E8787" s="2">
        <v>0</v>
      </c>
      <c r="F8787" s="2" t="s">
        <v>165</v>
      </c>
    </row>
    <row r="8788" spans="1:6" ht="22.5" hidden="1" customHeight="1" x14ac:dyDescent="0.25">
      <c r="A8788" s="3">
        <v>44562</v>
      </c>
      <c r="B8788" s="2" t="s">
        <v>351</v>
      </c>
      <c r="C8788" s="2">
        <v>0</v>
      </c>
      <c r="D8788" s="2">
        <v>1.6017999999999999</v>
      </c>
      <c r="E8788" s="2">
        <v>0</v>
      </c>
      <c r="F8788" s="2" t="s">
        <v>165</v>
      </c>
    </row>
    <row r="8789" spans="1:6" ht="22.5" hidden="1" customHeight="1" x14ac:dyDescent="0.25">
      <c r="A8789" s="3">
        <v>44562</v>
      </c>
      <c r="B8789" s="2" t="s">
        <v>352</v>
      </c>
      <c r="C8789" s="2">
        <v>0</v>
      </c>
      <c r="D8789" s="2">
        <v>0.2641</v>
      </c>
      <c r="E8789" s="2">
        <v>0</v>
      </c>
      <c r="F8789" s="2" t="s">
        <v>165</v>
      </c>
    </row>
    <row r="8790" spans="1:6" ht="22.5" hidden="1" customHeight="1" x14ac:dyDescent="0.25">
      <c r="A8790" s="3">
        <v>44562</v>
      </c>
      <c r="B8790" s="2" t="s">
        <v>353</v>
      </c>
      <c r="C8790" s="2">
        <v>0</v>
      </c>
      <c r="D8790" s="2">
        <v>3.8300000000000001E-2</v>
      </c>
      <c r="E8790" s="2">
        <v>0</v>
      </c>
      <c r="F8790" s="2" t="s">
        <v>165</v>
      </c>
    </row>
    <row r="8791" spans="1:6" ht="22.5" hidden="1" customHeight="1" x14ac:dyDescent="0.25">
      <c r="A8791" s="3">
        <v>44562</v>
      </c>
      <c r="B8791" s="2" t="s">
        <v>354</v>
      </c>
      <c r="C8791" s="2">
        <v>0</v>
      </c>
      <c r="D8791" s="2">
        <v>2.8899999999999999E-2</v>
      </c>
      <c r="E8791" s="2">
        <v>0</v>
      </c>
      <c r="F8791" s="2" t="s">
        <v>165</v>
      </c>
    </row>
    <row r="8792" spans="1:6" ht="22.5" hidden="1" customHeight="1" x14ac:dyDescent="0.25">
      <c r="A8792" s="3">
        <v>44562</v>
      </c>
      <c r="B8792" s="2" t="s">
        <v>355</v>
      </c>
      <c r="C8792" s="2">
        <v>3.35</v>
      </c>
      <c r="D8792" s="2">
        <v>2.8299999999999999E-2</v>
      </c>
      <c r="E8792" s="2">
        <v>9.4804999999999998E-4</v>
      </c>
      <c r="F8792" s="2" t="s">
        <v>174</v>
      </c>
    </row>
    <row r="8793" spans="1:6" ht="22.5" hidden="1" customHeight="1" x14ac:dyDescent="0.25">
      <c r="A8793" s="3">
        <v>44562</v>
      </c>
      <c r="B8793" s="2" t="s">
        <v>356</v>
      </c>
      <c r="C8793" s="2">
        <v>0.17</v>
      </c>
      <c r="D8793" s="2">
        <v>3.4200000000000001E-2</v>
      </c>
      <c r="E8793" s="2">
        <v>5.8140000000000002E-5</v>
      </c>
      <c r="F8793" s="2" t="s">
        <v>174</v>
      </c>
    </row>
    <row r="8794" spans="1:6" ht="22.5" hidden="1" customHeight="1" x14ac:dyDescent="0.25">
      <c r="A8794" s="3">
        <v>44562</v>
      </c>
      <c r="B8794" s="2" t="s">
        <v>357</v>
      </c>
      <c r="C8794" s="2">
        <v>0.79</v>
      </c>
      <c r="D8794" s="2">
        <v>0.34310000000000002</v>
      </c>
      <c r="E8794" s="2">
        <v>2.7104899999999999E-3</v>
      </c>
      <c r="F8794" s="2" t="s">
        <v>174</v>
      </c>
    </row>
    <row r="8795" spans="1:6" ht="22.5" hidden="1" customHeight="1" x14ac:dyDescent="0.25">
      <c r="A8795" s="3">
        <v>44562</v>
      </c>
      <c r="B8795" s="2" t="s">
        <v>358</v>
      </c>
      <c r="C8795" s="2">
        <v>-0.02</v>
      </c>
      <c r="D8795" s="2">
        <v>9.1300000000000006E-2</v>
      </c>
      <c r="E8795" s="2">
        <v>-1.8260000000000001E-5</v>
      </c>
      <c r="F8795" s="2" t="s">
        <v>174</v>
      </c>
    </row>
    <row r="8796" spans="1:6" ht="22.5" hidden="1" customHeight="1" x14ac:dyDescent="0.25">
      <c r="A8796" s="3">
        <v>44562</v>
      </c>
      <c r="B8796" s="2" t="s">
        <v>359</v>
      </c>
      <c r="C8796" s="2">
        <v>1.07</v>
      </c>
      <c r="D8796" s="2">
        <v>4.6300000000000001E-2</v>
      </c>
      <c r="E8796" s="2">
        <v>4.9540999999999995E-4</v>
      </c>
      <c r="F8796" s="2" t="s">
        <v>174</v>
      </c>
    </row>
    <row r="8797" spans="1:6" ht="22.5" hidden="1" customHeight="1" x14ac:dyDescent="0.25">
      <c r="A8797" s="3">
        <v>44562</v>
      </c>
      <c r="B8797" s="2" t="s">
        <v>360</v>
      </c>
      <c r="C8797" s="2">
        <v>1.34</v>
      </c>
      <c r="D8797" s="2">
        <v>8.5800000000000001E-2</v>
      </c>
      <c r="E8797" s="2">
        <v>1.1497199999999999E-3</v>
      </c>
      <c r="F8797" s="2" t="s">
        <v>174</v>
      </c>
    </row>
    <row r="8798" spans="1:6" ht="22.5" hidden="1" customHeight="1" x14ac:dyDescent="0.25">
      <c r="A8798" s="3">
        <v>44562</v>
      </c>
      <c r="B8798" s="2" t="s">
        <v>361</v>
      </c>
      <c r="C8798" s="2">
        <v>0</v>
      </c>
      <c r="D8798" s="2">
        <v>7.0999999999999994E-2</v>
      </c>
      <c r="E8798" s="2">
        <v>0</v>
      </c>
      <c r="F8798" s="2" t="s">
        <v>165</v>
      </c>
    </row>
    <row r="8799" spans="1:6" ht="22.5" hidden="1" customHeight="1" x14ac:dyDescent="0.25">
      <c r="A8799" s="3">
        <v>44562</v>
      </c>
      <c r="B8799" s="2" t="s">
        <v>362</v>
      </c>
      <c r="C8799" s="2">
        <v>0</v>
      </c>
      <c r="D8799" s="2">
        <v>0.27450000000000002</v>
      </c>
      <c r="E8799" s="2">
        <v>0</v>
      </c>
      <c r="F8799" s="2" t="s">
        <v>165</v>
      </c>
    </row>
    <row r="8800" spans="1:6" ht="22.5" hidden="1" customHeight="1" x14ac:dyDescent="0.25">
      <c r="A8800" s="3">
        <v>44562</v>
      </c>
      <c r="B8800" s="2" t="s">
        <v>363</v>
      </c>
      <c r="C8800" s="2">
        <v>0.76</v>
      </c>
      <c r="D8800" s="2">
        <v>4.7500000000000001E-2</v>
      </c>
      <c r="E8800" s="2">
        <v>3.6099999999999999E-4</v>
      </c>
      <c r="F8800" s="2" t="s">
        <v>165</v>
      </c>
    </row>
    <row r="8801" spans="1:6" ht="22.5" hidden="1" customHeight="1" x14ac:dyDescent="0.25">
      <c r="A8801" s="3">
        <v>44562</v>
      </c>
      <c r="B8801" s="2" t="s">
        <v>364</v>
      </c>
      <c r="C8801" s="2">
        <v>2.16</v>
      </c>
      <c r="D8801" s="2">
        <v>0.37769999999999998</v>
      </c>
      <c r="E8801" s="2">
        <v>8.1583200000000002E-3</v>
      </c>
      <c r="F8801" s="2" t="s">
        <v>165</v>
      </c>
    </row>
    <row r="8802" spans="1:6" ht="22.5" hidden="1" customHeight="1" x14ac:dyDescent="0.25">
      <c r="A8802" s="3">
        <v>43891</v>
      </c>
      <c r="B8802" s="2" t="s">
        <v>285</v>
      </c>
      <c r="C8802" s="2">
        <v>-1.06</v>
      </c>
      <c r="D8802" s="2">
        <v>0.72</v>
      </c>
      <c r="E8802" s="2">
        <v>-7.6319999999999999E-3</v>
      </c>
      <c r="F8802" s="2" t="s">
        <v>168</v>
      </c>
    </row>
    <row r="8803" spans="1:6" ht="22.5" hidden="1" customHeight="1" x14ac:dyDescent="0.25">
      <c r="A8803" s="3">
        <v>44409</v>
      </c>
      <c r="B8803" s="2" t="s">
        <v>289</v>
      </c>
      <c r="C8803" s="2">
        <v>-1.42</v>
      </c>
      <c r="D8803" s="2">
        <v>0.53839999999999999</v>
      </c>
      <c r="E8803" s="2">
        <v>-7.64528E-3</v>
      </c>
      <c r="F8803" s="2" t="s">
        <v>168</v>
      </c>
    </row>
    <row r="8804" spans="1:6" ht="22.5" hidden="1" customHeight="1" x14ac:dyDescent="0.25">
      <c r="A8804" s="3">
        <v>44409</v>
      </c>
      <c r="B8804" s="2" t="s">
        <v>167</v>
      </c>
      <c r="C8804" s="2">
        <v>-0.49</v>
      </c>
      <c r="D8804" s="2">
        <v>1.7714000000000001</v>
      </c>
      <c r="E8804" s="2">
        <v>-8.6798599999999993E-3</v>
      </c>
      <c r="F8804" s="2" t="s">
        <v>168</v>
      </c>
    </row>
    <row r="8805" spans="1:6" ht="22.5" hidden="1" customHeight="1" x14ac:dyDescent="0.25">
      <c r="A8805" s="3">
        <v>44562</v>
      </c>
      <c r="B8805" s="2" t="s">
        <v>368</v>
      </c>
      <c r="C8805" s="2">
        <v>0</v>
      </c>
      <c r="D8805" s="2">
        <v>0.35709999999999997</v>
      </c>
      <c r="E8805" s="2">
        <v>0</v>
      </c>
      <c r="F8805" s="2" t="s">
        <v>165</v>
      </c>
    </row>
    <row r="8806" spans="1:6" ht="22.5" hidden="1" customHeight="1" x14ac:dyDescent="0.25">
      <c r="A8806" s="3">
        <v>44562</v>
      </c>
      <c r="B8806" s="2" t="s">
        <v>369</v>
      </c>
      <c r="C8806" s="2">
        <v>0</v>
      </c>
      <c r="D8806" s="2">
        <v>0.51580000000000004</v>
      </c>
      <c r="E8806" s="2">
        <v>0</v>
      </c>
      <c r="F8806" s="2" t="s">
        <v>165</v>
      </c>
    </row>
    <row r="8807" spans="1:6" ht="22.5" hidden="1" customHeight="1" x14ac:dyDescent="0.25">
      <c r="A8807" s="3">
        <v>44562</v>
      </c>
      <c r="B8807" s="2" t="s">
        <v>370</v>
      </c>
      <c r="C8807" s="2">
        <v>0.39</v>
      </c>
      <c r="D8807" s="2">
        <v>0.94359999999999999</v>
      </c>
      <c r="E8807" s="2">
        <v>3.6800399999999999E-3</v>
      </c>
      <c r="F8807" s="2" t="s">
        <v>170</v>
      </c>
    </row>
    <row r="8808" spans="1:6" ht="22.5" hidden="1" customHeight="1" x14ac:dyDescent="0.25">
      <c r="A8808" s="3">
        <v>44562</v>
      </c>
      <c r="B8808" s="2" t="s">
        <v>371</v>
      </c>
      <c r="C8808" s="2">
        <v>0</v>
      </c>
      <c r="D8808" s="2">
        <v>7.1300000000000002E-2</v>
      </c>
      <c r="E8808" s="2">
        <v>0</v>
      </c>
      <c r="F8808" s="2" t="s">
        <v>165</v>
      </c>
    </row>
    <row r="8809" spans="1:6" ht="22.5" hidden="1" customHeight="1" x14ac:dyDescent="0.25">
      <c r="A8809" s="3">
        <v>44562</v>
      </c>
      <c r="B8809" s="2" t="s">
        <v>372</v>
      </c>
      <c r="C8809" s="2">
        <v>3.04</v>
      </c>
      <c r="D8809" s="2">
        <v>1.5607</v>
      </c>
      <c r="E8809" s="2">
        <v>4.7445279999999999E-2</v>
      </c>
      <c r="F8809" s="2" t="s">
        <v>165</v>
      </c>
    </row>
    <row r="8810" spans="1:6" ht="22.5" customHeight="1" x14ac:dyDescent="0.25">
      <c r="A8810" s="3">
        <v>44593</v>
      </c>
      <c r="B8810" s="2" t="s">
        <v>349</v>
      </c>
      <c r="C8810" s="2">
        <v>8.0299999999999994</v>
      </c>
      <c r="D8810" s="2">
        <v>1.4397</v>
      </c>
      <c r="E8810" s="2">
        <v>0.11560790999999999</v>
      </c>
      <c r="F8810" s="2" t="s">
        <v>165</v>
      </c>
    </row>
    <row r="8811" spans="1:6" ht="22.5" customHeight="1" x14ac:dyDescent="0.25">
      <c r="A8811" s="3">
        <v>44593</v>
      </c>
      <c r="B8811" s="2" t="s">
        <v>351</v>
      </c>
      <c r="C8811" s="2">
        <v>5.9</v>
      </c>
      <c r="D8811" s="2">
        <v>1.5929</v>
      </c>
      <c r="E8811" s="2">
        <v>9.3981099999999998E-2</v>
      </c>
      <c r="F8811" s="2" t="s">
        <v>165</v>
      </c>
    </row>
    <row r="8812" spans="1:6" ht="22.5" hidden="1" customHeight="1" x14ac:dyDescent="0.25">
      <c r="A8812" s="3">
        <v>44593</v>
      </c>
      <c r="B8812" s="2" t="s">
        <v>270</v>
      </c>
      <c r="C8812" s="2">
        <v>2.64</v>
      </c>
      <c r="D8812" s="2">
        <v>3.1006</v>
      </c>
      <c r="E8812" s="2">
        <v>8.1855839999999999E-2</v>
      </c>
      <c r="F8812" s="2" t="s">
        <v>170</v>
      </c>
    </row>
    <row r="8813" spans="1:6" ht="22.5" hidden="1" customHeight="1" x14ac:dyDescent="0.25">
      <c r="A8813" s="3">
        <v>44593</v>
      </c>
      <c r="B8813" s="2" t="s">
        <v>280</v>
      </c>
      <c r="C8813" s="2">
        <v>2.1</v>
      </c>
      <c r="D8813" s="2">
        <v>1.9474</v>
      </c>
      <c r="E8813" s="2">
        <v>4.0895399999999998E-2</v>
      </c>
      <c r="F8813" s="2" t="s">
        <v>170</v>
      </c>
    </row>
    <row r="8814" spans="1:6" ht="22.5" hidden="1" customHeight="1" x14ac:dyDescent="0.25">
      <c r="A8814" s="3">
        <v>43922</v>
      </c>
      <c r="B8814" s="2" t="s">
        <v>286</v>
      </c>
      <c r="C8814" s="2">
        <v>-4.6500000000000004</v>
      </c>
      <c r="D8814" s="2">
        <v>0.19139999999999999</v>
      </c>
      <c r="E8814" s="2">
        <v>-8.9000999999999993E-3</v>
      </c>
      <c r="F8814" s="2" t="s">
        <v>168</v>
      </c>
    </row>
    <row r="8815" spans="1:6" ht="22.5" customHeight="1" x14ac:dyDescent="0.25">
      <c r="A8815" s="3">
        <v>44593</v>
      </c>
      <c r="B8815" s="2" t="s">
        <v>164</v>
      </c>
      <c r="C8815" s="2">
        <v>1</v>
      </c>
      <c r="D8815" s="2">
        <v>3.7077</v>
      </c>
      <c r="E8815" s="2">
        <v>3.7076999999999999E-2</v>
      </c>
      <c r="F8815" s="2" t="s">
        <v>165</v>
      </c>
    </row>
    <row r="8816" spans="1:6" ht="22.5" hidden="1" customHeight="1" x14ac:dyDescent="0.25">
      <c r="A8816" s="3">
        <v>44593</v>
      </c>
      <c r="B8816" s="2" t="s">
        <v>22</v>
      </c>
      <c r="C8816" s="2">
        <v>20.149999999999999</v>
      </c>
      <c r="D8816" s="2">
        <v>0.15720000000000001</v>
      </c>
      <c r="E8816" s="2">
        <v>3.1675799999999997E-2</v>
      </c>
      <c r="F8816" s="2" t="s">
        <v>7</v>
      </c>
    </row>
    <row r="8817" spans="1:6" ht="22.5" customHeight="1" x14ac:dyDescent="0.25">
      <c r="A8817" s="3">
        <v>44593</v>
      </c>
      <c r="B8817" s="2" t="s">
        <v>350</v>
      </c>
      <c r="C8817" s="2">
        <v>7.46</v>
      </c>
      <c r="D8817" s="2">
        <v>0.36380000000000001</v>
      </c>
      <c r="E8817" s="2">
        <v>2.7139480000000001E-2</v>
      </c>
      <c r="F8817" s="2" t="s">
        <v>165</v>
      </c>
    </row>
    <row r="8818" spans="1:6" ht="22.5" hidden="1" customHeight="1" x14ac:dyDescent="0.25">
      <c r="A8818" s="3">
        <v>44593</v>
      </c>
      <c r="B8818" s="2" t="s">
        <v>29</v>
      </c>
      <c r="C8818" s="2">
        <v>49.31</v>
      </c>
      <c r="D8818" s="2">
        <v>5.4399999999999997E-2</v>
      </c>
      <c r="E8818" s="2">
        <v>2.682464E-2</v>
      </c>
      <c r="F8818" s="2" t="s">
        <v>7</v>
      </c>
    </row>
    <row r="8819" spans="1:6" ht="22.5" customHeight="1" x14ac:dyDescent="0.25">
      <c r="A8819" s="3">
        <v>44593</v>
      </c>
      <c r="B8819" s="2" t="s">
        <v>272</v>
      </c>
      <c r="C8819" s="2">
        <v>3.46</v>
      </c>
      <c r="D8819" s="2">
        <v>0.76270000000000004</v>
      </c>
      <c r="E8819" s="2">
        <v>2.638942E-2</v>
      </c>
      <c r="F8819" s="2" t="s">
        <v>165</v>
      </c>
    </row>
    <row r="8820" spans="1:6" ht="22.5" customHeight="1" x14ac:dyDescent="0.25">
      <c r="A8820" s="3">
        <v>44593</v>
      </c>
      <c r="B8820" s="2" t="s">
        <v>348</v>
      </c>
      <c r="C8820" s="2">
        <v>7.55</v>
      </c>
      <c r="D8820" s="2">
        <v>0.30020000000000002</v>
      </c>
      <c r="E8820" s="2">
        <v>2.2665100000000001E-2</v>
      </c>
      <c r="F8820" s="2" t="s">
        <v>165</v>
      </c>
    </row>
    <row r="8821" spans="1:6" ht="22.5" hidden="1" customHeight="1" x14ac:dyDescent="0.25">
      <c r="A8821" s="3">
        <v>44593</v>
      </c>
      <c r="B8821" s="2" t="s">
        <v>160</v>
      </c>
      <c r="C8821" s="2">
        <v>0.56999999999999995</v>
      </c>
      <c r="D8821" s="2">
        <v>3.6743000000000001</v>
      </c>
      <c r="E8821" s="2">
        <v>2.0943509999999999E-2</v>
      </c>
      <c r="F8821" s="2" t="s">
        <v>7</v>
      </c>
    </row>
    <row r="8822" spans="1:6" ht="22.5" customHeight="1" x14ac:dyDescent="0.25">
      <c r="A8822" s="3">
        <v>44593</v>
      </c>
      <c r="B8822" s="2" t="s">
        <v>362</v>
      </c>
      <c r="C8822" s="2">
        <v>7.35</v>
      </c>
      <c r="D8822" s="2">
        <v>0.27310000000000001</v>
      </c>
      <c r="E8822" s="2">
        <v>2.007285E-2</v>
      </c>
      <c r="F8822" s="2" t="s">
        <v>165</v>
      </c>
    </row>
    <row r="8823" spans="1:6" ht="22.5" customHeight="1" x14ac:dyDescent="0.25">
      <c r="A8823" s="3">
        <v>44593</v>
      </c>
      <c r="B8823" s="2" t="s">
        <v>166</v>
      </c>
      <c r="C8823" s="2">
        <v>0.87</v>
      </c>
      <c r="D8823" s="2">
        <v>2.2166000000000001</v>
      </c>
      <c r="E8823" s="2">
        <v>1.928442E-2</v>
      </c>
      <c r="F8823" s="2" t="s">
        <v>165</v>
      </c>
    </row>
    <row r="8824" spans="1:6" ht="22.5" customHeight="1" x14ac:dyDescent="0.25">
      <c r="A8824" s="3">
        <v>44593</v>
      </c>
      <c r="B8824" s="2" t="s">
        <v>277</v>
      </c>
      <c r="C8824" s="2">
        <v>1.17</v>
      </c>
      <c r="D8824" s="2">
        <v>1.6178999999999999</v>
      </c>
      <c r="E8824" s="2">
        <v>1.8929430000000001E-2</v>
      </c>
      <c r="F8824" s="2" t="s">
        <v>165</v>
      </c>
    </row>
    <row r="8825" spans="1:6" ht="22.5" hidden="1" customHeight="1" x14ac:dyDescent="0.25">
      <c r="A8825" s="3">
        <v>44593</v>
      </c>
      <c r="B8825" s="2" t="s">
        <v>69</v>
      </c>
      <c r="C8825" s="2">
        <v>3.56</v>
      </c>
      <c r="D8825" s="2">
        <v>0.505</v>
      </c>
      <c r="E8825" s="2">
        <v>1.7978000000000001E-2</v>
      </c>
      <c r="F8825" s="2" t="s">
        <v>7</v>
      </c>
    </row>
    <row r="8826" spans="1:6" ht="22.5" hidden="1" customHeight="1" x14ac:dyDescent="0.25">
      <c r="A8826" s="3">
        <v>44593</v>
      </c>
      <c r="B8826" s="2" t="s">
        <v>37</v>
      </c>
      <c r="C8826" s="2">
        <v>20.37</v>
      </c>
      <c r="D8826" s="2">
        <v>8.7999999999999995E-2</v>
      </c>
      <c r="E8826" s="2">
        <v>1.79256E-2</v>
      </c>
      <c r="F8826" s="2" t="s">
        <v>7</v>
      </c>
    </row>
    <row r="8827" spans="1:6" ht="22.5" customHeight="1" x14ac:dyDescent="0.25">
      <c r="A8827" s="3">
        <v>44593</v>
      </c>
      <c r="B8827" s="2" t="s">
        <v>326</v>
      </c>
      <c r="C8827" s="2">
        <v>1.64</v>
      </c>
      <c r="D8827" s="2">
        <v>0.98660000000000003</v>
      </c>
      <c r="E8827" s="2">
        <v>1.6180239999999999E-2</v>
      </c>
      <c r="F8827" s="2" t="s">
        <v>165</v>
      </c>
    </row>
    <row r="8828" spans="1:6" ht="22.5" hidden="1" customHeight="1" x14ac:dyDescent="0.25">
      <c r="A8828" s="3">
        <v>44593</v>
      </c>
      <c r="B8828" s="2" t="s">
        <v>213</v>
      </c>
      <c r="C8828" s="2">
        <v>3.58</v>
      </c>
      <c r="D8828" s="2">
        <v>0.371</v>
      </c>
      <c r="E8828" s="2">
        <v>1.32818E-2</v>
      </c>
      <c r="F8828" s="2" t="s">
        <v>170</v>
      </c>
    </row>
    <row r="8829" spans="1:6" ht="22.5" hidden="1" customHeight="1" x14ac:dyDescent="0.25">
      <c r="A8829" s="3">
        <v>44593</v>
      </c>
      <c r="B8829" s="2" t="s">
        <v>115</v>
      </c>
      <c r="C8829" s="2">
        <v>2.42</v>
      </c>
      <c r="D8829" s="2">
        <v>0.53790000000000004</v>
      </c>
      <c r="E8829" s="2">
        <v>1.301718E-2</v>
      </c>
      <c r="F8829" s="2" t="s">
        <v>7</v>
      </c>
    </row>
    <row r="8830" spans="1:6" ht="22.5" hidden="1" customHeight="1" x14ac:dyDescent="0.25">
      <c r="A8830" s="3">
        <v>44593</v>
      </c>
      <c r="B8830" s="2" t="s">
        <v>283</v>
      </c>
      <c r="C8830" s="2">
        <v>2.19</v>
      </c>
      <c r="D8830" s="2">
        <v>0.57869999999999999</v>
      </c>
      <c r="E8830" s="2">
        <v>1.2673530000000001E-2</v>
      </c>
      <c r="F8830" s="2" t="s">
        <v>170</v>
      </c>
    </row>
    <row r="8831" spans="1:6" ht="22.5" hidden="1" customHeight="1" x14ac:dyDescent="0.25">
      <c r="A8831" s="3">
        <v>44593</v>
      </c>
      <c r="B8831" s="2" t="s">
        <v>199</v>
      </c>
      <c r="C8831" s="2">
        <v>2.4300000000000002</v>
      </c>
      <c r="D8831" s="2">
        <v>0.50509999999999999</v>
      </c>
      <c r="E8831" s="2">
        <v>1.2273930000000001E-2</v>
      </c>
      <c r="F8831" s="2" t="s">
        <v>170</v>
      </c>
    </row>
    <row r="8832" spans="1:6" ht="22.5" hidden="1" customHeight="1" x14ac:dyDescent="0.25">
      <c r="A8832" s="3">
        <v>44593</v>
      </c>
      <c r="B8832" s="2" t="s">
        <v>120</v>
      </c>
      <c r="C8832" s="2">
        <v>2.72</v>
      </c>
      <c r="D8832" s="2">
        <v>0.441</v>
      </c>
      <c r="E8832" s="2">
        <v>1.1995199999999999E-2</v>
      </c>
      <c r="F8832" s="2" t="s">
        <v>7</v>
      </c>
    </row>
    <row r="8833" spans="1:6" ht="22.5" customHeight="1" x14ac:dyDescent="0.25">
      <c r="A8833" s="3">
        <v>44593</v>
      </c>
      <c r="B8833" s="2" t="s">
        <v>347</v>
      </c>
      <c r="C8833" s="2">
        <v>6.47</v>
      </c>
      <c r="D8833" s="2">
        <v>0.18229999999999999</v>
      </c>
      <c r="E8833" s="2">
        <v>1.1794809999999999E-2</v>
      </c>
      <c r="F8833" s="2" t="s">
        <v>165</v>
      </c>
    </row>
    <row r="8834" spans="1:6" ht="22.5" hidden="1" customHeight="1" x14ac:dyDescent="0.25">
      <c r="A8834" s="3">
        <v>44593</v>
      </c>
      <c r="B8834" s="2" t="s">
        <v>132</v>
      </c>
      <c r="C8834" s="2">
        <v>2.71</v>
      </c>
      <c r="D8834" s="2">
        <v>0.40789999999999998</v>
      </c>
      <c r="E8834" s="2">
        <v>1.1054090000000001E-2</v>
      </c>
      <c r="F8834" s="2" t="s">
        <v>7</v>
      </c>
    </row>
    <row r="8835" spans="1:6" ht="22.5" hidden="1" customHeight="1" x14ac:dyDescent="0.25">
      <c r="A8835" s="3">
        <v>44593</v>
      </c>
      <c r="B8835" s="2" t="s">
        <v>121</v>
      </c>
      <c r="C8835" s="2">
        <v>1.32</v>
      </c>
      <c r="D8835" s="2">
        <v>0.76080000000000003</v>
      </c>
      <c r="E8835" s="2">
        <v>1.0042560000000001E-2</v>
      </c>
      <c r="F8835" s="2" t="s">
        <v>7</v>
      </c>
    </row>
    <row r="8836" spans="1:6" ht="22.5" hidden="1" customHeight="1" x14ac:dyDescent="0.25">
      <c r="A8836" s="3">
        <v>44256</v>
      </c>
      <c r="B8836" s="2" t="s">
        <v>265</v>
      </c>
      <c r="C8836" s="2">
        <v>-2.0099999999999998</v>
      </c>
      <c r="D8836" s="2">
        <v>0.46660000000000001</v>
      </c>
      <c r="E8836" s="2">
        <v>-9.3786600000000005E-3</v>
      </c>
      <c r="F8836" s="2" t="s">
        <v>168</v>
      </c>
    </row>
    <row r="8837" spans="1:6" ht="22.5" hidden="1" customHeight="1" x14ac:dyDescent="0.25">
      <c r="A8837" s="3">
        <v>43952</v>
      </c>
      <c r="B8837" s="2" t="s">
        <v>286</v>
      </c>
      <c r="C8837" s="2">
        <v>-5.5</v>
      </c>
      <c r="D8837" s="2">
        <v>0.18260000000000001</v>
      </c>
      <c r="E8837" s="2">
        <v>-1.0043E-2</v>
      </c>
      <c r="F8837" s="2" t="s">
        <v>168</v>
      </c>
    </row>
    <row r="8838" spans="1:6" ht="22.5" hidden="1" customHeight="1" x14ac:dyDescent="0.25">
      <c r="A8838" s="3">
        <v>44593</v>
      </c>
      <c r="B8838" s="2" t="s">
        <v>215</v>
      </c>
      <c r="C8838" s="2">
        <v>3.48</v>
      </c>
      <c r="D8838" s="2">
        <v>0.2571</v>
      </c>
      <c r="E8838" s="2">
        <v>8.9470799999999996E-3</v>
      </c>
      <c r="F8838" s="2" t="s">
        <v>170</v>
      </c>
    </row>
    <row r="8839" spans="1:6" ht="22.5" hidden="1" customHeight="1" x14ac:dyDescent="0.25">
      <c r="A8839" s="3">
        <v>44593</v>
      </c>
      <c r="B8839" s="2" t="s">
        <v>322</v>
      </c>
      <c r="C8839" s="2">
        <v>5.67</v>
      </c>
      <c r="D8839" s="2">
        <v>0.15340000000000001</v>
      </c>
      <c r="E8839" s="2">
        <v>8.6977800000000004E-3</v>
      </c>
      <c r="F8839" s="2" t="s">
        <v>174</v>
      </c>
    </row>
    <row r="8840" spans="1:6" ht="22.5" hidden="1" customHeight="1" x14ac:dyDescent="0.25">
      <c r="A8840" s="3">
        <v>44593</v>
      </c>
      <c r="B8840" s="2" t="s">
        <v>81</v>
      </c>
      <c r="C8840" s="2">
        <v>2.37</v>
      </c>
      <c r="D8840" s="2">
        <v>0.36649999999999999</v>
      </c>
      <c r="E8840" s="2">
        <v>8.6860500000000007E-3</v>
      </c>
      <c r="F8840" s="2" t="s">
        <v>7</v>
      </c>
    </row>
    <row r="8841" spans="1:6" ht="22.5" hidden="1" customHeight="1" x14ac:dyDescent="0.25">
      <c r="A8841" s="3">
        <v>44593</v>
      </c>
      <c r="B8841" s="2" t="s">
        <v>370</v>
      </c>
      <c r="C8841" s="2">
        <v>0.92</v>
      </c>
      <c r="D8841" s="2">
        <v>0.94189999999999996</v>
      </c>
      <c r="E8841" s="2">
        <v>8.6654799999999997E-3</v>
      </c>
      <c r="F8841" s="2" t="s">
        <v>170</v>
      </c>
    </row>
    <row r="8842" spans="1:6" ht="22.5" customHeight="1" x14ac:dyDescent="0.25">
      <c r="A8842" s="3">
        <v>44593</v>
      </c>
      <c r="B8842" s="2" t="s">
        <v>345</v>
      </c>
      <c r="C8842" s="2">
        <v>1.74</v>
      </c>
      <c r="D8842" s="2">
        <v>0.4924</v>
      </c>
      <c r="E8842" s="2">
        <v>8.5677600000000007E-3</v>
      </c>
      <c r="F8842" s="2" t="s">
        <v>165</v>
      </c>
    </row>
    <row r="8843" spans="1:6" ht="22.5" hidden="1" customHeight="1" x14ac:dyDescent="0.25">
      <c r="A8843" s="3">
        <v>44593</v>
      </c>
      <c r="B8843" s="2" t="s">
        <v>233</v>
      </c>
      <c r="C8843" s="2">
        <v>1.47</v>
      </c>
      <c r="D8843" s="2">
        <v>0.58260000000000001</v>
      </c>
      <c r="E8843" s="2">
        <v>8.5642200000000009E-3</v>
      </c>
      <c r="F8843" s="2" t="s">
        <v>174</v>
      </c>
    </row>
    <row r="8844" spans="1:6" ht="22.5" hidden="1" customHeight="1" x14ac:dyDescent="0.25">
      <c r="A8844" s="3">
        <v>44593</v>
      </c>
      <c r="B8844" s="2" t="s">
        <v>253</v>
      </c>
      <c r="C8844" s="2">
        <v>1.9</v>
      </c>
      <c r="D8844" s="2">
        <v>0.43559999999999999</v>
      </c>
      <c r="E8844" s="2">
        <v>8.2763999999999997E-3</v>
      </c>
      <c r="F8844" s="2" t="s">
        <v>174</v>
      </c>
    </row>
    <row r="8845" spans="1:6" ht="22.5" hidden="1" customHeight="1" x14ac:dyDescent="0.25">
      <c r="A8845" s="3">
        <v>44593</v>
      </c>
      <c r="B8845" s="2" t="s">
        <v>198</v>
      </c>
      <c r="C8845" s="2">
        <v>2.27</v>
      </c>
      <c r="D8845" s="2">
        <v>0.35870000000000002</v>
      </c>
      <c r="E8845" s="2">
        <v>8.1424900000000005E-3</v>
      </c>
      <c r="F8845" s="2" t="s">
        <v>170</v>
      </c>
    </row>
    <row r="8846" spans="1:6" ht="22.5" customHeight="1" x14ac:dyDescent="0.25">
      <c r="A8846" s="3">
        <v>44593</v>
      </c>
      <c r="B8846" s="2" t="s">
        <v>343</v>
      </c>
      <c r="C8846" s="2">
        <v>1.49</v>
      </c>
      <c r="D8846" s="2">
        <v>0.52959999999999996</v>
      </c>
      <c r="E8846" s="2">
        <v>7.8910400000000002E-3</v>
      </c>
      <c r="F8846" s="2" t="s">
        <v>165</v>
      </c>
    </row>
    <row r="8847" spans="1:6" ht="22.5" customHeight="1" x14ac:dyDescent="0.25">
      <c r="A8847" s="3">
        <v>44593</v>
      </c>
      <c r="B8847" s="2" t="s">
        <v>352</v>
      </c>
      <c r="C8847" s="2">
        <v>2.93</v>
      </c>
      <c r="D8847" s="2">
        <v>0.2626</v>
      </c>
      <c r="E8847" s="2">
        <v>7.6941800000000001E-3</v>
      </c>
      <c r="F8847" s="2" t="s">
        <v>165</v>
      </c>
    </row>
    <row r="8848" spans="1:6" ht="22.5" hidden="1" customHeight="1" x14ac:dyDescent="0.25">
      <c r="A8848" s="3">
        <v>44593</v>
      </c>
      <c r="B8848" s="2" t="s">
        <v>338</v>
      </c>
      <c r="C8848" s="2">
        <v>3.55</v>
      </c>
      <c r="D8848" s="2">
        <v>0.2029</v>
      </c>
      <c r="E8848" s="2">
        <v>7.2029499999999996E-3</v>
      </c>
      <c r="F8848" s="2" t="s">
        <v>174</v>
      </c>
    </row>
    <row r="8849" spans="1:6" ht="22.5" hidden="1" customHeight="1" x14ac:dyDescent="0.25">
      <c r="A8849" s="3">
        <v>44593</v>
      </c>
      <c r="B8849" s="2" t="s">
        <v>72</v>
      </c>
      <c r="C8849" s="2">
        <v>1.89</v>
      </c>
      <c r="D8849" s="2">
        <v>0.37609999999999999</v>
      </c>
      <c r="E8849" s="2">
        <v>7.1082899999999997E-3</v>
      </c>
      <c r="F8849" s="2" t="s">
        <v>7</v>
      </c>
    </row>
    <row r="8850" spans="1:6" ht="22.5" customHeight="1" x14ac:dyDescent="0.25">
      <c r="A8850" s="3">
        <v>44593</v>
      </c>
      <c r="B8850" s="2" t="s">
        <v>330</v>
      </c>
      <c r="C8850" s="2">
        <v>0.43</v>
      </c>
      <c r="D8850" s="2">
        <v>1.6298999999999999</v>
      </c>
      <c r="E8850" s="2">
        <v>7.0085700000000004E-3</v>
      </c>
      <c r="F8850" s="2" t="s">
        <v>165</v>
      </c>
    </row>
    <row r="8851" spans="1:6" ht="22.5" hidden="1" customHeight="1" x14ac:dyDescent="0.25">
      <c r="A8851" s="3">
        <v>44593</v>
      </c>
      <c r="B8851" s="2" t="s">
        <v>54</v>
      </c>
      <c r="C8851" s="2">
        <v>5.9</v>
      </c>
      <c r="D8851" s="2">
        <v>0.1177</v>
      </c>
      <c r="E8851" s="2">
        <v>6.9442999999999996E-3</v>
      </c>
      <c r="F8851" s="2" t="s">
        <v>7</v>
      </c>
    </row>
    <row r="8852" spans="1:6" ht="22.5" hidden="1" customHeight="1" x14ac:dyDescent="0.25">
      <c r="A8852" s="3">
        <v>44593</v>
      </c>
      <c r="B8852" s="2" t="s">
        <v>112</v>
      </c>
      <c r="C8852" s="2">
        <v>1.04</v>
      </c>
      <c r="D8852" s="2">
        <v>0.65049999999999997</v>
      </c>
      <c r="E8852" s="2">
        <v>6.7651999999999999E-3</v>
      </c>
      <c r="F8852" s="2" t="s">
        <v>7</v>
      </c>
    </row>
    <row r="8853" spans="1:6" ht="22.5" hidden="1" customHeight="1" x14ac:dyDescent="0.25">
      <c r="A8853" s="3">
        <v>44593</v>
      </c>
      <c r="B8853" s="2" t="s">
        <v>28</v>
      </c>
      <c r="C8853" s="2">
        <v>5.3</v>
      </c>
      <c r="D8853" s="2">
        <v>0.12759999999999999</v>
      </c>
      <c r="E8853" s="2">
        <v>6.7628000000000002E-3</v>
      </c>
      <c r="F8853" s="2" t="s">
        <v>7</v>
      </c>
    </row>
    <row r="8854" spans="1:6" ht="22.5" hidden="1" customHeight="1" x14ac:dyDescent="0.25">
      <c r="A8854" s="3">
        <v>44593</v>
      </c>
      <c r="B8854" s="2" t="s">
        <v>217</v>
      </c>
      <c r="C8854" s="2">
        <v>3.85</v>
      </c>
      <c r="D8854" s="2">
        <v>0.17430000000000001</v>
      </c>
      <c r="E8854" s="2">
        <v>6.71055E-3</v>
      </c>
      <c r="F8854" s="2" t="s">
        <v>170</v>
      </c>
    </row>
    <row r="8855" spans="1:6" ht="22.5" hidden="1" customHeight="1" x14ac:dyDescent="0.25">
      <c r="A8855" s="3">
        <v>44593</v>
      </c>
      <c r="B8855" s="2" t="s">
        <v>219</v>
      </c>
      <c r="C8855" s="2">
        <v>1.19</v>
      </c>
      <c r="D8855" s="2">
        <v>0.53410000000000002</v>
      </c>
      <c r="E8855" s="2">
        <v>6.3557900000000001E-3</v>
      </c>
      <c r="F8855" s="2" t="s">
        <v>170</v>
      </c>
    </row>
    <row r="8856" spans="1:6" ht="22.5" hidden="1" customHeight="1" x14ac:dyDescent="0.25">
      <c r="A8856" s="3">
        <v>43922</v>
      </c>
      <c r="B8856" s="2" t="s">
        <v>296</v>
      </c>
      <c r="C8856" s="2">
        <v>-5.09</v>
      </c>
      <c r="D8856" s="2">
        <v>0.2016</v>
      </c>
      <c r="E8856" s="2">
        <v>-1.026144E-2</v>
      </c>
      <c r="F8856" s="2" t="s">
        <v>168</v>
      </c>
    </row>
    <row r="8857" spans="1:6" ht="22.5" hidden="1" customHeight="1" x14ac:dyDescent="0.25">
      <c r="A8857" s="3">
        <v>44593</v>
      </c>
      <c r="B8857" s="2" t="s">
        <v>320</v>
      </c>
      <c r="C8857" s="2">
        <v>1.98</v>
      </c>
      <c r="D8857" s="2">
        <v>0.31409999999999999</v>
      </c>
      <c r="E8857" s="2">
        <v>6.2191800000000004E-3</v>
      </c>
      <c r="F8857" s="2" t="s">
        <v>174</v>
      </c>
    </row>
    <row r="8858" spans="1:6" ht="22.5" hidden="1" customHeight="1" x14ac:dyDescent="0.25">
      <c r="A8858" s="3">
        <v>44593</v>
      </c>
      <c r="B8858" s="2" t="s">
        <v>116</v>
      </c>
      <c r="C8858" s="2">
        <v>4</v>
      </c>
      <c r="D8858" s="2">
        <v>0.15390000000000001</v>
      </c>
      <c r="E8858" s="2">
        <v>6.156E-3</v>
      </c>
      <c r="F8858" s="2" t="s">
        <v>7</v>
      </c>
    </row>
    <row r="8859" spans="1:6" ht="22.5" customHeight="1" x14ac:dyDescent="0.25">
      <c r="A8859" s="3">
        <v>44593</v>
      </c>
      <c r="B8859" s="2" t="s">
        <v>324</v>
      </c>
      <c r="C8859" s="2">
        <v>1.62</v>
      </c>
      <c r="D8859" s="2">
        <v>0.37619999999999998</v>
      </c>
      <c r="E8859" s="2">
        <v>6.0944399999999996E-3</v>
      </c>
      <c r="F8859" s="2" t="s">
        <v>165</v>
      </c>
    </row>
    <row r="8860" spans="1:6" ht="22.5" customHeight="1" x14ac:dyDescent="0.25">
      <c r="A8860" s="3">
        <v>44593</v>
      </c>
      <c r="B8860" s="2" t="s">
        <v>342</v>
      </c>
      <c r="C8860" s="2">
        <v>1.1399999999999999</v>
      </c>
      <c r="D8860" s="2">
        <v>0.52710000000000001</v>
      </c>
      <c r="E8860" s="2">
        <v>6.0089399999999999E-3</v>
      </c>
      <c r="F8860" s="2" t="s">
        <v>165</v>
      </c>
    </row>
    <row r="8861" spans="1:6" ht="22.5" hidden="1" customHeight="1" x14ac:dyDescent="0.25">
      <c r="A8861" s="3">
        <v>44593</v>
      </c>
      <c r="B8861" s="2" t="s">
        <v>276</v>
      </c>
      <c r="C8861" s="2">
        <v>2.29</v>
      </c>
      <c r="D8861" s="2">
        <v>0.25979999999999998</v>
      </c>
      <c r="E8861" s="2">
        <v>5.9494200000000004E-3</v>
      </c>
      <c r="F8861" s="2" t="s">
        <v>170</v>
      </c>
    </row>
    <row r="8862" spans="1:6" ht="22.5" hidden="1" customHeight="1" x14ac:dyDescent="0.25">
      <c r="A8862" s="3">
        <v>44593</v>
      </c>
      <c r="B8862" s="2" t="s">
        <v>124</v>
      </c>
      <c r="C8862" s="2">
        <v>4.47</v>
      </c>
      <c r="D8862" s="2">
        <v>0.13250000000000001</v>
      </c>
      <c r="E8862" s="2">
        <v>5.9227500000000001E-3</v>
      </c>
      <c r="F8862" s="2" t="s">
        <v>7</v>
      </c>
    </row>
    <row r="8863" spans="1:6" ht="22.5" hidden="1" customHeight="1" x14ac:dyDescent="0.25">
      <c r="A8863" s="3">
        <v>44593</v>
      </c>
      <c r="B8863" s="2" t="s">
        <v>200</v>
      </c>
      <c r="C8863" s="2">
        <v>2.89</v>
      </c>
      <c r="D8863" s="2">
        <v>0.2001</v>
      </c>
      <c r="E8863" s="2">
        <v>5.7828899999999997E-3</v>
      </c>
      <c r="F8863" s="2" t="s">
        <v>170</v>
      </c>
    </row>
    <row r="8864" spans="1:6" ht="22.5" hidden="1" customHeight="1" x14ac:dyDescent="0.25">
      <c r="A8864" s="3">
        <v>43952</v>
      </c>
      <c r="B8864" s="2" t="s">
        <v>195</v>
      </c>
      <c r="C8864" s="2">
        <v>-1.0900000000000001</v>
      </c>
      <c r="D8864" s="2">
        <v>1.0577000000000001</v>
      </c>
      <c r="E8864" s="2">
        <v>-1.152893E-2</v>
      </c>
      <c r="F8864" s="2" t="s">
        <v>168</v>
      </c>
    </row>
    <row r="8865" spans="1:6" ht="22.5" hidden="1" customHeight="1" x14ac:dyDescent="0.25">
      <c r="A8865" s="3">
        <v>44593</v>
      </c>
      <c r="B8865" s="2" t="s">
        <v>173</v>
      </c>
      <c r="C8865" s="2">
        <v>1.93</v>
      </c>
      <c r="D8865" s="2">
        <v>0.28370000000000001</v>
      </c>
      <c r="E8865" s="2">
        <v>5.47541E-3</v>
      </c>
      <c r="F8865" s="2" t="s">
        <v>174</v>
      </c>
    </row>
    <row r="8866" spans="1:6" ht="22.5" hidden="1" customHeight="1" x14ac:dyDescent="0.25">
      <c r="A8866" s="3">
        <v>44593</v>
      </c>
      <c r="B8866" s="2" t="s">
        <v>337</v>
      </c>
      <c r="C8866" s="2">
        <v>1.43</v>
      </c>
      <c r="D8866" s="2">
        <v>0.38009999999999999</v>
      </c>
      <c r="E8866" s="2">
        <v>5.4354299999999998E-3</v>
      </c>
      <c r="F8866" s="2" t="s">
        <v>174</v>
      </c>
    </row>
    <row r="8867" spans="1:6" ht="22.5" hidden="1" customHeight="1" x14ac:dyDescent="0.25">
      <c r="A8867" s="3">
        <v>44593</v>
      </c>
      <c r="B8867" s="2" t="s">
        <v>53</v>
      </c>
      <c r="C8867" s="2">
        <v>3.98</v>
      </c>
      <c r="D8867" s="2">
        <v>0.1303</v>
      </c>
      <c r="E8867" s="2">
        <v>5.18594E-3</v>
      </c>
      <c r="F8867" s="2" t="s">
        <v>7</v>
      </c>
    </row>
    <row r="8868" spans="1:6" ht="22.5" customHeight="1" x14ac:dyDescent="0.25">
      <c r="A8868" s="3">
        <v>44593</v>
      </c>
      <c r="B8868" s="2" t="s">
        <v>364</v>
      </c>
      <c r="C8868" s="2">
        <v>1.35</v>
      </c>
      <c r="D8868" s="2">
        <v>0.38369999999999999</v>
      </c>
      <c r="E8868" s="2">
        <v>5.17995E-3</v>
      </c>
      <c r="F8868" s="2" t="s">
        <v>165</v>
      </c>
    </row>
    <row r="8869" spans="1:6" ht="22.5" hidden="1" customHeight="1" x14ac:dyDescent="0.25">
      <c r="A8869" s="3">
        <v>44593</v>
      </c>
      <c r="B8869" s="2" t="s">
        <v>238</v>
      </c>
      <c r="C8869" s="2">
        <v>0.96</v>
      </c>
      <c r="D8869" s="2">
        <v>0.50929999999999997</v>
      </c>
      <c r="E8869" s="2">
        <v>4.8892800000000002E-3</v>
      </c>
      <c r="F8869" s="2" t="s">
        <v>174</v>
      </c>
    </row>
    <row r="8870" spans="1:6" ht="22.5" hidden="1" customHeight="1" x14ac:dyDescent="0.25">
      <c r="A8870" s="3">
        <v>44228</v>
      </c>
      <c r="B8870" s="2" t="s">
        <v>265</v>
      </c>
      <c r="C8870" s="2">
        <v>-2.54</v>
      </c>
      <c r="D8870" s="2">
        <v>0.48120000000000002</v>
      </c>
      <c r="E8870" s="2">
        <v>-1.2222480000000001E-2</v>
      </c>
      <c r="F8870" s="2" t="s">
        <v>168</v>
      </c>
    </row>
    <row r="8871" spans="1:6" ht="22.5" hidden="1" customHeight="1" x14ac:dyDescent="0.25">
      <c r="A8871" s="3">
        <v>44593</v>
      </c>
      <c r="B8871" s="2" t="s">
        <v>11</v>
      </c>
      <c r="C8871" s="2">
        <v>3.59</v>
      </c>
      <c r="D8871" s="2">
        <v>0.12529999999999999</v>
      </c>
      <c r="E8871" s="2">
        <v>4.4982700000000004E-3</v>
      </c>
      <c r="F8871" s="2" t="s">
        <v>7</v>
      </c>
    </row>
    <row r="8872" spans="1:6" ht="22.5" hidden="1" customHeight="1" x14ac:dyDescent="0.25">
      <c r="A8872" s="3">
        <v>44593</v>
      </c>
      <c r="B8872" s="2" t="s">
        <v>57</v>
      </c>
      <c r="C8872" s="2">
        <v>14.04</v>
      </c>
      <c r="D8872" s="2">
        <v>3.0300000000000001E-2</v>
      </c>
      <c r="E8872" s="2">
        <v>4.2541200000000001E-3</v>
      </c>
      <c r="F8872" s="2" t="s">
        <v>7</v>
      </c>
    </row>
    <row r="8873" spans="1:6" ht="22.5" customHeight="1" x14ac:dyDescent="0.25">
      <c r="A8873" s="3">
        <v>44593</v>
      </c>
      <c r="B8873" s="2" t="s">
        <v>267</v>
      </c>
      <c r="C8873" s="2">
        <v>3.61</v>
      </c>
      <c r="D8873" s="2">
        <v>0.1176</v>
      </c>
      <c r="E8873" s="2">
        <v>4.2453600000000001E-3</v>
      </c>
      <c r="F8873" s="2" t="s">
        <v>165</v>
      </c>
    </row>
    <row r="8874" spans="1:6" ht="22.5" hidden="1" customHeight="1" x14ac:dyDescent="0.25">
      <c r="A8874" s="3">
        <v>44593</v>
      </c>
      <c r="B8874" s="2" t="s">
        <v>71</v>
      </c>
      <c r="C8874" s="2">
        <v>1.22</v>
      </c>
      <c r="D8874" s="2">
        <v>0.34449999999999997</v>
      </c>
      <c r="E8874" s="2">
        <v>4.2028999999999999E-3</v>
      </c>
      <c r="F8874" s="2" t="s">
        <v>7</v>
      </c>
    </row>
    <row r="8875" spans="1:6" ht="22.5" hidden="1" customHeight="1" x14ac:dyDescent="0.25">
      <c r="A8875" s="3">
        <v>43952</v>
      </c>
      <c r="B8875" s="2" t="s">
        <v>298</v>
      </c>
      <c r="C8875" s="2">
        <v>-2.0099999999999998</v>
      </c>
      <c r="D8875" s="2">
        <v>0.6321</v>
      </c>
      <c r="E8875" s="2">
        <v>-1.270521E-2</v>
      </c>
      <c r="F8875" s="2" t="s">
        <v>168</v>
      </c>
    </row>
    <row r="8876" spans="1:6" ht="22.5" customHeight="1" x14ac:dyDescent="0.25">
      <c r="A8876" s="3">
        <v>44593</v>
      </c>
      <c r="B8876" s="2" t="s">
        <v>304</v>
      </c>
      <c r="C8876" s="2">
        <v>0.83</v>
      </c>
      <c r="D8876" s="2">
        <v>0.49980000000000002</v>
      </c>
      <c r="E8876" s="2">
        <v>4.1483400000000004E-3</v>
      </c>
      <c r="F8876" s="2" t="s">
        <v>165</v>
      </c>
    </row>
    <row r="8877" spans="1:6" ht="22.5" hidden="1" customHeight="1" x14ac:dyDescent="0.25">
      <c r="A8877" s="3">
        <v>44593</v>
      </c>
      <c r="B8877" s="2" t="s">
        <v>33</v>
      </c>
      <c r="C8877" s="2">
        <v>2.17</v>
      </c>
      <c r="D8877" s="2">
        <v>0.18540000000000001</v>
      </c>
      <c r="E8877" s="2">
        <v>4.0231800000000003E-3</v>
      </c>
      <c r="F8877" s="2" t="s">
        <v>7</v>
      </c>
    </row>
    <row r="8878" spans="1:6" ht="22.5" hidden="1" customHeight="1" x14ac:dyDescent="0.25">
      <c r="A8878" s="3">
        <v>44593</v>
      </c>
      <c r="B8878" s="2" t="s">
        <v>49</v>
      </c>
      <c r="C8878" s="2">
        <v>2.1</v>
      </c>
      <c r="D8878" s="2">
        <v>0.1915</v>
      </c>
      <c r="E8878" s="2">
        <v>4.0214999999999999E-3</v>
      </c>
      <c r="F8878" s="2" t="s">
        <v>7</v>
      </c>
    </row>
    <row r="8879" spans="1:6" ht="22.5" hidden="1" customHeight="1" x14ac:dyDescent="0.25">
      <c r="A8879" s="3">
        <v>44593</v>
      </c>
      <c r="B8879" s="2" t="s">
        <v>131</v>
      </c>
      <c r="C8879" s="2">
        <v>7.37</v>
      </c>
      <c r="D8879" s="2">
        <v>5.4100000000000002E-2</v>
      </c>
      <c r="E8879" s="2">
        <v>3.98717E-3</v>
      </c>
      <c r="F8879" s="2" t="s">
        <v>7</v>
      </c>
    </row>
    <row r="8880" spans="1:6" ht="22.5" customHeight="1" x14ac:dyDescent="0.25">
      <c r="A8880" s="3">
        <v>44593</v>
      </c>
      <c r="B8880" s="2" t="s">
        <v>325</v>
      </c>
      <c r="C8880" s="2">
        <v>0.14000000000000001</v>
      </c>
      <c r="D8880" s="2">
        <v>2.8401999999999998</v>
      </c>
      <c r="E8880" s="2">
        <v>3.9762799999999996E-3</v>
      </c>
      <c r="F8880" s="2" t="s">
        <v>165</v>
      </c>
    </row>
    <row r="8881" spans="1:6" ht="22.5" hidden="1" customHeight="1" x14ac:dyDescent="0.25">
      <c r="A8881" s="3">
        <v>44013</v>
      </c>
      <c r="B8881" s="2" t="s">
        <v>265</v>
      </c>
      <c r="C8881" s="2">
        <v>-4.16</v>
      </c>
      <c r="D8881" s="2">
        <v>0.34150000000000003</v>
      </c>
      <c r="E8881" s="2">
        <v>-1.4206399999999999E-2</v>
      </c>
      <c r="F8881" s="2" t="s">
        <v>168</v>
      </c>
    </row>
    <row r="8882" spans="1:6" ht="22.5" hidden="1" customHeight="1" x14ac:dyDescent="0.25">
      <c r="A8882" s="3">
        <v>44593</v>
      </c>
      <c r="B8882" s="2" t="s">
        <v>229</v>
      </c>
      <c r="C8882" s="2">
        <v>1.28</v>
      </c>
      <c r="D8882" s="2">
        <v>0.28410000000000002</v>
      </c>
      <c r="E8882" s="2">
        <v>3.6364800000000001E-3</v>
      </c>
      <c r="F8882" s="2" t="s">
        <v>174</v>
      </c>
    </row>
    <row r="8883" spans="1:6" ht="22.5" customHeight="1" x14ac:dyDescent="0.25">
      <c r="A8883" s="3">
        <v>44593</v>
      </c>
      <c r="B8883" s="2" t="s">
        <v>361</v>
      </c>
      <c r="C8883" s="2">
        <v>4.97</v>
      </c>
      <c r="D8883" s="2">
        <v>7.0599999999999996E-2</v>
      </c>
      <c r="E8883" s="2">
        <v>3.5088200000000002E-3</v>
      </c>
      <c r="F8883" s="2" t="s">
        <v>165</v>
      </c>
    </row>
    <row r="8884" spans="1:6" ht="22.5" hidden="1" customHeight="1" x14ac:dyDescent="0.25">
      <c r="A8884" s="3">
        <v>43922</v>
      </c>
      <c r="B8884" s="2" t="s">
        <v>298</v>
      </c>
      <c r="C8884" s="2">
        <v>-2.5299999999999998</v>
      </c>
      <c r="D8884" s="2">
        <v>0.64870000000000005</v>
      </c>
      <c r="E8884" s="2">
        <v>-1.6412110000000001E-2</v>
      </c>
      <c r="F8884" s="2" t="s">
        <v>168</v>
      </c>
    </row>
    <row r="8885" spans="1:6" ht="22.5" hidden="1" customHeight="1" x14ac:dyDescent="0.25">
      <c r="A8885" s="3">
        <v>44593</v>
      </c>
      <c r="B8885" s="2" t="s">
        <v>73</v>
      </c>
      <c r="C8885" s="2">
        <v>1.8</v>
      </c>
      <c r="D8885" s="2">
        <v>0.1825</v>
      </c>
      <c r="E8885" s="2">
        <v>3.2850000000000002E-3</v>
      </c>
      <c r="F8885" s="2" t="s">
        <v>7</v>
      </c>
    </row>
    <row r="8886" spans="1:6" ht="22.5" hidden="1" customHeight="1" x14ac:dyDescent="0.25">
      <c r="A8886" s="3">
        <v>44593</v>
      </c>
      <c r="B8886" s="2" t="s">
        <v>42</v>
      </c>
      <c r="C8886" s="2">
        <v>7.87</v>
      </c>
      <c r="D8886" s="2">
        <v>4.1700000000000001E-2</v>
      </c>
      <c r="E8886" s="2">
        <v>3.2817900000000001E-3</v>
      </c>
      <c r="F8886" s="2" t="s">
        <v>7</v>
      </c>
    </row>
    <row r="8887" spans="1:6" ht="22.5" hidden="1" customHeight="1" x14ac:dyDescent="0.25">
      <c r="A8887" s="3">
        <v>44593</v>
      </c>
      <c r="B8887" s="2" t="s">
        <v>41</v>
      </c>
      <c r="C8887" s="2">
        <v>18.47</v>
      </c>
      <c r="D8887" s="2">
        <v>1.77E-2</v>
      </c>
      <c r="E8887" s="2">
        <v>3.2691899999999999E-3</v>
      </c>
      <c r="F8887" s="2" t="s">
        <v>7</v>
      </c>
    </row>
    <row r="8888" spans="1:6" ht="22.5" hidden="1" customHeight="1" x14ac:dyDescent="0.25">
      <c r="A8888" s="3">
        <v>44593</v>
      </c>
      <c r="B8888" s="2" t="s">
        <v>126</v>
      </c>
      <c r="C8888" s="2">
        <v>0.98</v>
      </c>
      <c r="D8888" s="2">
        <v>0.32079999999999997</v>
      </c>
      <c r="E8888" s="2">
        <v>3.1438400000000002E-3</v>
      </c>
      <c r="F8888" s="2" t="s">
        <v>7</v>
      </c>
    </row>
    <row r="8889" spans="1:6" ht="22.5" hidden="1" customHeight="1" x14ac:dyDescent="0.25">
      <c r="A8889" s="3">
        <v>44593</v>
      </c>
      <c r="B8889" s="2" t="s">
        <v>78</v>
      </c>
      <c r="C8889" s="2">
        <v>1.03</v>
      </c>
      <c r="D8889" s="2">
        <v>0.29809999999999998</v>
      </c>
      <c r="E8889" s="2">
        <v>3.0704299999999999E-3</v>
      </c>
      <c r="F8889" s="2" t="s">
        <v>7</v>
      </c>
    </row>
    <row r="8890" spans="1:6" ht="22.5" hidden="1" customHeight="1" x14ac:dyDescent="0.25">
      <c r="A8890" s="3">
        <v>44593</v>
      </c>
      <c r="B8890" s="2" t="s">
        <v>43</v>
      </c>
      <c r="C8890" s="2">
        <v>10.67</v>
      </c>
      <c r="D8890" s="2">
        <v>2.8500000000000001E-2</v>
      </c>
      <c r="E8890" s="2">
        <v>3.0409500000000002E-3</v>
      </c>
      <c r="F8890" s="2" t="s">
        <v>7</v>
      </c>
    </row>
    <row r="8891" spans="1:6" ht="22.5" hidden="1" customHeight="1" x14ac:dyDescent="0.25">
      <c r="A8891" s="3">
        <v>44593</v>
      </c>
      <c r="B8891" s="2" t="s">
        <v>249</v>
      </c>
      <c r="C8891" s="2">
        <v>1.1499999999999999</v>
      </c>
      <c r="D8891" s="2">
        <v>0.26140000000000002</v>
      </c>
      <c r="E8891" s="2">
        <v>3.0060999999999998E-3</v>
      </c>
      <c r="F8891" s="2" t="s">
        <v>174</v>
      </c>
    </row>
    <row r="8892" spans="1:6" ht="22.5" hidden="1" customHeight="1" x14ac:dyDescent="0.25">
      <c r="A8892" s="3">
        <v>44593</v>
      </c>
      <c r="B8892" s="2" t="s">
        <v>24</v>
      </c>
      <c r="C8892" s="2">
        <v>32.659999999999997</v>
      </c>
      <c r="D8892" s="2">
        <v>9.1000000000000004E-3</v>
      </c>
      <c r="E8892" s="2">
        <v>2.9720599999999999E-3</v>
      </c>
      <c r="F8892" s="2" t="s">
        <v>7</v>
      </c>
    </row>
    <row r="8893" spans="1:6" ht="22.5" hidden="1" customHeight="1" x14ac:dyDescent="0.25">
      <c r="A8893" s="3">
        <v>44593</v>
      </c>
      <c r="B8893" s="2" t="s">
        <v>234</v>
      </c>
      <c r="C8893" s="2">
        <v>0.99</v>
      </c>
      <c r="D8893" s="2">
        <v>0.30009999999999998</v>
      </c>
      <c r="E8893" s="2">
        <v>2.9709900000000002E-3</v>
      </c>
      <c r="F8893" s="2" t="s">
        <v>174</v>
      </c>
    </row>
    <row r="8894" spans="1:6" ht="22.5" hidden="1" customHeight="1" x14ac:dyDescent="0.25">
      <c r="A8894" s="3">
        <v>44593</v>
      </c>
      <c r="B8894" s="2" t="s">
        <v>285</v>
      </c>
      <c r="C8894" s="2">
        <v>-1.98</v>
      </c>
      <c r="D8894" s="2">
        <v>0.93469999999999998</v>
      </c>
      <c r="E8894" s="2">
        <v>-1.8507059999999999E-2</v>
      </c>
      <c r="F8894" s="2" t="s">
        <v>168</v>
      </c>
    </row>
    <row r="8895" spans="1:6" ht="22.5" hidden="1" customHeight="1" x14ac:dyDescent="0.25">
      <c r="A8895" s="3">
        <v>44593</v>
      </c>
      <c r="B8895" s="2" t="s">
        <v>214</v>
      </c>
      <c r="C8895" s="2">
        <v>2.72</v>
      </c>
      <c r="D8895" s="2">
        <v>0.1009</v>
      </c>
      <c r="E8895" s="2">
        <v>2.7444800000000001E-3</v>
      </c>
      <c r="F8895" s="2" t="s">
        <v>170</v>
      </c>
    </row>
    <row r="8896" spans="1:6" ht="22.5" hidden="1" customHeight="1" x14ac:dyDescent="0.25">
      <c r="A8896" s="3">
        <v>44348</v>
      </c>
      <c r="B8896" s="2" t="s">
        <v>265</v>
      </c>
      <c r="C8896" s="2">
        <v>-5.63</v>
      </c>
      <c r="D8896" s="2">
        <v>0.33889999999999998</v>
      </c>
      <c r="E8896" s="2">
        <v>-1.9080070000000001E-2</v>
      </c>
      <c r="F8896" s="2" t="s">
        <v>168</v>
      </c>
    </row>
    <row r="8897" spans="1:6" ht="22.5" hidden="1" customHeight="1" x14ac:dyDescent="0.25">
      <c r="A8897" s="3">
        <v>44593</v>
      </c>
      <c r="B8897" s="2" t="s">
        <v>123</v>
      </c>
      <c r="C8897" s="2">
        <v>2.56</v>
      </c>
      <c r="D8897" s="2">
        <v>0.1008</v>
      </c>
      <c r="E8897" s="2">
        <v>2.58048E-3</v>
      </c>
      <c r="F8897" s="2" t="s">
        <v>7</v>
      </c>
    </row>
    <row r="8898" spans="1:6" ht="22.5" hidden="1" customHeight="1" x14ac:dyDescent="0.25">
      <c r="A8898" s="3">
        <v>44593</v>
      </c>
      <c r="B8898" s="2" t="s">
        <v>21</v>
      </c>
      <c r="C8898" s="2">
        <v>7.97</v>
      </c>
      <c r="D8898" s="2">
        <v>3.2199999999999999E-2</v>
      </c>
      <c r="E8898" s="2">
        <v>2.5663399999999999E-3</v>
      </c>
      <c r="F8898" s="2" t="s">
        <v>7</v>
      </c>
    </row>
    <row r="8899" spans="1:6" ht="22.5" customHeight="1" x14ac:dyDescent="0.25">
      <c r="A8899" s="3">
        <v>44593</v>
      </c>
      <c r="B8899" s="2" t="s">
        <v>335</v>
      </c>
      <c r="C8899" s="2">
        <v>0.91</v>
      </c>
      <c r="D8899" s="2">
        <v>0.2777</v>
      </c>
      <c r="E8899" s="2">
        <v>2.5270700000000002E-3</v>
      </c>
      <c r="F8899" s="2" t="s">
        <v>165</v>
      </c>
    </row>
    <row r="8900" spans="1:6" ht="22.5" customHeight="1" x14ac:dyDescent="0.25">
      <c r="A8900" s="3">
        <v>44593</v>
      </c>
      <c r="B8900" s="2" t="s">
        <v>329</v>
      </c>
      <c r="C8900" s="2">
        <v>2.63</v>
      </c>
      <c r="D8900" s="2">
        <v>9.5899999999999999E-2</v>
      </c>
      <c r="E8900" s="2">
        <v>2.5221699999999998E-3</v>
      </c>
      <c r="F8900" s="2" t="s">
        <v>165</v>
      </c>
    </row>
    <row r="8901" spans="1:6" ht="22.5" hidden="1" customHeight="1" x14ac:dyDescent="0.25">
      <c r="A8901" s="3">
        <v>44593</v>
      </c>
      <c r="B8901" s="2" t="s">
        <v>318</v>
      </c>
      <c r="C8901" s="2">
        <v>0.57999999999999996</v>
      </c>
      <c r="D8901" s="2">
        <v>0.40839999999999999</v>
      </c>
      <c r="E8901" s="2">
        <v>2.3687199999999999E-3</v>
      </c>
      <c r="F8901" s="2" t="s">
        <v>174</v>
      </c>
    </row>
    <row r="8902" spans="1:6" ht="22.5" hidden="1" customHeight="1" x14ac:dyDescent="0.25">
      <c r="A8902" s="3">
        <v>44593</v>
      </c>
      <c r="B8902" s="2" t="s">
        <v>239</v>
      </c>
      <c r="C8902" s="2">
        <v>2.1800000000000002</v>
      </c>
      <c r="D8902" s="2">
        <v>0.1076</v>
      </c>
      <c r="E8902" s="2">
        <v>2.3456800000000002E-3</v>
      </c>
      <c r="F8902" s="2" t="s">
        <v>174</v>
      </c>
    </row>
    <row r="8903" spans="1:6" ht="22.5" hidden="1" customHeight="1" x14ac:dyDescent="0.25">
      <c r="A8903" s="3">
        <v>44593</v>
      </c>
      <c r="B8903" s="2" t="s">
        <v>357</v>
      </c>
      <c r="C8903" s="2">
        <v>0.67</v>
      </c>
      <c r="D8903" s="2">
        <v>0.34370000000000001</v>
      </c>
      <c r="E8903" s="2">
        <v>2.3027899999999999E-3</v>
      </c>
      <c r="F8903" s="2" t="s">
        <v>174</v>
      </c>
    </row>
    <row r="8904" spans="1:6" ht="22.5" hidden="1" customHeight="1" x14ac:dyDescent="0.25">
      <c r="A8904" s="3">
        <v>44593</v>
      </c>
      <c r="B8904" s="2" t="s">
        <v>18</v>
      </c>
      <c r="C8904" s="2">
        <v>2.2799999999999998</v>
      </c>
      <c r="D8904" s="2">
        <v>9.8699999999999996E-2</v>
      </c>
      <c r="E8904" s="2">
        <v>2.2503599999999999E-3</v>
      </c>
      <c r="F8904" s="2" t="s">
        <v>7</v>
      </c>
    </row>
    <row r="8905" spans="1:6" ht="22.5" hidden="1" customHeight="1" x14ac:dyDescent="0.25">
      <c r="A8905" s="3">
        <v>44593</v>
      </c>
      <c r="B8905" s="2" t="s">
        <v>39</v>
      </c>
      <c r="C8905" s="2">
        <v>15.44</v>
      </c>
      <c r="D8905" s="2">
        <v>1.44E-2</v>
      </c>
      <c r="E8905" s="2">
        <v>2.2233600000000002E-3</v>
      </c>
      <c r="F8905" s="2" t="s">
        <v>7</v>
      </c>
    </row>
    <row r="8906" spans="1:6" ht="22.5" hidden="1" customHeight="1" x14ac:dyDescent="0.25">
      <c r="A8906" s="3">
        <v>44593</v>
      </c>
      <c r="B8906" s="2" t="s">
        <v>248</v>
      </c>
      <c r="C8906" s="2">
        <v>1.51</v>
      </c>
      <c r="D8906" s="2">
        <v>0.14699999999999999</v>
      </c>
      <c r="E8906" s="2">
        <v>2.2196999999999998E-3</v>
      </c>
      <c r="F8906" s="2" t="s">
        <v>174</v>
      </c>
    </row>
    <row r="8907" spans="1:6" ht="22.5" customHeight="1" x14ac:dyDescent="0.25">
      <c r="A8907" s="3">
        <v>44593</v>
      </c>
      <c r="B8907" s="2" t="s">
        <v>228</v>
      </c>
      <c r="C8907" s="2">
        <v>1.1299999999999999</v>
      </c>
      <c r="D8907" s="2">
        <v>0.1918</v>
      </c>
      <c r="E8907" s="2">
        <v>2.1673399999999998E-3</v>
      </c>
      <c r="F8907" s="2" t="s">
        <v>165</v>
      </c>
    </row>
    <row r="8908" spans="1:6" ht="22.5" hidden="1" customHeight="1" x14ac:dyDescent="0.25">
      <c r="A8908" s="3">
        <v>43983</v>
      </c>
      <c r="B8908" s="2" t="s">
        <v>197</v>
      </c>
      <c r="C8908" s="2">
        <v>-0.48</v>
      </c>
      <c r="D8908" s="2">
        <v>4.2723000000000004</v>
      </c>
      <c r="E8908" s="2">
        <v>-2.0507040000000001E-2</v>
      </c>
      <c r="F8908" s="2" t="s">
        <v>168</v>
      </c>
    </row>
    <row r="8909" spans="1:6" ht="22.5" customHeight="1" x14ac:dyDescent="0.25">
      <c r="A8909" s="3">
        <v>44593</v>
      </c>
      <c r="B8909" s="2" t="s">
        <v>308</v>
      </c>
      <c r="C8909" s="2">
        <v>0.56999999999999995</v>
      </c>
      <c r="D8909" s="2">
        <v>0.35399999999999998</v>
      </c>
      <c r="E8909" s="2">
        <v>2.0178000000000001E-3</v>
      </c>
      <c r="F8909" s="2" t="s">
        <v>165</v>
      </c>
    </row>
    <row r="8910" spans="1:6" ht="22.5" hidden="1" customHeight="1" x14ac:dyDescent="0.25">
      <c r="A8910" s="3">
        <v>44593</v>
      </c>
      <c r="B8910" s="2" t="s">
        <v>31</v>
      </c>
      <c r="C8910" s="2">
        <v>1.46</v>
      </c>
      <c r="D8910" s="2">
        <v>0.1341</v>
      </c>
      <c r="E8910" s="2">
        <v>1.9578600000000001E-3</v>
      </c>
      <c r="F8910" s="2" t="s">
        <v>7</v>
      </c>
    </row>
    <row r="8911" spans="1:6" ht="22.5" hidden="1" customHeight="1" x14ac:dyDescent="0.25">
      <c r="A8911" s="3">
        <v>44593</v>
      </c>
      <c r="B8911" s="2" t="s">
        <v>222</v>
      </c>
      <c r="C8911" s="2">
        <v>0.6</v>
      </c>
      <c r="D8911" s="2">
        <v>0.31809999999999999</v>
      </c>
      <c r="E8911" s="2">
        <v>1.9086000000000001E-3</v>
      </c>
      <c r="F8911" s="2" t="s">
        <v>170</v>
      </c>
    </row>
    <row r="8912" spans="1:6" ht="22.5" customHeight="1" x14ac:dyDescent="0.25">
      <c r="A8912" s="3">
        <v>44593</v>
      </c>
      <c r="B8912" s="2" t="s">
        <v>363</v>
      </c>
      <c r="C8912" s="2">
        <v>3.99</v>
      </c>
      <c r="D8912" s="2">
        <v>4.7500000000000001E-2</v>
      </c>
      <c r="E8912" s="2">
        <v>1.89525E-3</v>
      </c>
      <c r="F8912" s="2" t="s">
        <v>165</v>
      </c>
    </row>
    <row r="8913" spans="1:6" ht="22.5" hidden="1" customHeight="1" x14ac:dyDescent="0.25">
      <c r="A8913" s="3">
        <v>44593</v>
      </c>
      <c r="B8913" s="2" t="s">
        <v>206</v>
      </c>
      <c r="C8913" s="2">
        <v>1.18</v>
      </c>
      <c r="D8913" s="2">
        <v>0.15770000000000001</v>
      </c>
      <c r="E8913" s="2">
        <v>1.86086E-3</v>
      </c>
      <c r="F8913" s="2" t="s">
        <v>174</v>
      </c>
    </row>
    <row r="8914" spans="1:6" ht="22.5" hidden="1" customHeight="1" x14ac:dyDescent="0.25">
      <c r="A8914" s="3">
        <v>44593</v>
      </c>
      <c r="B8914" s="2" t="s">
        <v>241</v>
      </c>
      <c r="C8914" s="2">
        <v>2.15</v>
      </c>
      <c r="D8914" s="2">
        <v>8.5000000000000006E-2</v>
      </c>
      <c r="E8914" s="2">
        <v>1.8274999999999999E-3</v>
      </c>
      <c r="F8914" s="2" t="s">
        <v>174</v>
      </c>
    </row>
    <row r="8915" spans="1:6" ht="22.5" hidden="1" customHeight="1" x14ac:dyDescent="0.25">
      <c r="A8915" s="3">
        <v>44593</v>
      </c>
      <c r="B8915" s="2" t="s">
        <v>205</v>
      </c>
      <c r="C8915" s="2">
        <v>1.95</v>
      </c>
      <c r="D8915" s="2">
        <v>9.3700000000000006E-2</v>
      </c>
      <c r="E8915" s="2">
        <v>1.82715E-3</v>
      </c>
      <c r="F8915" s="2" t="s">
        <v>174</v>
      </c>
    </row>
    <row r="8916" spans="1:6" ht="22.5" hidden="1" customHeight="1" x14ac:dyDescent="0.25">
      <c r="A8916" s="3">
        <v>44593</v>
      </c>
      <c r="B8916" s="2" t="s">
        <v>310</v>
      </c>
      <c r="C8916" s="2">
        <v>-0.69</v>
      </c>
      <c r="D8916" s="2">
        <v>3.6526000000000001</v>
      </c>
      <c r="E8916" s="2">
        <v>-2.520294E-2</v>
      </c>
      <c r="F8916" s="2" t="s">
        <v>168</v>
      </c>
    </row>
    <row r="8917" spans="1:6" ht="22.5" hidden="1" customHeight="1" x14ac:dyDescent="0.25">
      <c r="A8917" s="3">
        <v>44593</v>
      </c>
      <c r="B8917" s="2" t="s">
        <v>55</v>
      </c>
      <c r="C8917" s="2">
        <v>3.18</v>
      </c>
      <c r="D8917" s="2">
        <v>5.6399999999999999E-2</v>
      </c>
      <c r="E8917" s="2">
        <v>1.7935200000000001E-3</v>
      </c>
      <c r="F8917" s="2" t="s">
        <v>7</v>
      </c>
    </row>
    <row r="8918" spans="1:6" ht="22.5" hidden="1" customHeight="1" x14ac:dyDescent="0.25">
      <c r="A8918" s="3">
        <v>44593</v>
      </c>
      <c r="B8918" s="2" t="s">
        <v>275</v>
      </c>
      <c r="C8918" s="2">
        <v>1.01</v>
      </c>
      <c r="D8918" s="2">
        <v>0.1721</v>
      </c>
      <c r="E8918" s="2">
        <v>1.73821E-3</v>
      </c>
      <c r="F8918" s="2" t="s">
        <v>170</v>
      </c>
    </row>
    <row r="8919" spans="1:6" ht="22.5" hidden="1" customHeight="1" x14ac:dyDescent="0.25">
      <c r="A8919" s="3">
        <v>44593</v>
      </c>
      <c r="B8919" s="2" t="s">
        <v>321</v>
      </c>
      <c r="C8919" s="2">
        <v>0.84</v>
      </c>
      <c r="D8919" s="2">
        <v>0.20349999999999999</v>
      </c>
      <c r="E8919" s="2">
        <v>1.7094E-3</v>
      </c>
      <c r="F8919" s="2" t="s">
        <v>174</v>
      </c>
    </row>
    <row r="8920" spans="1:6" ht="22.5" hidden="1" customHeight="1" x14ac:dyDescent="0.25">
      <c r="A8920" s="3">
        <v>44593</v>
      </c>
      <c r="B8920" s="2" t="s">
        <v>237</v>
      </c>
      <c r="C8920" s="2">
        <v>0.57999999999999996</v>
      </c>
      <c r="D8920" s="2">
        <v>0.28079999999999999</v>
      </c>
      <c r="E8920" s="2">
        <v>1.62864E-3</v>
      </c>
      <c r="F8920" s="2" t="s">
        <v>174</v>
      </c>
    </row>
    <row r="8921" spans="1:6" ht="22.5" hidden="1" customHeight="1" x14ac:dyDescent="0.25">
      <c r="A8921" s="3">
        <v>44593</v>
      </c>
      <c r="B8921" s="2" t="s">
        <v>35</v>
      </c>
      <c r="C8921" s="2">
        <v>1.48</v>
      </c>
      <c r="D8921" s="2">
        <v>0.10829999999999999</v>
      </c>
      <c r="E8921" s="2">
        <v>1.6028399999999999E-3</v>
      </c>
      <c r="F8921" s="2" t="s">
        <v>7</v>
      </c>
    </row>
    <row r="8922" spans="1:6" ht="22.5" hidden="1" customHeight="1" x14ac:dyDescent="0.25">
      <c r="A8922" s="3">
        <v>44593</v>
      </c>
      <c r="B8922" s="2" t="s">
        <v>315</v>
      </c>
      <c r="C8922" s="2">
        <v>0.61</v>
      </c>
      <c r="D8922" s="2">
        <v>0.25629999999999997</v>
      </c>
      <c r="E8922" s="2">
        <v>1.56343E-3</v>
      </c>
      <c r="F8922" s="2" t="s">
        <v>174</v>
      </c>
    </row>
    <row r="8923" spans="1:6" ht="22.5" customHeight="1" x14ac:dyDescent="0.25">
      <c r="A8923" s="3">
        <v>44593</v>
      </c>
      <c r="B8923" s="2" t="s">
        <v>333</v>
      </c>
      <c r="C8923" s="2">
        <v>1.91</v>
      </c>
      <c r="D8923" s="2">
        <v>7.8700000000000006E-2</v>
      </c>
      <c r="E8923" s="2">
        <v>1.5031700000000001E-3</v>
      </c>
      <c r="F8923" s="2" t="s">
        <v>165</v>
      </c>
    </row>
    <row r="8924" spans="1:6" ht="22.5" hidden="1" customHeight="1" x14ac:dyDescent="0.25">
      <c r="A8924" s="3">
        <v>44593</v>
      </c>
      <c r="B8924" s="2" t="s">
        <v>122</v>
      </c>
      <c r="C8924" s="2">
        <v>1.87</v>
      </c>
      <c r="D8924" s="2">
        <v>0.08</v>
      </c>
      <c r="E8924" s="2">
        <v>1.4959999999999999E-3</v>
      </c>
      <c r="F8924" s="2" t="s">
        <v>7</v>
      </c>
    </row>
    <row r="8925" spans="1:6" ht="22.5" hidden="1" customHeight="1" x14ac:dyDescent="0.25">
      <c r="A8925" s="3">
        <v>44593</v>
      </c>
      <c r="B8925" s="2" t="s">
        <v>127</v>
      </c>
      <c r="C8925" s="2">
        <v>2.1800000000000002</v>
      </c>
      <c r="D8925" s="2">
        <v>6.7699999999999996E-2</v>
      </c>
      <c r="E8925" s="2">
        <v>1.4758600000000001E-3</v>
      </c>
      <c r="F8925" s="2" t="s">
        <v>7</v>
      </c>
    </row>
    <row r="8926" spans="1:6" ht="22.5" hidden="1" customHeight="1" x14ac:dyDescent="0.25">
      <c r="A8926" s="3">
        <v>44593</v>
      </c>
      <c r="B8926" s="2" t="s">
        <v>161</v>
      </c>
      <c r="C8926" s="2">
        <v>0.09</v>
      </c>
      <c r="D8926" s="2">
        <v>1.6335999999999999</v>
      </c>
      <c r="E8926" s="2">
        <v>1.47024E-3</v>
      </c>
      <c r="F8926" s="2" t="s">
        <v>7</v>
      </c>
    </row>
    <row r="8927" spans="1:6" ht="22.5" hidden="1" customHeight="1" x14ac:dyDescent="0.25">
      <c r="A8927" s="3">
        <v>44593</v>
      </c>
      <c r="B8927" s="2" t="s">
        <v>313</v>
      </c>
      <c r="C8927" s="2">
        <v>1.19</v>
      </c>
      <c r="D8927" s="2">
        <v>0.1208</v>
      </c>
      <c r="E8927" s="2">
        <v>1.4375200000000001E-3</v>
      </c>
      <c r="F8927" s="2" t="s">
        <v>174</v>
      </c>
    </row>
    <row r="8928" spans="1:6" ht="22.5" hidden="1" customHeight="1" x14ac:dyDescent="0.25">
      <c r="A8928" s="3">
        <v>44593</v>
      </c>
      <c r="B8928" s="2" t="s">
        <v>30</v>
      </c>
      <c r="C8928" s="2">
        <v>1.1100000000000001</v>
      </c>
      <c r="D8928" s="2">
        <v>0.12870000000000001</v>
      </c>
      <c r="E8928" s="2">
        <v>1.4285700000000001E-3</v>
      </c>
      <c r="F8928" s="2" t="s">
        <v>7</v>
      </c>
    </row>
    <row r="8929" spans="1:6" ht="22.5" hidden="1" customHeight="1" x14ac:dyDescent="0.25">
      <c r="A8929" s="3">
        <v>44593</v>
      </c>
      <c r="B8929" s="2" t="s">
        <v>274</v>
      </c>
      <c r="C8929" s="2">
        <v>0.98</v>
      </c>
      <c r="D8929" s="2">
        <v>0.13919999999999999</v>
      </c>
      <c r="E8929" s="2">
        <v>1.3641599999999999E-3</v>
      </c>
      <c r="F8929" s="2" t="s">
        <v>170</v>
      </c>
    </row>
    <row r="8930" spans="1:6" ht="22.5" hidden="1" customHeight="1" x14ac:dyDescent="0.25">
      <c r="A8930" s="3">
        <v>44593</v>
      </c>
      <c r="B8930" s="2" t="s">
        <v>162</v>
      </c>
      <c r="C8930" s="2">
        <v>3.38</v>
      </c>
      <c r="D8930" s="2">
        <v>4.0300000000000002E-2</v>
      </c>
      <c r="E8930" s="2">
        <v>1.36214E-3</v>
      </c>
      <c r="F8930" s="2" t="s">
        <v>7</v>
      </c>
    </row>
    <row r="8931" spans="1:6" ht="22.5" hidden="1" customHeight="1" x14ac:dyDescent="0.25">
      <c r="A8931" s="3">
        <v>44593</v>
      </c>
      <c r="B8931" s="2" t="s">
        <v>136</v>
      </c>
      <c r="C8931" s="2">
        <v>3.82</v>
      </c>
      <c r="D8931" s="2">
        <v>3.56E-2</v>
      </c>
      <c r="E8931" s="2">
        <v>1.3599199999999999E-3</v>
      </c>
      <c r="F8931" s="2" t="s">
        <v>7</v>
      </c>
    </row>
    <row r="8932" spans="1:6" ht="22.5" customHeight="1" x14ac:dyDescent="0.25">
      <c r="A8932" s="3">
        <v>44593</v>
      </c>
      <c r="B8932" s="2" t="s">
        <v>180</v>
      </c>
      <c r="C8932" s="2">
        <v>0.23</v>
      </c>
      <c r="D8932" s="2">
        <v>0.59119999999999995</v>
      </c>
      <c r="E8932" s="2">
        <v>1.35976E-3</v>
      </c>
      <c r="F8932" s="2" t="s">
        <v>165</v>
      </c>
    </row>
    <row r="8933" spans="1:6" ht="22.5" hidden="1" customHeight="1" x14ac:dyDescent="0.25">
      <c r="A8933" s="3">
        <v>44562</v>
      </c>
      <c r="B8933" s="2" t="s">
        <v>310</v>
      </c>
      <c r="C8933" s="2">
        <v>-0.69</v>
      </c>
      <c r="D8933" s="2">
        <v>3.6995</v>
      </c>
      <c r="E8933" s="2">
        <v>-2.5526549999999999E-2</v>
      </c>
      <c r="F8933" s="2" t="s">
        <v>168</v>
      </c>
    </row>
    <row r="8934" spans="1:6" ht="22.5" hidden="1" customHeight="1" x14ac:dyDescent="0.25">
      <c r="A8934" s="3">
        <v>44593</v>
      </c>
      <c r="B8934" s="2" t="s">
        <v>76</v>
      </c>
      <c r="C8934" s="2">
        <v>0.79</v>
      </c>
      <c r="D8934" s="2">
        <v>0.16889999999999999</v>
      </c>
      <c r="E8934" s="2">
        <v>1.33431E-3</v>
      </c>
      <c r="F8934" s="2" t="s">
        <v>7</v>
      </c>
    </row>
    <row r="8935" spans="1:6" ht="22.5" customHeight="1" x14ac:dyDescent="0.25">
      <c r="A8935" s="3">
        <v>44593</v>
      </c>
      <c r="B8935" s="2" t="s">
        <v>353</v>
      </c>
      <c r="C8935" s="2">
        <v>3.41</v>
      </c>
      <c r="D8935" s="2">
        <v>3.8100000000000002E-2</v>
      </c>
      <c r="E8935" s="2">
        <v>1.2992100000000001E-3</v>
      </c>
      <c r="F8935" s="2" t="s">
        <v>165</v>
      </c>
    </row>
    <row r="8936" spans="1:6" ht="22.5" hidden="1" customHeight="1" x14ac:dyDescent="0.25">
      <c r="A8936" s="3">
        <v>44593</v>
      </c>
      <c r="B8936" s="2" t="s">
        <v>265</v>
      </c>
      <c r="C8936" s="2">
        <v>-5.05</v>
      </c>
      <c r="D8936" s="2">
        <v>0.5242</v>
      </c>
      <c r="E8936" s="2">
        <v>-2.6472099999999998E-2</v>
      </c>
      <c r="F8936" s="2" t="s">
        <v>168</v>
      </c>
    </row>
    <row r="8937" spans="1:6" ht="22.5" customHeight="1" x14ac:dyDescent="0.25">
      <c r="A8937" s="3">
        <v>44593</v>
      </c>
      <c r="B8937" s="2" t="s">
        <v>328</v>
      </c>
      <c r="C8937" s="2">
        <v>7.02</v>
      </c>
      <c r="D8937" s="2">
        <v>1.83E-2</v>
      </c>
      <c r="E8937" s="2">
        <v>1.28466E-3</v>
      </c>
      <c r="F8937" s="2" t="s">
        <v>165</v>
      </c>
    </row>
    <row r="8938" spans="1:6" ht="22.5" hidden="1" customHeight="1" x14ac:dyDescent="0.25">
      <c r="A8938" s="3">
        <v>44593</v>
      </c>
      <c r="B8938" s="2" t="s">
        <v>134</v>
      </c>
      <c r="C8938" s="2">
        <v>1.05</v>
      </c>
      <c r="D8938" s="2">
        <v>0.1212</v>
      </c>
      <c r="E8938" s="2">
        <v>1.2726E-3</v>
      </c>
      <c r="F8938" s="2" t="s">
        <v>7</v>
      </c>
    </row>
    <row r="8939" spans="1:6" ht="22.5" customHeight="1" x14ac:dyDescent="0.25">
      <c r="A8939" s="3">
        <v>44593</v>
      </c>
      <c r="B8939" s="2" t="s">
        <v>354</v>
      </c>
      <c r="C8939" s="2">
        <v>4.4000000000000004</v>
      </c>
      <c r="D8939" s="2">
        <v>2.87E-2</v>
      </c>
      <c r="E8939" s="2">
        <v>1.2627999999999999E-3</v>
      </c>
      <c r="F8939" s="2" t="s">
        <v>165</v>
      </c>
    </row>
    <row r="8940" spans="1:6" ht="22.5" hidden="1" customHeight="1" x14ac:dyDescent="0.25">
      <c r="A8940" s="3">
        <v>44593</v>
      </c>
      <c r="B8940" s="2" t="s">
        <v>58</v>
      </c>
      <c r="C8940" s="2">
        <v>7.98</v>
      </c>
      <c r="D8940" s="2">
        <v>1.5599999999999999E-2</v>
      </c>
      <c r="E8940" s="2">
        <v>1.2448800000000001E-3</v>
      </c>
      <c r="F8940" s="2" t="s">
        <v>7</v>
      </c>
    </row>
    <row r="8941" spans="1:6" ht="22.5" hidden="1" customHeight="1" x14ac:dyDescent="0.25">
      <c r="A8941" s="3">
        <v>44593</v>
      </c>
      <c r="B8941" s="2" t="s">
        <v>355</v>
      </c>
      <c r="C8941" s="2">
        <v>4.18</v>
      </c>
      <c r="D8941" s="2">
        <v>2.9100000000000001E-2</v>
      </c>
      <c r="E8941" s="2">
        <v>1.21638E-3</v>
      </c>
      <c r="F8941" s="2" t="s">
        <v>174</v>
      </c>
    </row>
    <row r="8942" spans="1:6" ht="22.5" customHeight="1" x14ac:dyDescent="0.25">
      <c r="A8942" s="3">
        <v>44593</v>
      </c>
      <c r="B8942" s="2" t="s">
        <v>307</v>
      </c>
      <c r="C8942" s="2">
        <v>1.19</v>
      </c>
      <c r="D8942" s="2">
        <v>0.1022</v>
      </c>
      <c r="E8942" s="2">
        <v>1.2161800000000001E-3</v>
      </c>
      <c r="F8942" s="2" t="s">
        <v>165</v>
      </c>
    </row>
    <row r="8943" spans="1:6" ht="22.5" hidden="1" customHeight="1" x14ac:dyDescent="0.25">
      <c r="A8943" s="3">
        <v>44593</v>
      </c>
      <c r="B8943" s="2" t="s">
        <v>358</v>
      </c>
      <c r="C8943" s="2">
        <v>1.31</v>
      </c>
      <c r="D8943" s="2">
        <v>9.0899999999999995E-2</v>
      </c>
      <c r="E8943" s="2">
        <v>1.1907899999999999E-3</v>
      </c>
      <c r="F8943" s="2" t="s">
        <v>174</v>
      </c>
    </row>
    <row r="8944" spans="1:6" ht="22.5" hidden="1" customHeight="1" x14ac:dyDescent="0.25">
      <c r="A8944" s="3">
        <v>44593</v>
      </c>
      <c r="B8944" s="2" t="s">
        <v>312</v>
      </c>
      <c r="C8944" s="2">
        <v>0.57999999999999996</v>
      </c>
      <c r="D8944" s="2">
        <v>0.2044</v>
      </c>
      <c r="E8944" s="2">
        <v>1.18552E-3</v>
      </c>
      <c r="F8944" s="2" t="s">
        <v>174</v>
      </c>
    </row>
    <row r="8945" spans="1:6" ht="22.5" hidden="1" customHeight="1" x14ac:dyDescent="0.25">
      <c r="A8945" s="3">
        <v>44593</v>
      </c>
      <c r="B8945" s="2" t="s">
        <v>254</v>
      </c>
      <c r="C8945" s="2">
        <v>0.65</v>
      </c>
      <c r="D8945" s="2">
        <v>0.1802</v>
      </c>
      <c r="E8945" s="2">
        <v>1.1712999999999999E-3</v>
      </c>
      <c r="F8945" s="2" t="s">
        <v>174</v>
      </c>
    </row>
    <row r="8946" spans="1:6" ht="22.5" hidden="1" customHeight="1" x14ac:dyDescent="0.25">
      <c r="A8946" s="3">
        <v>44593</v>
      </c>
      <c r="B8946" s="2" t="s">
        <v>311</v>
      </c>
      <c r="C8946" s="2">
        <v>0.2</v>
      </c>
      <c r="D8946" s="2">
        <v>0.57850000000000001</v>
      </c>
      <c r="E8946" s="2">
        <v>1.157E-3</v>
      </c>
      <c r="F8946" s="2" t="s">
        <v>174</v>
      </c>
    </row>
    <row r="8947" spans="1:6" ht="22.5" hidden="1" customHeight="1" x14ac:dyDescent="0.25">
      <c r="A8947" s="3">
        <v>43952</v>
      </c>
      <c r="B8947" s="2" t="s">
        <v>197</v>
      </c>
      <c r="C8947" s="2">
        <v>-0.72</v>
      </c>
      <c r="D8947" s="2">
        <v>4.2781000000000002</v>
      </c>
      <c r="E8947" s="2">
        <v>-3.0802320000000001E-2</v>
      </c>
      <c r="F8947" s="2" t="s">
        <v>168</v>
      </c>
    </row>
    <row r="8948" spans="1:6" ht="22.5" hidden="1" customHeight="1" x14ac:dyDescent="0.25">
      <c r="A8948" s="3">
        <v>44593</v>
      </c>
      <c r="B8948" s="2" t="s">
        <v>128</v>
      </c>
      <c r="C8948" s="2">
        <v>1.05</v>
      </c>
      <c r="D8948" s="2">
        <v>0.1075</v>
      </c>
      <c r="E8948" s="2">
        <v>1.12875E-3</v>
      </c>
      <c r="F8948" s="2" t="s">
        <v>7</v>
      </c>
    </row>
    <row r="8949" spans="1:6" ht="22.5" hidden="1" customHeight="1" x14ac:dyDescent="0.25">
      <c r="A8949" s="3">
        <v>44593</v>
      </c>
      <c r="B8949" s="2" t="s">
        <v>211</v>
      </c>
      <c r="C8949" s="2">
        <v>0.56999999999999995</v>
      </c>
      <c r="D8949" s="2">
        <v>0.1953</v>
      </c>
      <c r="E8949" s="2">
        <v>1.1132099999999999E-3</v>
      </c>
      <c r="F8949" s="2" t="s">
        <v>174</v>
      </c>
    </row>
    <row r="8950" spans="1:6" ht="22.5" hidden="1" customHeight="1" x14ac:dyDescent="0.25">
      <c r="A8950" s="3">
        <v>44562</v>
      </c>
      <c r="B8950" s="2" t="s">
        <v>285</v>
      </c>
      <c r="C8950" s="2">
        <v>-3.89</v>
      </c>
      <c r="D8950" s="2">
        <v>0.97809999999999997</v>
      </c>
      <c r="E8950" s="2">
        <v>-3.804809E-2</v>
      </c>
      <c r="F8950" s="2" t="s">
        <v>168</v>
      </c>
    </row>
    <row r="8951" spans="1:6" ht="22.5" hidden="1" customHeight="1" x14ac:dyDescent="0.25">
      <c r="A8951" s="3">
        <v>44593</v>
      </c>
      <c r="B8951" s="2" t="s">
        <v>135</v>
      </c>
      <c r="C8951" s="2">
        <v>0.26</v>
      </c>
      <c r="D8951" s="2">
        <v>0.39860000000000001</v>
      </c>
      <c r="E8951" s="2">
        <v>1.0363600000000001E-3</v>
      </c>
      <c r="F8951" s="2" t="s">
        <v>7</v>
      </c>
    </row>
    <row r="8952" spans="1:6" ht="22.5" hidden="1" customHeight="1" x14ac:dyDescent="0.25">
      <c r="A8952" s="3">
        <v>44593</v>
      </c>
      <c r="B8952" s="2" t="s">
        <v>50</v>
      </c>
      <c r="C8952" s="2">
        <v>20.41</v>
      </c>
      <c r="D8952" s="2">
        <v>5.0000000000000001E-3</v>
      </c>
      <c r="E8952" s="2">
        <v>1.0204999999999999E-3</v>
      </c>
      <c r="F8952" s="2" t="s">
        <v>7</v>
      </c>
    </row>
    <row r="8953" spans="1:6" ht="22.5" hidden="1" customHeight="1" x14ac:dyDescent="0.25">
      <c r="A8953" s="3">
        <v>44593</v>
      </c>
      <c r="B8953" s="2" t="s">
        <v>9</v>
      </c>
      <c r="C8953" s="2">
        <v>1.7</v>
      </c>
      <c r="D8953" s="2">
        <v>5.7599999999999998E-2</v>
      </c>
      <c r="E8953" s="2">
        <v>9.7919999999999995E-4</v>
      </c>
      <c r="F8953" s="2" t="s">
        <v>7</v>
      </c>
    </row>
    <row r="8954" spans="1:6" ht="22.5" hidden="1" customHeight="1" x14ac:dyDescent="0.25">
      <c r="A8954" s="3">
        <v>44593</v>
      </c>
      <c r="B8954" s="2" t="s">
        <v>319</v>
      </c>
      <c r="C8954" s="2">
        <v>0.92</v>
      </c>
      <c r="D8954" s="2">
        <v>0.10539999999999999</v>
      </c>
      <c r="E8954" s="2">
        <v>9.6968E-4</v>
      </c>
      <c r="F8954" s="2" t="s">
        <v>174</v>
      </c>
    </row>
    <row r="8955" spans="1:6" ht="22.5" hidden="1" customHeight="1" x14ac:dyDescent="0.25">
      <c r="A8955" s="3">
        <v>44593</v>
      </c>
      <c r="B8955" s="2" t="s">
        <v>17</v>
      </c>
      <c r="C8955" s="2">
        <v>1.87</v>
      </c>
      <c r="D8955" s="2">
        <v>5.0799999999999998E-2</v>
      </c>
      <c r="E8955" s="2">
        <v>9.4996000000000002E-4</v>
      </c>
      <c r="F8955" s="2" t="s">
        <v>7</v>
      </c>
    </row>
    <row r="8956" spans="1:6" ht="22.5" hidden="1" customHeight="1" x14ac:dyDescent="0.25">
      <c r="A8956" s="3">
        <v>44593</v>
      </c>
      <c r="B8956" s="2" t="s">
        <v>257</v>
      </c>
      <c r="C8956" s="2">
        <v>1.84</v>
      </c>
      <c r="D8956" s="2">
        <v>5.0500000000000003E-2</v>
      </c>
      <c r="E8956" s="2">
        <v>9.2920000000000003E-4</v>
      </c>
      <c r="F8956" s="2" t="s">
        <v>170</v>
      </c>
    </row>
    <row r="8957" spans="1:6" ht="22.5" hidden="1" customHeight="1" x14ac:dyDescent="0.25">
      <c r="A8957" s="3">
        <v>44593</v>
      </c>
      <c r="B8957" s="2" t="s">
        <v>91</v>
      </c>
      <c r="C8957" s="2">
        <v>3.75</v>
      </c>
      <c r="D8957" s="2">
        <v>2.4400000000000002E-2</v>
      </c>
      <c r="E8957" s="2">
        <v>9.1500000000000001E-4</v>
      </c>
      <c r="F8957" s="2" t="s">
        <v>7</v>
      </c>
    </row>
    <row r="8958" spans="1:6" ht="22.5" hidden="1" customHeight="1" x14ac:dyDescent="0.25">
      <c r="A8958" s="3">
        <v>44593</v>
      </c>
      <c r="B8958" s="2" t="s">
        <v>193</v>
      </c>
      <c r="C8958" s="2">
        <v>0.54</v>
      </c>
      <c r="D8958" s="2">
        <v>0.16139999999999999</v>
      </c>
      <c r="E8958" s="2">
        <v>8.7155999999999996E-4</v>
      </c>
      <c r="F8958" s="2" t="s">
        <v>174</v>
      </c>
    </row>
    <row r="8959" spans="1:6" ht="22.5" hidden="1" customHeight="1" x14ac:dyDescent="0.25">
      <c r="A8959" s="3">
        <v>44593</v>
      </c>
      <c r="B8959" s="2" t="s">
        <v>242</v>
      </c>
      <c r="C8959" s="2">
        <v>1.17</v>
      </c>
      <c r="D8959" s="2">
        <v>7.2099999999999997E-2</v>
      </c>
      <c r="E8959" s="2">
        <v>8.4356999999999998E-4</v>
      </c>
      <c r="F8959" s="2" t="s">
        <v>174</v>
      </c>
    </row>
    <row r="8960" spans="1:6" ht="22.5" hidden="1" customHeight="1" x14ac:dyDescent="0.25">
      <c r="A8960" s="3">
        <v>44501</v>
      </c>
      <c r="B8960" s="2" t="s">
        <v>265</v>
      </c>
      <c r="C8960" s="2">
        <v>-6.34</v>
      </c>
      <c r="D8960" s="2">
        <v>0.63749999999999996</v>
      </c>
      <c r="E8960" s="2">
        <v>-4.0417500000000002E-2</v>
      </c>
      <c r="F8960" s="2" t="s">
        <v>168</v>
      </c>
    </row>
    <row r="8961" spans="1:6" ht="22.5" customHeight="1" x14ac:dyDescent="0.25">
      <c r="A8961" s="3">
        <v>44593</v>
      </c>
      <c r="B8961" s="2" t="s">
        <v>327</v>
      </c>
      <c r="C8961" s="2">
        <v>1.42</v>
      </c>
      <c r="D8961" s="2">
        <v>5.8999999999999997E-2</v>
      </c>
      <c r="E8961" s="2">
        <v>8.3779999999999998E-4</v>
      </c>
      <c r="F8961" s="2" t="s">
        <v>165</v>
      </c>
    </row>
    <row r="8962" spans="1:6" ht="22.5" hidden="1" customHeight="1" x14ac:dyDescent="0.25">
      <c r="A8962" s="3">
        <v>44593</v>
      </c>
      <c r="B8962" s="2" t="s">
        <v>25</v>
      </c>
      <c r="C8962" s="2">
        <v>25.72</v>
      </c>
      <c r="D8962" s="2">
        <v>3.2000000000000002E-3</v>
      </c>
      <c r="E8962" s="2">
        <v>8.2304000000000003E-4</v>
      </c>
      <c r="F8962" s="2" t="s">
        <v>7</v>
      </c>
    </row>
    <row r="8963" spans="1:6" ht="22.5" hidden="1" customHeight="1" x14ac:dyDescent="0.25">
      <c r="A8963" s="3">
        <v>44593</v>
      </c>
      <c r="B8963" s="2" t="s">
        <v>34</v>
      </c>
      <c r="C8963" s="2">
        <v>0.55000000000000004</v>
      </c>
      <c r="D8963" s="2">
        <v>0.1431</v>
      </c>
      <c r="E8963" s="2">
        <v>7.8704999999999997E-4</v>
      </c>
      <c r="F8963" s="2" t="s">
        <v>7</v>
      </c>
    </row>
    <row r="8964" spans="1:6" ht="22.5" hidden="1" customHeight="1" x14ac:dyDescent="0.25">
      <c r="A8964" s="3">
        <v>44593</v>
      </c>
      <c r="B8964" s="2" t="s">
        <v>359</v>
      </c>
      <c r="C8964" s="2">
        <v>1.68</v>
      </c>
      <c r="D8964" s="2">
        <v>4.65E-2</v>
      </c>
      <c r="E8964" s="2">
        <v>7.8120000000000002E-4</v>
      </c>
      <c r="F8964" s="2" t="s">
        <v>174</v>
      </c>
    </row>
    <row r="8965" spans="1:6" ht="22.5" hidden="1" customHeight="1" x14ac:dyDescent="0.25">
      <c r="A8965" s="3">
        <v>44593</v>
      </c>
      <c r="B8965" s="2" t="s">
        <v>80</v>
      </c>
      <c r="C8965" s="2">
        <v>2.17</v>
      </c>
      <c r="D8965" s="2">
        <v>3.56E-2</v>
      </c>
      <c r="E8965" s="2">
        <v>7.7251999999999996E-4</v>
      </c>
      <c r="F8965" s="2" t="s">
        <v>7</v>
      </c>
    </row>
    <row r="8966" spans="1:6" ht="22.5" hidden="1" customHeight="1" x14ac:dyDescent="0.25">
      <c r="A8966" s="3">
        <v>44593</v>
      </c>
      <c r="B8966" s="2" t="s">
        <v>247</v>
      </c>
      <c r="C8966" s="2">
        <v>0.57999999999999996</v>
      </c>
      <c r="D8966" s="2">
        <v>0.13200000000000001</v>
      </c>
      <c r="E8966" s="2">
        <v>7.6559999999999996E-4</v>
      </c>
      <c r="F8966" s="2" t="s">
        <v>174</v>
      </c>
    </row>
    <row r="8967" spans="1:6" ht="22.5" hidden="1" customHeight="1" x14ac:dyDescent="0.25">
      <c r="A8967" s="3">
        <v>44593</v>
      </c>
      <c r="B8967" s="2" t="s">
        <v>185</v>
      </c>
      <c r="C8967" s="2">
        <v>0.48</v>
      </c>
      <c r="D8967" s="2">
        <v>0.152</v>
      </c>
      <c r="E8967" s="2">
        <v>7.2959999999999995E-4</v>
      </c>
      <c r="F8967" s="2" t="s">
        <v>174</v>
      </c>
    </row>
    <row r="8968" spans="1:6" ht="22.5" hidden="1" customHeight="1" x14ac:dyDescent="0.25">
      <c r="A8968" s="3">
        <v>44593</v>
      </c>
      <c r="B8968" s="2" t="s">
        <v>246</v>
      </c>
      <c r="C8968" s="2">
        <v>0.38</v>
      </c>
      <c r="D8968" s="2">
        <v>0.18690000000000001</v>
      </c>
      <c r="E8968" s="2">
        <v>7.1022000000000001E-4</v>
      </c>
      <c r="F8968" s="2" t="s">
        <v>174</v>
      </c>
    </row>
    <row r="8969" spans="1:6" ht="22.5" hidden="1" customHeight="1" x14ac:dyDescent="0.25">
      <c r="A8969" s="3">
        <v>44593</v>
      </c>
      <c r="B8969" s="2" t="s">
        <v>14</v>
      </c>
      <c r="C8969" s="2">
        <v>0.45</v>
      </c>
      <c r="D8969" s="2">
        <v>0.14910000000000001</v>
      </c>
      <c r="E8969" s="2">
        <v>6.7095000000000002E-4</v>
      </c>
      <c r="F8969" s="2" t="s">
        <v>7</v>
      </c>
    </row>
    <row r="8970" spans="1:6" ht="22.5" hidden="1" customHeight="1" x14ac:dyDescent="0.25">
      <c r="A8970" s="3">
        <v>44593</v>
      </c>
      <c r="B8970" s="2" t="s">
        <v>256</v>
      </c>
      <c r="C8970" s="2">
        <v>0.44</v>
      </c>
      <c r="D8970" s="2">
        <v>0.14710000000000001</v>
      </c>
      <c r="E8970" s="2">
        <v>6.4723999999999999E-4</v>
      </c>
      <c r="F8970" s="2" t="s">
        <v>170</v>
      </c>
    </row>
    <row r="8971" spans="1:6" ht="22.5" hidden="1" customHeight="1" x14ac:dyDescent="0.25">
      <c r="A8971" s="3">
        <v>44593</v>
      </c>
      <c r="B8971" s="2" t="s">
        <v>201</v>
      </c>
      <c r="C8971" s="2">
        <v>2.62</v>
      </c>
      <c r="D8971" s="2">
        <v>2.47E-2</v>
      </c>
      <c r="E8971" s="2">
        <v>6.4714000000000004E-4</v>
      </c>
      <c r="F8971" s="2" t="s">
        <v>170</v>
      </c>
    </row>
    <row r="8972" spans="1:6" ht="22.5" customHeight="1" x14ac:dyDescent="0.25">
      <c r="A8972" s="3">
        <v>44593</v>
      </c>
      <c r="B8972" s="2" t="s">
        <v>226</v>
      </c>
      <c r="C8972" s="2">
        <v>1.33</v>
      </c>
      <c r="D8972" s="2">
        <v>4.6899999999999997E-2</v>
      </c>
      <c r="E8972" s="2">
        <v>6.2377000000000005E-4</v>
      </c>
      <c r="F8972" s="2" t="s">
        <v>165</v>
      </c>
    </row>
    <row r="8973" spans="1:6" ht="22.5" hidden="1" customHeight="1" x14ac:dyDescent="0.25">
      <c r="A8973" s="3">
        <v>44593</v>
      </c>
      <c r="B8973" s="2" t="s">
        <v>135</v>
      </c>
      <c r="C8973" s="2">
        <v>0.2</v>
      </c>
      <c r="D8973" s="2">
        <v>0.28270000000000001</v>
      </c>
      <c r="E8973" s="2">
        <v>5.6539999999999997E-4</v>
      </c>
      <c r="F8973" s="2" t="s">
        <v>7</v>
      </c>
    </row>
    <row r="8974" spans="1:6" ht="22.5" hidden="1" customHeight="1" x14ac:dyDescent="0.25">
      <c r="A8974" s="3">
        <v>44593</v>
      </c>
      <c r="B8974" s="2" t="s">
        <v>245</v>
      </c>
      <c r="C8974" s="2">
        <v>1.1200000000000001</v>
      </c>
      <c r="D8974" s="2">
        <v>5.04E-2</v>
      </c>
      <c r="E8974" s="2">
        <v>5.6448000000000002E-4</v>
      </c>
      <c r="F8974" s="2" t="s">
        <v>174</v>
      </c>
    </row>
    <row r="8975" spans="1:6" ht="22.5" hidden="1" customHeight="1" x14ac:dyDescent="0.25">
      <c r="A8975" s="3">
        <v>44593</v>
      </c>
      <c r="B8975" s="2" t="s">
        <v>27</v>
      </c>
      <c r="C8975" s="2">
        <v>0.2</v>
      </c>
      <c r="D8975" s="2">
        <v>0.27860000000000001</v>
      </c>
      <c r="E8975" s="2">
        <v>5.5719999999999999E-4</v>
      </c>
      <c r="F8975" s="2" t="s">
        <v>7</v>
      </c>
    </row>
    <row r="8976" spans="1:6" ht="22.5" hidden="1" customHeight="1" x14ac:dyDescent="0.25">
      <c r="A8976" s="3">
        <v>44593</v>
      </c>
      <c r="B8976" s="2" t="s">
        <v>150</v>
      </c>
      <c r="C8976" s="2">
        <v>0.49</v>
      </c>
      <c r="D8976" s="2">
        <v>0.1123</v>
      </c>
      <c r="E8976" s="2">
        <v>5.5026999999999995E-4</v>
      </c>
      <c r="F8976" s="2" t="s">
        <v>7</v>
      </c>
    </row>
    <row r="8977" spans="1:6" ht="22.5" hidden="1" customHeight="1" x14ac:dyDescent="0.25">
      <c r="A8977" s="3">
        <v>44593</v>
      </c>
      <c r="B8977" s="2" t="s">
        <v>59</v>
      </c>
      <c r="C8977" s="2">
        <v>2.06</v>
      </c>
      <c r="D8977" s="2">
        <v>2.6200000000000001E-2</v>
      </c>
      <c r="E8977" s="2">
        <v>5.3972000000000004E-4</v>
      </c>
      <c r="F8977" s="2" t="s">
        <v>7</v>
      </c>
    </row>
    <row r="8978" spans="1:6" ht="22.5" hidden="1" customHeight="1" x14ac:dyDescent="0.25">
      <c r="A8978" s="3">
        <v>44593</v>
      </c>
      <c r="B8978" s="2" t="s">
        <v>143</v>
      </c>
      <c r="C8978" s="2">
        <v>1.22</v>
      </c>
      <c r="D8978" s="2">
        <v>4.2700000000000002E-2</v>
      </c>
      <c r="E8978" s="2">
        <v>5.2094000000000001E-4</v>
      </c>
      <c r="F8978" s="2" t="s">
        <v>7</v>
      </c>
    </row>
    <row r="8979" spans="1:6" ht="22.5" hidden="1" customHeight="1" x14ac:dyDescent="0.25">
      <c r="A8979" s="3">
        <v>44593</v>
      </c>
      <c r="B8979" s="2" t="s">
        <v>182</v>
      </c>
      <c r="C8979" s="2">
        <v>1.26</v>
      </c>
      <c r="D8979" s="2">
        <v>4.1300000000000003E-2</v>
      </c>
      <c r="E8979" s="2">
        <v>5.2037999999999997E-4</v>
      </c>
      <c r="F8979" s="2" t="s">
        <v>170</v>
      </c>
    </row>
    <row r="8980" spans="1:6" ht="22.5" customHeight="1" x14ac:dyDescent="0.25">
      <c r="A8980" s="3">
        <v>44593</v>
      </c>
      <c r="B8980" s="2" t="s">
        <v>309</v>
      </c>
      <c r="C8980" s="2">
        <v>0.42</v>
      </c>
      <c r="D8980" s="2">
        <v>0.1229</v>
      </c>
      <c r="E8980" s="2">
        <v>5.1617999999999998E-4</v>
      </c>
      <c r="F8980" s="2" t="s">
        <v>165</v>
      </c>
    </row>
    <row r="8981" spans="1:6" ht="22.5" hidden="1" customHeight="1" x14ac:dyDescent="0.25">
      <c r="A8981" s="3">
        <v>44593</v>
      </c>
      <c r="B8981" s="2" t="s">
        <v>159</v>
      </c>
      <c r="C8981" s="2">
        <v>0.98</v>
      </c>
      <c r="D8981" s="2">
        <v>5.1799999999999999E-2</v>
      </c>
      <c r="E8981" s="2">
        <v>5.0763999999999996E-4</v>
      </c>
      <c r="F8981" s="2" t="s">
        <v>7</v>
      </c>
    </row>
    <row r="8982" spans="1:6" ht="22.5" hidden="1" customHeight="1" x14ac:dyDescent="0.25">
      <c r="A8982" s="3">
        <v>44593</v>
      </c>
      <c r="B8982" s="2" t="s">
        <v>20</v>
      </c>
      <c r="C8982" s="2">
        <v>1.93</v>
      </c>
      <c r="D8982" s="2">
        <v>2.5399999999999999E-2</v>
      </c>
      <c r="E8982" s="2">
        <v>4.9021999999999998E-4</v>
      </c>
      <c r="F8982" s="2" t="s">
        <v>7</v>
      </c>
    </row>
    <row r="8983" spans="1:6" ht="22.5" hidden="1" customHeight="1" x14ac:dyDescent="0.25">
      <c r="A8983" s="3">
        <v>44593</v>
      </c>
      <c r="B8983" s="2" t="s">
        <v>258</v>
      </c>
      <c r="C8983" s="2">
        <v>1.07</v>
      </c>
      <c r="D8983" s="2">
        <v>4.58E-2</v>
      </c>
      <c r="E8983" s="2">
        <v>4.9005999999999995E-4</v>
      </c>
      <c r="F8983" s="2" t="s">
        <v>174</v>
      </c>
    </row>
    <row r="8984" spans="1:6" ht="22.5" hidden="1" customHeight="1" x14ac:dyDescent="0.25">
      <c r="A8984" s="3">
        <v>44593</v>
      </c>
      <c r="B8984" s="2" t="s">
        <v>240</v>
      </c>
      <c r="C8984" s="2">
        <v>0.79</v>
      </c>
      <c r="D8984" s="2">
        <v>6.13E-2</v>
      </c>
      <c r="E8984" s="2">
        <v>4.8427000000000002E-4</v>
      </c>
      <c r="F8984" s="2" t="s">
        <v>174</v>
      </c>
    </row>
    <row r="8985" spans="1:6" ht="22.5" hidden="1" customHeight="1" x14ac:dyDescent="0.25">
      <c r="A8985" s="3">
        <v>44593</v>
      </c>
      <c r="B8985" s="2" t="s">
        <v>179</v>
      </c>
      <c r="C8985" s="2">
        <v>1.01</v>
      </c>
      <c r="D8985" s="2">
        <v>4.7500000000000001E-2</v>
      </c>
      <c r="E8985" s="2">
        <v>4.7974999999999998E-4</v>
      </c>
      <c r="F8985" s="2" t="s">
        <v>170</v>
      </c>
    </row>
    <row r="8986" spans="1:6" ht="22.5" hidden="1" customHeight="1" x14ac:dyDescent="0.25">
      <c r="A8986" s="3">
        <v>44593</v>
      </c>
      <c r="B8986" s="2" t="s">
        <v>204</v>
      </c>
      <c r="C8986" s="2">
        <v>0.84</v>
      </c>
      <c r="D8986" s="2">
        <v>5.6899999999999999E-2</v>
      </c>
      <c r="E8986" s="2">
        <v>4.7795999999999998E-4</v>
      </c>
      <c r="F8986" s="2" t="s">
        <v>174</v>
      </c>
    </row>
    <row r="8987" spans="1:6" ht="22.5" hidden="1" customHeight="1" x14ac:dyDescent="0.25">
      <c r="A8987" s="3">
        <v>44593</v>
      </c>
      <c r="B8987" s="2" t="s">
        <v>197</v>
      </c>
      <c r="C8987" s="2">
        <v>-0.82</v>
      </c>
      <c r="D8987" s="2">
        <v>5.0198</v>
      </c>
      <c r="E8987" s="2">
        <v>-4.1162360000000002E-2</v>
      </c>
      <c r="F8987" s="2" t="s">
        <v>168</v>
      </c>
    </row>
    <row r="8988" spans="1:6" ht="22.5" hidden="1" customHeight="1" x14ac:dyDescent="0.25">
      <c r="A8988" s="3">
        <v>44593</v>
      </c>
      <c r="B8988" s="2" t="s">
        <v>79</v>
      </c>
      <c r="C8988" s="2">
        <v>3.88</v>
      </c>
      <c r="D8988" s="2">
        <v>1.1599999999999999E-2</v>
      </c>
      <c r="E8988" s="2">
        <v>4.5008E-4</v>
      </c>
      <c r="F8988" s="2" t="s">
        <v>7</v>
      </c>
    </row>
    <row r="8989" spans="1:6" ht="22.5" hidden="1" customHeight="1" x14ac:dyDescent="0.25">
      <c r="A8989" s="3">
        <v>44593</v>
      </c>
      <c r="B8989" s="2" t="s">
        <v>137</v>
      </c>
      <c r="C8989" s="2">
        <v>0.69</v>
      </c>
      <c r="D8989" s="2">
        <v>6.4799999999999996E-2</v>
      </c>
      <c r="E8989" s="2">
        <v>4.4712000000000002E-4</v>
      </c>
      <c r="F8989" s="2" t="s">
        <v>7</v>
      </c>
    </row>
    <row r="8990" spans="1:6" ht="22.5" customHeight="1" x14ac:dyDescent="0.25">
      <c r="A8990" s="3">
        <v>44593</v>
      </c>
      <c r="B8990" s="2" t="s">
        <v>344</v>
      </c>
      <c r="C8990" s="2">
        <v>0.31</v>
      </c>
      <c r="D8990" s="2">
        <v>0.13969999999999999</v>
      </c>
      <c r="E8990" s="2">
        <v>4.3307000000000003E-4</v>
      </c>
      <c r="F8990" s="2" t="s">
        <v>165</v>
      </c>
    </row>
    <row r="8991" spans="1:6" ht="22.5" hidden="1" customHeight="1" x14ac:dyDescent="0.25">
      <c r="A8991" s="3">
        <v>44593</v>
      </c>
      <c r="B8991" s="2" t="s">
        <v>63</v>
      </c>
      <c r="C8991" s="2">
        <v>5.96</v>
      </c>
      <c r="D8991" s="2">
        <v>7.1999999999999998E-3</v>
      </c>
      <c r="E8991" s="2">
        <v>4.2912000000000001E-4</v>
      </c>
      <c r="F8991" s="2" t="s">
        <v>7</v>
      </c>
    </row>
    <row r="8992" spans="1:6" ht="22.5" hidden="1" customHeight="1" x14ac:dyDescent="0.25">
      <c r="A8992" s="3">
        <v>44593</v>
      </c>
      <c r="B8992" s="2" t="s">
        <v>156</v>
      </c>
      <c r="C8992" s="2">
        <v>0.92</v>
      </c>
      <c r="D8992" s="2">
        <v>4.6100000000000002E-2</v>
      </c>
      <c r="E8992" s="2">
        <v>4.2412E-4</v>
      </c>
      <c r="F8992" s="2" t="s">
        <v>7</v>
      </c>
    </row>
    <row r="8993" spans="1:6" ht="22.5" customHeight="1" x14ac:dyDescent="0.25">
      <c r="A8993" s="3">
        <v>44593</v>
      </c>
      <c r="B8993" s="2" t="s">
        <v>306</v>
      </c>
      <c r="C8993" s="2">
        <v>0.92</v>
      </c>
      <c r="D8993" s="2">
        <v>4.53E-2</v>
      </c>
      <c r="E8993" s="2">
        <v>4.1676000000000001E-4</v>
      </c>
      <c r="F8993" s="2" t="s">
        <v>165</v>
      </c>
    </row>
    <row r="8994" spans="1:6" ht="22.5" hidden="1" customHeight="1" x14ac:dyDescent="0.25">
      <c r="A8994" s="3">
        <v>44409</v>
      </c>
      <c r="B8994" s="2" t="s">
        <v>265</v>
      </c>
      <c r="C8994" s="2">
        <v>-10.9</v>
      </c>
      <c r="D8994" s="2">
        <v>0.42730000000000001</v>
      </c>
      <c r="E8994" s="2">
        <v>-4.6575699999999998E-2</v>
      </c>
      <c r="F8994" s="2" t="s">
        <v>168</v>
      </c>
    </row>
    <row r="8995" spans="1:6" ht="22.5" hidden="1" customHeight="1" x14ac:dyDescent="0.25">
      <c r="A8995" s="3">
        <v>44593</v>
      </c>
      <c r="B8995" s="2" t="s">
        <v>34</v>
      </c>
      <c r="C8995" s="2">
        <v>0.69</v>
      </c>
      <c r="D8995" s="2">
        <v>5.21E-2</v>
      </c>
      <c r="E8995" s="2">
        <v>3.5949000000000002E-4</v>
      </c>
      <c r="F8995" s="2" t="s">
        <v>7</v>
      </c>
    </row>
    <row r="8996" spans="1:6" ht="22.5" hidden="1" customHeight="1" x14ac:dyDescent="0.25">
      <c r="A8996" s="3">
        <v>44593</v>
      </c>
      <c r="B8996" s="2" t="s">
        <v>188</v>
      </c>
      <c r="C8996" s="2">
        <v>1.27</v>
      </c>
      <c r="D8996" s="2">
        <v>2.8299999999999999E-2</v>
      </c>
      <c r="E8996" s="2">
        <v>3.5941E-4</v>
      </c>
      <c r="F8996" s="2" t="s">
        <v>174</v>
      </c>
    </row>
    <row r="8997" spans="1:6" ht="22.5" customHeight="1" x14ac:dyDescent="0.25">
      <c r="A8997" s="3">
        <v>44593</v>
      </c>
      <c r="B8997" s="2" t="s">
        <v>281</v>
      </c>
      <c r="C8997" s="2">
        <v>2.2799999999999998</v>
      </c>
      <c r="D8997" s="2">
        <v>1.5699999999999999E-2</v>
      </c>
      <c r="E8997" s="2">
        <v>3.5795999999999999E-4</v>
      </c>
      <c r="F8997" s="2" t="s">
        <v>165</v>
      </c>
    </row>
    <row r="8998" spans="1:6" ht="22.5" hidden="1" customHeight="1" x14ac:dyDescent="0.25">
      <c r="A8998" s="3">
        <v>44593</v>
      </c>
      <c r="B8998" s="2" t="s">
        <v>117</v>
      </c>
      <c r="C8998" s="2">
        <v>0.6</v>
      </c>
      <c r="D8998" s="2">
        <v>5.8700000000000002E-2</v>
      </c>
      <c r="E8998" s="2">
        <v>3.522E-4</v>
      </c>
      <c r="F8998" s="2" t="s">
        <v>7</v>
      </c>
    </row>
    <row r="8999" spans="1:6" ht="22.5" hidden="1" customHeight="1" x14ac:dyDescent="0.25">
      <c r="A8999" s="3">
        <v>44593</v>
      </c>
      <c r="B8999" s="2" t="s">
        <v>230</v>
      </c>
      <c r="C8999" s="2">
        <v>1.69</v>
      </c>
      <c r="D8999" s="2">
        <v>2.0400000000000001E-2</v>
      </c>
      <c r="E8999" s="2">
        <v>3.4476E-4</v>
      </c>
      <c r="F8999" s="2" t="s">
        <v>174</v>
      </c>
    </row>
    <row r="9000" spans="1:6" ht="22.5" hidden="1" customHeight="1" x14ac:dyDescent="0.25">
      <c r="A9000" s="3">
        <v>44593</v>
      </c>
      <c r="B9000" s="2" t="s">
        <v>134</v>
      </c>
      <c r="C9000" s="2">
        <v>7.0000000000000007E-2</v>
      </c>
      <c r="D9000" s="2">
        <v>0.49220000000000003</v>
      </c>
      <c r="E9000" s="2">
        <v>3.4454E-4</v>
      </c>
      <c r="F9000" s="2" t="s">
        <v>7</v>
      </c>
    </row>
    <row r="9001" spans="1:6" ht="22.5" hidden="1" customHeight="1" x14ac:dyDescent="0.25">
      <c r="A9001" s="3">
        <v>43862</v>
      </c>
      <c r="B9001" s="2" t="s">
        <v>265</v>
      </c>
      <c r="C9001" s="2">
        <v>-6.68</v>
      </c>
      <c r="D9001" s="2">
        <v>0.70840000000000003</v>
      </c>
      <c r="E9001" s="2">
        <v>-4.7321120000000001E-2</v>
      </c>
      <c r="F9001" s="2" t="s">
        <v>168</v>
      </c>
    </row>
    <row r="9002" spans="1:6" ht="22.5" hidden="1" customHeight="1" x14ac:dyDescent="0.25">
      <c r="A9002" s="3">
        <v>44593</v>
      </c>
      <c r="B9002" s="2" t="s">
        <v>255</v>
      </c>
      <c r="C9002" s="2">
        <v>1.79</v>
      </c>
      <c r="D9002" s="2">
        <v>1.6799999999999999E-2</v>
      </c>
      <c r="E9002" s="2">
        <v>3.0071999999999998E-4</v>
      </c>
      <c r="F9002" s="2" t="s">
        <v>170</v>
      </c>
    </row>
    <row r="9003" spans="1:6" ht="22.5" hidden="1" customHeight="1" x14ac:dyDescent="0.25">
      <c r="A9003" s="3">
        <v>44593</v>
      </c>
      <c r="B9003" s="2" t="s">
        <v>250</v>
      </c>
      <c r="C9003" s="2">
        <v>1.19</v>
      </c>
      <c r="D9003" s="2">
        <v>2.47E-2</v>
      </c>
      <c r="E9003" s="2">
        <v>2.9393000000000003E-4</v>
      </c>
      <c r="F9003" s="2" t="s">
        <v>174</v>
      </c>
    </row>
    <row r="9004" spans="1:6" ht="22.5" hidden="1" customHeight="1" x14ac:dyDescent="0.25">
      <c r="A9004" s="3">
        <v>44593</v>
      </c>
      <c r="B9004" s="2" t="s">
        <v>202</v>
      </c>
      <c r="C9004" s="2">
        <v>1.65</v>
      </c>
      <c r="D9004" s="2">
        <v>1.7600000000000001E-2</v>
      </c>
      <c r="E9004" s="2">
        <v>2.9040000000000001E-4</v>
      </c>
      <c r="F9004" s="2" t="s">
        <v>170</v>
      </c>
    </row>
    <row r="9005" spans="1:6" ht="22.5" hidden="1" customHeight="1" x14ac:dyDescent="0.25">
      <c r="A9005" s="3">
        <v>44593</v>
      </c>
      <c r="B9005" s="2" t="s">
        <v>336</v>
      </c>
      <c r="C9005" s="2">
        <v>0.25</v>
      </c>
      <c r="D9005" s="2">
        <v>0.1019</v>
      </c>
      <c r="E9005" s="2">
        <v>2.5474999999999999E-4</v>
      </c>
      <c r="F9005" s="2" t="s">
        <v>170</v>
      </c>
    </row>
    <row r="9006" spans="1:6" ht="22.5" hidden="1" customHeight="1" x14ac:dyDescent="0.25">
      <c r="A9006" s="3">
        <v>44593</v>
      </c>
      <c r="B9006" s="2" t="s">
        <v>147</v>
      </c>
      <c r="C9006" s="2">
        <v>0.92</v>
      </c>
      <c r="D9006" s="2">
        <v>2.6599999999999999E-2</v>
      </c>
      <c r="E9006" s="2">
        <v>2.4471999999999997E-4</v>
      </c>
      <c r="F9006" s="2" t="s">
        <v>7</v>
      </c>
    </row>
    <row r="9007" spans="1:6" ht="22.5" hidden="1" customHeight="1" x14ac:dyDescent="0.25">
      <c r="A9007" s="3">
        <v>44593</v>
      </c>
      <c r="B9007" s="2" t="s">
        <v>146</v>
      </c>
      <c r="C9007" s="2">
        <v>0.73</v>
      </c>
      <c r="D9007" s="2">
        <v>3.3099999999999997E-2</v>
      </c>
      <c r="E9007" s="2">
        <v>2.4163E-4</v>
      </c>
      <c r="F9007" s="2" t="s">
        <v>7</v>
      </c>
    </row>
    <row r="9008" spans="1:6" ht="22.5" hidden="1" customHeight="1" x14ac:dyDescent="0.25">
      <c r="A9008" s="3">
        <v>44593</v>
      </c>
      <c r="B9008" s="2" t="s">
        <v>251</v>
      </c>
      <c r="C9008" s="2">
        <v>0.4</v>
      </c>
      <c r="D9008" s="2">
        <v>6.0199999999999997E-2</v>
      </c>
      <c r="E9008" s="2">
        <v>2.408E-4</v>
      </c>
      <c r="F9008" s="2" t="s">
        <v>174</v>
      </c>
    </row>
    <row r="9009" spans="1:6" ht="22.5" hidden="1" customHeight="1" x14ac:dyDescent="0.25">
      <c r="A9009" s="3">
        <v>44593</v>
      </c>
      <c r="B9009" s="2" t="s">
        <v>40</v>
      </c>
      <c r="C9009" s="2">
        <v>7.49</v>
      </c>
      <c r="D9009" s="2">
        <v>3.0000000000000001E-3</v>
      </c>
      <c r="E9009" s="2">
        <v>2.2469999999999999E-4</v>
      </c>
      <c r="F9009" s="2" t="s">
        <v>7</v>
      </c>
    </row>
    <row r="9010" spans="1:6" ht="22.5" hidden="1" customHeight="1" x14ac:dyDescent="0.25">
      <c r="A9010" s="3">
        <v>44593</v>
      </c>
      <c r="B9010" s="2" t="s">
        <v>133</v>
      </c>
      <c r="C9010" s="2">
        <v>2.4500000000000002</v>
      </c>
      <c r="D9010" s="2">
        <v>8.8999999999999999E-3</v>
      </c>
      <c r="E9010" s="2">
        <v>2.1804999999999999E-4</v>
      </c>
      <c r="F9010" s="2" t="s">
        <v>7</v>
      </c>
    </row>
    <row r="9011" spans="1:6" ht="22.5" hidden="1" customHeight="1" x14ac:dyDescent="0.25">
      <c r="A9011" s="3">
        <v>44593</v>
      </c>
      <c r="B9011" s="2" t="s">
        <v>104</v>
      </c>
      <c r="C9011" s="2">
        <v>0.41</v>
      </c>
      <c r="D9011" s="2">
        <v>5.2400000000000002E-2</v>
      </c>
      <c r="E9011" s="2">
        <v>2.1484E-4</v>
      </c>
      <c r="F9011" s="2" t="s">
        <v>7</v>
      </c>
    </row>
    <row r="9012" spans="1:6" ht="22.5" hidden="1" customHeight="1" x14ac:dyDescent="0.25">
      <c r="A9012" s="3">
        <v>44593</v>
      </c>
      <c r="B9012" s="2" t="s">
        <v>218</v>
      </c>
      <c r="C9012" s="2">
        <v>2.84</v>
      </c>
      <c r="D9012" s="2">
        <v>7.4000000000000003E-3</v>
      </c>
      <c r="E9012" s="2">
        <v>2.1016000000000001E-4</v>
      </c>
      <c r="F9012" s="2" t="s">
        <v>170</v>
      </c>
    </row>
    <row r="9013" spans="1:6" ht="22.5" hidden="1" customHeight="1" x14ac:dyDescent="0.25">
      <c r="A9013" s="3">
        <v>44593</v>
      </c>
      <c r="B9013" s="2" t="s">
        <v>89</v>
      </c>
      <c r="C9013" s="2">
        <v>1.2</v>
      </c>
      <c r="D9013" s="2">
        <v>1.7299999999999999E-2</v>
      </c>
      <c r="E9013" s="2">
        <v>2.076E-4</v>
      </c>
      <c r="F9013" s="2" t="s">
        <v>7</v>
      </c>
    </row>
    <row r="9014" spans="1:6" ht="22.5" hidden="1" customHeight="1" x14ac:dyDescent="0.25">
      <c r="A9014" s="3">
        <v>44593</v>
      </c>
      <c r="B9014" s="2" t="s">
        <v>64</v>
      </c>
      <c r="C9014" s="2">
        <v>4.38</v>
      </c>
      <c r="D9014" s="2">
        <v>4.5999999999999999E-3</v>
      </c>
      <c r="E9014" s="2">
        <v>2.0148E-4</v>
      </c>
      <c r="F9014" s="2" t="s">
        <v>7</v>
      </c>
    </row>
    <row r="9015" spans="1:6" ht="22.5" hidden="1" customHeight="1" x14ac:dyDescent="0.25">
      <c r="A9015" s="3">
        <v>44593</v>
      </c>
      <c r="B9015" s="2" t="s">
        <v>74</v>
      </c>
      <c r="C9015" s="2">
        <v>1.97</v>
      </c>
      <c r="D9015" s="2">
        <v>9.4999999999999998E-3</v>
      </c>
      <c r="E9015" s="2">
        <v>1.8715E-4</v>
      </c>
      <c r="F9015" s="2" t="s">
        <v>7</v>
      </c>
    </row>
    <row r="9016" spans="1:6" ht="22.5" hidden="1" customHeight="1" x14ac:dyDescent="0.25">
      <c r="A9016" s="3">
        <v>44593</v>
      </c>
      <c r="B9016" s="2" t="s">
        <v>101</v>
      </c>
      <c r="C9016" s="2">
        <v>0.19</v>
      </c>
      <c r="D9016" s="2">
        <v>9.7699999999999995E-2</v>
      </c>
      <c r="E9016" s="2">
        <v>1.8563E-4</v>
      </c>
      <c r="F9016" s="2" t="s">
        <v>7</v>
      </c>
    </row>
    <row r="9017" spans="1:6" ht="22.5" customHeight="1" x14ac:dyDescent="0.25">
      <c r="A9017" s="3">
        <v>44593</v>
      </c>
      <c r="B9017" s="2" t="s">
        <v>223</v>
      </c>
      <c r="C9017" s="2">
        <v>1.1200000000000001</v>
      </c>
      <c r="D9017" s="2">
        <v>1.6400000000000001E-2</v>
      </c>
      <c r="E9017" s="2">
        <v>1.8368E-4</v>
      </c>
      <c r="F9017" s="2" t="s">
        <v>165</v>
      </c>
    </row>
    <row r="9018" spans="1:6" ht="22.5" hidden="1" customHeight="1" x14ac:dyDescent="0.25">
      <c r="A9018" s="3">
        <v>44593</v>
      </c>
      <c r="B9018" s="2" t="s">
        <v>259</v>
      </c>
      <c r="C9018" s="2">
        <v>1.73</v>
      </c>
      <c r="D9018" s="2">
        <v>9.7000000000000003E-3</v>
      </c>
      <c r="E9018" s="2">
        <v>1.6781000000000001E-4</v>
      </c>
      <c r="F9018" s="2" t="s">
        <v>174</v>
      </c>
    </row>
    <row r="9019" spans="1:6" ht="22.5" hidden="1" customHeight="1" x14ac:dyDescent="0.25">
      <c r="A9019" s="3">
        <v>44593</v>
      </c>
      <c r="B9019" s="2" t="s">
        <v>95</v>
      </c>
      <c r="C9019" s="2">
        <v>1.03</v>
      </c>
      <c r="D9019" s="2">
        <v>1.5900000000000001E-2</v>
      </c>
      <c r="E9019" s="2">
        <v>1.6377000000000001E-4</v>
      </c>
      <c r="F9019" s="2" t="s">
        <v>7</v>
      </c>
    </row>
    <row r="9020" spans="1:6" ht="22.5" hidden="1" customHeight="1" x14ac:dyDescent="0.25">
      <c r="A9020" s="3">
        <v>44593</v>
      </c>
      <c r="B9020" s="2" t="s">
        <v>177</v>
      </c>
      <c r="C9020" s="2">
        <v>0.74</v>
      </c>
      <c r="D9020" s="2">
        <v>2.2100000000000002E-2</v>
      </c>
      <c r="E9020" s="2">
        <v>1.6354E-4</v>
      </c>
      <c r="F9020" s="2" t="s">
        <v>170</v>
      </c>
    </row>
    <row r="9021" spans="1:6" ht="22.5" hidden="1" customHeight="1" x14ac:dyDescent="0.25">
      <c r="A9021" s="3">
        <v>44593</v>
      </c>
      <c r="B9021" s="2" t="s">
        <v>210</v>
      </c>
      <c r="C9021" s="2">
        <v>1.18</v>
      </c>
      <c r="D9021" s="2">
        <v>1.37E-2</v>
      </c>
      <c r="E9021" s="2">
        <v>1.6165999999999999E-4</v>
      </c>
      <c r="F9021" s="2" t="s">
        <v>170</v>
      </c>
    </row>
    <row r="9022" spans="1:6" ht="22.5" hidden="1" customHeight="1" x14ac:dyDescent="0.25">
      <c r="A9022" s="3">
        <v>44593</v>
      </c>
      <c r="B9022" s="2" t="s">
        <v>181</v>
      </c>
      <c r="C9022" s="2">
        <v>1.23</v>
      </c>
      <c r="D9022" s="2">
        <v>1.29E-2</v>
      </c>
      <c r="E9022" s="2">
        <v>1.5867E-4</v>
      </c>
      <c r="F9022" s="2" t="s">
        <v>174</v>
      </c>
    </row>
    <row r="9023" spans="1:6" ht="22.5" hidden="1" customHeight="1" x14ac:dyDescent="0.25">
      <c r="A9023" s="3">
        <v>44593</v>
      </c>
      <c r="B9023" s="2" t="s">
        <v>305</v>
      </c>
      <c r="C9023" s="2">
        <v>0.91</v>
      </c>
      <c r="D9023" s="2">
        <v>1.7299999999999999E-2</v>
      </c>
      <c r="E9023" s="2">
        <v>1.5742999999999999E-4</v>
      </c>
      <c r="F9023" s="2" t="s">
        <v>170</v>
      </c>
    </row>
    <row r="9024" spans="1:6" ht="22.5" hidden="1" customHeight="1" x14ac:dyDescent="0.25">
      <c r="A9024" s="3">
        <v>44593</v>
      </c>
      <c r="B9024" s="2" t="s">
        <v>231</v>
      </c>
      <c r="C9024" s="2">
        <v>0.09</v>
      </c>
      <c r="D9024" s="2">
        <v>0.17019999999999999</v>
      </c>
      <c r="E9024" s="2">
        <v>1.5317999999999999E-4</v>
      </c>
      <c r="F9024" s="2" t="s">
        <v>174</v>
      </c>
    </row>
    <row r="9025" spans="1:6" ht="22.5" hidden="1" customHeight="1" x14ac:dyDescent="0.25">
      <c r="A9025" s="3">
        <v>44593</v>
      </c>
      <c r="B9025" s="2" t="s">
        <v>102</v>
      </c>
      <c r="C9025" s="2">
        <v>0.33</v>
      </c>
      <c r="D9025" s="2">
        <v>4.6199999999999998E-2</v>
      </c>
      <c r="E9025" s="2">
        <v>1.5245999999999999E-4</v>
      </c>
      <c r="F9025" s="2" t="s">
        <v>7</v>
      </c>
    </row>
    <row r="9026" spans="1:6" ht="22.5" hidden="1" customHeight="1" x14ac:dyDescent="0.25">
      <c r="A9026" s="3">
        <v>44593</v>
      </c>
      <c r="B9026" s="2" t="s">
        <v>137</v>
      </c>
      <c r="C9026" s="2">
        <v>1.41</v>
      </c>
      <c r="D9026" s="2">
        <v>1.03E-2</v>
      </c>
      <c r="E9026" s="2">
        <v>1.4522999999999999E-4</v>
      </c>
      <c r="F9026" s="2" t="s">
        <v>7</v>
      </c>
    </row>
    <row r="9027" spans="1:6" ht="22.5" hidden="1" customHeight="1" x14ac:dyDescent="0.25">
      <c r="A9027" s="3">
        <v>44593</v>
      </c>
      <c r="B9027" s="2" t="s">
        <v>157</v>
      </c>
      <c r="C9027" s="2">
        <v>0.83</v>
      </c>
      <c r="D9027" s="2">
        <v>1.6899999999999998E-2</v>
      </c>
      <c r="E9027" s="2">
        <v>1.4027000000000001E-4</v>
      </c>
      <c r="F9027" s="2" t="s">
        <v>7</v>
      </c>
    </row>
    <row r="9028" spans="1:6" ht="22.5" hidden="1" customHeight="1" x14ac:dyDescent="0.25">
      <c r="A9028" s="3">
        <v>44593</v>
      </c>
      <c r="B9028" s="2" t="s">
        <v>119</v>
      </c>
      <c r="C9028" s="2">
        <v>1.32</v>
      </c>
      <c r="D9028" s="2">
        <v>1.03E-2</v>
      </c>
      <c r="E9028" s="2">
        <v>1.3595999999999999E-4</v>
      </c>
      <c r="F9028" s="2" t="s">
        <v>7</v>
      </c>
    </row>
    <row r="9029" spans="1:6" ht="22.5" hidden="1" customHeight="1" x14ac:dyDescent="0.25">
      <c r="A9029" s="3">
        <v>44593</v>
      </c>
      <c r="B9029" s="2" t="s">
        <v>252</v>
      </c>
      <c r="C9029" s="2">
        <v>1.58</v>
      </c>
      <c r="D9029" s="2">
        <v>8.2000000000000007E-3</v>
      </c>
      <c r="E9029" s="2">
        <v>1.2956E-4</v>
      </c>
      <c r="F9029" s="2" t="s">
        <v>174</v>
      </c>
    </row>
    <row r="9030" spans="1:6" ht="22.5" hidden="1" customHeight="1" x14ac:dyDescent="0.25">
      <c r="A9030" s="3">
        <v>44593</v>
      </c>
      <c r="B9030" s="2" t="s">
        <v>88</v>
      </c>
      <c r="C9030" s="2">
        <v>1.99</v>
      </c>
      <c r="D9030" s="2">
        <v>6.4999999999999997E-3</v>
      </c>
      <c r="E9030" s="2">
        <v>1.2935E-4</v>
      </c>
      <c r="F9030" s="2" t="s">
        <v>7</v>
      </c>
    </row>
    <row r="9031" spans="1:6" ht="22.5" hidden="1" customHeight="1" x14ac:dyDescent="0.25">
      <c r="A9031" s="3">
        <v>44593</v>
      </c>
      <c r="B9031" s="2" t="s">
        <v>208</v>
      </c>
      <c r="C9031" s="2">
        <v>1.44</v>
      </c>
      <c r="D9031" s="2">
        <v>8.5000000000000006E-3</v>
      </c>
      <c r="E9031" s="2">
        <v>1.2239999999999999E-4</v>
      </c>
      <c r="F9031" s="2" t="s">
        <v>174</v>
      </c>
    </row>
    <row r="9032" spans="1:6" ht="22.5" hidden="1" customHeight="1" x14ac:dyDescent="0.25">
      <c r="A9032" s="3">
        <v>44593</v>
      </c>
      <c r="B9032" s="2" t="s">
        <v>216</v>
      </c>
      <c r="C9032" s="2">
        <v>0.78</v>
      </c>
      <c r="D9032" s="2">
        <v>1.5100000000000001E-2</v>
      </c>
      <c r="E9032" s="2">
        <v>1.1778E-4</v>
      </c>
      <c r="F9032" s="2" t="s">
        <v>170</v>
      </c>
    </row>
    <row r="9033" spans="1:6" ht="22.5" hidden="1" customHeight="1" x14ac:dyDescent="0.25">
      <c r="A9033" s="3">
        <v>44593</v>
      </c>
      <c r="B9033" s="2" t="s">
        <v>235</v>
      </c>
      <c r="C9033" s="2">
        <v>0.5</v>
      </c>
      <c r="D9033" s="2">
        <v>2.24E-2</v>
      </c>
      <c r="E9033" s="2">
        <v>1.12E-4</v>
      </c>
      <c r="F9033" s="2" t="s">
        <v>174</v>
      </c>
    </row>
    <row r="9034" spans="1:6" ht="22.5" customHeight="1" x14ac:dyDescent="0.25">
      <c r="A9034" s="3">
        <v>44593</v>
      </c>
      <c r="B9034" s="2" t="s">
        <v>331</v>
      </c>
      <c r="C9034" s="2">
        <v>0.2</v>
      </c>
      <c r="D9034" s="2">
        <v>5.2600000000000001E-2</v>
      </c>
      <c r="E9034" s="2">
        <v>1.052E-4</v>
      </c>
      <c r="F9034" s="2" t="s">
        <v>165</v>
      </c>
    </row>
    <row r="9035" spans="1:6" ht="22.5" hidden="1" customHeight="1" x14ac:dyDescent="0.25">
      <c r="A9035" s="3">
        <v>44593</v>
      </c>
      <c r="B9035" s="2" t="s">
        <v>105</v>
      </c>
      <c r="C9035" s="2">
        <v>1.2</v>
      </c>
      <c r="D9035" s="2">
        <v>8.6999999999999994E-3</v>
      </c>
      <c r="E9035" s="2">
        <v>1.044E-4</v>
      </c>
      <c r="F9035" s="2" t="s">
        <v>7</v>
      </c>
    </row>
    <row r="9036" spans="1:6" ht="22.5" hidden="1" customHeight="1" x14ac:dyDescent="0.25">
      <c r="A9036" s="3">
        <v>44593</v>
      </c>
      <c r="B9036" s="2" t="s">
        <v>12</v>
      </c>
      <c r="C9036" s="2">
        <v>0.9</v>
      </c>
      <c r="D9036" s="2">
        <v>1.1299999999999999E-2</v>
      </c>
      <c r="E9036" s="2">
        <v>1.0170000000000001E-4</v>
      </c>
      <c r="F9036" s="2" t="s">
        <v>7</v>
      </c>
    </row>
    <row r="9037" spans="1:6" ht="22.5" hidden="1" customHeight="1" x14ac:dyDescent="0.25">
      <c r="A9037" s="3">
        <v>44593</v>
      </c>
      <c r="B9037" s="2" t="s">
        <v>36</v>
      </c>
      <c r="C9037" s="2">
        <v>5.9</v>
      </c>
      <c r="D9037" s="2">
        <v>1.6999999999999999E-3</v>
      </c>
      <c r="E9037" s="2">
        <v>1.003E-4</v>
      </c>
      <c r="F9037" s="2" t="s">
        <v>7</v>
      </c>
    </row>
    <row r="9038" spans="1:6" ht="22.5" hidden="1" customHeight="1" x14ac:dyDescent="0.25">
      <c r="A9038" s="3">
        <v>44593</v>
      </c>
      <c r="B9038" s="2" t="s">
        <v>13</v>
      </c>
      <c r="C9038" s="2">
        <v>3.53</v>
      </c>
      <c r="D9038" s="2">
        <v>2.8E-3</v>
      </c>
      <c r="E9038" s="2">
        <v>9.8839999999999996E-5</v>
      </c>
      <c r="F9038" s="2" t="s">
        <v>7</v>
      </c>
    </row>
    <row r="9039" spans="1:6" ht="22.5" hidden="1" customHeight="1" x14ac:dyDescent="0.25">
      <c r="A9039" s="3">
        <v>44593</v>
      </c>
      <c r="B9039" s="2" t="s">
        <v>243</v>
      </c>
      <c r="C9039" s="2">
        <v>1.31</v>
      </c>
      <c r="D9039" s="2">
        <v>7.1999999999999998E-3</v>
      </c>
      <c r="E9039" s="2">
        <v>9.4320000000000005E-5</v>
      </c>
      <c r="F9039" s="2" t="s">
        <v>174</v>
      </c>
    </row>
    <row r="9040" spans="1:6" ht="22.5" customHeight="1" x14ac:dyDescent="0.25">
      <c r="A9040" s="3">
        <v>44593</v>
      </c>
      <c r="B9040" s="2" t="s">
        <v>225</v>
      </c>
      <c r="C9040" s="2">
        <v>2.12</v>
      </c>
      <c r="D9040" s="2">
        <v>4.3E-3</v>
      </c>
      <c r="E9040" s="2">
        <v>9.1160000000000001E-5</v>
      </c>
      <c r="F9040" s="2" t="s">
        <v>165</v>
      </c>
    </row>
    <row r="9041" spans="1:6" ht="22.5" hidden="1" customHeight="1" x14ac:dyDescent="0.25">
      <c r="A9041" s="3">
        <v>44593</v>
      </c>
      <c r="B9041" s="2" t="s">
        <v>178</v>
      </c>
      <c r="C9041" s="2">
        <v>0.45</v>
      </c>
      <c r="D9041" s="2">
        <v>1.9400000000000001E-2</v>
      </c>
      <c r="E9041" s="2">
        <v>8.7299999999999994E-5</v>
      </c>
      <c r="F9041" s="2" t="s">
        <v>170</v>
      </c>
    </row>
    <row r="9042" spans="1:6" ht="22.5" hidden="1" customHeight="1" x14ac:dyDescent="0.25">
      <c r="A9042" s="3">
        <v>44593</v>
      </c>
      <c r="B9042" s="2" t="s">
        <v>118</v>
      </c>
      <c r="C9042" s="2">
        <v>0.14000000000000001</v>
      </c>
      <c r="D9042" s="2">
        <v>6.1100000000000002E-2</v>
      </c>
      <c r="E9042" s="2">
        <v>8.5539999999999998E-5</v>
      </c>
      <c r="F9042" s="2" t="s">
        <v>7</v>
      </c>
    </row>
    <row r="9043" spans="1:6" ht="22.5" customHeight="1" x14ac:dyDescent="0.25">
      <c r="A9043" s="3">
        <v>44593</v>
      </c>
      <c r="B9043" s="2" t="s">
        <v>332</v>
      </c>
      <c r="C9043" s="2">
        <v>0.08</v>
      </c>
      <c r="D9043" s="2">
        <v>0.1053</v>
      </c>
      <c r="E9043" s="2">
        <v>8.4240000000000007E-5</v>
      </c>
      <c r="F9043" s="2" t="s">
        <v>165</v>
      </c>
    </row>
    <row r="9044" spans="1:6" ht="22.5" hidden="1" customHeight="1" x14ac:dyDescent="0.25">
      <c r="A9044" s="3">
        <v>44593</v>
      </c>
      <c r="B9044" s="2" t="s">
        <v>92</v>
      </c>
      <c r="C9044" s="2">
        <v>1.7</v>
      </c>
      <c r="D9044" s="2">
        <v>4.8999999999999998E-3</v>
      </c>
      <c r="E9044" s="2">
        <v>8.3300000000000005E-5</v>
      </c>
      <c r="F9044" s="2" t="s">
        <v>7</v>
      </c>
    </row>
    <row r="9045" spans="1:6" ht="22.5" hidden="1" customHeight="1" x14ac:dyDescent="0.25">
      <c r="A9045" s="3">
        <v>44593</v>
      </c>
      <c r="B9045" s="2" t="s">
        <v>220</v>
      </c>
      <c r="C9045" s="2">
        <v>0.75</v>
      </c>
      <c r="D9045" s="2">
        <v>1.03E-2</v>
      </c>
      <c r="E9045" s="2">
        <v>7.7249999999999994E-5</v>
      </c>
      <c r="F9045" s="2" t="s">
        <v>170</v>
      </c>
    </row>
    <row r="9046" spans="1:6" ht="22.5" hidden="1" customHeight="1" x14ac:dyDescent="0.25">
      <c r="A9046" s="3">
        <v>44593</v>
      </c>
      <c r="B9046" s="2" t="s">
        <v>10</v>
      </c>
      <c r="C9046" s="2">
        <v>0.38</v>
      </c>
      <c r="D9046" s="2">
        <v>2.0199999999999999E-2</v>
      </c>
      <c r="E9046" s="2">
        <v>7.6760000000000004E-5</v>
      </c>
      <c r="F9046" s="2" t="s">
        <v>7</v>
      </c>
    </row>
    <row r="9047" spans="1:6" ht="22.5" hidden="1" customHeight="1" x14ac:dyDescent="0.25">
      <c r="A9047" s="3">
        <v>44593</v>
      </c>
      <c r="B9047" s="2" t="s">
        <v>15</v>
      </c>
      <c r="C9047" s="2">
        <v>0.81</v>
      </c>
      <c r="D9047" s="2">
        <v>8.9999999999999993E-3</v>
      </c>
      <c r="E9047" s="2">
        <v>7.2899999999999997E-5</v>
      </c>
      <c r="F9047" s="2" t="s">
        <v>7</v>
      </c>
    </row>
    <row r="9048" spans="1:6" ht="22.5" hidden="1" customHeight="1" x14ac:dyDescent="0.25">
      <c r="A9048" s="3">
        <v>44593</v>
      </c>
      <c r="B9048" s="2" t="s">
        <v>244</v>
      </c>
      <c r="C9048" s="2">
        <v>0.14000000000000001</v>
      </c>
      <c r="D9048" s="2">
        <v>5.0200000000000002E-2</v>
      </c>
      <c r="E9048" s="2">
        <v>7.0279999999999998E-5</v>
      </c>
      <c r="F9048" s="2" t="s">
        <v>174</v>
      </c>
    </row>
    <row r="9049" spans="1:6" ht="22.5" hidden="1" customHeight="1" x14ac:dyDescent="0.25">
      <c r="A9049" s="3">
        <v>44593</v>
      </c>
      <c r="B9049" s="2" t="s">
        <v>108</v>
      </c>
      <c r="C9049" s="2">
        <v>0.96</v>
      </c>
      <c r="D9049" s="2">
        <v>7.1999999999999998E-3</v>
      </c>
      <c r="E9049" s="2">
        <v>6.9120000000000002E-5</v>
      </c>
      <c r="F9049" s="2" t="s">
        <v>7</v>
      </c>
    </row>
    <row r="9050" spans="1:6" ht="22.5" hidden="1" customHeight="1" x14ac:dyDescent="0.25">
      <c r="A9050" s="3">
        <v>44593</v>
      </c>
      <c r="B9050" s="2" t="s">
        <v>38</v>
      </c>
      <c r="C9050" s="2">
        <v>0.78</v>
      </c>
      <c r="D9050" s="2">
        <v>8.6999999999999994E-3</v>
      </c>
      <c r="E9050" s="2">
        <v>6.7860000000000004E-5</v>
      </c>
      <c r="F9050" s="2" t="s">
        <v>7</v>
      </c>
    </row>
    <row r="9051" spans="1:6" ht="22.5" hidden="1" customHeight="1" x14ac:dyDescent="0.25">
      <c r="A9051" s="3">
        <v>44593</v>
      </c>
      <c r="B9051" s="2" t="s">
        <v>163</v>
      </c>
      <c r="C9051" s="2">
        <v>1.45</v>
      </c>
      <c r="D9051" s="2">
        <v>4.3E-3</v>
      </c>
      <c r="E9051" s="2">
        <v>6.2349999999999998E-5</v>
      </c>
      <c r="F9051" s="2" t="s">
        <v>7</v>
      </c>
    </row>
    <row r="9052" spans="1:6" ht="22.5" hidden="1" customHeight="1" x14ac:dyDescent="0.25">
      <c r="A9052" s="3">
        <v>44593</v>
      </c>
      <c r="B9052" s="2" t="s">
        <v>169</v>
      </c>
      <c r="C9052" s="2">
        <v>0.53</v>
      </c>
      <c r="D9052" s="2">
        <v>1.15E-2</v>
      </c>
      <c r="E9052" s="2">
        <v>6.0949999999999998E-5</v>
      </c>
      <c r="F9052" s="2" t="s">
        <v>170</v>
      </c>
    </row>
    <row r="9053" spans="1:6" ht="22.5" hidden="1" customHeight="1" x14ac:dyDescent="0.25">
      <c r="A9053" s="3">
        <v>44593</v>
      </c>
      <c r="B9053" s="2" t="s">
        <v>158</v>
      </c>
      <c r="C9053" s="2">
        <v>0.55000000000000004</v>
      </c>
      <c r="D9053" s="2">
        <v>9.7999999999999997E-3</v>
      </c>
      <c r="E9053" s="2">
        <v>5.3900000000000002E-5</v>
      </c>
      <c r="F9053" s="2" t="s">
        <v>7</v>
      </c>
    </row>
    <row r="9054" spans="1:6" ht="22.5" hidden="1" customHeight="1" x14ac:dyDescent="0.25">
      <c r="A9054" s="3">
        <v>44593</v>
      </c>
      <c r="B9054" s="2" t="s">
        <v>155</v>
      </c>
      <c r="C9054" s="2">
        <v>0.71</v>
      </c>
      <c r="D9054" s="2">
        <v>5.7999999999999996E-3</v>
      </c>
      <c r="E9054" s="2">
        <v>4.1180000000000002E-5</v>
      </c>
      <c r="F9054" s="2" t="s">
        <v>7</v>
      </c>
    </row>
    <row r="9055" spans="1:6" ht="22.5" hidden="1" customHeight="1" x14ac:dyDescent="0.25">
      <c r="A9055" s="3">
        <v>44593</v>
      </c>
      <c r="B9055" s="2" t="s">
        <v>48</v>
      </c>
      <c r="C9055" s="2">
        <v>0.87</v>
      </c>
      <c r="D9055" s="2">
        <v>4.4000000000000003E-3</v>
      </c>
      <c r="E9055" s="2">
        <v>3.8279999999999999E-5</v>
      </c>
      <c r="F9055" s="2" t="s">
        <v>7</v>
      </c>
    </row>
    <row r="9056" spans="1:6" ht="22.5" hidden="1" customHeight="1" x14ac:dyDescent="0.25">
      <c r="A9056" s="3">
        <v>44593</v>
      </c>
      <c r="B9056" s="2" t="s">
        <v>140</v>
      </c>
      <c r="C9056" s="2">
        <v>1.5</v>
      </c>
      <c r="D9056" s="2">
        <v>2.3999999999999998E-3</v>
      </c>
      <c r="E9056" s="2">
        <v>3.6000000000000001E-5</v>
      </c>
      <c r="F9056" s="2" t="s">
        <v>7</v>
      </c>
    </row>
    <row r="9057" spans="1:6" ht="22.5" hidden="1" customHeight="1" x14ac:dyDescent="0.25">
      <c r="A9057" s="3">
        <v>44593</v>
      </c>
      <c r="B9057" s="2" t="s">
        <v>87</v>
      </c>
      <c r="C9057" s="2">
        <v>2.82</v>
      </c>
      <c r="D9057" s="2">
        <v>1.1000000000000001E-3</v>
      </c>
      <c r="E9057" s="2">
        <v>3.1019999999999998E-5</v>
      </c>
      <c r="F9057" s="2" t="s">
        <v>7</v>
      </c>
    </row>
    <row r="9058" spans="1:6" ht="22.5" hidden="1" customHeight="1" x14ac:dyDescent="0.25">
      <c r="A9058" s="3">
        <v>44593</v>
      </c>
      <c r="B9058" s="2" t="s">
        <v>145</v>
      </c>
      <c r="C9058" s="2">
        <v>1.94</v>
      </c>
      <c r="D9058" s="2">
        <v>1.5E-3</v>
      </c>
      <c r="E9058" s="2">
        <v>2.9099999999999999E-5</v>
      </c>
      <c r="F9058" s="2" t="s">
        <v>7</v>
      </c>
    </row>
    <row r="9059" spans="1:6" ht="22.5" hidden="1" customHeight="1" x14ac:dyDescent="0.25">
      <c r="A9059" s="3">
        <v>44593</v>
      </c>
      <c r="B9059" s="2" t="s">
        <v>212</v>
      </c>
      <c r="C9059" s="2">
        <v>0.57999999999999996</v>
      </c>
      <c r="D9059" s="2">
        <v>4.4000000000000003E-3</v>
      </c>
      <c r="E9059" s="2">
        <v>2.552E-5</v>
      </c>
      <c r="F9059" s="2" t="s">
        <v>174</v>
      </c>
    </row>
    <row r="9060" spans="1:6" ht="22.5" hidden="1" customHeight="1" x14ac:dyDescent="0.25">
      <c r="A9060" s="3">
        <v>44593</v>
      </c>
      <c r="B9060" s="2" t="s">
        <v>51</v>
      </c>
      <c r="C9060" s="2">
        <v>0.36</v>
      </c>
      <c r="D9060" s="2">
        <v>6.1000000000000004E-3</v>
      </c>
      <c r="E9060" s="2">
        <v>2.196E-5</v>
      </c>
      <c r="F9060" s="2" t="s">
        <v>7</v>
      </c>
    </row>
    <row r="9061" spans="1:6" ht="22.5" hidden="1" customHeight="1" x14ac:dyDescent="0.25">
      <c r="A9061" s="3">
        <v>44593</v>
      </c>
      <c r="B9061" s="2" t="s">
        <v>144</v>
      </c>
      <c r="C9061" s="2">
        <v>1.19</v>
      </c>
      <c r="D9061" s="2">
        <v>1.6000000000000001E-3</v>
      </c>
      <c r="E9061" s="2">
        <v>1.9040000000000001E-5</v>
      </c>
      <c r="F9061" s="2" t="s">
        <v>7</v>
      </c>
    </row>
    <row r="9062" spans="1:6" ht="22.5" hidden="1" customHeight="1" x14ac:dyDescent="0.25">
      <c r="A9062" s="3">
        <v>44593</v>
      </c>
      <c r="B9062" s="2" t="s">
        <v>142</v>
      </c>
      <c r="C9062" s="2">
        <v>0.28999999999999998</v>
      </c>
      <c r="D9062" s="2">
        <v>4.3E-3</v>
      </c>
      <c r="E9062" s="2">
        <v>1.2469999999999999E-5</v>
      </c>
      <c r="F9062" s="2" t="s">
        <v>7</v>
      </c>
    </row>
    <row r="9063" spans="1:6" ht="22.5" hidden="1" customHeight="1" x14ac:dyDescent="0.25">
      <c r="A9063" s="3">
        <v>44593</v>
      </c>
      <c r="B9063" s="2" t="s">
        <v>341</v>
      </c>
      <c r="C9063" s="2">
        <v>0.04</v>
      </c>
      <c r="D9063" s="2">
        <v>1.0999999999999999E-2</v>
      </c>
      <c r="E9063" s="2">
        <v>4.4000000000000002E-6</v>
      </c>
      <c r="F9063" s="2" t="s">
        <v>174</v>
      </c>
    </row>
    <row r="9064" spans="1:6" ht="22.5" hidden="1" customHeight="1" x14ac:dyDescent="0.25">
      <c r="A9064" s="3">
        <v>44593</v>
      </c>
      <c r="B9064" s="2" t="s">
        <v>153</v>
      </c>
      <c r="C9064" s="2">
        <v>0.04</v>
      </c>
      <c r="D9064" s="2">
        <v>8.9999999999999998E-4</v>
      </c>
      <c r="E9064" s="2">
        <v>3.5999999999999999E-7</v>
      </c>
      <c r="F9064" s="2" t="s">
        <v>7</v>
      </c>
    </row>
    <row r="9065" spans="1:6" ht="22.5" hidden="1" customHeight="1" x14ac:dyDescent="0.25">
      <c r="A9065" s="3">
        <v>44593</v>
      </c>
      <c r="B9065" s="2" t="s">
        <v>16</v>
      </c>
      <c r="C9065" s="2">
        <v>0</v>
      </c>
      <c r="D9065" s="2">
        <v>9.1999999999999998E-3</v>
      </c>
      <c r="E9065" s="2">
        <v>0</v>
      </c>
      <c r="F9065" s="2" t="s">
        <v>7</v>
      </c>
    </row>
    <row r="9066" spans="1:6" ht="22.5" hidden="1" customHeight="1" x14ac:dyDescent="0.25">
      <c r="A9066" s="3">
        <v>44378</v>
      </c>
      <c r="B9066" s="2" t="s">
        <v>310</v>
      </c>
      <c r="C9066" s="2">
        <v>-1.36</v>
      </c>
      <c r="D9066" s="2">
        <v>3.9895</v>
      </c>
      <c r="E9066" s="2">
        <v>-5.4257199999999998E-2</v>
      </c>
      <c r="F9066" s="2" t="s">
        <v>168</v>
      </c>
    </row>
    <row r="9067" spans="1:6" ht="22.5" hidden="1" customHeight="1" x14ac:dyDescent="0.25">
      <c r="A9067" s="3">
        <v>43891</v>
      </c>
      <c r="B9067" s="2" t="s">
        <v>197</v>
      </c>
      <c r="C9067" s="2">
        <v>-1.3</v>
      </c>
      <c r="D9067" s="2">
        <v>4.3402000000000003</v>
      </c>
      <c r="E9067" s="2">
        <v>-5.6422600000000003E-2</v>
      </c>
      <c r="F9067" s="2" t="s">
        <v>168</v>
      </c>
    </row>
    <row r="9068" spans="1:6" ht="22.5" hidden="1" customHeight="1" x14ac:dyDescent="0.25">
      <c r="A9068" s="3">
        <v>43891</v>
      </c>
      <c r="B9068" s="2" t="s">
        <v>284</v>
      </c>
      <c r="C9068" s="2">
        <v>-1.18</v>
      </c>
      <c r="D9068" s="2">
        <v>5.1214000000000004</v>
      </c>
      <c r="E9068" s="2">
        <v>-6.0432520000000003E-2</v>
      </c>
      <c r="F9068" s="2" t="s">
        <v>168</v>
      </c>
    </row>
    <row r="9069" spans="1:6" ht="22.5" hidden="1" customHeight="1" x14ac:dyDescent="0.25">
      <c r="A9069" s="3">
        <v>43922</v>
      </c>
      <c r="B9069" s="2" t="s">
        <v>285</v>
      </c>
      <c r="C9069" s="2">
        <v>-9.08</v>
      </c>
      <c r="D9069" s="2">
        <v>0.71250000000000002</v>
      </c>
      <c r="E9069" s="2">
        <v>-6.4695000000000003E-2</v>
      </c>
      <c r="F9069" s="2" t="s">
        <v>168</v>
      </c>
    </row>
    <row r="9070" spans="1:6" ht="22.5" hidden="1" customHeight="1" x14ac:dyDescent="0.25">
      <c r="A9070" s="3">
        <v>43952</v>
      </c>
      <c r="B9070" s="2" t="s">
        <v>285</v>
      </c>
      <c r="C9070" s="2">
        <v>-10.4</v>
      </c>
      <c r="D9070" s="2">
        <v>0.6482</v>
      </c>
      <c r="E9070" s="2">
        <v>-6.7412799999999995E-2</v>
      </c>
      <c r="F9070" s="2" t="s">
        <v>168</v>
      </c>
    </row>
    <row r="9071" spans="1:6" ht="22.5" hidden="1" customHeight="1" x14ac:dyDescent="0.25">
      <c r="A9071" s="3">
        <v>44075</v>
      </c>
      <c r="B9071" s="2" t="s">
        <v>310</v>
      </c>
      <c r="C9071" s="2">
        <v>-2.31</v>
      </c>
      <c r="D9071" s="2">
        <v>4.2130999999999998</v>
      </c>
      <c r="E9071" s="2">
        <v>-9.7322610000000004E-2</v>
      </c>
      <c r="F9071" s="2" t="s">
        <v>168</v>
      </c>
    </row>
    <row r="9072" spans="1:6" ht="22.5" hidden="1" customHeight="1" x14ac:dyDescent="0.25">
      <c r="A9072" s="3">
        <v>43891</v>
      </c>
      <c r="B9072" s="2" t="s">
        <v>265</v>
      </c>
      <c r="C9072" s="2">
        <v>-16.88</v>
      </c>
      <c r="D9072" s="2">
        <v>0.65969999999999995</v>
      </c>
      <c r="E9072" s="2">
        <v>-0.11135736</v>
      </c>
      <c r="F9072" s="2" t="s">
        <v>168</v>
      </c>
    </row>
    <row r="9073" spans="1:6" ht="22.5" hidden="1" customHeight="1" x14ac:dyDescent="0.25">
      <c r="A9073" s="3">
        <v>44593</v>
      </c>
      <c r="B9073" s="2" t="s">
        <v>346</v>
      </c>
      <c r="C9073" s="2">
        <v>0</v>
      </c>
      <c r="D9073" s="2">
        <v>0.5202</v>
      </c>
      <c r="E9073" s="2">
        <v>0</v>
      </c>
      <c r="F9073" s="2" t="s">
        <v>174</v>
      </c>
    </row>
    <row r="9074" spans="1:6" ht="22.5" customHeight="1" x14ac:dyDescent="0.25">
      <c r="A9074" s="3">
        <v>44593</v>
      </c>
      <c r="B9074" s="2" t="s">
        <v>269</v>
      </c>
      <c r="C9074" s="2">
        <v>0</v>
      </c>
      <c r="D9074" s="2">
        <v>6.1600000000000002E-2</v>
      </c>
      <c r="E9074" s="2">
        <v>0</v>
      </c>
      <c r="F9074" s="2" t="s">
        <v>165</v>
      </c>
    </row>
    <row r="9075" spans="1:6" ht="22.5" customHeight="1" x14ac:dyDescent="0.25">
      <c r="A9075" s="3">
        <v>44593</v>
      </c>
      <c r="B9075" s="2" t="s">
        <v>368</v>
      </c>
      <c r="C9075" s="2">
        <v>0</v>
      </c>
      <c r="D9075" s="2">
        <v>0.35489999999999999</v>
      </c>
      <c r="E9075" s="2">
        <v>0</v>
      </c>
      <c r="F9075" s="2" t="s">
        <v>165</v>
      </c>
    </row>
    <row r="9076" spans="1:6" ht="22.5" customHeight="1" x14ac:dyDescent="0.25">
      <c r="A9076" s="3">
        <v>44593</v>
      </c>
      <c r="B9076" s="2" t="s">
        <v>369</v>
      </c>
      <c r="C9076" s="2">
        <v>0</v>
      </c>
      <c r="D9076" s="2">
        <v>0.51280000000000003</v>
      </c>
      <c r="E9076" s="2">
        <v>0</v>
      </c>
      <c r="F9076" s="2" t="s">
        <v>165</v>
      </c>
    </row>
    <row r="9077" spans="1:6" ht="22.5" customHeight="1" x14ac:dyDescent="0.25">
      <c r="A9077" s="3">
        <v>44593</v>
      </c>
      <c r="B9077" s="2" t="s">
        <v>371</v>
      </c>
      <c r="C9077" s="2">
        <v>0</v>
      </c>
      <c r="D9077" s="2">
        <v>7.0999999999999994E-2</v>
      </c>
      <c r="E9077" s="2">
        <v>0</v>
      </c>
      <c r="F9077" s="2" t="s">
        <v>165</v>
      </c>
    </row>
    <row r="9078" spans="1:6" ht="22.5" customHeight="1" x14ac:dyDescent="0.25">
      <c r="A9078" s="3">
        <v>44593</v>
      </c>
      <c r="B9078" s="2" t="s">
        <v>372</v>
      </c>
      <c r="C9078" s="2">
        <v>0</v>
      </c>
      <c r="D9078" s="2">
        <v>1.5994999999999999</v>
      </c>
      <c r="E9078" s="2">
        <v>0</v>
      </c>
      <c r="F9078" s="2" t="s">
        <v>165</v>
      </c>
    </row>
    <row r="9079" spans="1:6" ht="22.5" hidden="1" customHeight="1" x14ac:dyDescent="0.25">
      <c r="A9079" s="3">
        <v>44593</v>
      </c>
      <c r="B9079" s="2" t="s">
        <v>356</v>
      </c>
      <c r="C9079" s="2">
        <v>0</v>
      </c>
      <c r="D9079" s="2">
        <v>3.4099999999999998E-2</v>
      </c>
      <c r="E9079" s="2">
        <v>0</v>
      </c>
      <c r="F9079" s="2" t="s">
        <v>174</v>
      </c>
    </row>
    <row r="9080" spans="1:6" ht="22.5" hidden="1" customHeight="1" x14ac:dyDescent="0.25">
      <c r="A9080" s="3">
        <v>44562</v>
      </c>
      <c r="B9080" s="2" t="s">
        <v>265</v>
      </c>
      <c r="C9080" s="2">
        <v>-18.21</v>
      </c>
      <c r="D9080" s="2">
        <v>0.64459999999999995</v>
      </c>
      <c r="E9080" s="2">
        <v>-0.11738166</v>
      </c>
      <c r="F9080" s="2" t="s">
        <v>168</v>
      </c>
    </row>
    <row r="9081" spans="1:6" ht="22.5" hidden="1" customHeight="1" x14ac:dyDescent="0.25">
      <c r="A9081" s="3">
        <v>44593</v>
      </c>
      <c r="B9081" s="2" t="s">
        <v>90</v>
      </c>
      <c r="C9081" s="2">
        <v>-0.04</v>
      </c>
      <c r="D9081" s="2">
        <v>1.6000000000000001E-3</v>
      </c>
      <c r="E9081" s="2">
        <v>-6.4000000000000001E-7</v>
      </c>
      <c r="F9081" s="2" t="s">
        <v>7</v>
      </c>
    </row>
    <row r="9082" spans="1:6" ht="22.5" hidden="1" customHeight="1" x14ac:dyDescent="0.25">
      <c r="A9082" s="3">
        <v>44593</v>
      </c>
      <c r="B9082" s="2" t="s">
        <v>125</v>
      </c>
      <c r="C9082" s="2">
        <v>-0.01</v>
      </c>
      <c r="D9082" s="2">
        <v>3.2399999999999998E-2</v>
      </c>
      <c r="E9082" s="2">
        <v>-3.2399999999999999E-6</v>
      </c>
      <c r="F9082" s="2" t="s">
        <v>7</v>
      </c>
    </row>
    <row r="9083" spans="1:6" ht="22.5" hidden="1" customHeight="1" x14ac:dyDescent="0.25">
      <c r="A9083" s="3">
        <v>44593</v>
      </c>
      <c r="B9083" s="2" t="s">
        <v>83</v>
      </c>
      <c r="C9083" s="2">
        <v>-0.68</v>
      </c>
      <c r="D9083" s="2">
        <v>5.9999999999999995E-4</v>
      </c>
      <c r="E9083" s="2">
        <v>-4.0799999999999999E-6</v>
      </c>
      <c r="F9083" s="2" t="s">
        <v>7</v>
      </c>
    </row>
    <row r="9084" spans="1:6" ht="22.5" hidden="1" customHeight="1" x14ac:dyDescent="0.25">
      <c r="A9084" s="3">
        <v>44593</v>
      </c>
      <c r="B9084" s="2" t="s">
        <v>190</v>
      </c>
      <c r="C9084" s="2">
        <v>-0.13</v>
      </c>
      <c r="D9084" s="2">
        <v>5.0000000000000001E-3</v>
      </c>
      <c r="E9084" s="2">
        <v>-6.4999999999999996E-6</v>
      </c>
      <c r="F9084" s="2" t="s">
        <v>174</v>
      </c>
    </row>
    <row r="9085" spans="1:6" ht="22.5" hidden="1" customHeight="1" x14ac:dyDescent="0.25">
      <c r="A9085" s="3">
        <v>44593</v>
      </c>
      <c r="B9085" s="2" t="s">
        <v>86</v>
      </c>
      <c r="C9085" s="2">
        <v>-0.03</v>
      </c>
      <c r="D9085" s="2">
        <v>2.35E-2</v>
      </c>
      <c r="E9085" s="2">
        <v>-7.0500000000000003E-6</v>
      </c>
      <c r="F9085" s="2" t="s">
        <v>7</v>
      </c>
    </row>
    <row r="9086" spans="1:6" ht="22.5" hidden="1" customHeight="1" x14ac:dyDescent="0.25">
      <c r="A9086" s="3">
        <v>44593</v>
      </c>
      <c r="B9086" s="2" t="s">
        <v>93</v>
      </c>
      <c r="C9086" s="2">
        <v>-0.68</v>
      </c>
      <c r="D9086" s="2">
        <v>1.1000000000000001E-3</v>
      </c>
      <c r="E9086" s="2">
        <v>-7.4800000000000004E-6</v>
      </c>
      <c r="F9086" s="2" t="s">
        <v>7</v>
      </c>
    </row>
    <row r="9087" spans="1:6" ht="22.5" hidden="1" customHeight="1" x14ac:dyDescent="0.25">
      <c r="A9087" s="3">
        <v>44593</v>
      </c>
      <c r="B9087" s="2" t="s">
        <v>100</v>
      </c>
      <c r="C9087" s="2">
        <v>-1.26</v>
      </c>
      <c r="D9087" s="2">
        <v>5.9999999999999995E-4</v>
      </c>
      <c r="E9087" s="2">
        <v>-7.5599999999999996E-6</v>
      </c>
      <c r="F9087" s="2" t="s">
        <v>7</v>
      </c>
    </row>
    <row r="9088" spans="1:6" ht="22.5" hidden="1" customHeight="1" x14ac:dyDescent="0.25">
      <c r="A9088" s="3">
        <v>44593</v>
      </c>
      <c r="B9088" s="2" t="s">
        <v>94</v>
      </c>
      <c r="C9088" s="2">
        <v>-0.96</v>
      </c>
      <c r="D9088" s="2">
        <v>8.9999999999999998E-4</v>
      </c>
      <c r="E9088" s="2">
        <v>-8.6400000000000003E-6</v>
      </c>
      <c r="F9088" s="2" t="s">
        <v>7</v>
      </c>
    </row>
    <row r="9089" spans="1:6" ht="22.5" hidden="1" customHeight="1" x14ac:dyDescent="0.25">
      <c r="A9089" s="3">
        <v>44593</v>
      </c>
      <c r="B9089" s="2" t="s">
        <v>232</v>
      </c>
      <c r="C9089" s="2">
        <v>-0.18</v>
      </c>
      <c r="D9089" s="2">
        <v>5.7999999999999996E-3</v>
      </c>
      <c r="E9089" s="2">
        <v>-1.044E-5</v>
      </c>
      <c r="F9089" s="2" t="s">
        <v>174</v>
      </c>
    </row>
    <row r="9090" spans="1:6" ht="22.5" hidden="1" customHeight="1" x14ac:dyDescent="0.25">
      <c r="A9090" s="3">
        <v>44593</v>
      </c>
      <c r="B9090" s="2" t="s">
        <v>154</v>
      </c>
      <c r="C9090" s="2">
        <v>-1.34</v>
      </c>
      <c r="D9090" s="2">
        <v>1E-3</v>
      </c>
      <c r="E9090" s="2">
        <v>-1.34E-5</v>
      </c>
      <c r="F9090" s="2" t="s">
        <v>7</v>
      </c>
    </row>
    <row r="9091" spans="1:6" ht="22.5" hidden="1" customHeight="1" x14ac:dyDescent="0.25">
      <c r="A9091" s="3">
        <v>44593</v>
      </c>
      <c r="B9091" s="2" t="s">
        <v>152</v>
      </c>
      <c r="C9091" s="2">
        <v>-0.45</v>
      </c>
      <c r="D9091" s="2">
        <v>3.0000000000000001E-3</v>
      </c>
      <c r="E9091" s="2">
        <v>-1.3499999999999999E-5</v>
      </c>
      <c r="F9091" s="2" t="s">
        <v>7</v>
      </c>
    </row>
    <row r="9092" spans="1:6" ht="22.5" customHeight="1" x14ac:dyDescent="0.25">
      <c r="A9092" s="3">
        <v>44593</v>
      </c>
      <c r="B9092" s="2" t="s">
        <v>224</v>
      </c>
      <c r="C9092" s="2">
        <v>-0.8</v>
      </c>
      <c r="D9092" s="2">
        <v>2E-3</v>
      </c>
      <c r="E9092" s="2">
        <v>-1.5999999999999999E-5</v>
      </c>
      <c r="F9092" s="2" t="s">
        <v>165</v>
      </c>
    </row>
    <row r="9093" spans="1:6" ht="22.5" hidden="1" customHeight="1" x14ac:dyDescent="0.25">
      <c r="A9093" s="3">
        <v>44593</v>
      </c>
      <c r="B9093" s="2" t="s">
        <v>130</v>
      </c>
      <c r="C9093" s="2">
        <v>-0.16</v>
      </c>
      <c r="D9093" s="2">
        <v>1.29E-2</v>
      </c>
      <c r="E9093" s="2">
        <v>-2.0639999999999999E-5</v>
      </c>
      <c r="F9093" s="2" t="s">
        <v>7</v>
      </c>
    </row>
    <row r="9094" spans="1:6" ht="22.5" hidden="1" customHeight="1" x14ac:dyDescent="0.25">
      <c r="A9094" s="3">
        <v>44593</v>
      </c>
      <c r="B9094" s="2" t="s">
        <v>136</v>
      </c>
      <c r="C9094" s="2">
        <v>-0.57999999999999996</v>
      </c>
      <c r="D9094" s="2">
        <v>3.8999999999999998E-3</v>
      </c>
      <c r="E9094" s="2">
        <v>-2.262E-5</v>
      </c>
      <c r="F9094" s="2" t="s">
        <v>7</v>
      </c>
    </row>
    <row r="9095" spans="1:6" ht="22.5" hidden="1" customHeight="1" x14ac:dyDescent="0.25">
      <c r="A9095" s="3">
        <v>44593</v>
      </c>
      <c r="B9095" s="2" t="s">
        <v>192</v>
      </c>
      <c r="C9095" s="2">
        <v>-0.54</v>
      </c>
      <c r="D9095" s="2">
        <v>5.1000000000000004E-3</v>
      </c>
      <c r="E9095" s="2">
        <v>-2.7540000000000001E-5</v>
      </c>
      <c r="F9095" s="2" t="s">
        <v>174</v>
      </c>
    </row>
    <row r="9096" spans="1:6" ht="22.5" hidden="1" customHeight="1" x14ac:dyDescent="0.25">
      <c r="A9096" s="3">
        <v>44593</v>
      </c>
      <c r="B9096" s="2" t="s">
        <v>85</v>
      </c>
      <c r="C9096" s="2">
        <v>-0.61</v>
      </c>
      <c r="D9096" s="2">
        <v>5.3E-3</v>
      </c>
      <c r="E9096" s="2">
        <v>-3.2329999999999997E-5</v>
      </c>
      <c r="F9096" s="2" t="s">
        <v>7</v>
      </c>
    </row>
    <row r="9097" spans="1:6" ht="22.5" hidden="1" customHeight="1" x14ac:dyDescent="0.25">
      <c r="A9097" s="3">
        <v>44593</v>
      </c>
      <c r="B9097" s="2" t="s">
        <v>316</v>
      </c>
      <c r="C9097" s="2">
        <v>-0.95</v>
      </c>
      <c r="D9097" s="2">
        <v>3.5999999999999999E-3</v>
      </c>
      <c r="E9097" s="2">
        <v>-3.4199999999999998E-5</v>
      </c>
      <c r="F9097" s="2" t="s">
        <v>174</v>
      </c>
    </row>
    <row r="9098" spans="1:6" ht="22.5" hidden="1" customHeight="1" x14ac:dyDescent="0.25">
      <c r="A9098" s="3">
        <v>44593</v>
      </c>
      <c r="B9098" s="2" t="s">
        <v>129</v>
      </c>
      <c r="C9098" s="2">
        <v>-0.03</v>
      </c>
      <c r="D9098" s="2">
        <v>0.11990000000000001</v>
      </c>
      <c r="E9098" s="2">
        <v>-3.5970000000000003E-5</v>
      </c>
      <c r="F9098" s="2" t="s">
        <v>7</v>
      </c>
    </row>
    <row r="9099" spans="1:6" ht="22.5" hidden="1" customHeight="1" x14ac:dyDescent="0.25">
      <c r="A9099" s="3">
        <v>44593</v>
      </c>
      <c r="B9099" s="2" t="s">
        <v>236</v>
      </c>
      <c r="C9099" s="2">
        <v>-0.54</v>
      </c>
      <c r="D9099" s="2">
        <v>6.8999999999999999E-3</v>
      </c>
      <c r="E9099" s="2">
        <v>-3.7259999999999999E-5</v>
      </c>
      <c r="F9099" s="2" t="s">
        <v>174</v>
      </c>
    </row>
    <row r="9100" spans="1:6" ht="22.5" hidden="1" customHeight="1" x14ac:dyDescent="0.25">
      <c r="A9100" s="3">
        <v>44593</v>
      </c>
      <c r="B9100" s="2" t="s">
        <v>194</v>
      </c>
      <c r="C9100" s="2">
        <v>-1.17</v>
      </c>
      <c r="D9100" s="2">
        <v>3.3E-3</v>
      </c>
      <c r="E9100" s="2">
        <v>-3.8609999999999998E-5</v>
      </c>
      <c r="F9100" s="2" t="s">
        <v>174</v>
      </c>
    </row>
    <row r="9101" spans="1:6" ht="22.5" hidden="1" customHeight="1" x14ac:dyDescent="0.25">
      <c r="A9101" s="3">
        <v>44593</v>
      </c>
      <c r="B9101" s="2" t="s">
        <v>67</v>
      </c>
      <c r="C9101" s="2">
        <v>-1.2</v>
      </c>
      <c r="D9101" s="2">
        <v>3.3999999999999998E-3</v>
      </c>
      <c r="E9101" s="2">
        <v>-4.0800000000000002E-5</v>
      </c>
      <c r="F9101" s="2" t="s">
        <v>7</v>
      </c>
    </row>
    <row r="9102" spans="1:6" ht="22.5" hidden="1" customHeight="1" x14ac:dyDescent="0.25">
      <c r="A9102" s="3">
        <v>44593</v>
      </c>
      <c r="B9102" s="2" t="s">
        <v>334</v>
      </c>
      <c r="C9102" s="2">
        <v>-0.2</v>
      </c>
      <c r="D9102" s="2">
        <v>2.07E-2</v>
      </c>
      <c r="E9102" s="2">
        <v>-4.1399999999999997E-5</v>
      </c>
      <c r="F9102" s="2" t="s">
        <v>170</v>
      </c>
    </row>
    <row r="9103" spans="1:6" ht="22.5" hidden="1" customHeight="1" x14ac:dyDescent="0.25">
      <c r="A9103" s="3">
        <v>44593</v>
      </c>
      <c r="B9103" s="2" t="s">
        <v>209</v>
      </c>
      <c r="C9103" s="2">
        <v>-0.81</v>
      </c>
      <c r="D9103" s="2">
        <v>5.7999999999999996E-3</v>
      </c>
      <c r="E9103" s="2">
        <v>-4.6980000000000001E-5</v>
      </c>
      <c r="F9103" s="2" t="s">
        <v>174</v>
      </c>
    </row>
    <row r="9104" spans="1:6" ht="22.5" hidden="1" customHeight="1" x14ac:dyDescent="0.25">
      <c r="A9104" s="3">
        <v>44593</v>
      </c>
      <c r="B9104" s="2" t="s">
        <v>149</v>
      </c>
      <c r="C9104" s="2">
        <v>-2.0099999999999998</v>
      </c>
      <c r="D9104" s="2">
        <v>2.3999999999999998E-3</v>
      </c>
      <c r="E9104" s="2">
        <v>-4.8239999999999999E-5</v>
      </c>
      <c r="F9104" s="2" t="s">
        <v>7</v>
      </c>
    </row>
    <row r="9105" spans="1:6" ht="22.5" hidden="1" customHeight="1" x14ac:dyDescent="0.25">
      <c r="A9105" s="3">
        <v>44593</v>
      </c>
      <c r="B9105" s="2" t="s">
        <v>138</v>
      </c>
      <c r="C9105" s="2">
        <v>-0.11</v>
      </c>
      <c r="D9105" s="2">
        <v>4.4200000000000003E-2</v>
      </c>
      <c r="E9105" s="2">
        <v>-4.8619999999999999E-5</v>
      </c>
      <c r="F9105" s="2" t="s">
        <v>7</v>
      </c>
    </row>
    <row r="9106" spans="1:6" ht="22.5" hidden="1" customHeight="1" x14ac:dyDescent="0.25">
      <c r="A9106" s="3">
        <v>44593</v>
      </c>
      <c r="B9106" s="2" t="s">
        <v>221</v>
      </c>
      <c r="C9106" s="2">
        <v>-1.71</v>
      </c>
      <c r="D9106" s="2">
        <v>3.5000000000000001E-3</v>
      </c>
      <c r="E9106" s="2">
        <v>-5.9849999999999998E-5</v>
      </c>
      <c r="F9106" s="2" t="s">
        <v>170</v>
      </c>
    </row>
    <row r="9107" spans="1:6" ht="22.5" hidden="1" customHeight="1" x14ac:dyDescent="0.25">
      <c r="A9107" s="3">
        <v>44593</v>
      </c>
      <c r="B9107" s="2" t="s">
        <v>99</v>
      </c>
      <c r="C9107" s="2">
        <v>-1.74</v>
      </c>
      <c r="D9107" s="2">
        <v>3.5000000000000001E-3</v>
      </c>
      <c r="E9107" s="2">
        <v>-6.0900000000000003E-5</v>
      </c>
      <c r="F9107" s="2" t="s">
        <v>7</v>
      </c>
    </row>
    <row r="9108" spans="1:6" ht="22.5" hidden="1" customHeight="1" x14ac:dyDescent="0.25">
      <c r="A9108" s="3">
        <v>44593</v>
      </c>
      <c r="B9108" s="2" t="s">
        <v>189</v>
      </c>
      <c r="C9108" s="2">
        <v>-1.83</v>
      </c>
      <c r="D9108" s="2">
        <v>3.8999999999999998E-3</v>
      </c>
      <c r="E9108" s="2">
        <v>-7.1370000000000003E-5</v>
      </c>
      <c r="F9108" s="2" t="s">
        <v>174</v>
      </c>
    </row>
    <row r="9109" spans="1:6" ht="22.5" hidden="1" customHeight="1" x14ac:dyDescent="0.25">
      <c r="A9109" s="3">
        <v>44593</v>
      </c>
      <c r="B9109" s="2" t="s">
        <v>68</v>
      </c>
      <c r="C9109" s="2">
        <v>-0.6</v>
      </c>
      <c r="D9109" s="2">
        <v>1.23E-2</v>
      </c>
      <c r="E9109" s="2">
        <v>-7.3800000000000005E-5</v>
      </c>
      <c r="F9109" s="2" t="s">
        <v>7</v>
      </c>
    </row>
    <row r="9110" spans="1:6" ht="22.5" hidden="1" customHeight="1" x14ac:dyDescent="0.25">
      <c r="A9110" s="3">
        <v>44593</v>
      </c>
      <c r="B9110" s="2" t="s">
        <v>183</v>
      </c>
      <c r="C9110" s="2">
        <v>-2.02</v>
      </c>
      <c r="D9110" s="2">
        <v>3.7000000000000002E-3</v>
      </c>
      <c r="E9110" s="2">
        <v>-7.4740000000000006E-5</v>
      </c>
      <c r="F9110" s="2" t="s">
        <v>174</v>
      </c>
    </row>
    <row r="9111" spans="1:6" ht="22.5" hidden="1" customHeight="1" x14ac:dyDescent="0.25">
      <c r="A9111" s="3">
        <v>44593</v>
      </c>
      <c r="B9111" s="2" t="s">
        <v>8</v>
      </c>
      <c r="C9111" s="2">
        <v>-0.68</v>
      </c>
      <c r="D9111" s="2">
        <v>1.26E-2</v>
      </c>
      <c r="E9111" s="2">
        <v>-8.5680000000000006E-5</v>
      </c>
      <c r="F9111" s="2" t="s">
        <v>7</v>
      </c>
    </row>
    <row r="9112" spans="1:6" ht="22.5" hidden="1" customHeight="1" x14ac:dyDescent="0.25">
      <c r="A9112" s="3">
        <v>44593</v>
      </c>
      <c r="B9112" s="2" t="s">
        <v>148</v>
      </c>
      <c r="C9112" s="2">
        <v>-0.39</v>
      </c>
      <c r="D9112" s="2">
        <v>2.2200000000000001E-2</v>
      </c>
      <c r="E9112" s="2">
        <v>-8.6580000000000001E-5</v>
      </c>
      <c r="F9112" s="2" t="s">
        <v>7</v>
      </c>
    </row>
    <row r="9113" spans="1:6" ht="22.5" hidden="1" customHeight="1" x14ac:dyDescent="0.25">
      <c r="A9113" s="3">
        <v>44593</v>
      </c>
      <c r="B9113" s="2" t="s">
        <v>171</v>
      </c>
      <c r="C9113" s="2">
        <v>-0.69</v>
      </c>
      <c r="D9113" s="2">
        <v>1.35E-2</v>
      </c>
      <c r="E9113" s="2">
        <v>-9.3150000000000001E-5</v>
      </c>
      <c r="F9113" s="2" t="s">
        <v>170</v>
      </c>
    </row>
    <row r="9114" spans="1:6" ht="22.5" hidden="1" customHeight="1" x14ac:dyDescent="0.25">
      <c r="A9114" s="3">
        <v>44593</v>
      </c>
      <c r="B9114" s="2" t="s">
        <v>172</v>
      </c>
      <c r="C9114" s="2">
        <v>-2.95</v>
      </c>
      <c r="D9114" s="2">
        <v>3.3999999999999998E-3</v>
      </c>
      <c r="E9114" s="2">
        <v>-1.003E-4</v>
      </c>
      <c r="F9114" s="2" t="s">
        <v>170</v>
      </c>
    </row>
    <row r="9115" spans="1:6" ht="22.5" hidden="1" customHeight="1" x14ac:dyDescent="0.25">
      <c r="A9115" s="3">
        <v>44593</v>
      </c>
      <c r="B9115" s="2" t="s">
        <v>141</v>
      </c>
      <c r="C9115" s="2">
        <v>-0.56000000000000005</v>
      </c>
      <c r="D9115" s="2">
        <v>1.9599999999999999E-2</v>
      </c>
      <c r="E9115" s="2">
        <v>-1.0976000000000001E-4</v>
      </c>
      <c r="F9115" s="2" t="s">
        <v>7</v>
      </c>
    </row>
    <row r="9116" spans="1:6" ht="22.5" hidden="1" customHeight="1" x14ac:dyDescent="0.25">
      <c r="A9116" s="3">
        <v>44593</v>
      </c>
      <c r="B9116" s="2" t="s">
        <v>32</v>
      </c>
      <c r="C9116" s="2">
        <v>-0.78</v>
      </c>
      <c r="D9116" s="2">
        <v>1.49E-2</v>
      </c>
      <c r="E9116" s="2">
        <v>-1.1622E-4</v>
      </c>
      <c r="F9116" s="2" t="s">
        <v>7</v>
      </c>
    </row>
    <row r="9117" spans="1:6" ht="22.5" hidden="1" customHeight="1" x14ac:dyDescent="0.25">
      <c r="A9117" s="3">
        <v>44593</v>
      </c>
      <c r="B9117" s="2" t="s">
        <v>176</v>
      </c>
      <c r="C9117" s="2">
        <v>-0.97</v>
      </c>
      <c r="D9117" s="2">
        <v>1.34E-2</v>
      </c>
      <c r="E9117" s="2">
        <v>-1.2998E-4</v>
      </c>
      <c r="F9117" s="2" t="s">
        <v>170</v>
      </c>
    </row>
    <row r="9118" spans="1:6" ht="22.5" hidden="1" customHeight="1" x14ac:dyDescent="0.25">
      <c r="A9118" s="3">
        <v>44593</v>
      </c>
      <c r="B9118" s="2" t="s">
        <v>84</v>
      </c>
      <c r="C9118" s="2">
        <v>-0.64</v>
      </c>
      <c r="D9118" s="2">
        <v>2.1299999999999999E-2</v>
      </c>
      <c r="E9118" s="2">
        <v>-1.3632E-4</v>
      </c>
      <c r="F9118" s="2" t="s">
        <v>7</v>
      </c>
    </row>
    <row r="9119" spans="1:6" ht="22.5" customHeight="1" x14ac:dyDescent="0.25">
      <c r="A9119" s="3">
        <v>44593</v>
      </c>
      <c r="B9119" s="2" t="s">
        <v>323</v>
      </c>
      <c r="C9119" s="2">
        <v>-1.31</v>
      </c>
      <c r="D9119" s="2">
        <v>1.09E-2</v>
      </c>
      <c r="E9119" s="2">
        <v>-1.4279000000000001E-4</v>
      </c>
      <c r="F9119" s="2" t="s">
        <v>165</v>
      </c>
    </row>
    <row r="9120" spans="1:6" ht="22.5" hidden="1" customHeight="1" x14ac:dyDescent="0.25">
      <c r="A9120" s="3">
        <v>44593</v>
      </c>
      <c r="B9120" s="2" t="s">
        <v>46</v>
      </c>
      <c r="C9120" s="2">
        <v>-11.96</v>
      </c>
      <c r="D9120" s="2">
        <v>1.1999999999999999E-3</v>
      </c>
      <c r="E9120" s="2">
        <v>-1.4352000000000001E-4</v>
      </c>
      <c r="F9120" s="2" t="s">
        <v>7</v>
      </c>
    </row>
    <row r="9121" spans="1:6" ht="22.5" hidden="1" customHeight="1" x14ac:dyDescent="0.25">
      <c r="A9121" s="3">
        <v>44593</v>
      </c>
      <c r="B9121" s="2" t="s">
        <v>106</v>
      </c>
      <c r="C9121" s="2">
        <v>-1.8</v>
      </c>
      <c r="D9121" s="2">
        <v>8.0000000000000002E-3</v>
      </c>
      <c r="E9121" s="2">
        <v>-1.44E-4</v>
      </c>
      <c r="F9121" s="2" t="s">
        <v>7</v>
      </c>
    </row>
    <row r="9122" spans="1:6" ht="22.5" hidden="1" customHeight="1" x14ac:dyDescent="0.25">
      <c r="A9122" s="3">
        <v>44593</v>
      </c>
      <c r="B9122" s="2" t="s">
        <v>186</v>
      </c>
      <c r="C9122" s="2">
        <v>-7.0000000000000007E-2</v>
      </c>
      <c r="D9122" s="2">
        <v>0.214</v>
      </c>
      <c r="E9122" s="2">
        <v>-1.4980000000000001E-4</v>
      </c>
      <c r="F9122" s="2" t="s">
        <v>174</v>
      </c>
    </row>
    <row r="9123" spans="1:6" ht="22.5" customHeight="1" x14ac:dyDescent="0.25">
      <c r="A9123" s="3">
        <v>44593</v>
      </c>
      <c r="B9123" s="2" t="s">
        <v>303</v>
      </c>
      <c r="C9123" s="2">
        <v>-0.03</v>
      </c>
      <c r="D9123" s="2">
        <v>0.51019999999999999</v>
      </c>
      <c r="E9123" s="2">
        <v>-1.5306E-4</v>
      </c>
      <c r="F9123" s="2" t="s">
        <v>165</v>
      </c>
    </row>
    <row r="9124" spans="1:6" ht="22.5" hidden="1" customHeight="1" x14ac:dyDescent="0.25">
      <c r="A9124" s="3">
        <v>44593</v>
      </c>
      <c r="B9124" s="2" t="s">
        <v>113</v>
      </c>
      <c r="C9124" s="2">
        <v>-0.82</v>
      </c>
      <c r="D9124" s="2">
        <v>2.0299999999999999E-2</v>
      </c>
      <c r="E9124" s="2">
        <v>-1.6646E-4</v>
      </c>
      <c r="F9124" s="2" t="s">
        <v>7</v>
      </c>
    </row>
    <row r="9125" spans="1:6" ht="22.5" hidden="1" customHeight="1" x14ac:dyDescent="0.25">
      <c r="A9125" s="3">
        <v>44593</v>
      </c>
      <c r="B9125" s="2" t="s">
        <v>98</v>
      </c>
      <c r="C9125" s="2">
        <v>-2.73</v>
      </c>
      <c r="D9125" s="2">
        <v>6.1000000000000004E-3</v>
      </c>
      <c r="E9125" s="2">
        <v>-1.6652999999999999E-4</v>
      </c>
      <c r="F9125" s="2" t="s">
        <v>7</v>
      </c>
    </row>
    <row r="9126" spans="1:6" ht="22.5" customHeight="1" x14ac:dyDescent="0.25">
      <c r="A9126" s="3">
        <v>44593</v>
      </c>
      <c r="B9126" s="2" t="s">
        <v>278</v>
      </c>
      <c r="C9126" s="2">
        <v>-0.27</v>
      </c>
      <c r="D9126" s="2">
        <v>6.3899999999999998E-2</v>
      </c>
      <c r="E9126" s="2">
        <v>-1.7253E-4</v>
      </c>
      <c r="F9126" s="2" t="s">
        <v>165</v>
      </c>
    </row>
    <row r="9127" spans="1:6" ht="22.5" hidden="1" customHeight="1" x14ac:dyDescent="0.25">
      <c r="A9127" s="3">
        <v>44593</v>
      </c>
      <c r="B9127" s="2" t="s">
        <v>302</v>
      </c>
      <c r="C9127" s="2">
        <v>-7.0000000000000007E-2</v>
      </c>
      <c r="D9127" s="2">
        <v>0.2586</v>
      </c>
      <c r="E9127" s="2">
        <v>-1.8102E-4</v>
      </c>
      <c r="F9127" s="2" t="s">
        <v>170</v>
      </c>
    </row>
    <row r="9128" spans="1:6" ht="22.5" hidden="1" customHeight="1" x14ac:dyDescent="0.25">
      <c r="A9128" s="3">
        <v>44593</v>
      </c>
      <c r="B9128" s="2" t="s">
        <v>207</v>
      </c>
      <c r="C9128" s="2">
        <v>-0.4</v>
      </c>
      <c r="D9128" s="2">
        <v>4.8099999999999997E-2</v>
      </c>
      <c r="E9128" s="2">
        <v>-1.9239999999999999E-4</v>
      </c>
      <c r="F9128" s="2" t="s">
        <v>174</v>
      </c>
    </row>
    <row r="9129" spans="1:6" ht="22.5" hidden="1" customHeight="1" x14ac:dyDescent="0.25">
      <c r="A9129" s="3">
        <v>44593</v>
      </c>
      <c r="B9129" s="2" t="s">
        <v>23</v>
      </c>
      <c r="C9129" s="2">
        <v>-0.93</v>
      </c>
      <c r="D9129" s="2">
        <v>2.1100000000000001E-2</v>
      </c>
      <c r="E9129" s="2">
        <v>-1.9623000000000001E-4</v>
      </c>
      <c r="F9129" s="2" t="s">
        <v>7</v>
      </c>
    </row>
    <row r="9130" spans="1:6" ht="22.5" hidden="1" customHeight="1" x14ac:dyDescent="0.25">
      <c r="A9130" s="3">
        <v>44593</v>
      </c>
      <c r="B9130" s="2" t="s">
        <v>75</v>
      </c>
      <c r="C9130" s="2">
        <v>-0.26</v>
      </c>
      <c r="D9130" s="2">
        <v>8.2000000000000003E-2</v>
      </c>
      <c r="E9130" s="2">
        <v>-2.1320000000000001E-4</v>
      </c>
      <c r="F9130" s="2" t="s">
        <v>7</v>
      </c>
    </row>
    <row r="9131" spans="1:6" ht="22.5" hidden="1" customHeight="1" x14ac:dyDescent="0.25">
      <c r="A9131" s="3">
        <v>44593</v>
      </c>
      <c r="B9131" s="2" t="s">
        <v>97</v>
      </c>
      <c r="C9131" s="2">
        <v>-2.0299999999999998</v>
      </c>
      <c r="D9131" s="2">
        <v>1.06E-2</v>
      </c>
      <c r="E9131" s="2">
        <v>-2.1518000000000001E-4</v>
      </c>
      <c r="F9131" s="2" t="s">
        <v>7</v>
      </c>
    </row>
    <row r="9132" spans="1:6" ht="22.5" customHeight="1" x14ac:dyDescent="0.25">
      <c r="A9132" s="3">
        <v>44593</v>
      </c>
      <c r="B9132" s="2" t="s">
        <v>227</v>
      </c>
      <c r="C9132" s="2">
        <v>-0.36</v>
      </c>
      <c r="D9132" s="2">
        <v>6.1800000000000001E-2</v>
      </c>
      <c r="E9132" s="2">
        <v>-2.2248E-4</v>
      </c>
      <c r="F9132" s="2" t="s">
        <v>165</v>
      </c>
    </row>
    <row r="9133" spans="1:6" ht="22.5" hidden="1" customHeight="1" x14ac:dyDescent="0.25">
      <c r="A9133" s="3">
        <v>44593</v>
      </c>
      <c r="B9133" s="2" t="s">
        <v>45</v>
      </c>
      <c r="C9133" s="2">
        <v>-1.44</v>
      </c>
      <c r="D9133" s="2">
        <v>1.6E-2</v>
      </c>
      <c r="E9133" s="2">
        <v>-2.3039999999999999E-4</v>
      </c>
      <c r="F9133" s="2" t="s">
        <v>7</v>
      </c>
    </row>
    <row r="9134" spans="1:6" ht="22.5" hidden="1" customHeight="1" x14ac:dyDescent="0.25">
      <c r="A9134" s="3">
        <v>44593</v>
      </c>
      <c r="B9134" s="2" t="s">
        <v>65</v>
      </c>
      <c r="C9134" s="2">
        <v>-1.07</v>
      </c>
      <c r="D9134" s="2">
        <v>2.1899999999999999E-2</v>
      </c>
      <c r="E9134" s="2">
        <v>-2.3432999999999999E-4</v>
      </c>
      <c r="F9134" s="2" t="s">
        <v>7</v>
      </c>
    </row>
    <row r="9135" spans="1:6" ht="22.5" hidden="1" customHeight="1" x14ac:dyDescent="0.25">
      <c r="A9135" s="3">
        <v>44593</v>
      </c>
      <c r="B9135" s="2" t="s">
        <v>203</v>
      </c>
      <c r="C9135" s="2">
        <v>-0.31</v>
      </c>
      <c r="D9135" s="2">
        <v>7.8100000000000003E-2</v>
      </c>
      <c r="E9135" s="2">
        <v>-2.4211E-4</v>
      </c>
      <c r="F9135" s="2" t="s">
        <v>170</v>
      </c>
    </row>
    <row r="9136" spans="1:6" ht="22.5" hidden="1" customHeight="1" x14ac:dyDescent="0.25">
      <c r="A9136" s="3">
        <v>44593</v>
      </c>
      <c r="B9136" s="2" t="s">
        <v>96</v>
      </c>
      <c r="C9136" s="2">
        <v>-0.52</v>
      </c>
      <c r="D9136" s="2">
        <v>4.6600000000000003E-2</v>
      </c>
      <c r="E9136" s="2">
        <v>-2.4232E-4</v>
      </c>
      <c r="F9136" s="2" t="s">
        <v>7</v>
      </c>
    </row>
    <row r="9137" spans="1:6" ht="22.5" hidden="1" customHeight="1" x14ac:dyDescent="0.25">
      <c r="A9137" s="3">
        <v>44593</v>
      </c>
      <c r="B9137" s="2" t="s">
        <v>139</v>
      </c>
      <c r="C9137" s="2">
        <v>-1.05</v>
      </c>
      <c r="D9137" s="2">
        <v>2.46E-2</v>
      </c>
      <c r="E9137" s="2">
        <v>-2.5829999999999999E-4</v>
      </c>
      <c r="F9137" s="2" t="s">
        <v>7</v>
      </c>
    </row>
    <row r="9138" spans="1:6" ht="22.5" hidden="1" customHeight="1" x14ac:dyDescent="0.25">
      <c r="A9138" s="3">
        <v>44562</v>
      </c>
      <c r="B9138" s="2" t="s">
        <v>284</v>
      </c>
      <c r="C9138" s="2">
        <v>-1.78</v>
      </c>
      <c r="D9138" s="2">
        <v>6.6079999999999997</v>
      </c>
      <c r="E9138" s="2">
        <v>-0.1176224</v>
      </c>
      <c r="F9138" s="2" t="s">
        <v>168</v>
      </c>
    </row>
    <row r="9139" spans="1:6" ht="22.5" hidden="1" customHeight="1" x14ac:dyDescent="0.25">
      <c r="A9139" s="3">
        <v>44593</v>
      </c>
      <c r="B9139" s="2" t="s">
        <v>184</v>
      </c>
      <c r="C9139" s="2">
        <v>-0.51</v>
      </c>
      <c r="D9139" s="2">
        <v>6.3299999999999995E-2</v>
      </c>
      <c r="E9139" s="2">
        <v>-3.2283000000000002E-4</v>
      </c>
      <c r="F9139" s="2" t="s">
        <v>174</v>
      </c>
    </row>
    <row r="9140" spans="1:6" ht="22.5" hidden="1" customHeight="1" x14ac:dyDescent="0.25">
      <c r="A9140" s="3">
        <v>44593</v>
      </c>
      <c r="B9140" s="2" t="s">
        <v>82</v>
      </c>
      <c r="C9140" s="2">
        <v>-0.68</v>
      </c>
      <c r="D9140" s="2">
        <v>4.9700000000000001E-2</v>
      </c>
      <c r="E9140" s="2">
        <v>-3.3796E-4</v>
      </c>
      <c r="F9140" s="2" t="s">
        <v>7</v>
      </c>
    </row>
    <row r="9141" spans="1:6" ht="22.5" hidden="1" customHeight="1" x14ac:dyDescent="0.25">
      <c r="A9141" s="3">
        <v>44593</v>
      </c>
      <c r="B9141" s="2" t="s">
        <v>191</v>
      </c>
      <c r="C9141" s="2">
        <v>-1.41</v>
      </c>
      <c r="D9141" s="2">
        <v>2.7099999999999999E-2</v>
      </c>
      <c r="E9141" s="2">
        <v>-3.8211000000000001E-4</v>
      </c>
      <c r="F9141" s="2" t="s">
        <v>174</v>
      </c>
    </row>
    <row r="9142" spans="1:6" ht="22.5" hidden="1" customHeight="1" x14ac:dyDescent="0.25">
      <c r="A9142" s="3">
        <v>43983</v>
      </c>
      <c r="B9142" s="2" t="s">
        <v>265</v>
      </c>
      <c r="C9142" s="2">
        <v>-26.08</v>
      </c>
      <c r="D9142" s="2">
        <v>0.46210000000000001</v>
      </c>
      <c r="E9142" s="2">
        <v>-0.12051568</v>
      </c>
      <c r="F9142" s="2" t="s">
        <v>168</v>
      </c>
    </row>
    <row r="9143" spans="1:6" ht="22.5" hidden="1" customHeight="1" x14ac:dyDescent="0.25">
      <c r="A9143" s="3">
        <v>44593</v>
      </c>
      <c r="B9143" s="2" t="s">
        <v>62</v>
      </c>
      <c r="C9143" s="2">
        <v>-0.42</v>
      </c>
      <c r="D9143" s="2">
        <v>9.5200000000000007E-2</v>
      </c>
      <c r="E9143" s="2">
        <v>-3.9983999999999999E-4</v>
      </c>
      <c r="F9143" s="2" t="s">
        <v>7</v>
      </c>
    </row>
    <row r="9144" spans="1:6" ht="22.5" hidden="1" customHeight="1" x14ac:dyDescent="0.25">
      <c r="A9144" s="3">
        <v>44593</v>
      </c>
      <c r="B9144" s="2" t="s">
        <v>56</v>
      </c>
      <c r="C9144" s="2">
        <v>-5.37</v>
      </c>
      <c r="D9144" s="2">
        <v>7.4999999999999997E-3</v>
      </c>
      <c r="E9144" s="2">
        <v>-4.0275E-4</v>
      </c>
      <c r="F9144" s="2" t="s">
        <v>7</v>
      </c>
    </row>
    <row r="9145" spans="1:6" ht="22.5" hidden="1" customHeight="1" x14ac:dyDescent="0.25">
      <c r="A9145" s="3">
        <v>44593</v>
      </c>
      <c r="B9145" s="2" t="s">
        <v>187</v>
      </c>
      <c r="C9145" s="2">
        <v>-0.87</v>
      </c>
      <c r="D9145" s="2">
        <v>5.7299999999999997E-2</v>
      </c>
      <c r="E9145" s="2">
        <v>-4.9850999999999997E-4</v>
      </c>
      <c r="F9145" s="2" t="s">
        <v>174</v>
      </c>
    </row>
    <row r="9146" spans="1:6" ht="22.5" hidden="1" customHeight="1" x14ac:dyDescent="0.25">
      <c r="A9146" s="3">
        <v>44593</v>
      </c>
      <c r="B9146" s="2" t="s">
        <v>111</v>
      </c>
      <c r="C9146" s="2">
        <v>-0.21</v>
      </c>
      <c r="D9146" s="2">
        <v>0.24149999999999999</v>
      </c>
      <c r="E9146" s="2">
        <v>-5.0715000000000005E-4</v>
      </c>
      <c r="F9146" s="2" t="s">
        <v>7</v>
      </c>
    </row>
    <row r="9147" spans="1:6" ht="22.5" customHeight="1" x14ac:dyDescent="0.25">
      <c r="A9147" s="3">
        <v>44593</v>
      </c>
      <c r="B9147" s="2" t="s">
        <v>339</v>
      </c>
      <c r="C9147" s="2">
        <v>-1.32</v>
      </c>
      <c r="D9147" s="2">
        <v>3.85E-2</v>
      </c>
      <c r="E9147" s="2">
        <v>-5.0819999999999999E-4</v>
      </c>
      <c r="F9147" s="2" t="s">
        <v>165</v>
      </c>
    </row>
    <row r="9148" spans="1:6" ht="22.5" hidden="1" customHeight="1" x14ac:dyDescent="0.25">
      <c r="A9148" s="3">
        <v>44593</v>
      </c>
      <c r="B9148" s="2" t="s">
        <v>107</v>
      </c>
      <c r="C9148" s="2">
        <v>-0.51</v>
      </c>
      <c r="D9148" s="2">
        <v>0.11609999999999999</v>
      </c>
      <c r="E9148" s="2">
        <v>-5.9210999999999997E-4</v>
      </c>
      <c r="F9148" s="2" t="s">
        <v>7</v>
      </c>
    </row>
    <row r="9149" spans="1:6" ht="22.5" hidden="1" customHeight="1" x14ac:dyDescent="0.25">
      <c r="A9149" s="3">
        <v>44593</v>
      </c>
      <c r="B9149" s="2" t="s">
        <v>52</v>
      </c>
      <c r="C9149" s="2">
        <v>-2.4</v>
      </c>
      <c r="D9149" s="2">
        <v>2.69E-2</v>
      </c>
      <c r="E9149" s="2">
        <v>-6.4559999999999997E-4</v>
      </c>
      <c r="F9149" s="2" t="s">
        <v>7</v>
      </c>
    </row>
    <row r="9150" spans="1:6" ht="22.5" hidden="1" customHeight="1" x14ac:dyDescent="0.25">
      <c r="A9150" s="3">
        <v>44593</v>
      </c>
      <c r="B9150" s="2" t="s">
        <v>60</v>
      </c>
      <c r="C9150" s="2">
        <v>-1.97</v>
      </c>
      <c r="D9150" s="2">
        <v>3.61E-2</v>
      </c>
      <c r="E9150" s="2">
        <v>-7.1117000000000001E-4</v>
      </c>
      <c r="F9150" s="2" t="s">
        <v>7</v>
      </c>
    </row>
    <row r="9151" spans="1:6" ht="22.5" hidden="1" customHeight="1" x14ac:dyDescent="0.25">
      <c r="A9151" s="3">
        <v>44593</v>
      </c>
      <c r="B9151" s="2" t="s">
        <v>61</v>
      </c>
      <c r="C9151" s="2">
        <v>-1.1100000000000001</v>
      </c>
      <c r="D9151" s="2">
        <v>6.9099999999999995E-2</v>
      </c>
      <c r="E9151" s="2">
        <v>-7.6701000000000004E-4</v>
      </c>
      <c r="F9151" s="2" t="s">
        <v>7</v>
      </c>
    </row>
    <row r="9152" spans="1:6" ht="22.5" hidden="1" customHeight="1" x14ac:dyDescent="0.25">
      <c r="A9152" s="3">
        <v>44593</v>
      </c>
      <c r="B9152" s="2" t="s">
        <v>77</v>
      </c>
      <c r="C9152" s="2">
        <v>-0.7</v>
      </c>
      <c r="D9152" s="2">
        <v>0.112</v>
      </c>
      <c r="E9152" s="2">
        <v>-7.8399999999999997E-4</v>
      </c>
      <c r="F9152" s="2" t="s">
        <v>7</v>
      </c>
    </row>
    <row r="9153" spans="1:6" ht="22.5" hidden="1" customHeight="1" x14ac:dyDescent="0.25">
      <c r="A9153" s="3">
        <v>44593</v>
      </c>
      <c r="B9153" s="2" t="s">
        <v>44</v>
      </c>
      <c r="C9153" s="2">
        <v>-5.15</v>
      </c>
      <c r="D9153" s="2">
        <v>1.5900000000000001E-2</v>
      </c>
      <c r="E9153" s="2">
        <v>-8.1884999999999998E-4</v>
      </c>
      <c r="F9153" s="2" t="s">
        <v>7</v>
      </c>
    </row>
    <row r="9154" spans="1:6" ht="22.5" hidden="1" customHeight="1" x14ac:dyDescent="0.25">
      <c r="A9154" s="3">
        <v>44593</v>
      </c>
      <c r="B9154" s="2" t="s">
        <v>114</v>
      </c>
      <c r="C9154" s="2">
        <v>-0.43</v>
      </c>
      <c r="D9154" s="2">
        <v>0.1983</v>
      </c>
      <c r="E9154" s="2">
        <v>-8.5269000000000002E-4</v>
      </c>
      <c r="F9154" s="2" t="s">
        <v>7</v>
      </c>
    </row>
    <row r="9155" spans="1:6" ht="22.5" hidden="1" customHeight="1" x14ac:dyDescent="0.25">
      <c r="A9155" s="3">
        <v>44593</v>
      </c>
      <c r="B9155" s="2" t="s">
        <v>70</v>
      </c>
      <c r="C9155" s="2">
        <v>-2.89</v>
      </c>
      <c r="D9155" s="2">
        <v>3.1E-2</v>
      </c>
      <c r="E9155" s="2">
        <v>-8.9590000000000004E-4</v>
      </c>
      <c r="F9155" s="2" t="s">
        <v>7</v>
      </c>
    </row>
    <row r="9156" spans="1:6" ht="22.5" hidden="1" customHeight="1" x14ac:dyDescent="0.25">
      <c r="A9156" s="3">
        <v>44593</v>
      </c>
      <c r="B9156" s="2" t="s">
        <v>360</v>
      </c>
      <c r="C9156" s="2">
        <v>-1.07</v>
      </c>
      <c r="D9156" s="2">
        <v>8.6400000000000005E-2</v>
      </c>
      <c r="E9156" s="2">
        <v>-9.2447999999999998E-4</v>
      </c>
      <c r="F9156" s="2" t="s">
        <v>174</v>
      </c>
    </row>
    <row r="9157" spans="1:6" ht="22.5" hidden="1" customHeight="1" x14ac:dyDescent="0.25">
      <c r="A9157" s="3">
        <v>44593</v>
      </c>
      <c r="B9157" s="2" t="s">
        <v>175</v>
      </c>
      <c r="C9157" s="2">
        <v>-0.35</v>
      </c>
      <c r="D9157" s="2">
        <v>0.27679999999999999</v>
      </c>
      <c r="E9157" s="2">
        <v>-9.6880000000000002E-4</v>
      </c>
      <c r="F9157" s="2" t="s">
        <v>174</v>
      </c>
    </row>
    <row r="9158" spans="1:6" ht="22.5" hidden="1" customHeight="1" x14ac:dyDescent="0.25">
      <c r="A9158" s="3">
        <v>44593</v>
      </c>
      <c r="B9158" s="2" t="s">
        <v>151</v>
      </c>
      <c r="C9158" s="2">
        <v>-0.91</v>
      </c>
      <c r="D9158" s="2">
        <v>0.107</v>
      </c>
      <c r="E9158" s="2">
        <v>-9.7369999999999998E-4</v>
      </c>
      <c r="F9158" s="2" t="s">
        <v>7</v>
      </c>
    </row>
    <row r="9159" spans="1:6" ht="22.5" hidden="1" customHeight="1" x14ac:dyDescent="0.25">
      <c r="A9159" s="3">
        <v>44197</v>
      </c>
      <c r="B9159" s="2" t="s">
        <v>265</v>
      </c>
      <c r="C9159" s="2">
        <v>-20.49</v>
      </c>
      <c r="D9159" s="2">
        <v>0.60970000000000002</v>
      </c>
      <c r="E9159" s="2">
        <v>-0.12492752999999999</v>
      </c>
      <c r="F9159" s="2" t="s">
        <v>168</v>
      </c>
    </row>
    <row r="9160" spans="1:6" ht="22.5" hidden="1" customHeight="1" x14ac:dyDescent="0.25">
      <c r="A9160" s="3">
        <v>44593</v>
      </c>
      <c r="B9160" s="2" t="s">
        <v>19</v>
      </c>
      <c r="C9160" s="2">
        <v>-0.91</v>
      </c>
      <c r="D9160" s="2">
        <v>0.12330000000000001</v>
      </c>
      <c r="E9160" s="2">
        <v>-1.12203E-3</v>
      </c>
      <c r="F9160" s="2" t="s">
        <v>7</v>
      </c>
    </row>
    <row r="9161" spans="1:6" ht="22.5" hidden="1" customHeight="1" x14ac:dyDescent="0.25">
      <c r="A9161" s="3">
        <v>44593</v>
      </c>
      <c r="B9161" s="2" t="s">
        <v>26</v>
      </c>
      <c r="C9161" s="2">
        <v>-8.07</v>
      </c>
      <c r="D9161" s="2">
        <v>1.9099999999999999E-2</v>
      </c>
      <c r="E9161" s="2">
        <v>-1.54137E-3</v>
      </c>
      <c r="F9161" s="2" t="s">
        <v>7</v>
      </c>
    </row>
    <row r="9162" spans="1:6" ht="22.5" hidden="1" customHeight="1" x14ac:dyDescent="0.25">
      <c r="A9162" s="3">
        <v>44317</v>
      </c>
      <c r="B9162" s="2" t="s">
        <v>265</v>
      </c>
      <c r="C9162" s="2">
        <v>-28.85</v>
      </c>
      <c r="D9162" s="2">
        <v>0.47839999999999999</v>
      </c>
      <c r="E9162" s="2">
        <v>-0.13801840000000001</v>
      </c>
      <c r="F9162" s="2" t="s">
        <v>168</v>
      </c>
    </row>
    <row r="9163" spans="1:6" ht="22.5" customHeight="1" x14ac:dyDescent="0.25">
      <c r="A9163" s="3">
        <v>44593</v>
      </c>
      <c r="B9163" s="2" t="s">
        <v>282</v>
      </c>
      <c r="C9163" s="2">
        <v>-15.44</v>
      </c>
      <c r="D9163" s="2">
        <v>2.7E-2</v>
      </c>
      <c r="E9163" s="2">
        <v>-4.1688000000000003E-3</v>
      </c>
      <c r="F9163" s="2" t="s">
        <v>165</v>
      </c>
    </row>
    <row r="9164" spans="1:6" ht="22.5" hidden="1" customHeight="1" x14ac:dyDescent="0.25">
      <c r="A9164" s="3">
        <v>44593</v>
      </c>
      <c r="B9164" s="2" t="s">
        <v>103</v>
      </c>
      <c r="C9164" s="2">
        <v>-1.17</v>
      </c>
      <c r="D9164" s="2">
        <v>0.35709999999999997</v>
      </c>
      <c r="E9164" s="2">
        <v>-4.1780699999999999E-3</v>
      </c>
      <c r="F9164" s="2" t="s">
        <v>7</v>
      </c>
    </row>
    <row r="9165" spans="1:6" ht="22.5" hidden="1" customHeight="1" x14ac:dyDescent="0.25">
      <c r="A9165" s="3">
        <v>44593</v>
      </c>
      <c r="B9165" s="2" t="s">
        <v>47</v>
      </c>
      <c r="C9165" s="2">
        <v>-4.8</v>
      </c>
      <c r="D9165" s="2">
        <v>9.8199999999999996E-2</v>
      </c>
      <c r="E9165" s="2">
        <v>-4.7136000000000001E-3</v>
      </c>
      <c r="F9165" s="2" t="s">
        <v>7</v>
      </c>
    </row>
    <row r="9166" spans="1:6" ht="22.5" hidden="1" customHeight="1" x14ac:dyDescent="0.25">
      <c r="A9166" s="3">
        <v>44593</v>
      </c>
      <c r="B9166" s="2" t="s">
        <v>109</v>
      </c>
      <c r="C9166" s="2">
        <v>-1.97</v>
      </c>
      <c r="D9166" s="2">
        <v>0.38059999999999999</v>
      </c>
      <c r="E9166" s="2">
        <v>-7.4978199999999997E-3</v>
      </c>
      <c r="F9166" s="2" t="s">
        <v>7</v>
      </c>
    </row>
    <row r="9167" spans="1:6" ht="22.5" hidden="1" customHeight="1" x14ac:dyDescent="0.25">
      <c r="A9167" s="3">
        <v>44593</v>
      </c>
      <c r="B9167" s="2" t="s">
        <v>6</v>
      </c>
      <c r="C9167" s="2">
        <v>-1.6</v>
      </c>
      <c r="D9167" s="2">
        <v>0.56320000000000003</v>
      </c>
      <c r="E9167" s="2">
        <v>-9.0112000000000005E-3</v>
      </c>
      <c r="F9167" s="2" t="s">
        <v>7</v>
      </c>
    </row>
    <row r="9168" spans="1:6" ht="22.5" hidden="1" customHeight="1" x14ac:dyDescent="0.25">
      <c r="A9168" s="3">
        <v>44593</v>
      </c>
      <c r="B9168" s="2" t="s">
        <v>110</v>
      </c>
      <c r="C9168" s="2">
        <v>-1.31</v>
      </c>
      <c r="D9168" s="2">
        <v>0.71120000000000005</v>
      </c>
      <c r="E9168" s="2">
        <v>-9.3167200000000006E-3</v>
      </c>
      <c r="F9168" s="2" t="s">
        <v>7</v>
      </c>
    </row>
    <row r="9169" spans="1:6" ht="22.5" hidden="1" customHeight="1" x14ac:dyDescent="0.25">
      <c r="A9169" s="3">
        <v>44593</v>
      </c>
      <c r="B9169" s="2" t="s">
        <v>66</v>
      </c>
      <c r="C9169" s="2">
        <v>-3.36</v>
      </c>
      <c r="D9169" s="2">
        <v>0.34920000000000001</v>
      </c>
      <c r="E9169" s="2">
        <v>-1.173312E-2</v>
      </c>
      <c r="F9169" s="2" t="s">
        <v>7</v>
      </c>
    </row>
    <row r="9170" spans="1:6" ht="22.5" hidden="1" customHeight="1" x14ac:dyDescent="0.25">
      <c r="A9170" s="3">
        <v>44593</v>
      </c>
      <c r="B9170" s="2" t="s">
        <v>314</v>
      </c>
      <c r="C9170" s="2">
        <v>-3.65</v>
      </c>
      <c r="D9170" s="2">
        <v>0.37869999999999998</v>
      </c>
      <c r="E9170" s="2">
        <v>-1.3822549999999999E-2</v>
      </c>
      <c r="F9170" s="2" t="s">
        <v>174</v>
      </c>
    </row>
    <row r="9171" spans="1:6" ht="22.5" hidden="1" customHeight="1" x14ac:dyDescent="0.25">
      <c r="A9171" s="3">
        <v>44593</v>
      </c>
      <c r="B9171" s="2" t="s">
        <v>317</v>
      </c>
      <c r="C9171" s="2">
        <v>-1.84</v>
      </c>
      <c r="D9171" s="2">
        <v>0.94550000000000001</v>
      </c>
      <c r="E9171" s="2">
        <v>-1.7397200000000002E-2</v>
      </c>
      <c r="F9171" s="2" t="s">
        <v>174</v>
      </c>
    </row>
    <row r="9172" spans="1:6" ht="22.5" hidden="1" customHeight="1" x14ac:dyDescent="0.25">
      <c r="A9172" s="3">
        <v>43952</v>
      </c>
      <c r="B9172" s="2" t="s">
        <v>265</v>
      </c>
      <c r="C9172" s="2">
        <v>-27.08</v>
      </c>
      <c r="D9172" s="2">
        <v>0.62980000000000003</v>
      </c>
      <c r="E9172" s="2">
        <v>-0.17054984000000001</v>
      </c>
      <c r="F9172" s="2" t="s">
        <v>168</v>
      </c>
    </row>
    <row r="9173" spans="1:6" ht="22.5" customHeight="1" x14ac:dyDescent="0.25">
      <c r="A9173" s="3">
        <v>44593</v>
      </c>
      <c r="B9173" s="2" t="s">
        <v>268</v>
      </c>
      <c r="C9173" s="2">
        <v>-10.31</v>
      </c>
      <c r="D9173" s="2">
        <v>0.2311</v>
      </c>
      <c r="E9173" s="2">
        <v>-2.3826409999999999E-2</v>
      </c>
      <c r="F9173" s="2" t="s">
        <v>165</v>
      </c>
    </row>
    <row r="9174" spans="1:6" ht="22.5" hidden="1" customHeight="1" x14ac:dyDescent="0.25">
      <c r="A9174" s="3">
        <v>44228</v>
      </c>
      <c r="B9174" s="2" t="s">
        <v>197</v>
      </c>
      <c r="C9174" s="2">
        <v>-4.24</v>
      </c>
      <c r="D9174" s="2">
        <v>4.4771000000000001</v>
      </c>
      <c r="E9174" s="2">
        <v>-0.18982904</v>
      </c>
      <c r="F9174" s="2" t="s">
        <v>168</v>
      </c>
    </row>
    <row r="9175" spans="1:6" ht="22.5" hidden="1" customHeight="1" x14ac:dyDescent="0.25">
      <c r="A9175" s="3">
        <v>43922</v>
      </c>
      <c r="B9175" s="2" t="s">
        <v>284</v>
      </c>
      <c r="C9175" s="2">
        <v>-5.41</v>
      </c>
      <c r="D9175" s="2">
        <v>5.0601000000000003</v>
      </c>
      <c r="E9175" s="2">
        <v>-0.27375140999999997</v>
      </c>
      <c r="F9175" s="2" t="s">
        <v>168</v>
      </c>
    </row>
    <row r="9176" spans="1:6" ht="22.5" hidden="1" customHeight="1" x14ac:dyDescent="0.25">
      <c r="A9176" s="3">
        <v>43952</v>
      </c>
      <c r="B9176" s="2" t="s">
        <v>284</v>
      </c>
      <c r="C9176" s="2">
        <v>-8.51</v>
      </c>
      <c r="D9176" s="2">
        <v>4.7884000000000002</v>
      </c>
      <c r="E9176" s="2">
        <v>-0.40749284000000002</v>
      </c>
      <c r="F9176" s="2" t="s">
        <v>168</v>
      </c>
    </row>
  </sheetData>
  <autoFilter ref="A1:F9176" xr:uid="{1AC28E6F-B4CD-4DA8-A812-CD347CE46231}">
    <filterColumn colId="0">
      <filters>
        <dateGroupItem year="2022" month="2" dateTimeGrouping="month"/>
      </filters>
    </filterColumn>
    <filterColumn colId="5">
      <filters>
        <filter val="Serviços"/>
      </filters>
    </filterColumn>
    <sortState xmlns:xlrd2="http://schemas.microsoft.com/office/spreadsheetml/2017/richdata2" ref="A8816:F9169">
      <sortCondition descending="1" ref="E1:E9176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EF40-47B2-4368-8B24-3CB3B21A9CF4}">
  <dimension ref="A1:I32"/>
  <sheetViews>
    <sheetView workbookViewId="0"/>
  </sheetViews>
  <sheetFormatPr defaultColWidth="16.25" defaultRowHeight="22.5" customHeight="1" x14ac:dyDescent="0.25"/>
  <cols>
    <col min="1" max="1" width="18.375" style="2" bestFit="1" customWidth="1"/>
    <col min="2" max="16384" width="16.25" style="2"/>
  </cols>
  <sheetData>
    <row r="1" spans="1:9" ht="22.5" customHeight="1" x14ac:dyDescent="0.25">
      <c r="A1" s="2" t="s">
        <v>374</v>
      </c>
      <c r="B1" s="2" t="s">
        <v>373</v>
      </c>
      <c r="C1" s="2" t="s">
        <v>377</v>
      </c>
      <c r="E1" s="2" t="s">
        <v>374</v>
      </c>
      <c r="F1" s="2" t="s">
        <v>375</v>
      </c>
      <c r="G1" s="2" t="s">
        <v>376</v>
      </c>
      <c r="H1" s="2" t="s">
        <v>377</v>
      </c>
      <c r="I1" s="2" t="s">
        <v>378</v>
      </c>
    </row>
    <row r="2" spans="1:9" ht="22.5" customHeight="1" x14ac:dyDescent="0.25">
      <c r="A2" s="2" t="s">
        <v>397</v>
      </c>
      <c r="B2" s="2">
        <v>3.7093809999999998E-2</v>
      </c>
      <c r="C2" s="2" t="s">
        <v>168</v>
      </c>
      <c r="E2" s="2" t="str">
        <f>A2</f>
        <v>Emplacamento</v>
      </c>
      <c r="F2" s="2">
        <v>0</v>
      </c>
      <c r="G2" s="2">
        <f>B2</f>
        <v>3.7093809999999998E-2</v>
      </c>
      <c r="H2" s="2" t="str">
        <f>C2</f>
        <v>Administrados</v>
      </c>
      <c r="I2" s="2">
        <v>1</v>
      </c>
    </row>
    <row r="3" spans="1:9" ht="22.5" customHeight="1" x14ac:dyDescent="0.25">
      <c r="A3" s="2" t="s">
        <v>385</v>
      </c>
      <c r="B3" s="2">
        <v>9.6817499999999994E-3</v>
      </c>
      <c r="C3" s="2" t="s">
        <v>168</v>
      </c>
      <c r="E3" s="2" t="str">
        <f t="shared" ref="E3:E30" si="0">A3</f>
        <v>Gasolina</v>
      </c>
      <c r="F3" s="2">
        <f t="shared" ref="F3:F31" si="1">G2</f>
        <v>3.7093809999999998E-2</v>
      </c>
      <c r="G3" s="2">
        <f t="shared" ref="G3:G31" si="2">B3+F3</f>
        <v>4.6775559999999994E-2</v>
      </c>
      <c r="H3" s="2" t="str">
        <f t="shared" ref="H3:H31" si="3">C3</f>
        <v>Administrados</v>
      </c>
      <c r="I3" s="2">
        <v>2</v>
      </c>
    </row>
    <row r="4" spans="1:9" ht="22.5" customHeight="1" x14ac:dyDescent="0.25">
      <c r="A4" s="2" t="s">
        <v>398</v>
      </c>
      <c r="B4" s="2">
        <v>9.1097999999999995E-3</v>
      </c>
      <c r="C4" s="2" t="s">
        <v>168</v>
      </c>
      <c r="E4" s="2" t="str">
        <f t="shared" si="0"/>
        <v>Óleo Diesel</v>
      </c>
      <c r="F4" s="2">
        <f t="shared" si="1"/>
        <v>4.6775559999999994E-2</v>
      </c>
      <c r="G4" s="2">
        <f t="shared" si="2"/>
        <v>5.5885359999999995E-2</v>
      </c>
      <c r="H4" s="2" t="str">
        <f t="shared" si="3"/>
        <v>Administrados</v>
      </c>
      <c r="I4" s="2">
        <v>3</v>
      </c>
    </row>
    <row r="5" spans="1:9" ht="22.5" customHeight="1" x14ac:dyDescent="0.25">
      <c r="A5" s="2" t="s">
        <v>399</v>
      </c>
      <c r="B5" s="2">
        <v>6.3540000000000003E-3</v>
      </c>
      <c r="C5" s="2" t="s">
        <v>168</v>
      </c>
      <c r="E5" s="2" t="str">
        <f t="shared" si="0"/>
        <v>Planos de Telefonia</v>
      </c>
      <c r="F5" s="2">
        <f t="shared" si="1"/>
        <v>5.5885359999999995E-2</v>
      </c>
      <c r="G5" s="2">
        <f t="shared" si="2"/>
        <v>6.2239359999999994E-2</v>
      </c>
      <c r="H5" s="2" t="str">
        <f t="shared" si="3"/>
        <v>Administrados</v>
      </c>
      <c r="I5" s="2">
        <v>4</v>
      </c>
    </row>
    <row r="6" spans="1:9" ht="22.5" customHeight="1" x14ac:dyDescent="0.25">
      <c r="A6" s="2" t="s">
        <v>400</v>
      </c>
      <c r="B6" s="2">
        <v>5.5565399999999996E-3</v>
      </c>
      <c r="C6" s="2" t="s">
        <v>168</v>
      </c>
      <c r="E6" s="2" t="str">
        <f t="shared" si="0"/>
        <v>Água e Esgoto</v>
      </c>
      <c r="F6" s="2">
        <f t="shared" si="1"/>
        <v>6.2239359999999994E-2</v>
      </c>
      <c r="G6" s="2">
        <f t="shared" si="2"/>
        <v>6.7795899999999992E-2</v>
      </c>
      <c r="H6" s="2" t="str">
        <f t="shared" si="3"/>
        <v>Administrados</v>
      </c>
      <c r="I6" s="2">
        <v>5</v>
      </c>
    </row>
    <row r="7" spans="1:9" ht="22.5" customHeight="1" x14ac:dyDescent="0.25">
      <c r="A7" s="2" t="s">
        <v>392</v>
      </c>
      <c r="B7" s="2">
        <f>'Variação do IPCA-15'!C122-SUM('Variação Desagregada do IPCA-15'!B2:B6)</f>
        <v>-8.4110779999999996E-2</v>
      </c>
      <c r="C7" s="2" t="s">
        <v>168</v>
      </c>
      <c r="E7" s="2" t="s">
        <v>379</v>
      </c>
      <c r="F7" s="2">
        <f t="shared" si="1"/>
        <v>6.7795899999999992E-2</v>
      </c>
      <c r="G7" s="2">
        <f t="shared" si="2"/>
        <v>-1.6314880000000004E-2</v>
      </c>
      <c r="H7" s="2" t="str">
        <f t="shared" si="3"/>
        <v>Administrados</v>
      </c>
      <c r="I7" s="2">
        <v>6</v>
      </c>
    </row>
    <row r="8" spans="1:9" ht="22.5" customHeight="1" x14ac:dyDescent="0.25">
      <c r="A8" s="2" t="s">
        <v>401</v>
      </c>
      <c r="B8" s="2">
        <v>3.1675799999999997E-2</v>
      </c>
      <c r="C8" s="2" t="s">
        <v>7</v>
      </c>
      <c r="E8" s="2" t="str">
        <f t="shared" si="0"/>
        <v>Batata-Inglesa</v>
      </c>
      <c r="F8" s="2">
        <f t="shared" si="1"/>
        <v>-1.6314880000000004E-2</v>
      </c>
      <c r="G8" s="2">
        <f t="shared" si="2"/>
        <v>1.5360919999999993E-2</v>
      </c>
      <c r="H8" s="2" t="str">
        <f t="shared" si="3"/>
        <v>Alimentos</v>
      </c>
      <c r="I8" s="2">
        <v>1</v>
      </c>
    </row>
    <row r="9" spans="1:9" ht="22.5" customHeight="1" x14ac:dyDescent="0.25">
      <c r="A9" s="2" t="s">
        <v>402</v>
      </c>
      <c r="B9" s="2">
        <v>2.682464E-2</v>
      </c>
      <c r="C9" s="2" t="s">
        <v>7</v>
      </c>
      <c r="E9" s="2" t="str">
        <f t="shared" si="0"/>
        <v>Cenoura</v>
      </c>
      <c r="F9" s="2">
        <f t="shared" si="1"/>
        <v>1.5360919999999993E-2</v>
      </c>
      <c r="G9" s="2">
        <f t="shared" si="2"/>
        <v>4.2185559999999997E-2</v>
      </c>
      <c r="H9" s="2" t="str">
        <f t="shared" si="3"/>
        <v>Alimentos</v>
      </c>
      <c r="I9" s="2">
        <v>2</v>
      </c>
    </row>
    <row r="10" spans="1:9" ht="22.5" customHeight="1" x14ac:dyDescent="0.25">
      <c r="A10" s="2" t="s">
        <v>386</v>
      </c>
      <c r="B10" s="2">
        <v>2.0943509999999999E-2</v>
      </c>
      <c r="C10" s="2" t="s">
        <v>7</v>
      </c>
      <c r="E10" s="2" t="str">
        <f t="shared" si="0"/>
        <v>Refeição</v>
      </c>
      <c r="F10" s="2">
        <f t="shared" si="1"/>
        <v>4.2185559999999997E-2</v>
      </c>
      <c r="G10" s="2">
        <f t="shared" si="2"/>
        <v>6.3129069999999995E-2</v>
      </c>
      <c r="H10" s="2" t="str">
        <f t="shared" si="3"/>
        <v>Alimentos</v>
      </c>
      <c r="I10" s="2">
        <v>3</v>
      </c>
    </row>
    <row r="11" spans="1:9" ht="22.5" customHeight="1" x14ac:dyDescent="0.25">
      <c r="A11" s="2" t="s">
        <v>403</v>
      </c>
      <c r="B11" s="2">
        <v>1.7978000000000001E-2</v>
      </c>
      <c r="C11" s="2" t="s">
        <v>7</v>
      </c>
      <c r="E11" s="2" t="str">
        <f t="shared" si="0"/>
        <v>Contrafilé</v>
      </c>
      <c r="F11" s="2">
        <f t="shared" si="1"/>
        <v>6.3129069999999995E-2</v>
      </c>
      <c r="G11" s="2">
        <f t="shared" si="2"/>
        <v>8.1107070000000003E-2</v>
      </c>
      <c r="H11" s="2" t="str">
        <f t="shared" si="3"/>
        <v>Alimentos</v>
      </c>
      <c r="I11" s="2">
        <v>4</v>
      </c>
    </row>
    <row r="12" spans="1:9" ht="22.5" customHeight="1" x14ac:dyDescent="0.25">
      <c r="A12" s="2" t="s">
        <v>404</v>
      </c>
      <c r="B12" s="2">
        <v>1.79256E-2</v>
      </c>
      <c r="C12" s="2" t="s">
        <v>7</v>
      </c>
      <c r="E12" s="2" t="str">
        <f t="shared" si="0"/>
        <v>Alface</v>
      </c>
      <c r="F12" s="2">
        <f t="shared" si="1"/>
        <v>8.1107070000000003E-2</v>
      </c>
      <c r="G12" s="2">
        <f t="shared" si="2"/>
        <v>9.9032670000000003E-2</v>
      </c>
      <c r="H12" s="2" t="str">
        <f t="shared" si="3"/>
        <v>Alimentos</v>
      </c>
      <c r="I12" s="2">
        <v>5</v>
      </c>
    </row>
    <row r="13" spans="1:9" ht="22.5" customHeight="1" x14ac:dyDescent="0.25">
      <c r="A13" s="2" t="s">
        <v>393</v>
      </c>
      <c r="B13" s="2">
        <f>'Variação do IPCA-15'!C123-SUM('Variação Desagregada do IPCA-15'!B8:B12)</f>
        <v>0.13273344999999998</v>
      </c>
      <c r="C13" s="2" t="s">
        <v>7</v>
      </c>
      <c r="E13" s="2" t="s">
        <v>380</v>
      </c>
      <c r="F13" s="2">
        <f t="shared" si="1"/>
        <v>9.9032670000000003E-2</v>
      </c>
      <c r="G13" s="2">
        <f t="shared" si="2"/>
        <v>0.23176611999999996</v>
      </c>
      <c r="H13" s="2" t="str">
        <f t="shared" si="3"/>
        <v>Alimentos</v>
      </c>
      <c r="I13" s="2">
        <v>6</v>
      </c>
    </row>
    <row r="14" spans="1:9" ht="22.5" customHeight="1" x14ac:dyDescent="0.25">
      <c r="A14" s="2" t="s">
        <v>387</v>
      </c>
      <c r="B14" s="2">
        <v>8.1855839999999999E-2</v>
      </c>
      <c r="C14" s="2" t="s">
        <v>170</v>
      </c>
      <c r="E14" s="2" t="str">
        <f t="shared" si="0"/>
        <v>Automóvel Novo</v>
      </c>
      <c r="F14" s="2">
        <f t="shared" si="1"/>
        <v>0.23176611999999996</v>
      </c>
      <c r="G14" s="2">
        <f t="shared" si="2"/>
        <v>0.31362195999999998</v>
      </c>
      <c r="H14" s="2" t="str">
        <f t="shared" si="3"/>
        <v>Bens Duráveis</v>
      </c>
      <c r="I14" s="2">
        <v>1</v>
      </c>
    </row>
    <row r="15" spans="1:9" ht="22.5" customHeight="1" x14ac:dyDescent="0.25">
      <c r="A15" s="2" t="s">
        <v>388</v>
      </c>
      <c r="B15" s="2">
        <v>4.0895399999999998E-2</v>
      </c>
      <c r="C15" s="2" t="s">
        <v>170</v>
      </c>
      <c r="E15" s="2" t="str">
        <f t="shared" si="0"/>
        <v>Automóvel Usado</v>
      </c>
      <c r="F15" s="2">
        <f t="shared" si="1"/>
        <v>0.31362195999999998</v>
      </c>
      <c r="G15" s="2">
        <f t="shared" si="2"/>
        <v>0.35451736</v>
      </c>
      <c r="H15" s="2" t="str">
        <f t="shared" si="3"/>
        <v>Bens Duráveis</v>
      </c>
      <c r="I15" s="2">
        <v>2</v>
      </c>
    </row>
    <row r="16" spans="1:9" ht="22.5" customHeight="1" x14ac:dyDescent="0.25">
      <c r="A16" s="2" t="s">
        <v>389</v>
      </c>
      <c r="B16" s="2">
        <v>1.32818E-2</v>
      </c>
      <c r="C16" s="2" t="s">
        <v>170</v>
      </c>
      <c r="E16" s="2" t="str">
        <f t="shared" si="0"/>
        <v>Refrigerador</v>
      </c>
      <c r="F16" s="2">
        <f t="shared" si="1"/>
        <v>0.35451736</v>
      </c>
      <c r="G16" s="2">
        <f t="shared" si="2"/>
        <v>0.36779916000000001</v>
      </c>
      <c r="H16" s="2" t="str">
        <f t="shared" si="3"/>
        <v>Bens Duráveis</v>
      </c>
      <c r="I16" s="2">
        <v>3</v>
      </c>
    </row>
    <row r="17" spans="1:9" ht="22.5" customHeight="1" x14ac:dyDescent="0.25">
      <c r="A17" s="2" t="s">
        <v>405</v>
      </c>
      <c r="B17" s="2">
        <v>1.2673530000000001E-2</v>
      </c>
      <c r="C17" s="2" t="s">
        <v>170</v>
      </c>
      <c r="E17" s="2" t="str">
        <f t="shared" si="0"/>
        <v>Motocicleta</v>
      </c>
      <c r="F17" s="2">
        <f t="shared" si="1"/>
        <v>0.36779916000000001</v>
      </c>
      <c r="G17" s="2">
        <f t="shared" si="2"/>
        <v>0.38047269</v>
      </c>
      <c r="H17" s="2" t="str">
        <f t="shared" si="3"/>
        <v>Bens Duráveis</v>
      </c>
      <c r="I17" s="2">
        <v>4</v>
      </c>
    </row>
    <row r="18" spans="1:9" ht="22.5" customHeight="1" x14ac:dyDescent="0.25">
      <c r="A18" s="2" t="s">
        <v>406</v>
      </c>
      <c r="B18" s="2">
        <v>1.2273930000000001E-2</v>
      </c>
      <c r="C18" s="2" t="s">
        <v>170</v>
      </c>
      <c r="E18" s="2" t="str">
        <f t="shared" si="0"/>
        <v>Móveis de Quarto</v>
      </c>
      <c r="F18" s="2">
        <f t="shared" si="1"/>
        <v>0.38047269</v>
      </c>
      <c r="G18" s="2">
        <f t="shared" si="2"/>
        <v>0.39274661999999999</v>
      </c>
      <c r="H18" s="2" t="str">
        <f t="shared" si="3"/>
        <v>Bens Duráveis</v>
      </c>
      <c r="I18" s="2">
        <v>5</v>
      </c>
    </row>
    <row r="19" spans="1:9" ht="22.5" customHeight="1" x14ac:dyDescent="0.25">
      <c r="A19" s="2" t="s">
        <v>394</v>
      </c>
      <c r="B19" s="2">
        <f>'Variação do IPCA-15'!C124-SUM('Variação Desagregada do IPCA-15'!B14:B18)</f>
        <v>6.2566990000000017E-2</v>
      </c>
      <c r="C19" s="2" t="s">
        <v>170</v>
      </c>
      <c r="E19" s="2" t="s">
        <v>381</v>
      </c>
      <c r="F19" s="2">
        <f t="shared" si="1"/>
        <v>0.39274661999999999</v>
      </c>
      <c r="G19" s="2">
        <f t="shared" si="2"/>
        <v>0.45531361000000004</v>
      </c>
      <c r="H19" s="2" t="str">
        <f t="shared" si="3"/>
        <v>Bens Duráveis</v>
      </c>
      <c r="I19" s="2">
        <v>6</v>
      </c>
    </row>
    <row r="20" spans="1:9" ht="22.5" customHeight="1" x14ac:dyDescent="0.25">
      <c r="A20" s="2" t="s">
        <v>407</v>
      </c>
      <c r="B20" s="2">
        <v>8.6977800000000004E-3</v>
      </c>
      <c r="C20" s="2" t="s">
        <v>174</v>
      </c>
      <c r="E20" s="2" t="str">
        <f t="shared" si="0"/>
        <v>Maquiagem</v>
      </c>
      <c r="F20" s="2">
        <f t="shared" si="1"/>
        <v>0.45531361000000004</v>
      </c>
      <c r="G20" s="2">
        <f t="shared" si="2"/>
        <v>0.46401139000000002</v>
      </c>
      <c r="H20" s="2" t="str">
        <f t="shared" si="3"/>
        <v>Bens Semi/Não Duráveis</v>
      </c>
      <c r="I20" s="2">
        <v>1</v>
      </c>
    </row>
    <row r="21" spans="1:9" ht="22.5" customHeight="1" x14ac:dyDescent="0.25">
      <c r="A21" s="2" t="s">
        <v>408</v>
      </c>
      <c r="B21" s="2">
        <v>8.5642200000000009E-3</v>
      </c>
      <c r="C21" s="2" t="s">
        <v>174</v>
      </c>
      <c r="E21" s="2" t="str">
        <f t="shared" si="0"/>
        <v>Camisetas Masculinas</v>
      </c>
      <c r="F21" s="2">
        <f t="shared" si="1"/>
        <v>0.46401139000000002</v>
      </c>
      <c r="G21" s="2">
        <f t="shared" si="2"/>
        <v>0.47257561000000003</v>
      </c>
      <c r="H21" s="2" t="str">
        <f t="shared" si="3"/>
        <v>Bens Semi/Não Duráveis</v>
      </c>
      <c r="I21" s="2">
        <v>2</v>
      </c>
    </row>
    <row r="22" spans="1:9" ht="22.5" customHeight="1" x14ac:dyDescent="0.25">
      <c r="A22" s="2" t="s">
        <v>409</v>
      </c>
      <c r="B22" s="2">
        <v>8.2763999999999997E-3</v>
      </c>
      <c r="C22" s="2" t="s">
        <v>174</v>
      </c>
      <c r="E22" s="2" t="str">
        <f t="shared" si="0"/>
        <v>Tênis</v>
      </c>
      <c r="F22" s="2">
        <f t="shared" si="1"/>
        <v>0.47257561000000003</v>
      </c>
      <c r="G22" s="2">
        <f t="shared" si="2"/>
        <v>0.48085201000000005</v>
      </c>
      <c r="H22" s="2" t="str">
        <f t="shared" si="3"/>
        <v>Bens Semi/Não Duráveis</v>
      </c>
      <c r="I22" s="2">
        <v>3</v>
      </c>
    </row>
    <row r="23" spans="1:9" ht="22.5" customHeight="1" x14ac:dyDescent="0.25">
      <c r="A23" s="2" t="s">
        <v>410</v>
      </c>
      <c r="B23" s="2">
        <v>7.2029499999999996E-3</v>
      </c>
      <c r="C23" s="2" t="s">
        <v>174</v>
      </c>
      <c r="E23" s="2" t="str">
        <f t="shared" si="0"/>
        <v>Brinquedo</v>
      </c>
      <c r="F23" s="2">
        <f t="shared" si="1"/>
        <v>0.48085201000000005</v>
      </c>
      <c r="G23" s="2">
        <f t="shared" si="2"/>
        <v>0.48805496000000004</v>
      </c>
      <c r="H23" s="2" t="str">
        <f t="shared" si="3"/>
        <v>Bens Semi/Não Duráveis</v>
      </c>
      <c r="I23" s="2">
        <v>4</v>
      </c>
    </row>
    <row r="24" spans="1:9" ht="22.5" customHeight="1" x14ac:dyDescent="0.25">
      <c r="A24" s="2" t="s">
        <v>411</v>
      </c>
      <c r="B24" s="2">
        <v>6.2191800000000004E-3</v>
      </c>
      <c r="C24" s="2" t="s">
        <v>174</v>
      </c>
      <c r="E24" s="2" t="str">
        <f t="shared" si="0"/>
        <v>Sabonete</v>
      </c>
      <c r="F24" s="2">
        <f t="shared" si="1"/>
        <v>0.48805496000000004</v>
      </c>
      <c r="G24" s="2">
        <f t="shared" si="2"/>
        <v>0.49427414000000003</v>
      </c>
      <c r="H24" s="2" t="str">
        <f t="shared" si="3"/>
        <v>Bens Semi/Não Duráveis</v>
      </c>
      <c r="I24" s="2">
        <v>5</v>
      </c>
    </row>
    <row r="25" spans="1:9" ht="22.5" customHeight="1" x14ac:dyDescent="0.25">
      <c r="A25" s="2" t="s">
        <v>395</v>
      </c>
      <c r="B25" s="2">
        <f>'Variação do IPCA-15'!C125-SUM('Variação Desagregada do IPCA-15'!B20:B24)</f>
        <v>2.8498199999999994E-2</v>
      </c>
      <c r="C25" s="2" t="s">
        <v>174</v>
      </c>
      <c r="E25" s="2" t="s">
        <v>382</v>
      </c>
      <c r="F25" s="2">
        <f t="shared" si="1"/>
        <v>0.49427414000000003</v>
      </c>
      <c r="G25" s="2">
        <f t="shared" si="2"/>
        <v>0.52277234000000006</v>
      </c>
      <c r="H25" s="2" t="str">
        <f t="shared" si="3"/>
        <v>Bens Semi/Não Duráveis</v>
      </c>
      <c r="I25" s="2">
        <v>6</v>
      </c>
    </row>
    <row r="26" spans="1:9" ht="22.5" customHeight="1" x14ac:dyDescent="0.25">
      <c r="A26" s="2" t="s">
        <v>391</v>
      </c>
      <c r="B26" s="2">
        <v>0.11560790999999999</v>
      </c>
      <c r="C26" s="2" t="s">
        <v>165</v>
      </c>
      <c r="E26" s="2" t="str">
        <f t="shared" si="0"/>
        <v>Ensino Fundamental</v>
      </c>
      <c r="F26" s="2">
        <f t="shared" si="1"/>
        <v>0.52277234000000006</v>
      </c>
      <c r="G26" s="2">
        <f t="shared" si="2"/>
        <v>0.63838025000000009</v>
      </c>
      <c r="H26" s="2" t="str">
        <f t="shared" si="3"/>
        <v>Serviços</v>
      </c>
      <c r="I26" s="2">
        <v>1</v>
      </c>
    </row>
    <row r="27" spans="1:9" ht="22.5" customHeight="1" x14ac:dyDescent="0.25">
      <c r="A27" s="2" t="s">
        <v>412</v>
      </c>
      <c r="B27" s="2">
        <v>9.3981099999999998E-2</v>
      </c>
      <c r="C27" s="2" t="s">
        <v>165</v>
      </c>
      <c r="E27" s="2" t="str">
        <f t="shared" si="0"/>
        <v>Ensino Superior</v>
      </c>
      <c r="F27" s="2">
        <f t="shared" si="1"/>
        <v>0.63838025000000009</v>
      </c>
      <c r="G27" s="2">
        <f t="shared" si="2"/>
        <v>0.73236135000000013</v>
      </c>
      <c r="H27" s="2" t="str">
        <f t="shared" si="3"/>
        <v>Serviços</v>
      </c>
      <c r="I27" s="2">
        <v>2</v>
      </c>
    </row>
    <row r="28" spans="1:9" ht="22.5" customHeight="1" x14ac:dyDescent="0.25">
      <c r="A28" s="2" t="s">
        <v>390</v>
      </c>
      <c r="B28" s="2">
        <v>3.7076999999999999E-2</v>
      </c>
      <c r="C28" s="2" t="s">
        <v>165</v>
      </c>
      <c r="E28" s="2" t="str">
        <f t="shared" si="0"/>
        <v>Aluguel Residencial</v>
      </c>
      <c r="F28" s="2">
        <f t="shared" si="1"/>
        <v>0.73236135000000013</v>
      </c>
      <c r="G28" s="2">
        <f t="shared" si="2"/>
        <v>0.76943835000000016</v>
      </c>
      <c r="H28" s="2" t="str">
        <f t="shared" si="3"/>
        <v>Serviços</v>
      </c>
      <c r="I28" s="2">
        <v>3</v>
      </c>
    </row>
    <row r="29" spans="1:9" ht="22.5" customHeight="1" x14ac:dyDescent="0.25">
      <c r="A29" s="2" t="s">
        <v>413</v>
      </c>
      <c r="B29" s="2">
        <v>2.7139480000000001E-2</v>
      </c>
      <c r="C29" s="2" t="s">
        <v>165</v>
      </c>
      <c r="E29" s="2" t="str">
        <f t="shared" si="0"/>
        <v>Ensino Médio</v>
      </c>
      <c r="F29" s="2">
        <f t="shared" si="1"/>
        <v>0.76943835000000016</v>
      </c>
      <c r="G29" s="2">
        <f t="shared" si="2"/>
        <v>0.79657783000000015</v>
      </c>
      <c r="H29" s="2" t="str">
        <f t="shared" si="3"/>
        <v>Serviços</v>
      </c>
      <c r="I29" s="2">
        <v>4</v>
      </c>
    </row>
    <row r="30" spans="1:9" ht="22.5" customHeight="1" x14ac:dyDescent="0.25">
      <c r="A30" s="2" t="s">
        <v>414</v>
      </c>
      <c r="B30" s="2">
        <v>2.638942E-2</v>
      </c>
      <c r="C30" s="2" t="s">
        <v>165</v>
      </c>
      <c r="E30" s="2" t="str">
        <f t="shared" si="0"/>
        <v>Seguro de Veículos</v>
      </c>
      <c r="F30" s="2">
        <f t="shared" si="1"/>
        <v>0.79657783000000015</v>
      </c>
      <c r="G30" s="2">
        <f t="shared" si="2"/>
        <v>0.82296725000000015</v>
      </c>
      <c r="H30" s="2" t="str">
        <f t="shared" si="3"/>
        <v>Serviços</v>
      </c>
      <c r="I30" s="2">
        <v>5</v>
      </c>
    </row>
    <row r="31" spans="1:9" ht="22.5" customHeight="1" x14ac:dyDescent="0.25">
      <c r="A31" s="2" t="s">
        <v>396</v>
      </c>
      <c r="B31" s="2">
        <f>'Variação do IPCA-15'!C126-SUM('Variação Desagregada do IPCA-15'!B26:B30)</f>
        <v>0.16674549</v>
      </c>
      <c r="C31" s="2" t="s">
        <v>165</v>
      </c>
      <c r="E31" s="2" t="s">
        <v>383</v>
      </c>
      <c r="F31" s="2">
        <f t="shared" si="1"/>
        <v>0.82296725000000015</v>
      </c>
      <c r="G31" s="2">
        <f t="shared" si="2"/>
        <v>0.98971274000000009</v>
      </c>
      <c r="H31" s="2" t="str">
        <f t="shared" si="3"/>
        <v>Serviços</v>
      </c>
      <c r="I31" s="2">
        <v>6</v>
      </c>
    </row>
    <row r="32" spans="1:9" ht="22.5" customHeight="1" x14ac:dyDescent="0.25">
      <c r="E32" s="2" t="s">
        <v>384</v>
      </c>
      <c r="F32" s="2">
        <v>0</v>
      </c>
      <c r="G32" s="2">
        <f>G31</f>
        <v>0.98971274000000009</v>
      </c>
      <c r="H32" s="2" t="s">
        <v>384</v>
      </c>
      <c r="I32" s="2">
        <v>31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284F-A19E-465D-B604-F5999B92F806}">
  <dimension ref="A1:E26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B26" sqref="B26:E26"/>
    </sheetView>
  </sheetViews>
  <sheetFormatPr defaultColWidth="16.25" defaultRowHeight="22.5" customHeight="1" x14ac:dyDescent="0.25"/>
  <cols>
    <col min="1" max="16384" width="16.25" style="2"/>
  </cols>
  <sheetData>
    <row r="1" spans="1:5" ht="22.5" customHeight="1" x14ac:dyDescent="0.25">
      <c r="A1" s="2" t="s">
        <v>0</v>
      </c>
      <c r="B1" s="2" t="s">
        <v>415</v>
      </c>
      <c r="C1" s="2" t="s">
        <v>416</v>
      </c>
      <c r="D1" s="2" t="s">
        <v>418</v>
      </c>
      <c r="E1" s="2" t="s">
        <v>417</v>
      </c>
    </row>
    <row r="2" spans="1:5" ht="22.5" customHeight="1" x14ac:dyDescent="0.25">
      <c r="A2" s="3">
        <v>43831</v>
      </c>
      <c r="B2" s="2">
        <v>3.353523417049999</v>
      </c>
      <c r="C2" s="2">
        <v>-1.902305727750002</v>
      </c>
      <c r="D2" s="2">
        <v>4.899049465640001</v>
      </c>
      <c r="E2" s="2">
        <v>0.35677967915999997</v>
      </c>
    </row>
    <row r="3" spans="1:5" ht="22.5" customHeight="1" x14ac:dyDescent="0.25">
      <c r="A3" s="3">
        <v>43862</v>
      </c>
      <c r="B3" s="2">
        <v>-2.7975421263499998</v>
      </c>
      <c r="C3" s="2">
        <v>-4.4275672612900001</v>
      </c>
      <c r="D3" s="2">
        <v>1.7418008277499999</v>
      </c>
      <c r="E3" s="2">
        <v>-0.11177569281000001</v>
      </c>
    </row>
    <row r="4" spans="1:5" ht="22.5" customHeight="1" x14ac:dyDescent="0.25">
      <c r="A4" s="3">
        <v>43891</v>
      </c>
      <c r="B4" s="2">
        <v>-22.261526120789998</v>
      </c>
      <c r="C4" s="2">
        <v>-7.4442879702199978</v>
      </c>
      <c r="D4" s="2">
        <v>-14.778384770060002</v>
      </c>
      <c r="E4" s="2">
        <v>-3.8853380509999966E-2</v>
      </c>
    </row>
    <row r="5" spans="1:5" ht="22.5" customHeight="1" x14ac:dyDescent="0.25">
      <c r="A5" s="3">
        <v>43922</v>
      </c>
      <c r="B5" s="2">
        <v>-8.29471825181</v>
      </c>
      <c r="C5" s="2">
        <v>-2.5581343536100012</v>
      </c>
      <c r="D5" s="2">
        <v>-5.5950707235599992</v>
      </c>
      <c r="E5" s="2">
        <v>-0.14151317463999999</v>
      </c>
    </row>
    <row r="6" spans="1:5" ht="22.5" customHeight="1" x14ac:dyDescent="0.25">
      <c r="A6" s="3">
        <v>43952</v>
      </c>
      <c r="B6" s="2">
        <v>-1.5418728066899989</v>
      </c>
      <c r="C6" s="2">
        <v>-1.7088785151699994</v>
      </c>
      <c r="D6" s="2">
        <v>9.3849627690000686E-2</v>
      </c>
      <c r="E6" s="2">
        <v>7.315608078999998E-2</v>
      </c>
    </row>
    <row r="7" spans="1:5" ht="22.5" customHeight="1" x14ac:dyDescent="0.25">
      <c r="A7" s="3">
        <v>43983</v>
      </c>
      <c r="B7" s="2">
        <v>5.582119585150001</v>
      </c>
      <c r="C7" s="2">
        <v>0.19205719059000143</v>
      </c>
      <c r="D7" s="2">
        <v>5.0520274931999989</v>
      </c>
      <c r="E7" s="2">
        <v>0.33803490135999986</v>
      </c>
    </row>
    <row r="8" spans="1:5" ht="22.5" customHeight="1" x14ac:dyDescent="0.25">
      <c r="A8" s="3">
        <v>44013</v>
      </c>
      <c r="B8" s="2">
        <v>-0.95116922231999801</v>
      </c>
      <c r="C8" s="2">
        <v>0.32967976691000117</v>
      </c>
      <c r="D8" s="2">
        <v>-1.293199691049999</v>
      </c>
      <c r="E8" s="2">
        <v>1.2350701819999983E-2</v>
      </c>
    </row>
    <row r="9" spans="1:5" ht="22.5" customHeight="1" x14ac:dyDescent="0.25">
      <c r="A9" s="3">
        <v>44044</v>
      </c>
      <c r="B9" s="2">
        <v>2.1119298007599996</v>
      </c>
      <c r="C9" s="2">
        <v>0.35419221872999956</v>
      </c>
      <c r="D9" s="2">
        <v>1.8138828349999998</v>
      </c>
      <c r="E9" s="2">
        <v>-5.6145252970000004E-2</v>
      </c>
    </row>
    <row r="10" spans="1:5" ht="22.5" customHeight="1" x14ac:dyDescent="0.25">
      <c r="A10" s="3">
        <v>44075</v>
      </c>
      <c r="B10" s="2">
        <v>0.87843903768999998</v>
      </c>
      <c r="C10" s="2">
        <v>3.5352770019999528E-2</v>
      </c>
      <c r="D10" s="2">
        <v>1.7604210495300003</v>
      </c>
      <c r="E10" s="2">
        <v>-0.91733478186000006</v>
      </c>
    </row>
    <row r="11" spans="1:5" ht="22.5" customHeight="1" x14ac:dyDescent="0.25">
      <c r="A11" s="3">
        <v>44105</v>
      </c>
      <c r="B11" s="2">
        <v>5.3360019291600009</v>
      </c>
      <c r="C11" s="2">
        <v>2.7587766517300008</v>
      </c>
      <c r="D11" s="2">
        <v>2.4269291452799999</v>
      </c>
      <c r="E11" s="2">
        <v>0.15029613214999996</v>
      </c>
    </row>
    <row r="12" spans="1:5" ht="22.5" customHeight="1" x14ac:dyDescent="0.25">
      <c r="A12" s="3">
        <v>44136</v>
      </c>
      <c r="B12" s="2">
        <v>7.0520418304399985</v>
      </c>
      <c r="C12" s="2">
        <v>6.069995915339998</v>
      </c>
      <c r="D12" s="2">
        <v>1.5371061842599996</v>
      </c>
      <c r="E12" s="2">
        <v>-0.55506026916000006</v>
      </c>
    </row>
    <row r="13" spans="1:5" ht="22.5" customHeight="1" x14ac:dyDescent="0.25">
      <c r="A13" s="3">
        <v>44166</v>
      </c>
      <c r="B13" s="2">
        <v>9.6523041592099954</v>
      </c>
      <c r="C13" s="2">
        <v>3.6833053795199984</v>
      </c>
      <c r="D13" s="2">
        <v>5.6672044067299989</v>
      </c>
      <c r="E13" s="2">
        <v>0.30179437295999967</v>
      </c>
    </row>
    <row r="14" spans="1:5" ht="22.5" customHeight="1" x14ac:dyDescent="0.25">
      <c r="A14" s="3">
        <v>44197</v>
      </c>
      <c r="B14" s="2">
        <v>4.8810461997099992</v>
      </c>
      <c r="C14" s="2">
        <v>2.3310502070299997</v>
      </c>
      <c r="D14" s="2">
        <v>2.5579967751199999</v>
      </c>
      <c r="E14" s="2">
        <v>-8.0007824400000795E-3</v>
      </c>
    </row>
    <row r="15" spans="1:5" ht="22.5" customHeight="1" x14ac:dyDescent="0.25">
      <c r="A15" s="3">
        <v>44228</v>
      </c>
      <c r="B15" s="2">
        <v>3.8247527369799994</v>
      </c>
      <c r="C15" s="2">
        <v>1.1314362620200002</v>
      </c>
      <c r="D15" s="2">
        <v>2.4419234050399994</v>
      </c>
      <c r="E15" s="2">
        <v>0.25139306991999999</v>
      </c>
    </row>
    <row r="16" spans="1:5" ht="22.5" customHeight="1" x14ac:dyDescent="0.25">
      <c r="A16" s="3">
        <v>44256</v>
      </c>
      <c r="B16" s="2">
        <v>-2.6097424583200008</v>
      </c>
      <c r="C16" s="2">
        <v>-4.1469081832799999</v>
      </c>
      <c r="D16" s="2">
        <v>1.3765857435499997</v>
      </c>
      <c r="E16" s="2">
        <v>0.16057998140999996</v>
      </c>
    </row>
    <row r="17" spans="1:5" ht="22.5" customHeight="1" x14ac:dyDescent="0.25">
      <c r="A17" s="3">
        <v>44287</v>
      </c>
      <c r="B17" s="2">
        <v>1.4763271948299999</v>
      </c>
      <c r="C17" s="2">
        <v>0.26227235190000009</v>
      </c>
      <c r="D17" s="2">
        <v>1.6508103111399997</v>
      </c>
      <c r="E17" s="2">
        <v>-0.43675546820999989</v>
      </c>
    </row>
    <row r="18" spans="1:5" ht="22.5" customHeight="1" x14ac:dyDescent="0.25">
      <c r="A18" s="3">
        <v>44317</v>
      </c>
      <c r="B18" s="2">
        <v>4.8987268546200005</v>
      </c>
      <c r="C18" s="2">
        <v>2.9834873160600002</v>
      </c>
      <c r="D18" s="2">
        <v>1.6981099908199999</v>
      </c>
      <c r="E18" s="2">
        <v>0.2171295477399999</v>
      </c>
    </row>
    <row r="19" spans="1:5" ht="22.5" customHeight="1" x14ac:dyDescent="0.25">
      <c r="A19" s="3">
        <v>44348</v>
      </c>
      <c r="B19" s="2">
        <v>5.1268478666900013</v>
      </c>
      <c r="C19" s="2">
        <v>2.9271677809500001</v>
      </c>
      <c r="D19" s="2">
        <v>2.6683251287699998</v>
      </c>
      <c r="E19" s="2">
        <v>-0.46864504302999999</v>
      </c>
    </row>
    <row r="20" spans="1:5" ht="22.5" customHeight="1" x14ac:dyDescent="0.25">
      <c r="A20" s="3">
        <v>44378</v>
      </c>
      <c r="B20" s="2">
        <v>3.2569030500700005</v>
      </c>
      <c r="C20" s="2">
        <v>-2.3010215679799999</v>
      </c>
      <c r="D20" s="2">
        <v>4.6844232101600003</v>
      </c>
      <c r="E20" s="2">
        <v>0.87350140788999997</v>
      </c>
    </row>
    <row r="21" spans="1:5" ht="22.5" customHeight="1" x14ac:dyDescent="0.25">
      <c r="A21" s="3">
        <v>44409</v>
      </c>
      <c r="B21" s="2">
        <v>4.8209722239999912E-2</v>
      </c>
      <c r="C21" s="2">
        <v>0.26722878108999987</v>
      </c>
      <c r="D21" s="2">
        <v>0.41311395962000014</v>
      </c>
      <c r="E21" s="2">
        <v>-0.63213301847000003</v>
      </c>
    </row>
    <row r="22" spans="1:5" ht="22.5" customHeight="1" x14ac:dyDescent="0.25">
      <c r="A22" s="3">
        <v>44440</v>
      </c>
      <c r="B22" s="2">
        <v>0.11642273465000047</v>
      </c>
      <c r="C22" s="2">
        <v>-3.3924661994200007</v>
      </c>
      <c r="D22" s="2">
        <v>3.7655733576300006</v>
      </c>
      <c r="E22" s="2">
        <v>-0.25668442355999993</v>
      </c>
    </row>
    <row r="23" spans="1:5" ht="22.5" customHeight="1" x14ac:dyDescent="0.25">
      <c r="A23" s="3">
        <v>44470</v>
      </c>
      <c r="B23" s="2">
        <v>1.3205549517799997</v>
      </c>
      <c r="C23" s="2">
        <v>0.56428081853000001</v>
      </c>
      <c r="D23" s="2">
        <v>0.89728114083999977</v>
      </c>
      <c r="E23" s="2">
        <v>-0.14100700758999996</v>
      </c>
    </row>
    <row r="24" spans="1:5" ht="22.5" customHeight="1" x14ac:dyDescent="0.25">
      <c r="A24" s="3">
        <v>44501</v>
      </c>
      <c r="B24" s="2">
        <v>0.73190883249999983</v>
      </c>
      <c r="C24" s="2">
        <v>9.5779211540000006E-2</v>
      </c>
      <c r="D24" s="2">
        <v>0.51445352434999991</v>
      </c>
      <c r="E24" s="2">
        <v>0.12167609660999995</v>
      </c>
    </row>
    <row r="25" spans="1:5" ht="22.5" customHeight="1" x14ac:dyDescent="0.25">
      <c r="A25" s="3">
        <v>44531</v>
      </c>
      <c r="B25" s="2">
        <v>-2.2136016580000004</v>
      </c>
      <c r="C25" s="2">
        <v>-1.5726637581700005</v>
      </c>
      <c r="D25" s="2">
        <v>-0.78341918869999982</v>
      </c>
      <c r="E25" s="2">
        <v>0.14248128886999983</v>
      </c>
    </row>
    <row r="26" spans="1:5" ht="22.5" customHeight="1" x14ac:dyDescent="0.25">
      <c r="A26" s="3">
        <v>44562</v>
      </c>
      <c r="B26" s="11">
        <v>4.8474696963800001</v>
      </c>
      <c r="C26" s="11">
        <v>1.84843302673</v>
      </c>
      <c r="D26" s="11">
        <v>2.6873911242599995</v>
      </c>
      <c r="E26" s="11">
        <v>0.31164554539000006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5B92-A524-4B56-A085-79AFF53EB994}">
  <dimension ref="A1:D26"/>
  <sheetViews>
    <sheetView workbookViewId="0"/>
  </sheetViews>
  <sheetFormatPr defaultColWidth="16.25" defaultRowHeight="22.5" customHeight="1" x14ac:dyDescent="0.25"/>
  <cols>
    <col min="1" max="16384" width="16.25" style="2"/>
  </cols>
  <sheetData>
    <row r="1" spans="1:4" ht="22.5" customHeight="1" x14ac:dyDescent="0.25">
      <c r="A1" s="2" t="s">
        <v>0</v>
      </c>
      <c r="B1" s="2" t="s">
        <v>415</v>
      </c>
      <c r="C1" s="2" t="s">
        <v>419</v>
      </c>
      <c r="D1" s="2" t="s">
        <v>420</v>
      </c>
    </row>
    <row r="2" spans="1:4" ht="22.5" customHeight="1" x14ac:dyDescent="0.25">
      <c r="A2" s="3">
        <v>43831</v>
      </c>
      <c r="B2" s="2">
        <v>2.8380689216099997</v>
      </c>
      <c r="C2" s="2">
        <v>3.1744622525099997</v>
      </c>
      <c r="D2" s="2">
        <v>-0.33639333090000018</v>
      </c>
    </row>
    <row r="3" spans="1:4" ht="22.5" customHeight="1" x14ac:dyDescent="0.25">
      <c r="A3" s="3">
        <v>43862</v>
      </c>
      <c r="B3" s="2">
        <v>2.4560394749500007</v>
      </c>
      <c r="C3" s="2">
        <v>0.7441328988999999</v>
      </c>
      <c r="D3" s="2">
        <v>1.7119065760500007</v>
      </c>
    </row>
    <row r="4" spans="1:4" ht="22.5" customHeight="1" x14ac:dyDescent="0.25">
      <c r="A4" s="3">
        <v>43891</v>
      </c>
      <c r="B4" s="2">
        <v>7.8103643101700015</v>
      </c>
      <c r="C4" s="2">
        <v>4.2459300195200003</v>
      </c>
      <c r="D4" s="2">
        <v>3.5644342906500008</v>
      </c>
    </row>
    <row r="5" spans="1:4" ht="22.5" customHeight="1" x14ac:dyDescent="0.25">
      <c r="A5" s="3">
        <v>43922</v>
      </c>
      <c r="B5" s="2">
        <v>0.97480543931999974</v>
      </c>
      <c r="C5" s="2">
        <v>0.50517787615999987</v>
      </c>
      <c r="D5" s="2">
        <v>0.46962756315999993</v>
      </c>
    </row>
    <row r="6" spans="1:4" ht="22.5" customHeight="1" x14ac:dyDescent="0.25">
      <c r="A6" s="3">
        <v>43952</v>
      </c>
      <c r="B6" s="2">
        <v>2.5275737343600002</v>
      </c>
      <c r="C6" s="2">
        <v>1.9353201096200001</v>
      </c>
      <c r="D6" s="2">
        <v>0.59225362473999987</v>
      </c>
    </row>
    <row r="7" spans="1:4" ht="22.5" customHeight="1" x14ac:dyDescent="0.25">
      <c r="A7" s="3">
        <v>43983</v>
      </c>
      <c r="B7" s="2">
        <v>4.8874268252100013</v>
      </c>
      <c r="C7" s="2">
        <v>3.1653678286300004</v>
      </c>
      <c r="D7" s="2">
        <v>1.7220589965800006</v>
      </c>
    </row>
    <row r="8" spans="1:4" ht="22.5" customHeight="1" x14ac:dyDescent="0.25">
      <c r="A8" s="3">
        <v>44013</v>
      </c>
      <c r="B8" s="2">
        <v>4.8277538356999994</v>
      </c>
      <c r="C8" s="2">
        <v>4.3590399076700006</v>
      </c>
      <c r="D8" s="2">
        <v>0.46871392802999939</v>
      </c>
    </row>
    <row r="9" spans="1:4" ht="22.5" customHeight="1" x14ac:dyDescent="0.25">
      <c r="A9" s="3">
        <v>44044</v>
      </c>
      <c r="B9" s="2">
        <v>2.0461190333200001</v>
      </c>
      <c r="C9" s="2">
        <v>2.9538469127099996</v>
      </c>
      <c r="D9" s="2">
        <v>-0.90772787938999966</v>
      </c>
    </row>
    <row r="10" spans="1:4" ht="22.5" customHeight="1" x14ac:dyDescent="0.25">
      <c r="A10" s="3">
        <v>44075</v>
      </c>
      <c r="B10" s="2">
        <v>2.8472918600699995</v>
      </c>
      <c r="C10" s="2">
        <v>2.8027820424499996</v>
      </c>
      <c r="D10" s="2">
        <v>4.4509817620000107E-2</v>
      </c>
    </row>
    <row r="11" spans="1:4" ht="22.5" customHeight="1" x14ac:dyDescent="0.25">
      <c r="A11" s="3">
        <v>44105</v>
      </c>
      <c r="B11" s="2">
        <v>3.1363102686600004</v>
      </c>
      <c r="C11" s="2">
        <v>4.1660763261199998</v>
      </c>
      <c r="D11" s="2">
        <v>-1.0297660574600001</v>
      </c>
    </row>
    <row r="12" spans="1:4" ht="22.5" customHeight="1" x14ac:dyDescent="0.25">
      <c r="A12" s="3">
        <v>44136</v>
      </c>
      <c r="B12" s="2">
        <v>2.3323721727099995</v>
      </c>
      <c r="C12" s="2">
        <v>2.2409796052299997</v>
      </c>
      <c r="D12" s="2">
        <v>9.1392567479999909E-2</v>
      </c>
    </row>
    <row r="13" spans="1:4" ht="22.5" customHeight="1" x14ac:dyDescent="0.25">
      <c r="A13" s="3">
        <v>44166</v>
      </c>
      <c r="B13" s="2">
        <v>1.1021604313699995</v>
      </c>
      <c r="C13" s="2">
        <v>3.2838481119799994</v>
      </c>
      <c r="D13" s="2">
        <v>-2.1816876806100005</v>
      </c>
    </row>
    <row r="14" spans="1:4" ht="22.5" customHeight="1" x14ac:dyDescent="0.25">
      <c r="A14" s="3">
        <v>44197</v>
      </c>
      <c r="B14" s="2">
        <v>3.4778001573099995</v>
      </c>
      <c r="C14" s="2">
        <v>3.1793048068599998</v>
      </c>
      <c r="D14" s="2">
        <v>0.29849535045000047</v>
      </c>
    </row>
    <row r="15" spans="1:4" ht="22.5" customHeight="1" x14ac:dyDescent="0.25">
      <c r="A15" s="3">
        <v>44228</v>
      </c>
      <c r="B15" s="2">
        <v>8.8366852251899992</v>
      </c>
      <c r="C15" s="2">
        <v>3.9536361992899995</v>
      </c>
      <c r="D15" s="2">
        <v>4.883049025900001</v>
      </c>
    </row>
    <row r="16" spans="1:4" ht="22.5" customHeight="1" x14ac:dyDescent="0.25">
      <c r="A16" s="3">
        <v>44256</v>
      </c>
      <c r="B16" s="2">
        <v>7.0104070728199988</v>
      </c>
      <c r="C16" s="2">
        <v>5.1782796952199996</v>
      </c>
      <c r="D16" s="2">
        <v>1.8321273775999989</v>
      </c>
    </row>
    <row r="17" spans="1:4" ht="22.5" customHeight="1" x14ac:dyDescent="0.25">
      <c r="A17" s="3">
        <v>44287</v>
      </c>
      <c r="B17" s="2">
        <v>4.5719061110599997</v>
      </c>
      <c r="C17" s="2">
        <v>4.9172222663299996</v>
      </c>
      <c r="D17" s="2">
        <v>-0.34531615526999992</v>
      </c>
    </row>
    <row r="18" spans="1:4" ht="22.5" customHeight="1" x14ac:dyDescent="0.25">
      <c r="A18" s="3">
        <v>44317</v>
      </c>
      <c r="B18" s="2">
        <v>2.2329468756199997</v>
      </c>
      <c r="C18" s="2">
        <v>3.1685896837500001</v>
      </c>
      <c r="D18" s="2">
        <v>-0.93564280812999978</v>
      </c>
    </row>
    <row r="19" spans="1:4" ht="22.5" customHeight="1" x14ac:dyDescent="0.25">
      <c r="A19" s="3">
        <v>44348</v>
      </c>
      <c r="B19" s="2">
        <v>0.69319171540000013</v>
      </c>
      <c r="C19" s="2">
        <v>3.61817898872</v>
      </c>
      <c r="D19" s="2">
        <v>-2.9249872733199997</v>
      </c>
    </row>
    <row r="20" spans="1:4" ht="22.5" customHeight="1" x14ac:dyDescent="0.25">
      <c r="A20" s="3">
        <v>44378</v>
      </c>
      <c r="B20" s="2">
        <v>6.6462331168400004</v>
      </c>
      <c r="C20" s="2">
        <v>6.5194317807999997</v>
      </c>
      <c r="D20" s="2">
        <v>0.12680133604000007</v>
      </c>
    </row>
    <row r="21" spans="1:4" ht="22.5" customHeight="1" x14ac:dyDescent="0.25">
      <c r="A21" s="3">
        <v>44409</v>
      </c>
      <c r="B21" s="2">
        <v>5.2265764662200009</v>
      </c>
      <c r="C21" s="2">
        <v>4.5500614043300001</v>
      </c>
      <c r="D21" s="2">
        <v>0.67651506188999999</v>
      </c>
    </row>
    <row r="22" spans="1:4" ht="22.5" customHeight="1" x14ac:dyDescent="0.25">
      <c r="A22" s="3">
        <v>44440</v>
      </c>
      <c r="B22" s="2">
        <v>4.599902275719999</v>
      </c>
      <c r="C22" s="2">
        <v>5.9085865994200004</v>
      </c>
      <c r="D22" s="2">
        <v>-1.3086843237000008</v>
      </c>
    </row>
    <row r="23" spans="1:4" ht="22.5" customHeight="1" x14ac:dyDescent="0.25">
      <c r="A23" s="3">
        <v>44470</v>
      </c>
      <c r="B23" s="2">
        <v>2.4927049149500005</v>
      </c>
      <c r="C23" s="2">
        <v>3.0398782167699996</v>
      </c>
      <c r="D23" s="2">
        <v>-0.54717330181999968</v>
      </c>
    </row>
    <row r="24" spans="1:4" ht="22.5" customHeight="1" x14ac:dyDescent="0.25">
      <c r="A24" s="3">
        <v>44501</v>
      </c>
      <c r="B24" s="2">
        <v>4.5879333491800001</v>
      </c>
      <c r="C24" s="2">
        <v>4.7603239772899997</v>
      </c>
      <c r="D24" s="2">
        <v>-0.17239062810999994</v>
      </c>
    </row>
    <row r="25" spans="1:4" ht="22.5" customHeight="1" x14ac:dyDescent="0.25">
      <c r="A25" s="3">
        <v>44531</v>
      </c>
      <c r="B25" s="2">
        <v>-3.9351790536200006</v>
      </c>
      <c r="C25" s="2">
        <v>-2.3233944495899999</v>
      </c>
      <c r="D25" s="2">
        <v>-1.6117846040300003</v>
      </c>
    </row>
    <row r="26" spans="1:4" ht="22.5" customHeight="1" x14ac:dyDescent="0.25">
      <c r="A26" s="3">
        <v>44562</v>
      </c>
      <c r="B26" s="2">
        <v>4.7090189681300005</v>
      </c>
      <c r="C26" s="2">
        <v>4.4021576137300009</v>
      </c>
      <c r="D26" s="2">
        <v>0.30686135440000034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01A3-CD80-400E-8798-34913903DBCD}">
  <dimension ref="A1:I334"/>
  <sheetViews>
    <sheetView workbookViewId="0"/>
  </sheetViews>
  <sheetFormatPr defaultColWidth="16.25" defaultRowHeight="22.5" customHeight="1" x14ac:dyDescent="0.25"/>
  <cols>
    <col min="1" max="16384" width="16.25" style="2"/>
  </cols>
  <sheetData>
    <row r="1" spans="1:9" ht="22.5" customHeight="1" x14ac:dyDescent="0.25">
      <c r="A1" s="2" t="s">
        <v>0</v>
      </c>
      <c r="B1" s="2" t="s">
        <v>421</v>
      </c>
      <c r="C1" s="2" t="s">
        <v>422</v>
      </c>
      <c r="D1" s="2" t="s">
        <v>423</v>
      </c>
      <c r="E1" s="2" t="s">
        <v>424</v>
      </c>
      <c r="F1" s="2" t="s">
        <v>428</v>
      </c>
      <c r="G1" s="2" t="s">
        <v>425</v>
      </c>
      <c r="H1" s="2" t="s">
        <v>426</v>
      </c>
      <c r="I1" s="2" t="s">
        <v>427</v>
      </c>
    </row>
    <row r="2" spans="1:9" ht="22.5" customHeight="1" x14ac:dyDescent="0.25">
      <c r="A2" s="3">
        <v>34486</v>
      </c>
      <c r="B2" s="2">
        <v>1</v>
      </c>
      <c r="C2" s="2">
        <f t="shared" ref="C2:C65" si="0">$B$2*I2</f>
        <v>1</v>
      </c>
      <c r="D2" s="2">
        <f>C2</f>
        <v>1</v>
      </c>
      <c r="E2" s="2">
        <f>C2</f>
        <v>1</v>
      </c>
      <c r="F2" s="2">
        <f>C2</f>
        <v>1</v>
      </c>
      <c r="G2" s="2">
        <v>100</v>
      </c>
      <c r="H2" s="2">
        <v>100</v>
      </c>
      <c r="I2" s="2">
        <f>G2/H2</f>
        <v>1</v>
      </c>
    </row>
    <row r="3" spans="1:9" ht="22.5" customHeight="1" x14ac:dyDescent="0.25">
      <c r="A3" s="3">
        <v>34516</v>
      </c>
      <c r="B3" s="2">
        <v>0.94</v>
      </c>
      <c r="C3" s="2">
        <f t="shared" si="0"/>
        <v>1.0648018552412655</v>
      </c>
      <c r="D3" s="2">
        <f>C3-F3</f>
        <v>1.0189800239666977</v>
      </c>
      <c r="E3" s="2">
        <f>C3+F3</f>
        <v>1.1106236865158332</v>
      </c>
      <c r="F3" s="2">
        <f>_xlfn.STDEV.S($C$2:C3)</f>
        <v>4.5821831274567827E-2</v>
      </c>
      <c r="G3" s="2">
        <v>106.84015910602014</v>
      </c>
      <c r="H3" s="2">
        <v>100.33806626098715</v>
      </c>
      <c r="I3" s="2">
        <f t="shared" ref="I3:I66" si="1">G3/H3</f>
        <v>1.0648018552412655</v>
      </c>
    </row>
    <row r="4" spans="1:9" ht="22.5" customHeight="1" x14ac:dyDescent="0.25">
      <c r="A4" s="3">
        <v>34547</v>
      </c>
      <c r="B4" s="2">
        <v>0.88900000000000001</v>
      </c>
      <c r="C4" s="2">
        <f t="shared" si="0"/>
        <v>1.0802439104776949</v>
      </c>
      <c r="D4" s="2">
        <f t="shared" ref="D4:D67" si="2">C4-F4</f>
        <v>1.0376668769944755</v>
      </c>
      <c r="E4" s="2">
        <f t="shared" ref="E4:E67" si="3">C4+F4</f>
        <v>1.1228209439609143</v>
      </c>
      <c r="F4" s="2">
        <f>_xlfn.STDEV.S($C$2:C4)</f>
        <v>4.2577033483219506E-2</v>
      </c>
      <c r="G4" s="2">
        <v>108.82781789126201</v>
      </c>
      <c r="H4" s="2">
        <v>100.74374577417173</v>
      </c>
      <c r="I4" s="2">
        <f t="shared" si="1"/>
        <v>1.0802439104776949</v>
      </c>
    </row>
    <row r="5" spans="1:9" ht="22.5" customHeight="1" x14ac:dyDescent="0.25">
      <c r="A5" s="3">
        <v>34578</v>
      </c>
      <c r="B5" s="2">
        <v>0.85299999999999998</v>
      </c>
      <c r="C5" s="2">
        <f t="shared" si="0"/>
        <v>1.0945626827921444</v>
      </c>
      <c r="D5" s="2">
        <f t="shared" si="2"/>
        <v>1.0528197614807202</v>
      </c>
      <c r="E5" s="2">
        <f t="shared" si="3"/>
        <v>1.1363056041035686</v>
      </c>
      <c r="F5" s="2">
        <f>_xlfn.STDEV.S($C$2:C5)</f>
        <v>4.1742921311424264E-2</v>
      </c>
      <c r="G5" s="2">
        <v>110.49236547725975</v>
      </c>
      <c r="H5" s="2">
        <v>100.94658553076404</v>
      </c>
      <c r="I5" s="2">
        <f t="shared" si="1"/>
        <v>1.0945626827921444</v>
      </c>
    </row>
    <row r="6" spans="1:9" ht="22.5" customHeight="1" x14ac:dyDescent="0.25">
      <c r="A6" s="3">
        <v>34608</v>
      </c>
      <c r="B6" s="2">
        <v>0.84599999999999997</v>
      </c>
      <c r="C6" s="2">
        <f t="shared" si="0"/>
        <v>1.122491060721323</v>
      </c>
      <c r="D6" s="2">
        <f t="shared" si="2"/>
        <v>1.0767709458164154</v>
      </c>
      <c r="E6" s="2">
        <f t="shared" si="3"/>
        <v>1.1682111756262306</v>
      </c>
      <c r="F6" s="2">
        <f>_xlfn.STDEV.S($C$2:C6)</f>
        <v>4.5720114904907523E-2</v>
      </c>
      <c r="G6" s="2">
        <v>113.387535139801</v>
      </c>
      <c r="H6" s="2">
        <v>101.01419878296147</v>
      </c>
      <c r="I6" s="2">
        <f t="shared" si="1"/>
        <v>1.122491060721323</v>
      </c>
    </row>
    <row r="7" spans="1:9" ht="22.5" customHeight="1" x14ac:dyDescent="0.25">
      <c r="A7" s="3">
        <v>34639</v>
      </c>
      <c r="B7" s="2">
        <v>0.84499999999999997</v>
      </c>
      <c r="C7" s="2">
        <f t="shared" si="0"/>
        <v>1.1509459022618562</v>
      </c>
      <c r="D7" s="2">
        <f t="shared" si="2"/>
        <v>1.0989845199758403</v>
      </c>
      <c r="E7" s="2">
        <f t="shared" si="3"/>
        <v>1.2029072845478721</v>
      </c>
      <c r="F7" s="2">
        <f>_xlfn.STDEV.S($C$2:C7)</f>
        <v>5.1961382286015934E-2</v>
      </c>
      <c r="G7" s="2">
        <v>116.57315494173501</v>
      </c>
      <c r="H7" s="2">
        <v>101.2846517917512</v>
      </c>
      <c r="I7" s="2">
        <f t="shared" si="1"/>
        <v>1.1509459022618562</v>
      </c>
    </row>
    <row r="8" spans="1:9" ht="22.5" customHeight="1" x14ac:dyDescent="0.25">
      <c r="A8" s="3">
        <v>34669</v>
      </c>
      <c r="B8" s="2">
        <v>0.84599999999999997</v>
      </c>
      <c r="C8" s="2">
        <f t="shared" si="0"/>
        <v>1.1682882712951288</v>
      </c>
      <c r="D8" s="2">
        <f t="shared" si="2"/>
        <v>1.1114645354414947</v>
      </c>
      <c r="E8" s="2">
        <f t="shared" si="3"/>
        <v>1.2251120071487629</v>
      </c>
      <c r="F8" s="2">
        <f>_xlfn.STDEV.S($C$2:C8)</f>
        <v>5.6823735853634115E-2</v>
      </c>
      <c r="G8" s="2">
        <v>118.5666460590932</v>
      </c>
      <c r="H8" s="2">
        <v>101.48749154834348</v>
      </c>
      <c r="I8" s="2">
        <f t="shared" si="1"/>
        <v>1.1682882712951288</v>
      </c>
    </row>
    <row r="9" spans="1:9" ht="22.5" customHeight="1" x14ac:dyDescent="0.25">
      <c r="A9" s="3">
        <v>34700</v>
      </c>
      <c r="B9" s="2">
        <v>0.84199999999999997</v>
      </c>
      <c r="C9" s="2">
        <f t="shared" si="0"/>
        <v>1.1849915066905761</v>
      </c>
      <c r="D9" s="2">
        <f t="shared" si="2"/>
        <v>1.1239328989941286</v>
      </c>
      <c r="E9" s="2">
        <f t="shared" si="3"/>
        <v>1.2460501143870235</v>
      </c>
      <c r="F9" s="2">
        <f>_xlfn.STDEV.S($C$2:C9)</f>
        <v>6.105860769644738E-2</v>
      </c>
      <c r="G9" s="2">
        <v>120.5823000384934</v>
      </c>
      <c r="H9" s="2">
        <v>101.75794455713321</v>
      </c>
      <c r="I9" s="2">
        <f t="shared" si="1"/>
        <v>1.1849915066905761</v>
      </c>
    </row>
    <row r="10" spans="1:9" ht="22.5" customHeight="1" x14ac:dyDescent="0.25">
      <c r="A10" s="3">
        <v>34731</v>
      </c>
      <c r="B10" s="2">
        <v>0.85150000000000003</v>
      </c>
      <c r="C10" s="2">
        <f t="shared" si="0"/>
        <v>1.1939005076494338</v>
      </c>
      <c r="D10" s="2">
        <f t="shared" si="2"/>
        <v>1.1300532442905125</v>
      </c>
      <c r="E10" s="2">
        <f t="shared" si="3"/>
        <v>1.2577477710083551</v>
      </c>
      <c r="F10" s="2">
        <f>_xlfn.STDEV.S($C$2:C10)</f>
        <v>6.3847263358921394E-2</v>
      </c>
      <c r="G10" s="2">
        <v>121.81175564861366</v>
      </c>
      <c r="H10" s="2">
        <v>102.02839756592294</v>
      </c>
      <c r="I10" s="2">
        <f t="shared" si="1"/>
        <v>1.1939005076494338</v>
      </c>
    </row>
    <row r="11" spans="1:9" ht="22.5" customHeight="1" x14ac:dyDescent="0.25">
      <c r="A11" s="3">
        <v>34759</v>
      </c>
      <c r="B11" s="2">
        <v>0.89600000000000002</v>
      </c>
      <c r="C11" s="2">
        <f t="shared" si="0"/>
        <v>1.2100045742147596</v>
      </c>
      <c r="D11" s="2">
        <f t="shared" si="2"/>
        <v>1.1431192448221159</v>
      </c>
      <c r="E11" s="2">
        <f t="shared" si="3"/>
        <v>1.2768899036074033</v>
      </c>
      <c r="F11" s="2">
        <f>_xlfn.STDEV.S($C$2:C11)</f>
        <v>6.6885329392643758E-2</v>
      </c>
      <c r="G11" s="2">
        <v>123.70026478787808</v>
      </c>
      <c r="H11" s="2">
        <v>102.23123732251523</v>
      </c>
      <c r="I11" s="2">
        <f t="shared" si="1"/>
        <v>1.2100045742147596</v>
      </c>
    </row>
    <row r="12" spans="1:9" ht="22.5" customHeight="1" x14ac:dyDescent="0.25">
      <c r="A12" s="3">
        <v>34790</v>
      </c>
      <c r="B12" s="2">
        <v>0.91300000000000003</v>
      </c>
      <c r="C12" s="2">
        <f t="shared" si="0"/>
        <v>1.2345094987942744</v>
      </c>
      <c r="D12" s="2">
        <f t="shared" si="2"/>
        <v>1.1632593314957702</v>
      </c>
      <c r="E12" s="2">
        <f t="shared" si="3"/>
        <v>1.3057596660927786</v>
      </c>
      <c r="F12" s="2">
        <f>_xlfn.STDEV.S($C$2:C12)</f>
        <v>7.1250167298504294E-2</v>
      </c>
      <c r="G12" s="2">
        <v>126.70624876062942</v>
      </c>
      <c r="H12" s="2">
        <v>102.63691683569984</v>
      </c>
      <c r="I12" s="2">
        <f t="shared" si="1"/>
        <v>1.2345094987942744</v>
      </c>
    </row>
    <row r="13" spans="1:9" ht="22.5" customHeight="1" x14ac:dyDescent="0.25">
      <c r="A13" s="3">
        <v>34820</v>
      </c>
      <c r="B13" s="2">
        <v>0.90600000000000003</v>
      </c>
      <c r="C13" s="2">
        <f t="shared" si="0"/>
        <v>1.26496800166333</v>
      </c>
      <c r="D13" s="2">
        <f t="shared" si="2"/>
        <v>1.1876109387855744</v>
      </c>
      <c r="E13" s="2">
        <f t="shared" si="3"/>
        <v>1.3423250645410856</v>
      </c>
      <c r="F13" s="2">
        <f>_xlfn.STDEV.S($C$2:C13)</f>
        <v>7.7357062877755636E-2</v>
      </c>
      <c r="G13" s="2">
        <v>130.08900138809503</v>
      </c>
      <c r="H13" s="2">
        <v>102.83975659229212</v>
      </c>
      <c r="I13" s="2">
        <f t="shared" si="1"/>
        <v>1.26496800166333</v>
      </c>
    </row>
    <row r="14" spans="1:9" ht="22.5" customHeight="1" x14ac:dyDescent="0.25">
      <c r="A14" s="3">
        <v>34851</v>
      </c>
      <c r="B14" s="2">
        <v>0.92200000000000004</v>
      </c>
      <c r="C14" s="2">
        <f t="shared" si="0"/>
        <v>1.2910048998019115</v>
      </c>
      <c r="D14" s="2">
        <f t="shared" si="2"/>
        <v>1.2069209892933448</v>
      </c>
      <c r="E14" s="2">
        <f t="shared" si="3"/>
        <v>1.3750888103104781</v>
      </c>
      <c r="F14" s="2">
        <f>_xlfn.STDEV.S($C$2:C14)</f>
        <v>8.4083910508566756E-2</v>
      </c>
      <c r="G14" s="2">
        <v>133.02849677472034</v>
      </c>
      <c r="H14" s="2">
        <v>103.04259634888442</v>
      </c>
      <c r="I14" s="2">
        <f t="shared" si="1"/>
        <v>1.2910048998019115</v>
      </c>
    </row>
    <row r="15" spans="1:9" ht="22.5" customHeight="1" x14ac:dyDescent="0.25">
      <c r="A15" s="3">
        <v>34881</v>
      </c>
      <c r="B15" s="2">
        <v>0.93600000000000005</v>
      </c>
      <c r="C15" s="2">
        <f t="shared" si="0"/>
        <v>1.3197357160109529</v>
      </c>
      <c r="D15" s="2">
        <f t="shared" si="2"/>
        <v>1.2281780921223153</v>
      </c>
      <c r="E15" s="2">
        <f t="shared" si="3"/>
        <v>1.4112933398995904</v>
      </c>
      <c r="F15" s="2">
        <f>_xlfn.STDEV.S($C$2:C15)</f>
        <v>9.1557623888637502E-2</v>
      </c>
      <c r="G15" s="2">
        <v>136.16745791972377</v>
      </c>
      <c r="H15" s="2">
        <v>103.17782285327927</v>
      </c>
      <c r="I15" s="2">
        <f t="shared" si="1"/>
        <v>1.3197357160109529</v>
      </c>
    </row>
    <row r="16" spans="1:9" ht="22.5" customHeight="1" x14ac:dyDescent="0.25">
      <c r="A16" s="3">
        <v>34912</v>
      </c>
      <c r="B16" s="2">
        <v>0.95099999999999996</v>
      </c>
      <c r="C16" s="2">
        <f t="shared" si="0"/>
        <v>1.3301897050511451</v>
      </c>
      <c r="D16" s="2">
        <f t="shared" si="2"/>
        <v>1.2327522416236549</v>
      </c>
      <c r="E16" s="2">
        <f t="shared" si="3"/>
        <v>1.4276271684786352</v>
      </c>
      <c r="F16" s="2">
        <f>_xlfn.STDEV.S($C$2:C16)</f>
        <v>9.7437463427490212E-2</v>
      </c>
      <c r="G16" s="2">
        <v>137.515893105017</v>
      </c>
      <c r="H16" s="2">
        <v>103.38066260987156</v>
      </c>
      <c r="I16" s="2">
        <f t="shared" si="1"/>
        <v>1.3301897050511451</v>
      </c>
    </row>
    <row r="17" spans="1:9" ht="22.5" customHeight="1" x14ac:dyDescent="0.25">
      <c r="A17" s="3">
        <v>34943</v>
      </c>
      <c r="B17" s="2">
        <v>0.95399999999999996</v>
      </c>
      <c r="C17" s="2">
        <f t="shared" si="0"/>
        <v>1.3416023434592343</v>
      </c>
      <c r="D17" s="2">
        <f t="shared" si="2"/>
        <v>1.2392351876160508</v>
      </c>
      <c r="E17" s="2">
        <f t="shared" si="3"/>
        <v>1.4439694993024179</v>
      </c>
      <c r="F17" s="2">
        <f>_xlfn.STDEV.S($C$2:C17)</f>
        <v>0.10236715584318348</v>
      </c>
      <c r="G17" s="2">
        <v>138.87715942096608</v>
      </c>
      <c r="H17" s="2">
        <v>103.51588911426643</v>
      </c>
      <c r="I17" s="2">
        <f t="shared" si="1"/>
        <v>1.3416023434592343</v>
      </c>
    </row>
    <row r="18" spans="1:9" ht="22.5" customHeight="1" x14ac:dyDescent="0.25">
      <c r="A18" s="3">
        <v>34973</v>
      </c>
      <c r="B18" s="2">
        <v>0.96189999999999998</v>
      </c>
      <c r="C18" s="2">
        <f t="shared" si="0"/>
        <v>1.3569767819607901</v>
      </c>
      <c r="D18" s="2">
        <f t="shared" si="2"/>
        <v>1.2499759679820308</v>
      </c>
      <c r="E18" s="2">
        <f t="shared" si="3"/>
        <v>1.4639775959395493</v>
      </c>
      <c r="F18" s="2">
        <f>_xlfn.STDEV.S($C$2:C18)</f>
        <v>0.10700081397875935</v>
      </c>
      <c r="G18" s="2">
        <v>140.83565654562634</v>
      </c>
      <c r="H18" s="2">
        <v>103.78634212305616</v>
      </c>
      <c r="I18" s="2">
        <f t="shared" si="1"/>
        <v>1.3569767819607901</v>
      </c>
    </row>
    <row r="19" spans="1:9" ht="22.5" customHeight="1" x14ac:dyDescent="0.25">
      <c r="A19" s="3">
        <v>35004</v>
      </c>
      <c r="B19" s="2">
        <v>0.96660000000000001</v>
      </c>
      <c r="C19" s="2">
        <f t="shared" si="0"/>
        <v>1.375134501281682</v>
      </c>
      <c r="D19" s="2">
        <f t="shared" si="2"/>
        <v>1.2634690893895875</v>
      </c>
      <c r="E19" s="2">
        <f t="shared" si="3"/>
        <v>1.4867999131737766</v>
      </c>
      <c r="F19" s="2">
        <f>_xlfn.STDEV.S($C$2:C19)</f>
        <v>0.11166541189209445</v>
      </c>
      <c r="G19" s="2">
        <v>142.90613444691994</v>
      </c>
      <c r="H19" s="2">
        <v>103.92156862745101</v>
      </c>
      <c r="I19" s="2">
        <f t="shared" si="1"/>
        <v>1.375134501281682</v>
      </c>
    </row>
    <row r="20" spans="1:9" ht="22.5" customHeight="1" x14ac:dyDescent="0.25">
      <c r="A20" s="3">
        <v>35034</v>
      </c>
      <c r="B20" s="2">
        <v>0.97250000000000003</v>
      </c>
      <c r="C20" s="2">
        <f t="shared" si="0"/>
        <v>1.3947695736533383</v>
      </c>
      <c r="D20" s="2">
        <f t="shared" si="2"/>
        <v>1.2782853895690383</v>
      </c>
      <c r="E20" s="2">
        <f t="shared" si="3"/>
        <v>1.5112537577376384</v>
      </c>
      <c r="F20" s="2">
        <f>_xlfn.STDEV.S($C$2:C20)</f>
        <v>0.11648418408430011</v>
      </c>
      <c r="G20" s="2">
        <v>145.13525178177747</v>
      </c>
      <c r="H20" s="2">
        <v>104.05679513184589</v>
      </c>
      <c r="I20" s="2">
        <f t="shared" si="1"/>
        <v>1.3947695736533383</v>
      </c>
    </row>
    <row r="21" spans="1:9" ht="22.5" customHeight="1" x14ac:dyDescent="0.25">
      <c r="A21" s="3">
        <v>35065</v>
      </c>
      <c r="B21" s="2">
        <v>0.97860000000000003</v>
      </c>
      <c r="C21" s="2">
        <f t="shared" si="0"/>
        <v>1.4061470729576035</v>
      </c>
      <c r="D21" s="2">
        <f t="shared" si="2"/>
        <v>1.2853669927793574</v>
      </c>
      <c r="E21" s="2">
        <f t="shared" si="3"/>
        <v>1.5269271531358497</v>
      </c>
      <c r="F21" s="2">
        <f>_xlfn.STDEV.S($C$2:C21)</f>
        <v>0.12078008017824608</v>
      </c>
      <c r="G21" s="2">
        <v>147.07975130935858</v>
      </c>
      <c r="H21" s="2">
        <v>104.59770114942532</v>
      </c>
      <c r="I21" s="2">
        <f t="shared" si="1"/>
        <v>1.4061470729576035</v>
      </c>
    </row>
    <row r="22" spans="1:9" ht="22.5" customHeight="1" x14ac:dyDescent="0.25">
      <c r="A22" s="3">
        <v>35096</v>
      </c>
      <c r="B22" s="2">
        <v>0.98419999999999996</v>
      </c>
      <c r="C22" s="2">
        <f t="shared" si="0"/>
        <v>1.4178838191916838</v>
      </c>
      <c r="D22" s="2">
        <f t="shared" si="2"/>
        <v>1.293173713517646</v>
      </c>
      <c r="E22" s="2">
        <f t="shared" si="3"/>
        <v>1.5425939248657217</v>
      </c>
      <c r="F22" s="2">
        <f>_xlfn.STDEV.S($C$2:C22)</f>
        <v>0.12471010567403794</v>
      </c>
      <c r="G22" s="2">
        <v>148.59499119317854</v>
      </c>
      <c r="H22" s="2">
        <v>104.80054090601762</v>
      </c>
      <c r="I22" s="2">
        <f t="shared" si="1"/>
        <v>1.4178838191916838</v>
      </c>
    </row>
    <row r="23" spans="1:9" ht="22.5" customHeight="1" x14ac:dyDescent="0.25">
      <c r="A23" s="3">
        <v>35125</v>
      </c>
      <c r="B23" s="2">
        <v>0.98799999999999999</v>
      </c>
      <c r="C23" s="2">
        <f t="shared" si="0"/>
        <v>1.4182728803045288</v>
      </c>
      <c r="D23" s="2">
        <f t="shared" si="2"/>
        <v>1.2906594488374796</v>
      </c>
      <c r="E23" s="2">
        <f t="shared" si="3"/>
        <v>1.545886311771578</v>
      </c>
      <c r="F23" s="2">
        <f>_xlfn.STDEV.S($C$2:C23)</f>
        <v>0.1276134314670492</v>
      </c>
      <c r="G23" s="2">
        <v>149.11523521795425</v>
      </c>
      <c r="H23" s="2">
        <v>105.13860716700478</v>
      </c>
      <c r="I23" s="2">
        <f t="shared" si="1"/>
        <v>1.4182728803045288</v>
      </c>
    </row>
    <row r="24" spans="1:9" ht="22.5" customHeight="1" x14ac:dyDescent="0.25">
      <c r="A24" s="3">
        <v>35156</v>
      </c>
      <c r="B24" s="2">
        <v>0.99250000000000005</v>
      </c>
      <c r="C24" s="2">
        <f t="shared" si="0"/>
        <v>1.4306261132197713</v>
      </c>
      <c r="D24" s="2">
        <f t="shared" si="2"/>
        <v>1.300164942768935</v>
      </c>
      <c r="E24" s="2">
        <f t="shared" si="3"/>
        <v>1.5610872836706076</v>
      </c>
      <c r="F24" s="2">
        <f>_xlfn.STDEV.S($C$2:C24)</f>
        <v>0.13046117045083616</v>
      </c>
      <c r="G24" s="2">
        <v>150.99441262583258</v>
      </c>
      <c r="H24" s="2">
        <v>105.54428668018936</v>
      </c>
      <c r="I24" s="2">
        <f t="shared" si="1"/>
        <v>1.4306261132197713</v>
      </c>
    </row>
    <row r="25" spans="1:9" ht="22.5" customHeight="1" x14ac:dyDescent="0.25">
      <c r="A25" s="3">
        <v>35186</v>
      </c>
      <c r="B25" s="2">
        <v>0.99839999999999995</v>
      </c>
      <c r="C25" s="2">
        <f t="shared" si="0"/>
        <v>1.4452994446098344</v>
      </c>
      <c r="D25" s="2">
        <f t="shared" si="2"/>
        <v>1.3118904313579494</v>
      </c>
      <c r="E25" s="2">
        <f t="shared" si="3"/>
        <v>1.5787084578617194</v>
      </c>
      <c r="F25" s="2">
        <f>_xlfn.STDEV.S($C$2:C25)</f>
        <v>0.13340901325188492</v>
      </c>
      <c r="G25" s="2">
        <v>152.83626310816643</v>
      </c>
      <c r="H25" s="2">
        <v>105.74712643678164</v>
      </c>
      <c r="I25" s="2">
        <f t="shared" si="1"/>
        <v>1.4452994446098344</v>
      </c>
    </row>
    <row r="26" spans="1:9" ht="22.5" customHeight="1" x14ac:dyDescent="0.25">
      <c r="A26" s="3">
        <v>35217</v>
      </c>
      <c r="B26" s="2">
        <v>1.0044</v>
      </c>
      <c r="C26" s="2">
        <f t="shared" si="0"/>
        <v>1.4596964002779176</v>
      </c>
      <c r="D26" s="2">
        <f t="shared" si="2"/>
        <v>1.3232647993196176</v>
      </c>
      <c r="E26" s="2">
        <f t="shared" si="3"/>
        <v>1.5961280012362176</v>
      </c>
      <c r="F26" s="2">
        <f>_xlfn.STDEV.S($C$2:C26)</f>
        <v>0.13643160095829995</v>
      </c>
      <c r="G26" s="2">
        <v>154.65478426203501</v>
      </c>
      <c r="H26" s="2">
        <v>105.94996619337394</v>
      </c>
      <c r="I26" s="2">
        <f t="shared" si="1"/>
        <v>1.4596964002779176</v>
      </c>
    </row>
    <row r="27" spans="1:9" ht="22.5" customHeight="1" x14ac:dyDescent="0.25">
      <c r="A27" s="3">
        <v>35247</v>
      </c>
      <c r="B27" s="2">
        <v>1.0112000000000001</v>
      </c>
      <c r="C27" s="2">
        <f t="shared" si="0"/>
        <v>1.4730823310575842</v>
      </c>
      <c r="D27" s="2">
        <f t="shared" si="2"/>
        <v>1.333615899640437</v>
      </c>
      <c r="E27" s="2">
        <f t="shared" si="3"/>
        <v>1.6125487624747314</v>
      </c>
      <c r="F27" s="2">
        <f>_xlfn.STDEV.S($C$2:C27)</f>
        <v>0.13946643141714729</v>
      </c>
      <c r="G27" s="2">
        <v>156.37182283707963</v>
      </c>
      <c r="H27" s="2">
        <v>106.15280594996622</v>
      </c>
      <c r="I27" s="2">
        <f t="shared" si="1"/>
        <v>1.4730823310575842</v>
      </c>
    </row>
    <row r="28" spans="1:9" ht="22.5" customHeight="1" x14ac:dyDescent="0.25">
      <c r="A28" s="3">
        <v>35278</v>
      </c>
      <c r="B28" s="2">
        <v>1.0168999999999999</v>
      </c>
      <c r="C28" s="2">
        <f t="shared" si="0"/>
        <v>1.4776831821987606</v>
      </c>
      <c r="D28" s="2">
        <f t="shared" si="2"/>
        <v>1.3356326454991532</v>
      </c>
      <c r="E28" s="2">
        <f t="shared" si="3"/>
        <v>1.619733718898368</v>
      </c>
      <c r="F28" s="2">
        <f>_xlfn.STDEV.S($C$2:C28)</f>
        <v>0.14205053669960738</v>
      </c>
      <c r="G28" s="2">
        <v>157.06003802680542</v>
      </c>
      <c r="H28" s="2">
        <v>106.28803245436107</v>
      </c>
      <c r="I28" s="2">
        <f t="shared" si="1"/>
        <v>1.4776831821987606</v>
      </c>
    </row>
    <row r="29" spans="1:9" ht="22.5" customHeight="1" x14ac:dyDescent="0.25">
      <c r="A29" s="3">
        <v>35309</v>
      </c>
      <c r="B29" s="2">
        <v>1.0215000000000001</v>
      </c>
      <c r="C29" s="2">
        <f t="shared" si="0"/>
        <v>1.4752079100654834</v>
      </c>
      <c r="D29" s="2">
        <f t="shared" si="2"/>
        <v>1.3312750152087085</v>
      </c>
      <c r="E29" s="2">
        <f t="shared" si="3"/>
        <v>1.6191408049222582</v>
      </c>
      <c r="F29" s="2">
        <f>_xlfn.STDEV.S($C$2:C29)</f>
        <v>0.14393289485677485</v>
      </c>
      <c r="G29" s="2">
        <v>157.29566424430476</v>
      </c>
      <c r="H29" s="2">
        <v>106.62609871534822</v>
      </c>
      <c r="I29" s="2">
        <f t="shared" si="1"/>
        <v>1.4752079100654834</v>
      </c>
    </row>
    <row r="30" spans="1:9" ht="22.5" customHeight="1" x14ac:dyDescent="0.25">
      <c r="A30" s="3">
        <v>35339</v>
      </c>
      <c r="B30" s="2">
        <v>1.0276000000000001</v>
      </c>
      <c r="C30" s="2">
        <f t="shared" si="0"/>
        <v>1.4749620415457001</v>
      </c>
      <c r="D30" s="2">
        <f t="shared" si="2"/>
        <v>1.3296074771744153</v>
      </c>
      <c r="E30" s="2">
        <f t="shared" si="3"/>
        <v>1.6203166059169849</v>
      </c>
      <c r="F30" s="2">
        <f>_xlfn.STDEV.S($C$2:C30)</f>
        <v>0.14535456437128469</v>
      </c>
      <c r="G30" s="2">
        <v>157.76808314572668</v>
      </c>
      <c r="H30" s="2">
        <v>106.96416497633537</v>
      </c>
      <c r="I30" s="2">
        <f t="shared" si="1"/>
        <v>1.4749620415457001</v>
      </c>
    </row>
    <row r="31" spans="1:9" ht="22.5" customHeight="1" x14ac:dyDescent="0.25">
      <c r="A31" s="3">
        <v>35370</v>
      </c>
      <c r="B31" s="2">
        <v>1.0331999999999999</v>
      </c>
      <c r="C31" s="2">
        <f t="shared" si="0"/>
        <v>1.4750221060822493</v>
      </c>
      <c r="D31" s="2">
        <f t="shared" si="2"/>
        <v>1.3286067162979458</v>
      </c>
      <c r="E31" s="2">
        <f t="shared" si="3"/>
        <v>1.6214374958665527</v>
      </c>
      <c r="F31" s="2">
        <f>_xlfn.STDEV.S($C$2:C31)</f>
        <v>0.14641538978430349</v>
      </c>
      <c r="G31" s="2">
        <v>158.27316310699999</v>
      </c>
      <c r="H31" s="2">
        <v>107.30223123732253</v>
      </c>
      <c r="I31" s="2">
        <f t="shared" si="1"/>
        <v>1.4750221060822493</v>
      </c>
    </row>
    <row r="32" spans="1:9" ht="22.5" customHeight="1" x14ac:dyDescent="0.25">
      <c r="A32" s="3">
        <v>35400</v>
      </c>
      <c r="B32" s="2">
        <v>1.0394000000000001</v>
      </c>
      <c r="C32" s="2">
        <f t="shared" si="0"/>
        <v>1.4782318559722045</v>
      </c>
      <c r="D32" s="2">
        <f t="shared" si="2"/>
        <v>1.3309319334972332</v>
      </c>
      <c r="E32" s="2">
        <f t="shared" si="3"/>
        <v>1.6255317784471759</v>
      </c>
      <c r="F32" s="2">
        <f>_xlfn.STDEV.S($C$2:C32)</f>
        <v>0.14729992247497128</v>
      </c>
      <c r="G32" s="2">
        <v>159.01736868504244</v>
      </c>
      <c r="H32" s="2">
        <v>107.57268424611226</v>
      </c>
      <c r="I32" s="2">
        <f t="shared" si="1"/>
        <v>1.4782318559722045</v>
      </c>
    </row>
    <row r="33" spans="1:9" ht="22.5" customHeight="1" x14ac:dyDescent="0.25">
      <c r="A33" s="3">
        <v>35431</v>
      </c>
      <c r="B33" s="2">
        <v>1.0461</v>
      </c>
      <c r="C33" s="2">
        <f t="shared" si="0"/>
        <v>1.4928641233610394</v>
      </c>
      <c r="D33" s="2">
        <f t="shared" si="2"/>
        <v>1.3443990525425307</v>
      </c>
      <c r="E33" s="2">
        <f t="shared" si="3"/>
        <v>1.641329194179548</v>
      </c>
      <c r="F33" s="2">
        <f>_xlfn.STDEV.S($C$2:C33)</f>
        <v>0.1484650708185086</v>
      </c>
      <c r="G33" s="2">
        <v>160.8942131600742</v>
      </c>
      <c r="H33" s="2">
        <v>107.77552400270456</v>
      </c>
      <c r="I33" s="2">
        <f t="shared" si="1"/>
        <v>1.4928641233610394</v>
      </c>
    </row>
    <row r="34" spans="1:9" ht="22.5" customHeight="1" x14ac:dyDescent="0.25">
      <c r="A34" s="3">
        <v>35462</v>
      </c>
      <c r="B34" s="2">
        <v>1.0515000000000001</v>
      </c>
      <c r="C34" s="2">
        <f t="shared" si="0"/>
        <v>1.4975136625757977</v>
      </c>
      <c r="D34" s="2">
        <f t="shared" si="2"/>
        <v>1.3480004980660039</v>
      </c>
      <c r="E34" s="2">
        <f t="shared" si="3"/>
        <v>1.6470268270855914</v>
      </c>
      <c r="F34" s="2">
        <f>_xlfn.STDEV.S($C$2:C34)</f>
        <v>0.14951316450979391</v>
      </c>
      <c r="G34" s="2">
        <v>161.69907499212638</v>
      </c>
      <c r="H34" s="2">
        <v>107.97836375929684</v>
      </c>
      <c r="I34" s="2">
        <f t="shared" si="1"/>
        <v>1.4975136625757977</v>
      </c>
    </row>
    <row r="35" spans="1:9" ht="22.5" customHeight="1" x14ac:dyDescent="0.25">
      <c r="A35" s="3">
        <v>35490</v>
      </c>
      <c r="B35" s="2">
        <v>1.0592999999999999</v>
      </c>
      <c r="C35" s="2">
        <f t="shared" si="0"/>
        <v>1.5042093305897377</v>
      </c>
      <c r="D35" s="2">
        <f t="shared" si="2"/>
        <v>1.3536729534825789</v>
      </c>
      <c r="E35" s="2">
        <f t="shared" si="3"/>
        <v>1.6547457076968966</v>
      </c>
      <c r="F35" s="2">
        <f>_xlfn.STDEV.S($C$2:C35)</f>
        <v>0.15053637710715881</v>
      </c>
      <c r="G35" s="2">
        <v>162.52376675337402</v>
      </c>
      <c r="H35" s="2">
        <v>108.04597701149429</v>
      </c>
      <c r="I35" s="2">
        <f t="shared" si="1"/>
        <v>1.5042093305897377</v>
      </c>
    </row>
    <row r="36" spans="1:9" ht="22.5" customHeight="1" x14ac:dyDescent="0.25">
      <c r="A36" s="3">
        <v>35521</v>
      </c>
      <c r="B36" s="2">
        <v>1.0638000000000001</v>
      </c>
      <c r="C36" s="2">
        <f t="shared" si="0"/>
        <v>1.5164962535090012</v>
      </c>
      <c r="D36" s="2">
        <f t="shared" si="2"/>
        <v>1.3647578499057473</v>
      </c>
      <c r="E36" s="2">
        <f t="shared" si="3"/>
        <v>1.668234657112255</v>
      </c>
      <c r="F36" s="2">
        <f>_xlfn.STDEV.S($C$2:C36)</f>
        <v>0.1517384036032538</v>
      </c>
      <c r="G36" s="2">
        <v>163.95385458829571</v>
      </c>
      <c r="H36" s="2">
        <v>108.11359026369172</v>
      </c>
      <c r="I36" s="2">
        <f t="shared" si="1"/>
        <v>1.5164962535090012</v>
      </c>
    </row>
    <row r="37" spans="1:9" ht="22.5" customHeight="1" x14ac:dyDescent="0.25">
      <c r="A37" s="3">
        <v>35551</v>
      </c>
      <c r="B37" s="2">
        <v>1.0717000000000001</v>
      </c>
      <c r="C37" s="2">
        <f t="shared" si="0"/>
        <v>1.5227108714692532</v>
      </c>
      <c r="D37" s="2">
        <f t="shared" si="2"/>
        <v>1.3698177965020297</v>
      </c>
      <c r="E37" s="2">
        <f t="shared" si="3"/>
        <v>1.6756039464364767</v>
      </c>
      <c r="F37" s="2">
        <f>_xlfn.STDEV.S($C$2:C37)</f>
        <v>0.1528930749672234</v>
      </c>
      <c r="G37" s="2">
        <v>164.62573924809578</v>
      </c>
      <c r="H37" s="2">
        <v>108.11359026369172</v>
      </c>
      <c r="I37" s="2">
        <f t="shared" si="1"/>
        <v>1.5227108714692532</v>
      </c>
    </row>
    <row r="38" spans="1:9" ht="22.5" customHeight="1" x14ac:dyDescent="0.25">
      <c r="A38" s="3">
        <v>35582</v>
      </c>
      <c r="B38" s="2">
        <v>1.0769</v>
      </c>
      <c r="C38" s="2">
        <f t="shared" si="0"/>
        <v>1.5280653787391967</v>
      </c>
      <c r="D38" s="2">
        <f t="shared" si="2"/>
        <v>1.3740853013607026</v>
      </c>
      <c r="E38" s="2">
        <f t="shared" si="3"/>
        <v>1.6820454561176907</v>
      </c>
      <c r="F38" s="2">
        <f>_xlfn.STDEV.S($C$2:C38)</f>
        <v>0.15398007737849398</v>
      </c>
      <c r="G38" s="2">
        <v>165.51458666262297</v>
      </c>
      <c r="H38" s="2">
        <v>108.316430020284</v>
      </c>
      <c r="I38" s="2">
        <f t="shared" si="1"/>
        <v>1.5280653787391967</v>
      </c>
    </row>
    <row r="39" spans="1:9" ht="22.5" customHeight="1" x14ac:dyDescent="0.25">
      <c r="A39" s="3">
        <v>35612</v>
      </c>
      <c r="B39" s="2">
        <v>1.0833999999999999</v>
      </c>
      <c r="C39" s="2">
        <f t="shared" si="0"/>
        <v>1.5295158184046238</v>
      </c>
      <c r="D39" s="2">
        <f t="shared" si="2"/>
        <v>1.374631051367496</v>
      </c>
      <c r="E39" s="2">
        <f t="shared" si="3"/>
        <v>1.6844005854417516</v>
      </c>
      <c r="F39" s="2">
        <f>_xlfn.STDEV.S($C$2:C39)</f>
        <v>0.15488476703712789</v>
      </c>
      <c r="G39" s="2">
        <v>165.87852418668135</v>
      </c>
      <c r="H39" s="2">
        <v>108.45165652467887</v>
      </c>
      <c r="I39" s="2">
        <f t="shared" si="1"/>
        <v>1.5295158184046238</v>
      </c>
    </row>
    <row r="40" spans="1:9" ht="22.5" customHeight="1" x14ac:dyDescent="0.25">
      <c r="A40" s="3">
        <v>35643</v>
      </c>
      <c r="B40" s="2">
        <v>1.0915999999999999</v>
      </c>
      <c r="C40" s="2">
        <f t="shared" si="0"/>
        <v>1.5254106440583419</v>
      </c>
      <c r="D40" s="2">
        <f t="shared" si="2"/>
        <v>1.3699430840842264</v>
      </c>
      <c r="E40" s="2">
        <f t="shared" si="3"/>
        <v>1.6808782040324575</v>
      </c>
      <c r="F40" s="2">
        <f>_xlfn.STDEV.S($C$2:C40)</f>
        <v>0.15546755997411543</v>
      </c>
      <c r="G40" s="2">
        <v>165.84586312682995</v>
      </c>
      <c r="H40" s="2">
        <v>108.72210953346861</v>
      </c>
      <c r="I40" s="2">
        <f t="shared" si="1"/>
        <v>1.5254106440583419</v>
      </c>
    </row>
    <row r="41" spans="1:9" ht="22.5" customHeight="1" x14ac:dyDescent="0.25">
      <c r="A41" s="3">
        <v>35674</v>
      </c>
      <c r="B41" s="2">
        <v>1.0964</v>
      </c>
      <c r="C41" s="2">
        <f t="shared" si="0"/>
        <v>1.5225351978348765</v>
      </c>
      <c r="D41" s="2">
        <f t="shared" si="2"/>
        <v>1.3667229201689175</v>
      </c>
      <c r="E41" s="2">
        <f t="shared" si="3"/>
        <v>1.6783474755008354</v>
      </c>
      <c r="F41" s="2">
        <f>_xlfn.STDEV.S($C$2:C41)</f>
        <v>0.15581227766595895</v>
      </c>
      <c r="G41" s="2">
        <v>165.94501277280742</v>
      </c>
      <c r="H41" s="2">
        <v>108.99256254225833</v>
      </c>
      <c r="I41" s="2">
        <f t="shared" si="1"/>
        <v>1.5225351978348765</v>
      </c>
    </row>
    <row r="42" spans="1:9" ht="22.5" customHeight="1" x14ac:dyDescent="0.25">
      <c r="A42" s="3">
        <v>35704</v>
      </c>
      <c r="B42" s="2">
        <v>1.1031</v>
      </c>
      <c r="C42" s="2">
        <f t="shared" si="0"/>
        <v>1.5232000962641763</v>
      </c>
      <c r="D42" s="2">
        <f t="shared" si="2"/>
        <v>1.3671544980669599</v>
      </c>
      <c r="E42" s="2">
        <f t="shared" si="3"/>
        <v>1.6792456944613927</v>
      </c>
      <c r="F42" s="2">
        <f>_xlfn.STDEV.S($C$2:C42)</f>
        <v>0.15604559819721631</v>
      </c>
      <c r="G42" s="2">
        <v>166.32644729321473</v>
      </c>
      <c r="H42" s="2">
        <v>109.19540229885062</v>
      </c>
      <c r="I42" s="2">
        <f t="shared" si="1"/>
        <v>1.5232000962641763</v>
      </c>
    </row>
    <row r="43" spans="1:9" ht="22.5" customHeight="1" x14ac:dyDescent="0.25">
      <c r="A43" s="3">
        <v>35735</v>
      </c>
      <c r="B43" s="2">
        <v>1.1097999999999999</v>
      </c>
      <c r="C43" s="2">
        <f t="shared" si="0"/>
        <v>1.5238980511808675</v>
      </c>
      <c r="D43" s="2">
        <f t="shared" si="2"/>
        <v>1.3677145389307919</v>
      </c>
      <c r="E43" s="2">
        <f t="shared" si="3"/>
        <v>1.6800815634309432</v>
      </c>
      <c r="F43" s="2">
        <f>_xlfn.STDEV.S($C$2:C43)</f>
        <v>0.1561835122500756</v>
      </c>
      <c r="G43" s="2">
        <v>166.6087321676446</v>
      </c>
      <c r="H43" s="2">
        <v>109.33062880324547</v>
      </c>
      <c r="I43" s="2">
        <f t="shared" si="1"/>
        <v>1.5238980511808675</v>
      </c>
    </row>
    <row r="44" spans="1:9" ht="22.5" customHeight="1" x14ac:dyDescent="0.25">
      <c r="A44" s="3">
        <v>35765</v>
      </c>
      <c r="B44" s="2">
        <v>1.1164000000000001</v>
      </c>
      <c r="C44" s="2">
        <f t="shared" si="0"/>
        <v>1.5295030286385096</v>
      </c>
      <c r="D44" s="2">
        <f t="shared" si="2"/>
        <v>1.3731453161630931</v>
      </c>
      <c r="E44" s="2">
        <f t="shared" si="3"/>
        <v>1.6858607411139261</v>
      </c>
      <c r="F44" s="2">
        <f>_xlfn.STDEV.S($C$2:C44)</f>
        <v>0.15635771247541663</v>
      </c>
      <c r="G44" s="2">
        <v>167.32494255152869</v>
      </c>
      <c r="H44" s="2">
        <v>109.39824205544291</v>
      </c>
      <c r="I44" s="2">
        <f t="shared" si="1"/>
        <v>1.5295030286385096</v>
      </c>
    </row>
    <row r="45" spans="1:9" ht="22.5" customHeight="1" x14ac:dyDescent="0.25">
      <c r="A45" s="3">
        <v>35796</v>
      </c>
      <c r="B45" s="2">
        <v>1.1236999999999999</v>
      </c>
      <c r="C45" s="2">
        <f t="shared" si="0"/>
        <v>1.538455849029867</v>
      </c>
      <c r="D45" s="2">
        <f t="shared" si="2"/>
        <v>1.3818066913631688</v>
      </c>
      <c r="E45" s="2">
        <f t="shared" si="3"/>
        <v>1.6951050066965652</v>
      </c>
      <c r="F45" s="2">
        <f>_xlfn.STDEV.S($C$2:C45)</f>
        <v>0.15664915766669824</v>
      </c>
      <c r="G45" s="2">
        <v>168.51240537041144</v>
      </c>
      <c r="H45" s="2">
        <v>109.53346855983776</v>
      </c>
      <c r="I45" s="2">
        <f t="shared" si="1"/>
        <v>1.538455849029867</v>
      </c>
    </row>
    <row r="46" spans="1:9" ht="22.5" customHeight="1" x14ac:dyDescent="0.25">
      <c r="A46" s="3">
        <v>35827</v>
      </c>
      <c r="B46" s="2">
        <v>1.1374</v>
      </c>
      <c r="C46" s="2">
        <f t="shared" si="0"/>
        <v>1.5455377042990333</v>
      </c>
      <c r="D46" s="2">
        <f t="shared" si="2"/>
        <v>1.3885316444418847</v>
      </c>
      <c r="E46" s="2">
        <f t="shared" si="3"/>
        <v>1.7025437641561818</v>
      </c>
      <c r="F46" s="2">
        <f>_xlfn.STDEV.S($C$2:C46)</f>
        <v>0.15700605985714858</v>
      </c>
      <c r="G46" s="2">
        <v>169.288105541882</v>
      </c>
      <c r="H46" s="2">
        <v>109.53346855983777</v>
      </c>
      <c r="I46" s="2">
        <f t="shared" si="1"/>
        <v>1.5455377042990333</v>
      </c>
    </row>
    <row r="47" spans="1:9" ht="22.5" customHeight="1" x14ac:dyDescent="0.25">
      <c r="A47" s="3">
        <v>35855</v>
      </c>
      <c r="B47" s="2">
        <v>1.1374</v>
      </c>
      <c r="C47" s="2">
        <f t="shared" si="0"/>
        <v>1.5507878616639943</v>
      </c>
      <c r="D47" s="2">
        <f t="shared" si="2"/>
        <v>1.3934069615181328</v>
      </c>
      <c r="E47" s="2">
        <f t="shared" si="3"/>
        <v>1.7081687618098558</v>
      </c>
      <c r="F47" s="2">
        <f>_xlfn.STDEV.S($C$2:C47)</f>
        <v>0.15738090014586142</v>
      </c>
      <c r="G47" s="2">
        <v>169.86317348855115</v>
      </c>
      <c r="H47" s="2">
        <v>109.53346855983777</v>
      </c>
      <c r="I47" s="2">
        <f t="shared" si="1"/>
        <v>1.5507878616639943</v>
      </c>
    </row>
    <row r="48" spans="1:9" ht="22.5" customHeight="1" x14ac:dyDescent="0.25">
      <c r="A48" s="3">
        <v>35886</v>
      </c>
      <c r="B48" s="2">
        <v>1.1443000000000001</v>
      </c>
      <c r="C48" s="2">
        <f t="shared" si="0"/>
        <v>1.5525877295297759</v>
      </c>
      <c r="D48" s="2">
        <f t="shared" si="2"/>
        <v>1.3948951832896583</v>
      </c>
      <c r="E48" s="2">
        <f t="shared" si="3"/>
        <v>1.7102802757698934</v>
      </c>
      <c r="F48" s="2">
        <f>_xlfn.STDEV.S($C$2:C48)</f>
        <v>0.15769254624011758</v>
      </c>
      <c r="G48" s="2">
        <v>170.27027027027029</v>
      </c>
      <c r="H48" s="2">
        <v>109.66869506423264</v>
      </c>
      <c r="I48" s="2">
        <f t="shared" si="1"/>
        <v>1.5525877295297759</v>
      </c>
    </row>
    <row r="49" spans="1:9" ht="22.5" customHeight="1" x14ac:dyDescent="0.25">
      <c r="A49" s="3">
        <v>35916</v>
      </c>
      <c r="B49" s="2">
        <v>1.1505000000000001</v>
      </c>
      <c r="C49" s="2">
        <f t="shared" si="0"/>
        <v>1.5565137056146068</v>
      </c>
      <c r="D49" s="2">
        <f t="shared" si="2"/>
        <v>1.3985168530991845</v>
      </c>
      <c r="E49" s="2">
        <f t="shared" si="3"/>
        <v>1.7145105581300291</v>
      </c>
      <c r="F49" s="2">
        <f>_xlfn.STDEV.S($C$2:C49)</f>
        <v>0.15799685251542239</v>
      </c>
      <c r="G49" s="2">
        <v>171.121790759253</v>
      </c>
      <c r="H49" s="2">
        <v>109.93914807302237</v>
      </c>
      <c r="I49" s="2">
        <f t="shared" si="1"/>
        <v>1.5565137056146068</v>
      </c>
    </row>
    <row r="50" spans="1:9" ht="22.5" customHeight="1" x14ac:dyDescent="0.25">
      <c r="A50" s="3">
        <v>35947</v>
      </c>
      <c r="B50" s="2">
        <v>1.1569</v>
      </c>
      <c r="C50" s="2">
        <f t="shared" si="0"/>
        <v>1.5549088417954253</v>
      </c>
      <c r="D50" s="2">
        <f t="shared" si="2"/>
        <v>1.3967348046377843</v>
      </c>
      <c r="E50" s="2">
        <f t="shared" si="3"/>
        <v>1.7130828789530663</v>
      </c>
      <c r="F50" s="2">
        <f>_xlfn.STDEV.S($C$2:C50)</f>
        <v>0.158174037157641</v>
      </c>
      <c r="G50" s="2">
        <v>171.15561828552765</v>
      </c>
      <c r="H50" s="2">
        <v>110.07437457741725</v>
      </c>
      <c r="I50" s="2">
        <f t="shared" si="1"/>
        <v>1.5549088417954253</v>
      </c>
    </row>
    <row r="51" spans="1:9" ht="22.5" customHeight="1" x14ac:dyDescent="0.25">
      <c r="A51" s="3">
        <v>35977</v>
      </c>
      <c r="B51" s="2">
        <v>1.1634</v>
      </c>
      <c r="C51" s="2">
        <f t="shared" si="0"/>
        <v>1.5492372767674876</v>
      </c>
      <c r="D51" s="2">
        <f t="shared" si="2"/>
        <v>1.3910807322424308</v>
      </c>
      <c r="E51" s="2">
        <f t="shared" si="3"/>
        <v>1.7073938212925444</v>
      </c>
      <c r="F51" s="2">
        <f>_xlfn.STDEV.S($C$2:C51)</f>
        <v>0.15815654452505673</v>
      </c>
      <c r="G51" s="2">
        <v>170.95032019503319</v>
      </c>
      <c r="H51" s="2">
        <v>110.34482758620695</v>
      </c>
      <c r="I51" s="2">
        <f t="shared" si="1"/>
        <v>1.5492372767674876</v>
      </c>
    </row>
    <row r="52" spans="1:9" ht="22.5" customHeight="1" x14ac:dyDescent="0.25">
      <c r="A52" s="3">
        <v>36008</v>
      </c>
      <c r="B52" s="2">
        <v>1.1769000000000001</v>
      </c>
      <c r="C52" s="2">
        <f t="shared" si="0"/>
        <v>1.5394540777231844</v>
      </c>
      <c r="D52" s="2">
        <f t="shared" si="2"/>
        <v>1.3815588621018065</v>
      </c>
      <c r="E52" s="2">
        <f t="shared" si="3"/>
        <v>1.6973492933445624</v>
      </c>
      <c r="F52" s="2">
        <f>_xlfn.STDEV.S($C$2:C52)</f>
        <v>0.15789521562137801</v>
      </c>
      <c r="G52" s="2">
        <v>170.07896977685496</v>
      </c>
      <c r="H52" s="2">
        <v>110.48005409060183</v>
      </c>
      <c r="I52" s="2">
        <f t="shared" si="1"/>
        <v>1.5394540777231844</v>
      </c>
    </row>
    <row r="53" spans="1:9" ht="22.5" customHeight="1" x14ac:dyDescent="0.25">
      <c r="A53" s="3">
        <v>36039</v>
      </c>
      <c r="B53" s="2">
        <v>1.1856</v>
      </c>
      <c r="C53" s="2">
        <f t="shared" si="0"/>
        <v>1.5351254181487826</v>
      </c>
      <c r="D53" s="2">
        <f t="shared" si="2"/>
        <v>1.3776061079321693</v>
      </c>
      <c r="E53" s="2">
        <f t="shared" si="3"/>
        <v>1.6926447283653958</v>
      </c>
      <c r="F53" s="2">
        <f>_xlfn.STDEV.S($C$2:C53)</f>
        <v>0.1575193102166132</v>
      </c>
      <c r="G53" s="2">
        <v>169.70453405498719</v>
      </c>
      <c r="H53" s="2">
        <v>110.54766734279924</v>
      </c>
      <c r="I53" s="2">
        <f t="shared" si="1"/>
        <v>1.5351254181487826</v>
      </c>
    </row>
    <row r="54" spans="1:9" ht="22.5" customHeight="1" x14ac:dyDescent="0.25">
      <c r="A54" s="3">
        <v>36069</v>
      </c>
      <c r="B54" s="2">
        <v>1.1932</v>
      </c>
      <c r="C54" s="2">
        <f t="shared" si="0"/>
        <v>1.5316841780273716</v>
      </c>
      <c r="D54" s="2">
        <f t="shared" si="2"/>
        <v>1.3746263090251454</v>
      </c>
      <c r="E54" s="2">
        <f t="shared" si="3"/>
        <v>1.6887420470295977</v>
      </c>
      <c r="F54" s="2">
        <f>_xlfn.STDEV.S($C$2:C54)</f>
        <v>0.15705786900222615</v>
      </c>
      <c r="G54" s="2">
        <v>169.73836158126187</v>
      </c>
      <c r="H54" s="2">
        <v>110.81812035158896</v>
      </c>
      <c r="I54" s="2">
        <f t="shared" si="1"/>
        <v>1.5316841780273716</v>
      </c>
    </row>
    <row r="55" spans="1:9" ht="22.5" customHeight="1" x14ac:dyDescent="0.25">
      <c r="A55" s="3">
        <v>36100</v>
      </c>
      <c r="B55" s="2">
        <v>1.2012</v>
      </c>
      <c r="C55" s="2">
        <f t="shared" si="0"/>
        <v>1.5279776118627966</v>
      </c>
      <c r="D55" s="2">
        <f t="shared" si="2"/>
        <v>1.3714598286783883</v>
      </c>
      <c r="E55" s="2">
        <f t="shared" si="3"/>
        <v>1.6844953950472048</v>
      </c>
      <c r="F55" s="2">
        <f>_xlfn.STDEV.S($C$2:C55)</f>
        <v>0.15651778318440826</v>
      </c>
      <c r="G55" s="2">
        <v>169.53422995719066</v>
      </c>
      <c r="H55" s="2">
        <v>110.95334685598381</v>
      </c>
      <c r="I55" s="2">
        <f t="shared" si="1"/>
        <v>1.5279776118627966</v>
      </c>
    </row>
    <row r="56" spans="1:9" ht="22.5" customHeight="1" x14ac:dyDescent="0.25">
      <c r="A56" s="3">
        <v>36130</v>
      </c>
      <c r="B56" s="2">
        <v>1.2087000000000001</v>
      </c>
      <c r="C56" s="2">
        <f t="shared" si="0"/>
        <v>1.5302264230528497</v>
      </c>
      <c r="D56" s="2">
        <f t="shared" si="2"/>
        <v>1.3742315356720927</v>
      </c>
      <c r="E56" s="2">
        <f t="shared" si="3"/>
        <v>1.6862213104336068</v>
      </c>
      <c r="F56" s="2">
        <f>_xlfn.STDEV.S($C$2:C56)</f>
        <v>0.15599488738075698</v>
      </c>
      <c r="G56" s="2">
        <v>170.09413384035739</v>
      </c>
      <c r="H56" s="2">
        <v>111.15618661257609</v>
      </c>
      <c r="I56" s="2">
        <f t="shared" si="1"/>
        <v>1.5302264230528497</v>
      </c>
    </row>
    <row r="57" spans="1:9" ht="22.5" customHeight="1" x14ac:dyDescent="0.25">
      <c r="A57" s="3">
        <v>36161</v>
      </c>
      <c r="B57" s="2">
        <v>1.9832000000000001</v>
      </c>
      <c r="C57" s="2">
        <f t="shared" si="0"/>
        <v>1.538133922711209</v>
      </c>
      <c r="D57" s="2">
        <f t="shared" si="2"/>
        <v>1.3825610851714885</v>
      </c>
      <c r="E57" s="2">
        <f t="shared" si="3"/>
        <v>1.6937067602509295</v>
      </c>
      <c r="F57" s="2">
        <f>_xlfn.STDEV.S($C$2:C57)</f>
        <v>0.15557283753972048</v>
      </c>
      <c r="G57" s="2">
        <v>171.28509605850994</v>
      </c>
      <c r="H57" s="2">
        <v>111.35902636916839</v>
      </c>
      <c r="I57" s="2">
        <f t="shared" si="1"/>
        <v>1.538133922711209</v>
      </c>
    </row>
    <row r="58" spans="1:9" ht="22.5" customHeight="1" x14ac:dyDescent="0.25">
      <c r="A58" s="3">
        <v>36192</v>
      </c>
      <c r="B58" s="2">
        <v>2.0648</v>
      </c>
      <c r="C58" s="2">
        <f t="shared" si="0"/>
        <v>1.5542861043826817</v>
      </c>
      <c r="D58" s="2">
        <f t="shared" si="2"/>
        <v>1.3989045754827458</v>
      </c>
      <c r="E58" s="2">
        <f t="shared" si="3"/>
        <v>1.7096676332826175</v>
      </c>
      <c r="F58" s="2">
        <f>_xlfn.STDEV.S($C$2:C58)</f>
        <v>0.15538152889993587</v>
      </c>
      <c r="G58" s="2">
        <v>173.08378728318303</v>
      </c>
      <c r="H58" s="2">
        <v>111.35902636916838</v>
      </c>
      <c r="I58" s="2">
        <f t="shared" si="1"/>
        <v>1.5542861043826817</v>
      </c>
    </row>
    <row r="59" spans="1:9" ht="22.5" customHeight="1" x14ac:dyDescent="0.25">
      <c r="A59" s="3">
        <v>36220</v>
      </c>
      <c r="B59" s="2">
        <v>1.722</v>
      </c>
      <c r="C59" s="2">
        <f t="shared" si="0"/>
        <v>1.5704275124922318</v>
      </c>
      <c r="D59" s="2">
        <f t="shared" si="2"/>
        <v>1.4150003984603094</v>
      </c>
      <c r="E59" s="2">
        <f t="shared" si="3"/>
        <v>1.7258546265241541</v>
      </c>
      <c r="F59" s="2">
        <f>_xlfn.STDEV.S($C$2:C59)</f>
        <v>0.15542711403192236</v>
      </c>
      <c r="G59" s="2">
        <v>174.9874604859499</v>
      </c>
      <c r="H59" s="2">
        <v>111.42663962136582</v>
      </c>
      <c r="I59" s="2">
        <f t="shared" si="1"/>
        <v>1.5704275124922318</v>
      </c>
    </row>
    <row r="60" spans="1:9" ht="22.5" customHeight="1" x14ac:dyDescent="0.25">
      <c r="A60" s="3">
        <v>36251</v>
      </c>
      <c r="B60" s="2">
        <v>1.6607000000000001</v>
      </c>
      <c r="C60" s="2">
        <f t="shared" si="0"/>
        <v>1.56875000171384</v>
      </c>
      <c r="D60" s="2">
        <f t="shared" si="2"/>
        <v>1.4133542877039269</v>
      </c>
      <c r="E60" s="2">
        <f t="shared" si="3"/>
        <v>1.7241457157237532</v>
      </c>
      <c r="F60" s="2">
        <f>_xlfn.STDEV.S($C$2:C60)</f>
        <v>0.1553957140099132</v>
      </c>
      <c r="G60" s="2">
        <v>175.96729228149164</v>
      </c>
      <c r="H60" s="2">
        <v>112.17038539553755</v>
      </c>
      <c r="I60" s="2">
        <f t="shared" si="1"/>
        <v>1.56875000171384</v>
      </c>
    </row>
    <row r="61" spans="1:9" ht="22.5" customHeight="1" x14ac:dyDescent="0.25">
      <c r="A61" s="3">
        <v>36281</v>
      </c>
      <c r="B61" s="2">
        <v>1.724</v>
      </c>
      <c r="C61" s="2">
        <f t="shared" si="0"/>
        <v>1.5725129073725872</v>
      </c>
      <c r="D61" s="2">
        <f t="shared" si="2"/>
        <v>1.4171281980067638</v>
      </c>
      <c r="E61" s="2">
        <f t="shared" si="3"/>
        <v>1.7278976167384106</v>
      </c>
      <c r="F61" s="2">
        <f>_xlfn.STDEV.S($C$2:C61)</f>
        <v>0.15538470936582341</v>
      </c>
      <c r="G61" s="2">
        <v>176.49570157123023</v>
      </c>
      <c r="H61" s="2">
        <v>112.23799864773497</v>
      </c>
      <c r="I61" s="2">
        <f t="shared" si="1"/>
        <v>1.5725129073725872</v>
      </c>
    </row>
    <row r="62" spans="1:9" ht="22.5" customHeight="1" x14ac:dyDescent="0.25">
      <c r="A62" s="3">
        <v>36312</v>
      </c>
      <c r="B62" s="2">
        <v>1.7695000000000001</v>
      </c>
      <c r="C62" s="2">
        <f t="shared" si="0"/>
        <v>1.5754956393128412</v>
      </c>
      <c r="D62" s="2">
        <f t="shared" si="2"/>
        <v>1.42011491646719</v>
      </c>
      <c r="E62" s="2">
        <f t="shared" si="3"/>
        <v>1.7308763621584924</v>
      </c>
      <c r="F62" s="2">
        <f>_xlfn.STDEV.S($C$2:C62)</f>
        <v>0.15538072284565121</v>
      </c>
      <c r="G62" s="2">
        <v>176.83047743470701</v>
      </c>
      <c r="H62" s="2">
        <v>112.23799864773497</v>
      </c>
      <c r="I62" s="2">
        <f t="shared" si="1"/>
        <v>1.5754956393128412</v>
      </c>
    </row>
    <row r="63" spans="1:9" ht="22.5" customHeight="1" x14ac:dyDescent="0.25">
      <c r="A63" s="3">
        <v>36342</v>
      </c>
      <c r="B63" s="2">
        <v>1.7891999999999999</v>
      </c>
      <c r="C63" s="2">
        <f t="shared" si="0"/>
        <v>1.5859766818813676</v>
      </c>
      <c r="D63" s="2">
        <f t="shared" si="2"/>
        <v>1.4304677224792259</v>
      </c>
      <c r="E63" s="2">
        <f t="shared" si="3"/>
        <v>1.7414856412835094</v>
      </c>
      <c r="F63" s="2">
        <f>_xlfn.STDEV.S($C$2:C63)</f>
        <v>0.15550895940214174</v>
      </c>
      <c r="G63" s="2">
        <v>178.75747996593915</v>
      </c>
      <c r="H63" s="2">
        <v>112.71129141311698</v>
      </c>
      <c r="I63" s="2">
        <f t="shared" si="1"/>
        <v>1.5859766818813676</v>
      </c>
    </row>
    <row r="64" spans="1:9" ht="22.5" customHeight="1" x14ac:dyDescent="0.25">
      <c r="A64" s="3">
        <v>36373</v>
      </c>
      <c r="B64" s="2">
        <v>1.9158999999999999</v>
      </c>
      <c r="C64" s="2">
        <f t="shared" si="0"/>
        <v>1.5910385264174172</v>
      </c>
      <c r="D64" s="2">
        <f t="shared" si="2"/>
        <v>1.4353645043775143</v>
      </c>
      <c r="E64" s="2">
        <f t="shared" si="3"/>
        <v>1.74671254845732</v>
      </c>
      <c r="F64" s="2">
        <f>_xlfn.STDEV.S($C$2:C64)</f>
        <v>0.15567402203990283</v>
      </c>
      <c r="G64" s="2">
        <v>179.75830815709969</v>
      </c>
      <c r="H64" s="2">
        <v>112.98174442190671</v>
      </c>
      <c r="I64" s="2">
        <f t="shared" si="1"/>
        <v>1.5910385264174172</v>
      </c>
    </row>
    <row r="65" spans="1:9" ht="22.5" customHeight="1" x14ac:dyDescent="0.25">
      <c r="A65" s="3">
        <v>36404</v>
      </c>
      <c r="B65" s="2">
        <v>1.9222999999999999</v>
      </c>
      <c r="C65" s="2">
        <f t="shared" si="0"/>
        <v>1.5893157640040163</v>
      </c>
      <c r="D65" s="2">
        <f t="shared" si="2"/>
        <v>1.4335538589011154</v>
      </c>
      <c r="E65" s="2">
        <f t="shared" si="3"/>
        <v>1.7450776691069172</v>
      </c>
      <c r="F65" s="2">
        <f>_xlfn.STDEV.S($C$2:C65)</f>
        <v>0.155761905102901</v>
      </c>
      <c r="G65" s="2">
        <v>180.31587910741987</v>
      </c>
      <c r="H65" s="2">
        <v>113.45503718728874</v>
      </c>
      <c r="I65" s="2">
        <f t="shared" si="1"/>
        <v>1.5893157640040163</v>
      </c>
    </row>
    <row r="66" spans="1:9" ht="22.5" customHeight="1" x14ac:dyDescent="0.25">
      <c r="A66" s="3">
        <v>36434</v>
      </c>
      <c r="B66" s="2">
        <v>1.9530000000000001</v>
      </c>
      <c r="C66" s="2">
        <f t="shared" ref="C66:C129" si="4">$B$2*I66</f>
        <v>1.6053632377482909</v>
      </c>
      <c r="D66" s="2">
        <f t="shared" si="2"/>
        <v>1.4492905047530344</v>
      </c>
      <c r="E66" s="2">
        <f t="shared" si="3"/>
        <v>1.7614359707435474</v>
      </c>
      <c r="F66" s="2">
        <f>_xlfn.STDEV.S($C$2:C66)</f>
        <v>0.15607273299525659</v>
      </c>
      <c r="G66" s="2">
        <v>182.46217732622563</v>
      </c>
      <c r="H66" s="2">
        <v>113.65787694388101</v>
      </c>
      <c r="I66" s="2">
        <f t="shared" si="1"/>
        <v>1.6053632377482909</v>
      </c>
    </row>
    <row r="67" spans="1:9" ht="22.5" customHeight="1" x14ac:dyDescent="0.25">
      <c r="A67" s="3">
        <v>36465</v>
      </c>
      <c r="B67" s="2">
        <v>1.9227000000000001</v>
      </c>
      <c r="C67" s="2">
        <f t="shared" si="4"/>
        <v>1.6177269190720829</v>
      </c>
      <c r="D67" s="2">
        <f t="shared" si="2"/>
        <v>1.4611841314574316</v>
      </c>
      <c r="E67" s="2">
        <f t="shared" si="3"/>
        <v>1.7742697066867341</v>
      </c>
      <c r="F67" s="2">
        <f>_xlfn.STDEV.S($C$2:C67)</f>
        <v>0.15654278761465115</v>
      </c>
      <c r="G67" s="2">
        <v>184.19554643119594</v>
      </c>
      <c r="H67" s="2">
        <v>113.8607167004733</v>
      </c>
      <c r="I67" s="2">
        <f t="shared" ref="I67:I130" si="5">G67/H67</f>
        <v>1.6177269190720829</v>
      </c>
    </row>
    <row r="68" spans="1:9" ht="22.5" customHeight="1" x14ac:dyDescent="0.25">
      <c r="A68" s="3">
        <v>36495</v>
      </c>
      <c r="B68" s="2">
        <v>1.7889999999999999</v>
      </c>
      <c r="C68" s="2">
        <f t="shared" si="4"/>
        <v>1.6235721635558402</v>
      </c>
      <c r="D68" s="2">
        <f t="shared" ref="D68:D131" si="6">C68-F68</f>
        <v>1.4665205883274046</v>
      </c>
      <c r="E68" s="2">
        <f t="shared" ref="E68:E131" si="7">C68+F68</f>
        <v>1.7806237387842758</v>
      </c>
      <c r="F68" s="2">
        <f>_xlfn.STDEV.S($C$2:C68)</f>
        <v>0.15705157522843552</v>
      </c>
      <c r="G68" s="2">
        <v>185.30019013402696</v>
      </c>
      <c r="H68" s="2">
        <v>114.13116970926303</v>
      </c>
      <c r="I68" s="2">
        <f t="shared" si="5"/>
        <v>1.6235721635558402</v>
      </c>
    </row>
    <row r="69" spans="1:9" ht="22.5" customHeight="1" x14ac:dyDescent="0.25">
      <c r="A69" s="3">
        <v>36526</v>
      </c>
      <c r="B69" s="2">
        <v>1.8024</v>
      </c>
      <c r="C69" s="2">
        <f t="shared" si="4"/>
        <v>1.6288145717107689</v>
      </c>
      <c r="D69" s="2">
        <f t="shared" si="6"/>
        <v>1.4712275922453446</v>
      </c>
      <c r="E69" s="2">
        <f t="shared" si="7"/>
        <v>1.7864015511761933</v>
      </c>
      <c r="F69" s="2">
        <f>_xlfn.STDEV.S($C$2:C69)</f>
        <v>0.15758697946542438</v>
      </c>
      <c r="G69" s="2">
        <v>186.44915956094201</v>
      </c>
      <c r="H69" s="2">
        <v>114.46923597025018</v>
      </c>
      <c r="I69" s="2">
        <f t="shared" si="5"/>
        <v>1.6288145717107689</v>
      </c>
    </row>
    <row r="70" spans="1:9" ht="22.5" customHeight="1" x14ac:dyDescent="0.25">
      <c r="A70" s="3">
        <v>36557</v>
      </c>
      <c r="B70" s="2">
        <v>1.7685</v>
      </c>
      <c r="C70" s="2">
        <f t="shared" si="4"/>
        <v>1.6242185258197339</v>
      </c>
      <c r="D70" s="2">
        <f t="shared" si="6"/>
        <v>1.4662404627137915</v>
      </c>
      <c r="E70" s="2">
        <f t="shared" si="7"/>
        <v>1.7821965889256763</v>
      </c>
      <c r="F70" s="2">
        <f>_xlfn.STDEV.S($C$2:C70)</f>
        <v>0.15797806310594245</v>
      </c>
      <c r="G70" s="2">
        <v>186.69178457698089</v>
      </c>
      <c r="H70" s="2">
        <v>114.94252873563218</v>
      </c>
      <c r="I70" s="2">
        <f t="shared" si="5"/>
        <v>1.6242185258197339</v>
      </c>
    </row>
    <row r="71" spans="1:9" ht="22.5" customHeight="1" x14ac:dyDescent="0.25">
      <c r="A71" s="3">
        <v>36586</v>
      </c>
      <c r="B71" s="2">
        <v>1.7473000000000001</v>
      </c>
      <c r="C71" s="2">
        <f t="shared" si="4"/>
        <v>1.6182714686610375</v>
      </c>
      <c r="D71" s="2">
        <f t="shared" si="6"/>
        <v>1.4600535685964497</v>
      </c>
      <c r="E71" s="2">
        <f t="shared" si="7"/>
        <v>1.7764893687256254</v>
      </c>
      <c r="F71" s="2">
        <f>_xlfn.STDEV.S($C$2:C71)</f>
        <v>0.15821790006458775</v>
      </c>
      <c r="G71" s="2">
        <v>187.10238075796983</v>
      </c>
      <c r="H71" s="2">
        <v>115.61866125760648</v>
      </c>
      <c r="I71" s="2">
        <f t="shared" si="5"/>
        <v>1.6182714686610375</v>
      </c>
    </row>
    <row r="72" spans="1:9" ht="22.5" customHeight="1" x14ac:dyDescent="0.25">
      <c r="A72" s="3">
        <v>36617</v>
      </c>
      <c r="B72" s="2">
        <v>1.8067</v>
      </c>
      <c r="C72" s="2">
        <f t="shared" si="4"/>
        <v>1.6260222851328405</v>
      </c>
      <c r="D72" s="2">
        <f t="shared" si="6"/>
        <v>1.4674885858717082</v>
      </c>
      <c r="E72" s="2">
        <f t="shared" si="7"/>
        <v>1.7845559843939729</v>
      </c>
      <c r="F72" s="2">
        <f>_xlfn.STDEV.S($C$2:C72)</f>
        <v>0.15853369926113234</v>
      </c>
      <c r="G72" s="2">
        <v>187.88857912724976</v>
      </c>
      <c r="H72" s="2">
        <v>115.55104800540904</v>
      </c>
      <c r="I72" s="2">
        <f t="shared" si="5"/>
        <v>1.6260222851328405</v>
      </c>
    </row>
    <row r="73" spans="1:9" ht="22.5" customHeight="1" x14ac:dyDescent="0.25">
      <c r="A73" s="3">
        <v>36647</v>
      </c>
      <c r="B73" s="2">
        <v>1.8266</v>
      </c>
      <c r="C73" s="2">
        <f t="shared" si="4"/>
        <v>1.6233341810201087</v>
      </c>
      <c r="D73" s="2">
        <f t="shared" si="6"/>
        <v>1.4645751091030068</v>
      </c>
      <c r="E73" s="2">
        <f t="shared" si="7"/>
        <v>1.7820932529372107</v>
      </c>
      <c r="F73" s="2">
        <f>_xlfn.STDEV.S($C$2:C73)</f>
        <v>0.15875907191710187</v>
      </c>
      <c r="G73" s="2">
        <v>187.90724259002198</v>
      </c>
      <c r="H73" s="2">
        <v>115.75388776200131</v>
      </c>
      <c r="I73" s="2">
        <f t="shared" si="5"/>
        <v>1.6233341810201087</v>
      </c>
    </row>
    <row r="74" spans="1:9" ht="22.5" customHeight="1" x14ac:dyDescent="0.25">
      <c r="A74" s="3">
        <v>36678</v>
      </c>
      <c r="B74" s="2">
        <v>1.8</v>
      </c>
      <c r="C74" s="2">
        <f t="shared" si="4"/>
        <v>1.6176240558378943</v>
      </c>
      <c r="D74" s="2">
        <f t="shared" si="6"/>
        <v>1.4587658954559233</v>
      </c>
      <c r="E74" s="2">
        <f t="shared" si="7"/>
        <v>1.7764822162198652</v>
      </c>
      <c r="F74" s="2">
        <f>_xlfn.STDEV.S($C$2:C74)</f>
        <v>0.15885816038197098</v>
      </c>
      <c r="G74" s="2">
        <v>188.34000163305294</v>
      </c>
      <c r="H74" s="2">
        <v>116.43002028397562</v>
      </c>
      <c r="I74" s="2">
        <f t="shared" si="5"/>
        <v>1.6176240558378943</v>
      </c>
    </row>
    <row r="75" spans="1:9" ht="22.5" customHeight="1" x14ac:dyDescent="0.25">
      <c r="A75" s="3">
        <v>36708</v>
      </c>
      <c r="B75" s="2">
        <v>1.7747999999999999</v>
      </c>
      <c r="C75" s="2">
        <f t="shared" si="4"/>
        <v>1.6389136792084815</v>
      </c>
      <c r="D75" s="2">
        <f t="shared" si="6"/>
        <v>1.479674264075985</v>
      </c>
      <c r="E75" s="2">
        <f t="shared" si="7"/>
        <v>1.798153094340978</v>
      </c>
      <c r="F75" s="2">
        <f>_xlfn.STDEV.S($C$2:C75)</f>
        <v>0.15923941513249651</v>
      </c>
      <c r="G75" s="2">
        <v>191.37281433353934</v>
      </c>
      <c r="H75" s="2">
        <v>116.76808654496278</v>
      </c>
      <c r="I75" s="2">
        <f t="shared" si="5"/>
        <v>1.6389136792084815</v>
      </c>
    </row>
    <row r="76" spans="1:9" ht="22.5" customHeight="1" x14ac:dyDescent="0.25">
      <c r="A76" s="3">
        <v>36739</v>
      </c>
      <c r="B76" s="2">
        <v>1.8233999999999999</v>
      </c>
      <c r="C76" s="2">
        <f t="shared" si="4"/>
        <v>1.6603813286130908</v>
      </c>
      <c r="D76" s="2">
        <f t="shared" si="6"/>
        <v>1.5004625047646889</v>
      </c>
      <c r="E76" s="2">
        <f t="shared" si="7"/>
        <v>1.8203001524614928</v>
      </c>
      <c r="F76" s="2">
        <f>_xlfn.STDEV.S($C$2:C76)</f>
        <v>0.15991882384840189</v>
      </c>
      <c r="G76" s="2">
        <v>193.87955067713369</v>
      </c>
      <c r="H76" s="2">
        <v>116.76808654496278</v>
      </c>
      <c r="I76" s="2">
        <f t="shared" si="5"/>
        <v>1.6603813286130908</v>
      </c>
    </row>
    <row r="77" spans="1:9" ht="22.5" customHeight="1" x14ac:dyDescent="0.25">
      <c r="A77" s="3">
        <v>36770</v>
      </c>
      <c r="B77" s="2">
        <v>1.8436999999999999</v>
      </c>
      <c r="C77" s="2">
        <f t="shared" si="4"/>
        <v>1.6555696043684542</v>
      </c>
      <c r="D77" s="2">
        <f t="shared" si="6"/>
        <v>1.495116274682704</v>
      </c>
      <c r="E77" s="2">
        <f t="shared" si="7"/>
        <v>1.8160229340542045</v>
      </c>
      <c r="F77" s="2">
        <f>_xlfn.STDEV.S($C$2:C77)</f>
        <v>0.16045332968575021</v>
      </c>
      <c r="G77" s="2">
        <v>194.32514085082056</v>
      </c>
      <c r="H77" s="2">
        <v>117.37660581473966</v>
      </c>
      <c r="I77" s="2">
        <f t="shared" si="5"/>
        <v>1.6555696043684542</v>
      </c>
    </row>
    <row r="78" spans="1:9" ht="22.5" customHeight="1" x14ac:dyDescent="0.25">
      <c r="A78" s="3">
        <v>36800</v>
      </c>
      <c r="B78" s="2">
        <v>1.909</v>
      </c>
      <c r="C78" s="2">
        <f t="shared" si="4"/>
        <v>1.655025047803826</v>
      </c>
      <c r="D78" s="2">
        <f t="shared" si="6"/>
        <v>1.4941023156575468</v>
      </c>
      <c r="E78" s="2">
        <f t="shared" si="7"/>
        <v>1.8159477799501051</v>
      </c>
      <c r="F78" s="2">
        <f>_xlfn.STDEV.S($C$2:C78)</f>
        <v>0.16092273214627917</v>
      </c>
      <c r="G78" s="2">
        <v>194.59692752744104</v>
      </c>
      <c r="H78" s="2">
        <v>117.57944557133196</v>
      </c>
      <c r="I78" s="2">
        <f t="shared" si="5"/>
        <v>1.655025047803826</v>
      </c>
    </row>
    <row r="79" spans="1:9" ht="22.5" customHeight="1" x14ac:dyDescent="0.25">
      <c r="A79" s="3">
        <v>36831</v>
      </c>
      <c r="B79" s="2">
        <v>1.9596</v>
      </c>
      <c r="C79" s="2">
        <f t="shared" si="4"/>
        <v>1.6574633447970684</v>
      </c>
      <c r="D79" s="2">
        <f t="shared" si="6"/>
        <v>1.4960857474411016</v>
      </c>
      <c r="E79" s="2">
        <f t="shared" si="7"/>
        <v>1.8188409421530352</v>
      </c>
      <c r="F79" s="2">
        <f>_xlfn.STDEV.S($C$2:C79)</f>
        <v>0.16137759735596674</v>
      </c>
      <c r="G79" s="2">
        <v>195.21982059746398</v>
      </c>
      <c r="H79" s="2">
        <v>117.78228532792424</v>
      </c>
      <c r="I79" s="2">
        <f t="shared" si="5"/>
        <v>1.6574633447970684</v>
      </c>
    </row>
    <row r="80" spans="1:9" ht="22.5" customHeight="1" x14ac:dyDescent="0.25">
      <c r="A80" s="3">
        <v>36861</v>
      </c>
      <c r="B80" s="2">
        <v>1.9554</v>
      </c>
      <c r="C80" s="2">
        <f t="shared" si="4"/>
        <v>1.6634186188644713</v>
      </c>
      <c r="D80" s="2">
        <f t="shared" si="6"/>
        <v>1.501545709479112</v>
      </c>
      <c r="E80" s="2">
        <f t="shared" si="7"/>
        <v>1.8252915282498305</v>
      </c>
      <c r="F80" s="2">
        <f>_xlfn.STDEV.S($C$2:C80)</f>
        <v>0.16187290938535928</v>
      </c>
      <c r="G80" s="2">
        <v>196.37112295722557</v>
      </c>
      <c r="H80" s="2">
        <v>118.05273833671396</v>
      </c>
      <c r="I80" s="2">
        <f t="shared" si="5"/>
        <v>1.6634186188644713</v>
      </c>
    </row>
    <row r="81" spans="1:9" ht="22.5" customHeight="1" x14ac:dyDescent="0.25">
      <c r="A81" s="3">
        <v>36892</v>
      </c>
      <c r="B81" s="2">
        <v>1.9711000000000001</v>
      </c>
      <c r="C81" s="2">
        <f t="shared" si="4"/>
        <v>1.6633774859917076</v>
      </c>
      <c r="D81" s="2">
        <f t="shared" si="6"/>
        <v>1.5010614324304545</v>
      </c>
      <c r="E81" s="2">
        <f t="shared" si="7"/>
        <v>1.8256935395529608</v>
      </c>
      <c r="F81" s="2">
        <f>_xlfn.STDEV.S($C$2:C81)</f>
        <v>0.1623160535612532</v>
      </c>
      <c r="G81" s="2">
        <v>197.49093072355902</v>
      </c>
      <c r="H81" s="2">
        <v>118.72887085868827</v>
      </c>
      <c r="I81" s="2">
        <f t="shared" si="5"/>
        <v>1.6633774859917076</v>
      </c>
    </row>
    <row r="82" spans="1:9" ht="22.5" customHeight="1" x14ac:dyDescent="0.25">
      <c r="A82" s="3">
        <v>36923</v>
      </c>
      <c r="B82" s="2">
        <v>2.0451999999999999</v>
      </c>
      <c r="C82" s="2">
        <f t="shared" si="4"/>
        <v>1.6672330700653959</v>
      </c>
      <c r="D82" s="2">
        <f t="shared" si="6"/>
        <v>1.5044648361791146</v>
      </c>
      <c r="E82" s="2">
        <f t="shared" si="7"/>
        <v>1.8300013039516771</v>
      </c>
      <c r="F82" s="2">
        <f>_xlfn.STDEV.S($C$2:C82)</f>
        <v>0.16276823388628123</v>
      </c>
      <c r="G82" s="2">
        <v>198.39960806728166</v>
      </c>
      <c r="H82" s="2">
        <v>118.99932386747798</v>
      </c>
      <c r="I82" s="2">
        <f t="shared" si="5"/>
        <v>1.6672330700653959</v>
      </c>
    </row>
    <row r="83" spans="1:9" ht="22.5" customHeight="1" x14ac:dyDescent="0.25">
      <c r="A83" s="3">
        <v>36951</v>
      </c>
      <c r="B83" s="2">
        <v>2.1616</v>
      </c>
      <c r="C83" s="2">
        <f t="shared" si="4"/>
        <v>1.6726150029083162</v>
      </c>
      <c r="D83" s="2">
        <f t="shared" si="6"/>
        <v>1.5093630206828033</v>
      </c>
      <c r="E83" s="2">
        <f t="shared" si="7"/>
        <v>1.8358669851338292</v>
      </c>
      <c r="F83" s="2">
        <f>_xlfn.STDEV.S($C$2:C83)</f>
        <v>0.1632519822255129</v>
      </c>
      <c r="G83" s="2">
        <v>199.1531453767102</v>
      </c>
      <c r="H83" s="2">
        <v>119.06693711967542</v>
      </c>
      <c r="I83" s="2">
        <f t="shared" si="5"/>
        <v>1.6726150029083162</v>
      </c>
    </row>
    <row r="84" spans="1:9" ht="22.5" customHeight="1" x14ac:dyDescent="0.25">
      <c r="A84" s="3">
        <v>36982</v>
      </c>
      <c r="B84" s="2">
        <v>2.1846999999999999</v>
      </c>
      <c r="C84" s="2">
        <f t="shared" si="4"/>
        <v>1.6794526860190584</v>
      </c>
      <c r="D84" s="2">
        <f t="shared" si="6"/>
        <v>1.5156645637869044</v>
      </c>
      <c r="E84" s="2">
        <f t="shared" si="7"/>
        <v>1.8432408082512124</v>
      </c>
      <c r="F84" s="2">
        <f>_xlfn.STDEV.S($C$2:C84)</f>
        <v>0.16378812223215403</v>
      </c>
      <c r="G84" s="2">
        <v>200.30794713574159</v>
      </c>
      <c r="H84" s="2">
        <v>119.26977687626771</v>
      </c>
      <c r="I84" s="2">
        <f t="shared" si="5"/>
        <v>1.6794526860190584</v>
      </c>
    </row>
    <row r="85" spans="1:9" ht="22.5" customHeight="1" x14ac:dyDescent="0.25">
      <c r="A85" s="3">
        <v>37012</v>
      </c>
      <c r="B85" s="2">
        <v>2.36</v>
      </c>
      <c r="C85" s="2">
        <f t="shared" si="4"/>
        <v>1.6777777626459511</v>
      </c>
      <c r="D85" s="2">
        <f t="shared" si="6"/>
        <v>1.5135282633898139</v>
      </c>
      <c r="E85" s="2">
        <f t="shared" si="7"/>
        <v>1.8420272619020883</v>
      </c>
      <c r="F85" s="2">
        <f>_xlfn.STDEV.S($C$2:C85)</f>
        <v>0.1642494992561371</v>
      </c>
      <c r="G85" s="2">
        <v>201.12913949771945</v>
      </c>
      <c r="H85" s="2">
        <v>119.87829614604459</v>
      </c>
      <c r="I85" s="2">
        <f t="shared" si="5"/>
        <v>1.6777777626459511</v>
      </c>
    </row>
    <row r="86" spans="1:9" ht="22.5" customHeight="1" x14ac:dyDescent="0.25">
      <c r="A86" s="3">
        <v>37043</v>
      </c>
      <c r="B86" s="2">
        <v>2.3048999999999999</v>
      </c>
      <c r="C86" s="2">
        <f t="shared" si="4"/>
        <v>1.6827096520068312</v>
      </c>
      <c r="D86" s="2">
        <f t="shared" si="6"/>
        <v>1.5179741374637752</v>
      </c>
      <c r="E86" s="2">
        <f t="shared" si="7"/>
        <v>1.8474451665498872</v>
      </c>
      <c r="F86" s="2">
        <f>_xlfn.STDEV.S($C$2:C86)</f>
        <v>0.1647355145430561</v>
      </c>
      <c r="G86" s="2">
        <v>202.17545987938726</v>
      </c>
      <c r="H86" s="2">
        <v>120.14874915483429</v>
      </c>
      <c r="I86" s="2">
        <f t="shared" si="5"/>
        <v>1.6827096520068312</v>
      </c>
    </row>
    <row r="87" spans="1:9" ht="22.5" customHeight="1" x14ac:dyDescent="0.25">
      <c r="A87" s="3">
        <v>37073</v>
      </c>
      <c r="B87" s="2">
        <v>2.4312999999999998</v>
      </c>
      <c r="C87" s="2">
        <f t="shared" si="4"/>
        <v>1.707971251481573</v>
      </c>
      <c r="D87" s="2">
        <f t="shared" si="6"/>
        <v>1.5424185955848611</v>
      </c>
      <c r="E87" s="2">
        <f t="shared" si="7"/>
        <v>1.873523907378285</v>
      </c>
      <c r="F87" s="2">
        <f>_xlfn.STDEV.S($C$2:C87)</f>
        <v>0.16555265589671189</v>
      </c>
      <c r="G87" s="2">
        <v>204.86416498501077</v>
      </c>
      <c r="H87" s="2">
        <v>119.94590939824201</v>
      </c>
      <c r="I87" s="2">
        <f t="shared" si="5"/>
        <v>1.707971251481573</v>
      </c>
    </row>
    <row r="88" spans="1:9" ht="22.5" customHeight="1" x14ac:dyDescent="0.25">
      <c r="A88" s="3">
        <v>37104</v>
      </c>
      <c r="B88" s="2">
        <v>2.5516999999999999</v>
      </c>
      <c r="C88" s="2">
        <f t="shared" si="4"/>
        <v>1.7199231991668558</v>
      </c>
      <c r="D88" s="2">
        <f t="shared" si="6"/>
        <v>1.5534279129228128</v>
      </c>
      <c r="E88" s="2">
        <f t="shared" si="7"/>
        <v>1.8864184854108987</v>
      </c>
      <c r="F88" s="2">
        <f>_xlfn.STDEV.S($C$2:C88)</f>
        <v>0.16649528624404297</v>
      </c>
      <c r="G88" s="2">
        <v>206.29775221920224</v>
      </c>
      <c r="H88" s="2">
        <v>119.94590939824201</v>
      </c>
      <c r="I88" s="2">
        <f t="shared" si="5"/>
        <v>1.7199231991668558</v>
      </c>
    </row>
    <row r="89" spans="1:9" ht="22.5" customHeight="1" x14ac:dyDescent="0.25">
      <c r="A89" s="3">
        <v>37135</v>
      </c>
      <c r="B89" s="2">
        <v>2.6713</v>
      </c>
      <c r="C89" s="2">
        <f t="shared" si="4"/>
        <v>1.7179581776137225</v>
      </c>
      <c r="D89" s="2">
        <f t="shared" si="6"/>
        <v>1.5506202365969037</v>
      </c>
      <c r="E89" s="2">
        <f t="shared" si="7"/>
        <v>1.8852961186305413</v>
      </c>
      <c r="F89" s="2">
        <f>_xlfn.STDEV.S($C$2:C89)</f>
        <v>0.16733794101681884</v>
      </c>
      <c r="G89" s="2">
        <v>206.87515309871793</v>
      </c>
      <c r="H89" s="2">
        <v>120.41920216362401</v>
      </c>
      <c r="I89" s="2">
        <f t="shared" si="5"/>
        <v>1.7179581776137225</v>
      </c>
    </row>
    <row r="90" spans="1:9" ht="22.5" customHeight="1" x14ac:dyDescent="0.25">
      <c r="A90" s="3">
        <v>37165</v>
      </c>
      <c r="B90" s="2">
        <v>2.7071000000000001</v>
      </c>
      <c r="C90" s="2">
        <f t="shared" si="4"/>
        <v>1.7370937583642734</v>
      </c>
      <c r="D90" s="2">
        <f t="shared" si="6"/>
        <v>1.5686735503579907</v>
      </c>
      <c r="E90" s="2">
        <f t="shared" si="7"/>
        <v>1.905513966370556</v>
      </c>
      <c r="F90" s="2">
        <f>_xlfn.STDEV.S($C$2:C90)</f>
        <v>0.16842020800628263</v>
      </c>
      <c r="G90" s="2">
        <v>208.59219167376253</v>
      </c>
      <c r="H90" s="2">
        <v>120.08113590263685</v>
      </c>
      <c r="I90" s="2">
        <f t="shared" si="5"/>
        <v>1.7370937583642734</v>
      </c>
    </row>
    <row r="91" spans="1:9" ht="22.5" customHeight="1" x14ac:dyDescent="0.25">
      <c r="A91" s="3">
        <v>37196</v>
      </c>
      <c r="B91" s="2">
        <v>2.5287000000000002</v>
      </c>
      <c r="C91" s="2">
        <f t="shared" si="4"/>
        <v>1.7504161147172081</v>
      </c>
      <c r="D91" s="2">
        <f t="shared" si="6"/>
        <v>1.5807703858905062</v>
      </c>
      <c r="E91" s="2">
        <f t="shared" si="7"/>
        <v>1.9200618435439101</v>
      </c>
      <c r="F91" s="2">
        <f>_xlfn.STDEV.S($C$2:C91)</f>
        <v>0.16964572882670192</v>
      </c>
      <c r="G91" s="2">
        <v>210.07360403130781</v>
      </c>
      <c r="H91" s="2">
        <v>120.01352265043941</v>
      </c>
      <c r="I91" s="2">
        <f t="shared" si="5"/>
        <v>1.7504161147172081</v>
      </c>
    </row>
    <row r="92" spans="1:9" ht="22.5" customHeight="1" x14ac:dyDescent="0.25">
      <c r="A92" s="3">
        <v>37226</v>
      </c>
      <c r="B92" s="2">
        <v>2.3203999999999998</v>
      </c>
      <c r="C92" s="2">
        <f t="shared" si="4"/>
        <v>1.7627907218655761</v>
      </c>
      <c r="D92" s="2">
        <f t="shared" si="6"/>
        <v>1.5917948042571328</v>
      </c>
      <c r="E92" s="2">
        <f t="shared" si="7"/>
        <v>1.9337866394740193</v>
      </c>
      <c r="F92" s="2">
        <f>_xlfn.STDEV.S($C$2:C92)</f>
        <v>0.17099591760844327</v>
      </c>
      <c r="G92" s="2">
        <v>211.43953621294997</v>
      </c>
      <c r="H92" s="2">
        <v>119.94590939824198</v>
      </c>
      <c r="I92" s="2">
        <f t="shared" si="5"/>
        <v>1.7627907218655761</v>
      </c>
    </row>
    <row r="93" spans="1:9" ht="22.5" customHeight="1" x14ac:dyDescent="0.25">
      <c r="A93" s="3">
        <v>37257</v>
      </c>
      <c r="B93" s="2">
        <v>2.4182999999999999</v>
      </c>
      <c r="C93" s="2">
        <f t="shared" si="4"/>
        <v>1.7689698440072048</v>
      </c>
      <c r="D93" s="2">
        <f t="shared" si="6"/>
        <v>1.5966084064121433</v>
      </c>
      <c r="E93" s="2">
        <f t="shared" si="7"/>
        <v>1.9413312816022663</v>
      </c>
      <c r="F93" s="2">
        <f>_xlfn.STDEV.S($C$2:C93)</f>
        <v>0.17236143759506159</v>
      </c>
      <c r="G93" s="2">
        <v>212.53951405008792</v>
      </c>
      <c r="H93" s="2">
        <v>120.14874915483425</v>
      </c>
      <c r="I93" s="2">
        <f t="shared" si="5"/>
        <v>1.7689698440072048</v>
      </c>
    </row>
    <row r="94" spans="1:9" ht="22.5" customHeight="1" x14ac:dyDescent="0.25">
      <c r="A94" s="3">
        <v>37288</v>
      </c>
      <c r="B94" s="2">
        <v>2.3481999999999998</v>
      </c>
      <c r="C94" s="2">
        <f t="shared" si="4"/>
        <v>1.7723464887591305</v>
      </c>
      <c r="D94" s="2">
        <f t="shared" si="6"/>
        <v>1.5986518883122665</v>
      </c>
      <c r="E94" s="2">
        <f t="shared" si="7"/>
        <v>1.9460410892059945</v>
      </c>
      <c r="F94" s="2">
        <f>_xlfn.STDEV.S($C$2:C94)</f>
        <v>0.17369460044686402</v>
      </c>
      <c r="G94" s="2">
        <v>213.30471602374914</v>
      </c>
      <c r="H94" s="2">
        <v>120.35158891142655</v>
      </c>
      <c r="I94" s="2">
        <f t="shared" si="5"/>
        <v>1.7723464887591305</v>
      </c>
    </row>
    <row r="95" spans="1:9" ht="22.5" customHeight="1" x14ac:dyDescent="0.25">
      <c r="A95" s="3">
        <v>37316</v>
      </c>
      <c r="B95" s="2">
        <v>2.3235999999999999</v>
      </c>
      <c r="C95" s="2">
        <f t="shared" si="4"/>
        <v>1.7779844460034366</v>
      </c>
      <c r="D95" s="2">
        <f t="shared" si="6"/>
        <v>1.6029498181759696</v>
      </c>
      <c r="E95" s="2">
        <f t="shared" si="7"/>
        <v>1.9530190738309037</v>
      </c>
      <c r="F95" s="2">
        <f>_xlfn.STDEV.S($C$2:C95)</f>
        <v>0.17503462782746707</v>
      </c>
      <c r="G95" s="2">
        <v>214.58432969006975</v>
      </c>
      <c r="H95" s="2">
        <v>120.68965517241369</v>
      </c>
      <c r="I95" s="2">
        <f t="shared" si="5"/>
        <v>1.7779844460034366</v>
      </c>
    </row>
    <row r="96" spans="1:9" ht="22.5" customHeight="1" x14ac:dyDescent="0.25">
      <c r="A96" s="3">
        <v>37347</v>
      </c>
      <c r="B96" s="2">
        <v>2.3624999999999998</v>
      </c>
      <c r="C96" s="2">
        <f t="shared" si="4"/>
        <v>1.7842148559068847</v>
      </c>
      <c r="D96" s="2">
        <f t="shared" si="6"/>
        <v>1.6078237986271899</v>
      </c>
      <c r="E96" s="2">
        <f t="shared" si="7"/>
        <v>1.9606059131865794</v>
      </c>
      <c r="F96" s="2">
        <f>_xlfn.STDEV.S($C$2:C96)</f>
        <v>0.17639105727969462</v>
      </c>
      <c r="G96" s="2">
        <v>216.30136826511438</v>
      </c>
      <c r="H96" s="2">
        <v>121.23056118999314</v>
      </c>
      <c r="I96" s="2">
        <f t="shared" si="5"/>
        <v>1.7842148559068847</v>
      </c>
    </row>
    <row r="97" spans="1:9" ht="22.5" customHeight="1" x14ac:dyDescent="0.25">
      <c r="A97" s="3">
        <v>37377</v>
      </c>
      <c r="B97" s="2">
        <v>2.5219999999999998</v>
      </c>
      <c r="C97" s="2">
        <f t="shared" si="4"/>
        <v>1.7859656153641634</v>
      </c>
      <c r="D97" s="2">
        <f t="shared" si="6"/>
        <v>1.6082751365280537</v>
      </c>
      <c r="E97" s="2">
        <f t="shared" si="7"/>
        <v>1.9636560942002732</v>
      </c>
      <c r="F97" s="2">
        <f>_xlfn.STDEV.S($C$2:C97)</f>
        <v>0.17769047883610969</v>
      </c>
      <c r="G97" s="2">
        <v>216.75512370376407</v>
      </c>
      <c r="H97" s="2">
        <v>121.36578769438799</v>
      </c>
      <c r="I97" s="2">
        <f t="shared" si="5"/>
        <v>1.7859656153641634</v>
      </c>
    </row>
    <row r="98" spans="1:9" ht="22.5" customHeight="1" x14ac:dyDescent="0.25">
      <c r="A98" s="3">
        <v>37408</v>
      </c>
      <c r="B98" s="2">
        <v>2.8443999999999998</v>
      </c>
      <c r="C98" s="2">
        <f t="shared" si="4"/>
        <v>1.7924637358188928</v>
      </c>
      <c r="D98" s="2">
        <f t="shared" si="6"/>
        <v>1.6134518791014654</v>
      </c>
      <c r="E98" s="2">
        <f t="shared" si="7"/>
        <v>1.9714755925363203</v>
      </c>
      <c r="F98" s="2">
        <f>_xlfn.STDEV.S($C$2:C98)</f>
        <v>0.17901185671742748</v>
      </c>
      <c r="G98" s="2">
        <v>217.66496751390997</v>
      </c>
      <c r="H98" s="2">
        <v>121.43340094658541</v>
      </c>
      <c r="I98" s="2">
        <f t="shared" si="5"/>
        <v>1.7924637358188928</v>
      </c>
    </row>
    <row r="99" spans="1:9" ht="22.5" customHeight="1" x14ac:dyDescent="0.25">
      <c r="A99" s="3">
        <v>37438</v>
      </c>
      <c r="B99" s="2">
        <v>3.4285000000000001</v>
      </c>
      <c r="C99" s="2">
        <f t="shared" si="4"/>
        <v>1.809767581565165</v>
      </c>
      <c r="D99" s="2">
        <f t="shared" si="6"/>
        <v>1.6292374431053587</v>
      </c>
      <c r="E99" s="2">
        <f t="shared" si="7"/>
        <v>1.9902977200249714</v>
      </c>
      <c r="F99" s="2">
        <f>_xlfn.STDEV.S($C$2:C99)</f>
        <v>0.18053013845980631</v>
      </c>
      <c r="G99" s="2">
        <v>220.25568943997931</v>
      </c>
      <c r="H99" s="2">
        <v>121.70385395537514</v>
      </c>
      <c r="I99" s="2">
        <f t="shared" si="5"/>
        <v>1.809767581565165</v>
      </c>
    </row>
    <row r="100" spans="1:9" ht="22.5" customHeight="1" x14ac:dyDescent="0.25">
      <c r="A100" s="3">
        <v>37469</v>
      </c>
      <c r="B100" s="2">
        <v>3.0223</v>
      </c>
      <c r="C100" s="2">
        <f t="shared" si="4"/>
        <v>1.8164819379136778</v>
      </c>
      <c r="D100" s="2">
        <f t="shared" si="6"/>
        <v>1.6344155934140605</v>
      </c>
      <c r="E100" s="2">
        <f t="shared" si="7"/>
        <v>1.9985482824132952</v>
      </c>
      <c r="F100" s="2">
        <f>_xlfn.STDEV.S($C$2:C100)</f>
        <v>0.18206634449961728</v>
      </c>
      <c r="G100" s="2">
        <v>221.68694374132423</v>
      </c>
      <c r="H100" s="2">
        <v>122.04192021636229</v>
      </c>
      <c r="I100" s="2">
        <f t="shared" si="5"/>
        <v>1.8164819379136778</v>
      </c>
    </row>
    <row r="101" spans="1:9" ht="22.5" customHeight="1" x14ac:dyDescent="0.25">
      <c r="A101" s="3">
        <v>37500</v>
      </c>
      <c r="B101" s="2">
        <v>3.8948999999999998</v>
      </c>
      <c r="C101" s="2">
        <f t="shared" si="4"/>
        <v>1.8265213973813557</v>
      </c>
      <c r="D101" s="2">
        <f t="shared" si="6"/>
        <v>1.6428469441359881</v>
      </c>
      <c r="E101" s="2">
        <f t="shared" si="7"/>
        <v>2.0101958506267232</v>
      </c>
      <c r="F101" s="2">
        <f>_xlfn.STDEV.S($C$2:C101)</f>
        <v>0.18367445324536763</v>
      </c>
      <c r="G101" s="2">
        <v>223.2826698083494</v>
      </c>
      <c r="H101" s="2">
        <v>122.24475997295457</v>
      </c>
      <c r="I101" s="2">
        <f t="shared" si="5"/>
        <v>1.8265213973813557</v>
      </c>
    </row>
    <row r="102" spans="1:9" ht="22.5" customHeight="1" x14ac:dyDescent="0.25">
      <c r="A102" s="3">
        <v>37530</v>
      </c>
      <c r="B102" s="2">
        <v>3.645</v>
      </c>
      <c r="C102" s="2">
        <f t="shared" si="4"/>
        <v>1.8463679904927588</v>
      </c>
      <c r="D102" s="2">
        <f t="shared" si="6"/>
        <v>1.6608506034971162</v>
      </c>
      <c r="E102" s="2">
        <f t="shared" si="7"/>
        <v>2.0318853774884014</v>
      </c>
      <c r="F102" s="2">
        <f>_xlfn.STDEV.S($C$2:C102)</f>
        <v>0.18551738699564246</v>
      </c>
      <c r="G102" s="2">
        <v>226.20816759789551</v>
      </c>
      <c r="H102" s="2">
        <v>122.51521298174427</v>
      </c>
      <c r="I102" s="2">
        <f t="shared" si="5"/>
        <v>1.8463679904927588</v>
      </c>
    </row>
    <row r="103" spans="1:9" ht="22.5" customHeight="1" x14ac:dyDescent="0.25">
      <c r="A103" s="3">
        <v>37561</v>
      </c>
      <c r="B103" s="2">
        <v>3.6364999999999998</v>
      </c>
      <c r="C103" s="2">
        <f t="shared" si="4"/>
        <v>1.8989884229653531</v>
      </c>
      <c r="D103" s="2">
        <f t="shared" si="6"/>
        <v>1.7107902888153999</v>
      </c>
      <c r="E103" s="2">
        <f t="shared" si="7"/>
        <v>2.0871865571153063</v>
      </c>
      <c r="F103" s="2">
        <f>_xlfn.STDEV.S($C$2:C103)</f>
        <v>0.18819813414995323</v>
      </c>
      <c r="G103" s="2">
        <v>233.04016143895279</v>
      </c>
      <c r="H103" s="2">
        <v>122.71805273833657</v>
      </c>
      <c r="I103" s="2">
        <f t="shared" si="5"/>
        <v>1.8989884229653531</v>
      </c>
    </row>
    <row r="104" spans="1:9" ht="22.5" customHeight="1" x14ac:dyDescent="0.25">
      <c r="A104" s="3">
        <v>37591</v>
      </c>
      <c r="B104" s="2">
        <v>3.5333000000000001</v>
      </c>
      <c r="C104" s="2">
        <f t="shared" si="4"/>
        <v>1.9356635251762537</v>
      </c>
      <c r="D104" s="2">
        <f t="shared" si="6"/>
        <v>1.7442244336546175</v>
      </c>
      <c r="E104" s="2">
        <f t="shared" si="7"/>
        <v>2.1271026166978899</v>
      </c>
      <c r="F104" s="2">
        <f>_xlfn.STDEV.S($C$2:C104)</f>
        <v>0.19143909152163616</v>
      </c>
      <c r="G104" s="2">
        <v>237.9334880845453</v>
      </c>
      <c r="H104" s="2">
        <v>122.92089249492886</v>
      </c>
      <c r="I104" s="2">
        <f t="shared" si="5"/>
        <v>1.9356635251762537</v>
      </c>
    </row>
    <row r="105" spans="1:9" ht="22.5" customHeight="1" x14ac:dyDescent="0.25">
      <c r="A105" s="3">
        <v>37622</v>
      </c>
      <c r="B105" s="2">
        <v>3.5257999999999998</v>
      </c>
      <c r="C105" s="2">
        <f t="shared" si="4"/>
        <v>1.9705493674845409</v>
      </c>
      <c r="D105" s="2">
        <f t="shared" si="6"/>
        <v>1.7753446228155287</v>
      </c>
      <c r="E105" s="2">
        <f t="shared" si="7"/>
        <v>2.1657541121535528</v>
      </c>
      <c r="F105" s="2">
        <f>_xlfn.STDEV.S($C$2:C105)</f>
        <v>0.19520474466901211</v>
      </c>
      <c r="G105" s="2">
        <v>243.28756896732708</v>
      </c>
      <c r="H105" s="2">
        <v>123.46179851250831</v>
      </c>
      <c r="I105" s="2">
        <f t="shared" si="5"/>
        <v>1.9705493674845409</v>
      </c>
    </row>
    <row r="106" spans="1:9" ht="22.5" customHeight="1" x14ac:dyDescent="0.25">
      <c r="A106" s="3">
        <v>37653</v>
      </c>
      <c r="B106" s="2">
        <v>3.5632000000000001</v>
      </c>
      <c r="C106" s="2">
        <f t="shared" si="4"/>
        <v>1.9905901801672201</v>
      </c>
      <c r="D106" s="2">
        <f t="shared" si="6"/>
        <v>1.791425388468169</v>
      </c>
      <c r="E106" s="2">
        <f t="shared" si="7"/>
        <v>2.1897549718662712</v>
      </c>
      <c r="F106" s="2">
        <f>_xlfn.STDEV.S($C$2:C106)</f>
        <v>0.19916479169905121</v>
      </c>
      <c r="G106" s="2">
        <v>247.10774650351669</v>
      </c>
      <c r="H106" s="2">
        <v>124.13793103448262</v>
      </c>
      <c r="I106" s="2">
        <f t="shared" si="5"/>
        <v>1.9905901801672201</v>
      </c>
    </row>
    <row r="107" spans="1:9" ht="22.5" customHeight="1" x14ac:dyDescent="0.25">
      <c r="A107" s="3">
        <v>37681</v>
      </c>
      <c r="B107" s="2">
        <v>3.3531</v>
      </c>
      <c r="C107" s="2">
        <f t="shared" si="4"/>
        <v>2.0117903115049542</v>
      </c>
      <c r="D107" s="2">
        <f t="shared" si="6"/>
        <v>1.8084554600925993</v>
      </c>
      <c r="E107" s="2">
        <f t="shared" si="7"/>
        <v>2.2151251629173094</v>
      </c>
      <c r="F107" s="2">
        <f>_xlfn.STDEV.S($C$2:C107)</f>
        <v>0.20333485141235497</v>
      </c>
      <c r="G107" s="2">
        <v>250.1475580025427</v>
      </c>
      <c r="H107" s="2">
        <v>124.34077079107492</v>
      </c>
      <c r="I107" s="2">
        <f t="shared" si="5"/>
        <v>2.0117903115049542</v>
      </c>
    </row>
    <row r="108" spans="1:9" ht="22.5" customHeight="1" x14ac:dyDescent="0.25">
      <c r="A108" s="3">
        <v>37712</v>
      </c>
      <c r="B108" s="2">
        <v>2.8898000000000001</v>
      </c>
      <c r="C108" s="2">
        <f t="shared" si="4"/>
        <v>2.0390647503983441</v>
      </c>
      <c r="D108" s="2">
        <f t="shared" si="6"/>
        <v>1.8312271136793907</v>
      </c>
      <c r="E108" s="2">
        <f t="shared" si="7"/>
        <v>2.2469023871172973</v>
      </c>
      <c r="F108" s="2">
        <f>_xlfn.STDEV.S($C$2:C108)</f>
        <v>0.20783763671895331</v>
      </c>
      <c r="G108" s="2">
        <v>252.57380816293187</v>
      </c>
      <c r="H108" s="2">
        <v>123.86747802569289</v>
      </c>
      <c r="I108" s="2">
        <f t="shared" si="5"/>
        <v>2.0390647503983441</v>
      </c>
    </row>
    <row r="109" spans="1:9" ht="22.5" customHeight="1" x14ac:dyDescent="0.25">
      <c r="A109" s="3">
        <v>37742</v>
      </c>
      <c r="B109" s="2">
        <v>2.9655999999999998</v>
      </c>
      <c r="C109" s="2">
        <f t="shared" si="4"/>
        <v>2.0548696366628021</v>
      </c>
      <c r="D109" s="2">
        <f t="shared" si="6"/>
        <v>1.8424632162517907</v>
      </c>
      <c r="E109" s="2">
        <f t="shared" si="7"/>
        <v>2.2672760570738135</v>
      </c>
      <c r="F109" s="2">
        <f>_xlfn.STDEV.S($C$2:C109)</f>
        <v>0.21240642041101138</v>
      </c>
      <c r="G109" s="2">
        <v>254.11471030806362</v>
      </c>
      <c r="H109" s="2">
        <v>123.66463826910061</v>
      </c>
      <c r="I109" s="2">
        <f t="shared" si="5"/>
        <v>2.0548696366628021</v>
      </c>
    </row>
    <row r="110" spans="1:9" ht="22.5" customHeight="1" x14ac:dyDescent="0.25">
      <c r="A110" s="3">
        <v>37773</v>
      </c>
      <c r="B110" s="2">
        <v>2.8719999999999999</v>
      </c>
      <c r="C110" s="2">
        <f t="shared" si="4"/>
        <v>2.0495440463677994</v>
      </c>
      <c r="D110" s="2">
        <f t="shared" si="6"/>
        <v>1.8329558311728049</v>
      </c>
      <c r="E110" s="2">
        <f t="shared" si="7"/>
        <v>2.2661322615627939</v>
      </c>
      <c r="F110" s="2">
        <f>_xlfn.STDEV.S($C$2:C110)</f>
        <v>0.21658821519499452</v>
      </c>
      <c r="G110" s="2">
        <v>253.73327578765631</v>
      </c>
      <c r="H110" s="2">
        <v>123.79986477349547</v>
      </c>
      <c r="I110" s="2">
        <f t="shared" si="5"/>
        <v>2.0495440463677994</v>
      </c>
    </row>
    <row r="111" spans="1:9" ht="22.5" customHeight="1" x14ac:dyDescent="0.25">
      <c r="A111" s="3">
        <v>37803</v>
      </c>
      <c r="B111" s="2">
        <v>2.9655</v>
      </c>
      <c r="C111" s="2">
        <f t="shared" si="4"/>
        <v>2.046935103758015</v>
      </c>
      <c r="D111" s="2">
        <f t="shared" si="6"/>
        <v>1.8264614168008606</v>
      </c>
      <c r="E111" s="2">
        <f t="shared" si="7"/>
        <v>2.2674087907151694</v>
      </c>
      <c r="F111" s="2">
        <f>_xlfn.STDEV.S($C$2:C111)</f>
        <v>0.22047368695715439</v>
      </c>
      <c r="G111" s="2">
        <v>254.24068868177613</v>
      </c>
      <c r="H111" s="2">
        <v>124.20554428668005</v>
      </c>
      <c r="I111" s="2">
        <f t="shared" si="5"/>
        <v>2.046935103758015</v>
      </c>
    </row>
    <row r="112" spans="1:9" ht="22.5" customHeight="1" x14ac:dyDescent="0.25">
      <c r="A112" s="3">
        <v>37834</v>
      </c>
      <c r="B112" s="2">
        <v>2.9664999999999999</v>
      </c>
      <c r="C112" s="2">
        <f t="shared" si="4"/>
        <v>2.0449883718471153</v>
      </c>
      <c r="D112" s="2">
        <f t="shared" si="6"/>
        <v>1.8208875598180123</v>
      </c>
      <c r="E112" s="2">
        <f t="shared" si="7"/>
        <v>2.2690891838762184</v>
      </c>
      <c r="F112" s="2">
        <f>_xlfn.STDEV.S($C$2:C112)</f>
        <v>0.22410081202910312</v>
      </c>
      <c r="G112" s="2">
        <v>255.10504030141476</v>
      </c>
      <c r="H112" s="2">
        <v>124.74645030425951</v>
      </c>
      <c r="I112" s="2">
        <f t="shared" si="5"/>
        <v>2.0449883718471153</v>
      </c>
    </row>
    <row r="113" spans="1:9" ht="22.5" customHeight="1" x14ac:dyDescent="0.25">
      <c r="A113" s="3">
        <v>37865</v>
      </c>
      <c r="B113" s="2">
        <v>2.9234</v>
      </c>
      <c r="C113" s="2">
        <f t="shared" si="4"/>
        <v>2.0542601423924673</v>
      </c>
      <c r="D113" s="2">
        <f t="shared" si="6"/>
        <v>1.8265598771847946</v>
      </c>
      <c r="E113" s="2">
        <f t="shared" si="7"/>
        <v>2.2819604076001401</v>
      </c>
      <c r="F113" s="2">
        <f>_xlfn.STDEV.S($C$2:C113)</f>
        <v>0.22770026520767267</v>
      </c>
      <c r="G113" s="2">
        <v>257.09503201950321</v>
      </c>
      <c r="H113" s="2">
        <v>125.15212981744408</v>
      </c>
      <c r="I113" s="2">
        <f t="shared" si="5"/>
        <v>2.0542601423924673</v>
      </c>
    </row>
    <row r="114" spans="1:9" ht="22.5" customHeight="1" x14ac:dyDescent="0.25">
      <c r="A114" s="3">
        <v>37895</v>
      </c>
      <c r="B114" s="2">
        <v>2.8561999999999999</v>
      </c>
      <c r="C114" s="2">
        <f t="shared" si="4"/>
        <v>2.0624443353737716</v>
      </c>
      <c r="D114" s="2">
        <f t="shared" si="6"/>
        <v>1.8311912132150729</v>
      </c>
      <c r="E114" s="2">
        <f t="shared" si="7"/>
        <v>2.2936974575324705</v>
      </c>
      <c r="F114" s="2">
        <f>_xlfn.STDEV.S($C$2:C114)</f>
        <v>0.23125312215869873</v>
      </c>
      <c r="G114" s="2">
        <v>257.84040406396889</v>
      </c>
      <c r="H114" s="2">
        <v>125.01690331304923</v>
      </c>
      <c r="I114" s="2">
        <f t="shared" si="5"/>
        <v>2.0624443353737716</v>
      </c>
    </row>
    <row r="115" spans="1:9" ht="22.5" customHeight="1" x14ac:dyDescent="0.25">
      <c r="A115" s="3">
        <v>37926</v>
      </c>
      <c r="B115" s="2">
        <v>2.9493999999999998</v>
      </c>
      <c r="C115" s="2">
        <f t="shared" si="4"/>
        <v>2.0683422210718705</v>
      </c>
      <c r="D115" s="2">
        <f t="shared" si="6"/>
        <v>1.8336221211422628</v>
      </c>
      <c r="E115" s="2">
        <f t="shared" si="7"/>
        <v>2.3030623210014785</v>
      </c>
      <c r="F115" s="2">
        <f>_xlfn.STDEV.S($C$2:C115)</f>
        <v>0.23472009992960774</v>
      </c>
      <c r="G115" s="2">
        <v>258.71758681426343</v>
      </c>
      <c r="H115" s="2">
        <v>125.08451656524664</v>
      </c>
      <c r="I115" s="2">
        <f t="shared" si="5"/>
        <v>2.0683422210718705</v>
      </c>
    </row>
    <row r="116" spans="1:9" ht="22.5" customHeight="1" x14ac:dyDescent="0.25">
      <c r="A116" s="3">
        <v>37956</v>
      </c>
      <c r="B116" s="2">
        <v>2.8892000000000002</v>
      </c>
      <c r="C116" s="2">
        <f t="shared" si="4"/>
        <v>2.0734904093036364</v>
      </c>
      <c r="D116" s="2">
        <f t="shared" si="6"/>
        <v>1.8353975045219064</v>
      </c>
      <c r="E116" s="2">
        <f t="shared" si="7"/>
        <v>2.3115833140853663</v>
      </c>
      <c r="F116" s="2">
        <f>_xlfn.STDEV.S($C$2:C116)</f>
        <v>0.2380929047817299</v>
      </c>
      <c r="G116" s="2">
        <v>260.0625226002868</v>
      </c>
      <c r="H116" s="2">
        <v>125.42258282623381</v>
      </c>
      <c r="I116" s="2">
        <f t="shared" si="5"/>
        <v>2.0734904093036364</v>
      </c>
    </row>
    <row r="117" spans="1:9" ht="22.5" customHeight="1" x14ac:dyDescent="0.25">
      <c r="A117" s="3">
        <v>37987</v>
      </c>
      <c r="B117" s="2">
        <v>2.9409000000000001</v>
      </c>
      <c r="C117" s="2">
        <f t="shared" si="4"/>
        <v>2.0802735707503879</v>
      </c>
      <c r="D117" s="2">
        <f t="shared" si="6"/>
        <v>1.83886777582621</v>
      </c>
      <c r="E117" s="2">
        <f t="shared" si="7"/>
        <v>2.3216793656745658</v>
      </c>
      <c r="F117" s="2">
        <f>_xlfn.STDEV.S($C$2:C117)</f>
        <v>0.24140579492417799</v>
      </c>
      <c r="G117" s="2">
        <v>262.03851672129605</v>
      </c>
      <c r="H117" s="2">
        <v>125.96348884381325</v>
      </c>
      <c r="I117" s="2">
        <f t="shared" si="5"/>
        <v>2.0802735707503879</v>
      </c>
    </row>
    <row r="118" spans="1:9" ht="22.5" customHeight="1" x14ac:dyDescent="0.25">
      <c r="A118" s="3">
        <v>38018</v>
      </c>
      <c r="B118" s="2">
        <v>2.9138000000000002</v>
      </c>
      <c r="C118" s="2">
        <f t="shared" si="4"/>
        <v>2.0884761408227508</v>
      </c>
      <c r="D118" s="2">
        <f t="shared" si="6"/>
        <v>1.8437896038963619</v>
      </c>
      <c r="E118" s="2">
        <f t="shared" si="7"/>
        <v>2.3331626777491397</v>
      </c>
      <c r="F118" s="2">
        <f>_xlfn.STDEV.S($C$2:C118)</f>
        <v>0.24468653692638884</v>
      </c>
      <c r="G118" s="2">
        <v>263.63657572116779</v>
      </c>
      <c r="H118" s="2">
        <v>126.23394185260297</v>
      </c>
      <c r="I118" s="2">
        <f t="shared" si="5"/>
        <v>2.0884761408227508</v>
      </c>
    </row>
    <row r="119" spans="1:9" ht="22.5" customHeight="1" x14ac:dyDescent="0.25">
      <c r="A119" s="3">
        <v>38047</v>
      </c>
      <c r="B119" s="2">
        <v>2.9085999999999999</v>
      </c>
      <c r="C119" s="2">
        <f t="shared" si="4"/>
        <v>2.0938036449475974</v>
      </c>
      <c r="D119" s="2">
        <f t="shared" si="6"/>
        <v>1.8459159091448218</v>
      </c>
      <c r="E119" s="2">
        <f t="shared" si="7"/>
        <v>2.341691380750373</v>
      </c>
      <c r="F119" s="2">
        <f>_xlfn.STDEV.S($C$2:C119)</f>
        <v>0.24788773580277554</v>
      </c>
      <c r="G119" s="2">
        <v>264.87536306267413</v>
      </c>
      <c r="H119" s="2">
        <v>126.5043948613927</v>
      </c>
      <c r="I119" s="2">
        <f t="shared" si="5"/>
        <v>2.0938036449475974</v>
      </c>
    </row>
    <row r="120" spans="1:9" ht="22.5" customHeight="1" x14ac:dyDescent="0.25">
      <c r="A120" s="3">
        <v>38078</v>
      </c>
      <c r="B120" s="2">
        <v>2.9447000000000001</v>
      </c>
      <c r="C120" s="2">
        <f t="shared" si="4"/>
        <v>2.0981848089397102</v>
      </c>
      <c r="D120" s="2">
        <f t="shared" si="6"/>
        <v>1.84718673471376</v>
      </c>
      <c r="E120" s="2">
        <f t="shared" si="7"/>
        <v>2.34918288316566</v>
      </c>
      <c r="F120" s="2">
        <f>_xlfn.STDEV.S($C$2:C120)</f>
        <v>0.25099807422595005</v>
      </c>
      <c r="G120" s="2">
        <v>265.8551948582159</v>
      </c>
      <c r="H120" s="2">
        <v>126.70723461798501</v>
      </c>
      <c r="I120" s="2">
        <f t="shared" si="5"/>
        <v>2.0981848089397102</v>
      </c>
    </row>
    <row r="121" spans="1:9" ht="22.5" customHeight="1" x14ac:dyDescent="0.25">
      <c r="A121" s="3">
        <v>38108</v>
      </c>
      <c r="B121" s="2">
        <v>3.1291000000000002</v>
      </c>
      <c r="C121" s="2">
        <f t="shared" si="4"/>
        <v>2.0999177473825203</v>
      </c>
      <c r="D121" s="2">
        <f t="shared" si="6"/>
        <v>1.8459381122743075</v>
      </c>
      <c r="E121" s="2">
        <f t="shared" si="7"/>
        <v>2.3538973824907332</v>
      </c>
      <c r="F121" s="2">
        <f>_xlfn.STDEV.S($C$2:C121)</f>
        <v>0.25397963510821275</v>
      </c>
      <c r="G121" s="2">
        <v>267.21062884204861</v>
      </c>
      <c r="H121" s="2">
        <v>127.24814063556444</v>
      </c>
      <c r="I121" s="2">
        <f t="shared" si="5"/>
        <v>2.0999177473825203</v>
      </c>
    </row>
    <row r="122" spans="1:9" ht="22.5" customHeight="1" x14ac:dyDescent="0.25">
      <c r="A122" s="3">
        <v>38139</v>
      </c>
      <c r="B122" s="2">
        <v>3.1074999999999999</v>
      </c>
      <c r="C122" s="2">
        <f t="shared" si="4"/>
        <v>2.1069862440510456</v>
      </c>
      <c r="D122" s="2">
        <f t="shared" si="6"/>
        <v>1.8500611683953903</v>
      </c>
      <c r="E122" s="2">
        <f t="shared" si="7"/>
        <v>2.363911319706701</v>
      </c>
      <c r="F122" s="2">
        <f>_xlfn.STDEV.S($C$2:C122)</f>
        <v>0.25692507565565526</v>
      </c>
      <c r="G122" s="2">
        <v>269.10730324627593</v>
      </c>
      <c r="H122" s="2">
        <v>127.72143340094647</v>
      </c>
      <c r="I122" s="2">
        <f t="shared" si="5"/>
        <v>2.1069862440510456</v>
      </c>
    </row>
    <row r="123" spans="1:9" ht="22.5" customHeight="1" x14ac:dyDescent="0.25">
      <c r="A123" s="3">
        <v>38169</v>
      </c>
      <c r="B123" s="2">
        <v>3.0268000000000002</v>
      </c>
      <c r="C123" s="2">
        <f t="shared" si="4"/>
        <v>2.1239074794363728</v>
      </c>
      <c r="D123" s="2">
        <f t="shared" si="6"/>
        <v>1.863914474340812</v>
      </c>
      <c r="E123" s="2">
        <f t="shared" si="7"/>
        <v>2.3839004845319334</v>
      </c>
      <c r="F123" s="2">
        <f>_xlfn.STDEV.S($C$2:C123)</f>
        <v>0.25999300509556078</v>
      </c>
      <c r="G123" s="2">
        <v>271.55571626870704</v>
      </c>
      <c r="H123" s="2">
        <v>127.85665990534132</v>
      </c>
      <c r="I123" s="2">
        <f t="shared" si="5"/>
        <v>2.1239074794363728</v>
      </c>
    </row>
    <row r="124" spans="1:9" ht="22.5" customHeight="1" x14ac:dyDescent="0.25">
      <c r="A124" s="3">
        <v>38200</v>
      </c>
      <c r="B124" s="2">
        <v>2.9338000000000002</v>
      </c>
      <c r="C124" s="2">
        <f t="shared" si="4"/>
        <v>2.1374290789031196</v>
      </c>
      <c r="D124" s="2">
        <f t="shared" si="6"/>
        <v>1.8743045015495023</v>
      </c>
      <c r="E124" s="2">
        <f t="shared" si="7"/>
        <v>2.4005536562567369</v>
      </c>
      <c r="F124" s="2">
        <f>_xlfn.STDEV.S($C$2:C124)</f>
        <v>0.26312457735361722</v>
      </c>
      <c r="G124" s="2">
        <v>273.42906134446906</v>
      </c>
      <c r="H124" s="2">
        <v>127.92427315753874</v>
      </c>
      <c r="I124" s="2">
        <f t="shared" si="5"/>
        <v>2.1374290789031196</v>
      </c>
    </row>
    <row r="125" spans="1:9" ht="22.5" customHeight="1" x14ac:dyDescent="0.25">
      <c r="A125" s="3">
        <v>38231</v>
      </c>
      <c r="B125" s="2">
        <v>2.8586</v>
      </c>
      <c r="C125" s="2">
        <f t="shared" si="4"/>
        <v>2.1377075316155745</v>
      </c>
      <c r="D125" s="2">
        <f t="shared" si="6"/>
        <v>1.8715997920278096</v>
      </c>
      <c r="E125" s="2">
        <f t="shared" si="7"/>
        <v>2.4038152712033396</v>
      </c>
      <c r="F125" s="2">
        <f>_xlfn.STDEV.S($C$2:C125)</f>
        <v>0.26610773958776496</v>
      </c>
      <c r="G125" s="2">
        <v>274.33190635607542</v>
      </c>
      <c r="H125" s="2">
        <v>128.32995267072332</v>
      </c>
      <c r="I125" s="2">
        <f t="shared" si="5"/>
        <v>2.1377075316155745</v>
      </c>
    </row>
    <row r="126" spans="1:9" ht="22.5" customHeight="1" x14ac:dyDescent="0.25">
      <c r="A126" s="3">
        <v>38261</v>
      </c>
      <c r="B126" s="2">
        <v>2.8565</v>
      </c>
      <c r="C126" s="2">
        <f t="shared" si="4"/>
        <v>2.1358620307916336</v>
      </c>
      <c r="D126" s="2">
        <f t="shared" si="6"/>
        <v>1.8669427240645309</v>
      </c>
      <c r="E126" s="2">
        <f t="shared" si="7"/>
        <v>2.4047813375187364</v>
      </c>
      <c r="F126" s="2">
        <f>_xlfn.STDEV.S($C$2:C126)</f>
        <v>0.26891930672710274</v>
      </c>
      <c r="G126" s="2">
        <v>275.53919910415368</v>
      </c>
      <c r="H126" s="2">
        <v>129.00608519269764</v>
      </c>
      <c r="I126" s="2">
        <f t="shared" si="5"/>
        <v>2.1358620307916336</v>
      </c>
    </row>
    <row r="127" spans="1:9" ht="22.5" customHeight="1" x14ac:dyDescent="0.25">
      <c r="A127" s="3">
        <v>38292</v>
      </c>
      <c r="B127" s="2">
        <v>2.7307000000000001</v>
      </c>
      <c r="C127" s="2">
        <f t="shared" si="4"/>
        <v>2.1405036918844855</v>
      </c>
      <c r="D127" s="2">
        <f t="shared" si="6"/>
        <v>1.8688375213765003</v>
      </c>
      <c r="E127" s="2">
        <f t="shared" si="7"/>
        <v>2.4121698623924708</v>
      </c>
      <c r="F127" s="2">
        <f>_xlfn.STDEV.S($C$2:C127)</f>
        <v>0.27166617050798536</v>
      </c>
      <c r="G127" s="2">
        <v>277.44053937407398</v>
      </c>
      <c r="H127" s="2">
        <v>129.61460446247449</v>
      </c>
      <c r="I127" s="2">
        <f t="shared" si="5"/>
        <v>2.1405036918844855</v>
      </c>
    </row>
    <row r="128" spans="1:9" ht="22.5" customHeight="1" x14ac:dyDescent="0.25">
      <c r="A128" s="3">
        <v>38322</v>
      </c>
      <c r="B128" s="2">
        <v>2.6543999999999999</v>
      </c>
      <c r="C128" s="2">
        <f t="shared" si="4"/>
        <v>2.1589076660775759</v>
      </c>
      <c r="D128" s="2">
        <f t="shared" si="6"/>
        <v>1.8843518590807791</v>
      </c>
      <c r="E128" s="2">
        <f t="shared" si="7"/>
        <v>2.4334634730743727</v>
      </c>
      <c r="F128" s="2">
        <f>_xlfn.STDEV.S($C$2:C128)</f>
        <v>0.27455580699679694</v>
      </c>
      <c r="G128" s="2">
        <v>279.82596320964893</v>
      </c>
      <c r="H128" s="2">
        <v>129.61460446247449</v>
      </c>
      <c r="I128" s="2">
        <f t="shared" si="5"/>
        <v>2.1589076660775759</v>
      </c>
    </row>
    <row r="129" spans="1:9" ht="22.5" customHeight="1" x14ac:dyDescent="0.25">
      <c r="A129" s="3">
        <v>38353</v>
      </c>
      <c r="B129" s="2">
        <v>2.6248</v>
      </c>
      <c r="C129" s="2">
        <f t="shared" si="4"/>
        <v>2.1725592804202587</v>
      </c>
      <c r="D129" s="2">
        <f t="shared" si="6"/>
        <v>1.8950466285046379</v>
      </c>
      <c r="E129" s="2">
        <f t="shared" si="7"/>
        <v>2.4500719323358795</v>
      </c>
      <c r="F129" s="2">
        <f>_xlfn.STDEV.S($C$2:C129)</f>
        <v>0.27751265191562091</v>
      </c>
      <c r="G129" s="2">
        <v>281.44851800440915</v>
      </c>
      <c r="H129" s="2">
        <v>129.54699121027707</v>
      </c>
      <c r="I129" s="2">
        <f t="shared" si="5"/>
        <v>2.1725592804202587</v>
      </c>
    </row>
    <row r="130" spans="1:9" ht="22.5" customHeight="1" x14ac:dyDescent="0.25">
      <c r="A130" s="3">
        <v>38384</v>
      </c>
      <c r="B130" s="2">
        <v>2.5950000000000002</v>
      </c>
      <c r="C130" s="2">
        <f t="shared" ref="C130:C193" si="8">$B$2*I130</f>
        <v>2.1762944303362386</v>
      </c>
      <c r="D130" s="2">
        <f t="shared" si="6"/>
        <v>1.8959077628974934</v>
      </c>
      <c r="E130" s="2">
        <f t="shared" si="7"/>
        <v>2.4566810977749838</v>
      </c>
      <c r="F130" s="2">
        <f>_xlfn.STDEV.S($C$2:C130)</f>
        <v>0.2803866674387453</v>
      </c>
      <c r="G130" s="2">
        <v>283.10956619113716</v>
      </c>
      <c r="H130" s="2">
        <v>130.08789722785653</v>
      </c>
      <c r="I130" s="2">
        <f t="shared" si="5"/>
        <v>2.1762944303362386</v>
      </c>
    </row>
    <row r="131" spans="1:9" ht="22.5" customHeight="1" x14ac:dyDescent="0.25">
      <c r="A131" s="3">
        <v>38412</v>
      </c>
      <c r="B131" s="2">
        <v>2.6661999999999999</v>
      </c>
      <c r="C131" s="2">
        <f t="shared" si="8"/>
        <v>2.1816279134122385</v>
      </c>
      <c r="D131" s="2">
        <f t="shared" si="6"/>
        <v>1.8984226583493777</v>
      </c>
      <c r="E131" s="2">
        <f t="shared" si="7"/>
        <v>2.4648331684750993</v>
      </c>
      <c r="F131" s="2">
        <f>_xlfn.STDEV.S($C$2:C131)</f>
        <v>0.28320525506286076</v>
      </c>
      <c r="G131" s="2">
        <v>284.83593649756784</v>
      </c>
      <c r="H131" s="2">
        <v>130.56118999323854</v>
      </c>
      <c r="I131" s="2">
        <f t="shared" ref="I131:I194" si="9">G131/H131</f>
        <v>2.1816279134122385</v>
      </c>
    </row>
    <row r="132" spans="1:9" ht="22.5" customHeight="1" x14ac:dyDescent="0.25">
      <c r="A132" s="3">
        <v>38443</v>
      </c>
      <c r="B132" s="2">
        <v>2.5312999999999999</v>
      </c>
      <c r="C132" s="2">
        <f t="shared" si="8"/>
        <v>2.1937877286323135</v>
      </c>
      <c r="D132" s="2">
        <f t="shared" ref="D132:D195" si="10">C132-F132</f>
        <v>1.9077184832309784</v>
      </c>
      <c r="E132" s="2">
        <f t="shared" ref="E132:E195" si="11">C132+F132</f>
        <v>2.4798569740336487</v>
      </c>
      <c r="F132" s="2">
        <f>_xlfn.STDEV.S($C$2:C132)</f>
        <v>0.28606924540133505</v>
      </c>
      <c r="G132" s="2">
        <v>287.31351118058058</v>
      </c>
      <c r="H132" s="2">
        <v>130.96686950642311</v>
      </c>
      <c r="I132" s="2">
        <f t="shared" si="9"/>
        <v>2.1937877286323135</v>
      </c>
    </row>
    <row r="133" spans="1:9" ht="22.5" customHeight="1" x14ac:dyDescent="0.25">
      <c r="A133" s="3">
        <v>38473</v>
      </c>
      <c r="B133" s="2">
        <v>2.4037999999999999</v>
      </c>
      <c r="C133" s="2">
        <f t="shared" si="8"/>
        <v>2.2056766739202902</v>
      </c>
      <c r="D133" s="2">
        <f t="shared" si="10"/>
        <v>1.9167036790066434</v>
      </c>
      <c r="E133" s="2">
        <f t="shared" si="11"/>
        <v>2.494649668833937</v>
      </c>
      <c r="F133" s="2">
        <f>_xlfn.STDEV.S($C$2:C133)</f>
        <v>0.2889729949136467</v>
      </c>
      <c r="G133" s="2">
        <v>288.72143615346022</v>
      </c>
      <c r="H133" s="2">
        <v>130.89925625422566</v>
      </c>
      <c r="I133" s="2">
        <f t="shared" si="9"/>
        <v>2.2056766739202902</v>
      </c>
    </row>
    <row r="134" spans="1:9" ht="22.5" customHeight="1" x14ac:dyDescent="0.25">
      <c r="A134" s="3">
        <v>38504</v>
      </c>
      <c r="B134" s="2">
        <v>2.3504</v>
      </c>
      <c r="C134" s="2">
        <f t="shared" si="8"/>
        <v>2.2040926374753114</v>
      </c>
      <c r="D134" s="2">
        <f t="shared" si="10"/>
        <v>1.9123690734798044</v>
      </c>
      <c r="E134" s="2">
        <f t="shared" si="11"/>
        <v>2.4958162014708183</v>
      </c>
      <c r="F134" s="2">
        <f>_xlfn.STDEV.S($C$2:C134)</f>
        <v>0.29172356399550703</v>
      </c>
      <c r="G134" s="2">
        <v>288.66311283229697</v>
      </c>
      <c r="H134" s="2">
        <v>130.96686950642308</v>
      </c>
      <c r="I134" s="2">
        <f t="shared" si="9"/>
        <v>2.2040926374753114</v>
      </c>
    </row>
    <row r="135" spans="1:9" ht="22.5" customHeight="1" x14ac:dyDescent="0.25">
      <c r="A135" s="3">
        <v>38534</v>
      </c>
      <c r="B135" s="2">
        <v>2.3904999999999998</v>
      </c>
      <c r="C135" s="2">
        <f t="shared" si="8"/>
        <v>2.1960012573418797</v>
      </c>
      <c r="D135" s="2">
        <f t="shared" si="10"/>
        <v>1.9017597763503138</v>
      </c>
      <c r="E135" s="2">
        <f t="shared" si="11"/>
        <v>2.4902427383334453</v>
      </c>
      <c r="F135" s="2">
        <f>_xlfn.STDEV.S($C$2:C135)</f>
        <v>0.29424148099156588</v>
      </c>
      <c r="G135" s="2">
        <v>289.3851555482974</v>
      </c>
      <c r="H135" s="2">
        <v>131.77822853279227</v>
      </c>
      <c r="I135" s="2">
        <f t="shared" si="9"/>
        <v>2.1960012573418797</v>
      </c>
    </row>
    <row r="136" spans="1:9" ht="22.5" customHeight="1" x14ac:dyDescent="0.25">
      <c r="A136" s="3">
        <v>38565</v>
      </c>
      <c r="B136" s="2">
        <v>2.3637000000000001</v>
      </c>
      <c r="C136" s="2">
        <f t="shared" si="8"/>
        <v>2.1862757831535728</v>
      </c>
      <c r="D136" s="2">
        <f t="shared" si="10"/>
        <v>1.8897544510762134</v>
      </c>
      <c r="E136" s="2">
        <f t="shared" si="11"/>
        <v>2.4827971152309321</v>
      </c>
      <c r="F136" s="2">
        <f>_xlfn.STDEV.S($C$2:C136)</f>
        <v>0.29652133207735937</v>
      </c>
      <c r="G136" s="2">
        <v>289.87740437891489</v>
      </c>
      <c r="H136" s="2">
        <v>132.58958755916143</v>
      </c>
      <c r="I136" s="2">
        <f t="shared" si="9"/>
        <v>2.1862757831535728</v>
      </c>
    </row>
    <row r="137" spans="1:9" ht="22.5" customHeight="1" x14ac:dyDescent="0.25">
      <c r="A137" s="3">
        <v>38596</v>
      </c>
      <c r="B137" s="2">
        <v>2.2222</v>
      </c>
      <c r="C137" s="2">
        <f t="shared" si="8"/>
        <v>2.1641328391208359</v>
      </c>
      <c r="D137" s="2">
        <f t="shared" si="10"/>
        <v>1.8657058653514567</v>
      </c>
      <c r="E137" s="2">
        <f t="shared" si="11"/>
        <v>2.4625598128902149</v>
      </c>
      <c r="F137" s="2">
        <f>_xlfn.STDEV.S($C$2:C137)</f>
        <v>0.29842697376937916</v>
      </c>
      <c r="G137" s="2">
        <v>290.89223016715459</v>
      </c>
      <c r="H137" s="2">
        <v>134.41514536849206</v>
      </c>
      <c r="I137" s="2">
        <f t="shared" si="9"/>
        <v>2.1641328391208359</v>
      </c>
    </row>
    <row r="138" spans="1:9" ht="22.5" customHeight="1" x14ac:dyDescent="0.25">
      <c r="A138" s="3">
        <v>38626</v>
      </c>
      <c r="B138" s="2">
        <v>2.2543000000000002</v>
      </c>
      <c r="C138" s="2">
        <f t="shared" si="8"/>
        <v>2.1770755379107789</v>
      </c>
      <c r="D138" s="2">
        <f t="shared" si="10"/>
        <v>1.8766699615085261</v>
      </c>
      <c r="E138" s="2">
        <f t="shared" si="11"/>
        <v>2.477481114313032</v>
      </c>
      <c r="F138" s="2">
        <f>_xlfn.STDEV.S($C$2:C138)</f>
        <v>0.30040557640225291</v>
      </c>
      <c r="G138" s="2">
        <v>293.07352237865825</v>
      </c>
      <c r="H138" s="2">
        <v>134.61798512508435</v>
      </c>
      <c r="I138" s="2">
        <f t="shared" si="9"/>
        <v>2.1770755379107789</v>
      </c>
    </row>
    <row r="139" spans="1:9" ht="22.5" customHeight="1" x14ac:dyDescent="0.25">
      <c r="A139" s="3">
        <v>38657</v>
      </c>
      <c r="B139" s="2">
        <v>2.2069999999999999</v>
      </c>
      <c r="C139" s="2">
        <f t="shared" si="8"/>
        <v>2.2001008142601033</v>
      </c>
      <c r="D139" s="2">
        <f t="shared" si="10"/>
        <v>1.8975206682219261</v>
      </c>
      <c r="E139" s="2">
        <f t="shared" si="11"/>
        <v>2.5026809602982807</v>
      </c>
      <c r="F139" s="2">
        <f>_xlfn.STDEV.S($C$2:C139)</f>
        <v>0.30258014603817718</v>
      </c>
      <c r="G139" s="2">
        <v>294.68557897560913</v>
      </c>
      <c r="H139" s="2">
        <v>133.94185260311005</v>
      </c>
      <c r="I139" s="2">
        <f t="shared" si="9"/>
        <v>2.2001008142601033</v>
      </c>
    </row>
    <row r="140" spans="1:9" ht="22.5" customHeight="1" x14ac:dyDescent="0.25">
      <c r="A140" s="3">
        <v>38687</v>
      </c>
      <c r="B140" s="2">
        <v>2.3407</v>
      </c>
      <c r="C140" s="2">
        <f t="shared" si="8"/>
        <v>2.2080170701438324</v>
      </c>
      <c r="D140" s="2">
        <f t="shared" si="10"/>
        <v>1.9032577461266369</v>
      </c>
      <c r="E140" s="2">
        <f t="shared" si="11"/>
        <v>2.5127763941610279</v>
      </c>
      <c r="F140" s="2">
        <f>_xlfn.STDEV.S($C$2:C140)</f>
        <v>0.30475932401719552</v>
      </c>
      <c r="G140" s="2">
        <v>295.74589695435611</v>
      </c>
      <c r="H140" s="2">
        <v>133.94185260311005</v>
      </c>
      <c r="I140" s="2">
        <f t="shared" si="9"/>
        <v>2.2080170701438324</v>
      </c>
    </row>
    <row r="141" spans="1:9" ht="22.5" customHeight="1" x14ac:dyDescent="0.25">
      <c r="A141" s="3">
        <v>38718</v>
      </c>
      <c r="B141" s="2">
        <v>2.2160000000000002</v>
      </c>
      <c r="C141" s="2">
        <f t="shared" si="8"/>
        <v>2.2076722857006739</v>
      </c>
      <c r="D141" s="2">
        <f t="shared" si="10"/>
        <v>1.9008303826015611</v>
      </c>
      <c r="E141" s="2">
        <f t="shared" si="11"/>
        <v>2.5145141887997866</v>
      </c>
      <c r="F141" s="2">
        <f>_xlfn.STDEV.S($C$2:C141)</f>
        <v>0.30684190309911263</v>
      </c>
      <c r="G141" s="2">
        <v>297.49093072355907</v>
      </c>
      <c r="H141" s="2">
        <v>134.75321162947924</v>
      </c>
      <c r="I141" s="2">
        <f t="shared" si="9"/>
        <v>2.2076722857006739</v>
      </c>
    </row>
    <row r="142" spans="1:9" ht="22.5" customHeight="1" x14ac:dyDescent="0.25">
      <c r="A142" s="3">
        <v>38749</v>
      </c>
      <c r="B142" s="2">
        <v>2.1355</v>
      </c>
      <c r="C142" s="2">
        <f t="shared" si="8"/>
        <v>2.2156150940661594</v>
      </c>
      <c r="D142" s="2">
        <f t="shared" si="10"/>
        <v>1.9066832418035462</v>
      </c>
      <c r="E142" s="2">
        <f t="shared" si="11"/>
        <v>2.5245469463287726</v>
      </c>
      <c r="F142" s="2">
        <f>_xlfn.STDEV.S($C$2:C142)</f>
        <v>0.30893185226261327</v>
      </c>
      <c r="G142" s="2">
        <v>298.71105460229325</v>
      </c>
      <c r="H142" s="2">
        <v>134.82082488167666</v>
      </c>
      <c r="I142" s="2">
        <f t="shared" si="9"/>
        <v>2.2156150940661594</v>
      </c>
    </row>
    <row r="143" spans="1:9" ht="22.5" customHeight="1" x14ac:dyDescent="0.25">
      <c r="A143" s="3">
        <v>38777</v>
      </c>
      <c r="B143" s="2">
        <v>2.1724000000000001</v>
      </c>
      <c r="C143" s="2">
        <f t="shared" si="8"/>
        <v>2.2217981932130217</v>
      </c>
      <c r="D143" s="2">
        <f t="shared" si="10"/>
        <v>1.9107903351065536</v>
      </c>
      <c r="E143" s="2">
        <f t="shared" si="11"/>
        <v>2.5328060513194899</v>
      </c>
      <c r="F143" s="2">
        <f>_xlfn.STDEV.S($C$2:C143)</f>
        <v>0.31100785810646808</v>
      </c>
      <c r="G143" s="2">
        <v>299.99533413430692</v>
      </c>
      <c r="H143" s="2">
        <v>135.02366463826894</v>
      </c>
      <c r="I143" s="2">
        <f t="shared" si="9"/>
        <v>2.2217981932130217</v>
      </c>
    </row>
    <row r="144" spans="1:9" ht="22.5" customHeight="1" x14ac:dyDescent="0.25">
      <c r="A144" s="3">
        <v>38808</v>
      </c>
      <c r="B144" s="2">
        <v>2.0891999999999999</v>
      </c>
      <c r="C144" s="2">
        <f t="shared" si="8"/>
        <v>2.2153697521586677</v>
      </c>
      <c r="D144" s="2">
        <f t="shared" si="10"/>
        <v>1.9024470288922342</v>
      </c>
      <c r="E144" s="2">
        <f t="shared" si="11"/>
        <v>2.5282924754251015</v>
      </c>
      <c r="F144" s="2">
        <f>_xlfn.STDEV.S($C$2:C144)</f>
        <v>0.31292272326643356</v>
      </c>
      <c r="G144" s="2">
        <v>300.62522600286951</v>
      </c>
      <c r="H144" s="2">
        <v>135.69979716024324</v>
      </c>
      <c r="I144" s="2">
        <f t="shared" si="9"/>
        <v>2.2153697521586677</v>
      </c>
    </row>
    <row r="145" spans="1:9" ht="22.5" customHeight="1" x14ac:dyDescent="0.25">
      <c r="A145" s="3">
        <v>38838</v>
      </c>
      <c r="B145" s="2">
        <v>2.3005</v>
      </c>
      <c r="C145" s="2">
        <f t="shared" si="8"/>
        <v>2.2109777041677421</v>
      </c>
      <c r="D145" s="2">
        <f t="shared" si="10"/>
        <v>1.8962690254622905</v>
      </c>
      <c r="E145" s="2">
        <f t="shared" si="11"/>
        <v>2.5256863828731935</v>
      </c>
      <c r="F145" s="2">
        <f>_xlfn.STDEV.S($C$2:C145)</f>
        <v>0.31470867870545155</v>
      </c>
      <c r="G145" s="2">
        <v>300.92617434007161</v>
      </c>
      <c r="H145" s="2">
        <v>136.10547667342783</v>
      </c>
      <c r="I145" s="2">
        <f t="shared" si="9"/>
        <v>2.2109777041677421</v>
      </c>
    </row>
    <row r="146" spans="1:9" ht="22.5" customHeight="1" x14ac:dyDescent="0.25">
      <c r="A146" s="3">
        <v>38869</v>
      </c>
      <c r="B146" s="2">
        <v>2.1642999999999999</v>
      </c>
      <c r="C146" s="2">
        <f t="shared" si="8"/>
        <v>2.2008659631698833</v>
      </c>
      <c r="D146" s="2">
        <f t="shared" si="10"/>
        <v>1.8845555899769306</v>
      </c>
      <c r="E146" s="2">
        <f t="shared" si="11"/>
        <v>2.5171763363628359</v>
      </c>
      <c r="F146" s="2">
        <f>_xlfn.STDEV.S($C$2:C146)</f>
        <v>0.31631037319295263</v>
      </c>
      <c r="G146" s="2">
        <v>300.29394953866256</v>
      </c>
      <c r="H146" s="2">
        <v>136.44354293441498</v>
      </c>
      <c r="I146" s="2">
        <f t="shared" si="9"/>
        <v>2.2008659631698833</v>
      </c>
    </row>
    <row r="147" spans="1:9" ht="22.5" customHeight="1" x14ac:dyDescent="0.25">
      <c r="A147" s="3">
        <v>38899</v>
      </c>
      <c r="B147" s="2">
        <v>2.1762000000000001</v>
      </c>
      <c r="C147" s="2">
        <f t="shared" si="8"/>
        <v>2.1930920455665168</v>
      </c>
      <c r="D147" s="2">
        <f t="shared" si="10"/>
        <v>1.8753282422794995</v>
      </c>
      <c r="E147" s="2">
        <f t="shared" si="11"/>
        <v>2.5108558488535344</v>
      </c>
      <c r="F147" s="2">
        <f>_xlfn.STDEV.S($C$2:C147)</f>
        <v>0.31776380328701737</v>
      </c>
      <c r="G147" s="2">
        <v>300.86435161963874</v>
      </c>
      <c r="H147" s="2">
        <v>137.18728870858672</v>
      </c>
      <c r="I147" s="2">
        <f t="shared" si="9"/>
        <v>2.1930920455665168</v>
      </c>
    </row>
    <row r="148" spans="1:9" ht="22.5" customHeight="1" x14ac:dyDescent="0.25">
      <c r="A148" s="3">
        <v>38930</v>
      </c>
      <c r="B148" s="2">
        <v>2.1387999999999998</v>
      </c>
      <c r="C148" s="2">
        <f t="shared" si="8"/>
        <v>2.1844991528008202</v>
      </c>
      <c r="D148" s="2">
        <f t="shared" si="10"/>
        <v>1.8654298852180839</v>
      </c>
      <c r="E148" s="2">
        <f t="shared" si="11"/>
        <v>2.5035684203835564</v>
      </c>
      <c r="F148" s="2">
        <f>_xlfn.STDEV.S($C$2:C148)</f>
        <v>0.31906926758273624</v>
      </c>
      <c r="G148" s="2">
        <v>301.01482578823976</v>
      </c>
      <c r="H148" s="2">
        <v>137.7958079783636</v>
      </c>
      <c r="I148" s="2">
        <f t="shared" si="9"/>
        <v>2.1844991528008202</v>
      </c>
    </row>
    <row r="149" spans="1:9" ht="22.5" customHeight="1" x14ac:dyDescent="0.25">
      <c r="A149" s="3">
        <v>38961</v>
      </c>
      <c r="B149" s="2">
        <v>2.1741999999999999</v>
      </c>
      <c r="C149" s="2">
        <f t="shared" si="8"/>
        <v>2.1998815967558731</v>
      </c>
      <c r="D149" s="2">
        <f t="shared" si="10"/>
        <v>1.8794068028019641</v>
      </c>
      <c r="E149" s="2">
        <f t="shared" si="11"/>
        <v>2.5203563907097819</v>
      </c>
      <c r="F149" s="2">
        <f>_xlfn.STDEV.S($C$2:C149)</f>
        <v>0.32047479395390893</v>
      </c>
      <c r="G149" s="2">
        <v>301.64705058964881</v>
      </c>
      <c r="H149" s="2">
        <v>137.1196754563893</v>
      </c>
      <c r="I149" s="2">
        <f t="shared" si="9"/>
        <v>2.1998815967558731</v>
      </c>
    </row>
    <row r="150" spans="1:9" ht="22.5" customHeight="1" x14ac:dyDescent="0.25">
      <c r="A150" s="3">
        <v>38991</v>
      </c>
      <c r="B150" s="2">
        <v>2.1429999999999998</v>
      </c>
      <c r="C150" s="2">
        <f t="shared" si="8"/>
        <v>2.2169766552630881</v>
      </c>
      <c r="D150" s="2">
        <f t="shared" si="10"/>
        <v>1.8949794549561711</v>
      </c>
      <c r="E150" s="2">
        <f t="shared" si="11"/>
        <v>2.538973855570005</v>
      </c>
      <c r="F150" s="2">
        <f>_xlfn.STDEV.S($C$2:C150)</f>
        <v>0.32199720030691681</v>
      </c>
      <c r="G150" s="2">
        <v>302.64204644869301</v>
      </c>
      <c r="H150" s="2">
        <v>136.51115618661242</v>
      </c>
      <c r="I150" s="2">
        <f t="shared" si="9"/>
        <v>2.2169766552630881</v>
      </c>
    </row>
    <row r="151" spans="1:9" ht="22.5" customHeight="1" x14ac:dyDescent="0.25">
      <c r="A151" s="3">
        <v>39022</v>
      </c>
      <c r="B151" s="2">
        <v>2.1667999999999998</v>
      </c>
      <c r="C151" s="2">
        <f t="shared" si="8"/>
        <v>2.2227457949751659</v>
      </c>
      <c r="D151" s="2">
        <f t="shared" si="10"/>
        <v>1.8992285840772625</v>
      </c>
      <c r="E151" s="2">
        <f t="shared" si="11"/>
        <v>2.5462630058730693</v>
      </c>
      <c r="F151" s="2">
        <f>_xlfn.STDEV.S($C$2:C151)</f>
        <v>0.32351721089790336</v>
      </c>
      <c r="G151" s="2">
        <v>303.57988545299725</v>
      </c>
      <c r="H151" s="2">
        <v>136.57876943880984</v>
      </c>
      <c r="I151" s="2">
        <f t="shared" si="9"/>
        <v>2.2227457949751659</v>
      </c>
    </row>
    <row r="152" spans="1:9" ht="22.5" customHeight="1" x14ac:dyDescent="0.25">
      <c r="A152" s="3">
        <v>39052</v>
      </c>
      <c r="B152" s="2">
        <v>2.1379999999999999</v>
      </c>
      <c r="C152" s="2">
        <f t="shared" si="8"/>
        <v>2.2213167414138493</v>
      </c>
      <c r="D152" s="2">
        <f t="shared" si="10"/>
        <v>1.8963551882373992</v>
      </c>
      <c r="E152" s="2">
        <f t="shared" si="11"/>
        <v>2.5462782945902993</v>
      </c>
      <c r="F152" s="2">
        <f>_xlfn.STDEV.S($C$2:C152)</f>
        <v>0.32496155317644992</v>
      </c>
      <c r="G152" s="2">
        <v>305.03680201565402</v>
      </c>
      <c r="H152" s="2">
        <v>137.32251521298159</v>
      </c>
      <c r="I152" s="2">
        <f t="shared" si="9"/>
        <v>2.2213167414138493</v>
      </c>
    </row>
    <row r="153" spans="1:9" ht="22.5" customHeight="1" x14ac:dyDescent="0.25">
      <c r="A153" s="3">
        <v>39083</v>
      </c>
      <c r="B153" s="2">
        <v>2.1246999999999998</v>
      </c>
      <c r="C153" s="2">
        <f t="shared" si="8"/>
        <v>2.2273978666663452</v>
      </c>
      <c r="D153" s="2">
        <f t="shared" si="10"/>
        <v>1.9009892301317683</v>
      </c>
      <c r="E153" s="2">
        <f t="shared" si="11"/>
        <v>2.5538065032009221</v>
      </c>
      <c r="F153" s="2">
        <f>_xlfn.STDEV.S($C$2:C153)</f>
        <v>0.32640863653457686</v>
      </c>
      <c r="G153" s="2">
        <v>306.37940486883087</v>
      </c>
      <c r="H153" s="2">
        <v>137.55037187288696</v>
      </c>
      <c r="I153" s="2">
        <f t="shared" si="9"/>
        <v>2.2273978666663452</v>
      </c>
    </row>
    <row r="154" spans="1:9" ht="22.5" customHeight="1" x14ac:dyDescent="0.25">
      <c r="A154" s="3">
        <v>39114</v>
      </c>
      <c r="B154" s="2">
        <v>2.1181999999999999</v>
      </c>
      <c r="C154" s="2">
        <f t="shared" si="8"/>
        <v>2.228557947763997</v>
      </c>
      <c r="D154" s="2">
        <f t="shared" si="10"/>
        <v>1.9007485590308435</v>
      </c>
      <c r="E154" s="2">
        <f t="shared" si="11"/>
        <v>2.5563673364971504</v>
      </c>
      <c r="F154" s="2">
        <f>_xlfn.STDEV.S($C$2:C154)</f>
        <v>0.32780938873315357</v>
      </c>
      <c r="G154" s="2">
        <v>307.7278400541241</v>
      </c>
      <c r="H154" s="2">
        <v>138.08384043272466</v>
      </c>
      <c r="I154" s="2">
        <f t="shared" si="9"/>
        <v>2.228557947763997</v>
      </c>
    </row>
    <row r="155" spans="1:9" ht="22.5" customHeight="1" x14ac:dyDescent="0.25">
      <c r="A155" s="3">
        <v>39142</v>
      </c>
      <c r="B155" s="2">
        <v>2.0503999999999998</v>
      </c>
      <c r="C155" s="2">
        <f t="shared" si="8"/>
        <v>2.2252312574914135</v>
      </c>
      <c r="D155" s="2">
        <f t="shared" si="10"/>
        <v>1.8961092932419121</v>
      </c>
      <c r="E155" s="2">
        <f t="shared" si="11"/>
        <v>2.5543532217409148</v>
      </c>
      <c r="F155" s="2">
        <f>_xlfn.STDEV.S($C$2:C155)</f>
        <v>0.32912196424950135</v>
      </c>
      <c r="G155" s="2">
        <v>308.86631128322978</v>
      </c>
      <c r="H155" s="2">
        <v>138.80189317106138</v>
      </c>
      <c r="I155" s="2">
        <f t="shared" si="9"/>
        <v>2.2252312574914135</v>
      </c>
    </row>
    <row r="156" spans="1:9" ht="22.5" customHeight="1" x14ac:dyDescent="0.25">
      <c r="A156" s="3">
        <v>39173</v>
      </c>
      <c r="B156" s="2">
        <v>2.0339</v>
      </c>
      <c r="C156" s="2">
        <f t="shared" si="8"/>
        <v>2.2241207520494126</v>
      </c>
      <c r="D156" s="2">
        <f t="shared" si="10"/>
        <v>1.8937492892559913</v>
      </c>
      <c r="E156" s="2">
        <f t="shared" si="11"/>
        <v>2.554492214842834</v>
      </c>
      <c r="F156" s="2">
        <f>_xlfn.STDEV.S($C$2:C156)</f>
        <v>0.33037146279342133</v>
      </c>
      <c r="G156" s="2">
        <v>309.63851205543051</v>
      </c>
      <c r="H156" s="2">
        <v>139.21839080459753</v>
      </c>
      <c r="I156" s="2">
        <f t="shared" si="9"/>
        <v>2.2241207520494126</v>
      </c>
    </row>
    <row r="157" spans="1:9" ht="22.5" customHeight="1" x14ac:dyDescent="0.25">
      <c r="A157" s="3">
        <v>39203</v>
      </c>
      <c r="B157" s="2">
        <v>1.9289000000000001</v>
      </c>
      <c r="C157" s="2">
        <f t="shared" si="8"/>
        <v>2.2211660457213021</v>
      </c>
      <c r="D157" s="2">
        <f t="shared" si="10"/>
        <v>1.8896226941121237</v>
      </c>
      <c r="E157" s="2">
        <f t="shared" si="11"/>
        <v>2.5527093973304806</v>
      </c>
      <c r="F157" s="2">
        <f>_xlfn.STDEV.S($C$2:C157)</f>
        <v>0.33154335160917836</v>
      </c>
      <c r="G157" s="2">
        <v>310.50519660791565</v>
      </c>
      <c r="H157" s="2">
        <v>139.79377958079766</v>
      </c>
      <c r="I157" s="2">
        <f t="shared" si="9"/>
        <v>2.2211660457213021</v>
      </c>
    </row>
    <row r="158" spans="1:9" ht="22.5" customHeight="1" x14ac:dyDescent="0.25">
      <c r="A158" s="3">
        <v>39234</v>
      </c>
      <c r="B158" s="2">
        <v>1.9261999999999999</v>
      </c>
      <c r="C158" s="2">
        <f t="shared" si="8"/>
        <v>2.2222341056193162</v>
      </c>
      <c r="D158" s="2">
        <f t="shared" si="10"/>
        <v>1.8895563160614457</v>
      </c>
      <c r="E158" s="2">
        <f t="shared" si="11"/>
        <v>2.5549118951771868</v>
      </c>
      <c r="F158" s="2">
        <f>_xlfn.STDEV.S($C$2:C158)</f>
        <v>0.33267778955787064</v>
      </c>
      <c r="G158" s="2">
        <v>311.37421409324736</v>
      </c>
      <c r="H158" s="2">
        <v>140.11764705882337</v>
      </c>
      <c r="I158" s="2">
        <f t="shared" si="9"/>
        <v>2.2222341056193162</v>
      </c>
    </row>
    <row r="159" spans="1:9" ht="22.5" customHeight="1" x14ac:dyDescent="0.25">
      <c r="A159" s="3">
        <v>39264</v>
      </c>
      <c r="B159" s="2">
        <v>1.8775999999999999</v>
      </c>
      <c r="C159" s="2">
        <f t="shared" si="8"/>
        <v>2.2236110186527078</v>
      </c>
      <c r="D159" s="2">
        <f t="shared" si="10"/>
        <v>1.8898320668715398</v>
      </c>
      <c r="E159" s="2">
        <f t="shared" si="11"/>
        <v>2.5573899704338761</v>
      </c>
      <c r="F159" s="2">
        <f>_xlfn.STDEV.S($C$2:C159)</f>
        <v>0.33377895178116801</v>
      </c>
      <c r="G159" s="2">
        <v>312.12191907055956</v>
      </c>
      <c r="H159" s="2">
        <v>140.36713995943188</v>
      </c>
      <c r="I159" s="2">
        <f t="shared" si="9"/>
        <v>2.2236110186527078</v>
      </c>
    </row>
    <row r="160" spans="1:9" ht="22.5" customHeight="1" x14ac:dyDescent="0.25">
      <c r="A160" s="3">
        <v>39295</v>
      </c>
      <c r="B160" s="2">
        <v>1.962</v>
      </c>
      <c r="C160" s="2">
        <f t="shared" si="8"/>
        <v>2.2333766305483662</v>
      </c>
      <c r="D160" s="2">
        <f t="shared" si="10"/>
        <v>1.8984530724476887</v>
      </c>
      <c r="E160" s="2">
        <f t="shared" si="11"/>
        <v>2.5683001886490437</v>
      </c>
      <c r="F160" s="2">
        <f>_xlfn.STDEV.S($C$2:C160)</f>
        <v>0.33492355810067748</v>
      </c>
      <c r="G160" s="2">
        <v>313.58933383102567</v>
      </c>
      <c r="H160" s="2">
        <v>140.41041244083823</v>
      </c>
      <c r="I160" s="2">
        <f t="shared" si="9"/>
        <v>2.2333766305483662</v>
      </c>
    </row>
    <row r="161" spans="1:9" ht="22.5" customHeight="1" x14ac:dyDescent="0.25">
      <c r="A161" s="3">
        <v>39326</v>
      </c>
      <c r="B161" s="2">
        <v>1.8389</v>
      </c>
      <c r="C161" s="2">
        <f t="shared" si="8"/>
        <v>2.2279564002102696</v>
      </c>
      <c r="D161" s="2">
        <f t="shared" si="10"/>
        <v>1.8919818093813243</v>
      </c>
      <c r="E161" s="2">
        <f t="shared" si="11"/>
        <v>2.5639309910392152</v>
      </c>
      <c r="F161" s="2">
        <f>_xlfn.STDEV.S($C$2:C161)</f>
        <v>0.33597459082894532</v>
      </c>
      <c r="G161" s="2">
        <v>314.15390357988542</v>
      </c>
      <c r="H161" s="2">
        <v>141.00540906017562</v>
      </c>
      <c r="I161" s="2">
        <f t="shared" si="9"/>
        <v>2.2279564002102696</v>
      </c>
    </row>
    <row r="162" spans="1:9" ht="22.5" customHeight="1" x14ac:dyDescent="0.25">
      <c r="A162" s="3">
        <v>39356</v>
      </c>
      <c r="B162" s="2">
        <v>1.744</v>
      </c>
      <c r="C162" s="2">
        <f t="shared" si="8"/>
        <v>2.227771825122506</v>
      </c>
      <c r="D162" s="2">
        <f t="shared" si="10"/>
        <v>1.8907899987976327</v>
      </c>
      <c r="E162" s="2">
        <f t="shared" si="11"/>
        <v>2.5647536514473797</v>
      </c>
      <c r="F162" s="2">
        <f>_xlfn.STDEV.S($C$2:C162)</f>
        <v>0.33698182632487345</v>
      </c>
      <c r="G162" s="2">
        <v>315.09640844988274</v>
      </c>
      <c r="H162" s="2">
        <v>141.44016227180512</v>
      </c>
      <c r="I162" s="2">
        <f t="shared" si="9"/>
        <v>2.227771825122506</v>
      </c>
    </row>
    <row r="163" spans="1:9" ht="22.5" customHeight="1" x14ac:dyDescent="0.25">
      <c r="A163" s="3">
        <v>39387</v>
      </c>
      <c r="B163" s="2">
        <v>1.7837000000000001</v>
      </c>
      <c r="C163" s="2">
        <f t="shared" si="8"/>
        <v>2.2187960539439784</v>
      </c>
      <c r="D163" s="2">
        <f t="shared" si="10"/>
        <v>1.8809237233540788</v>
      </c>
      <c r="E163" s="2">
        <f t="shared" si="11"/>
        <v>2.5566683845338778</v>
      </c>
      <c r="F163" s="2">
        <f>_xlfn.STDEV.S($C$2:C163)</f>
        <v>0.33787233058989963</v>
      </c>
      <c r="G163" s="2">
        <v>316.29320300015161</v>
      </c>
      <c r="H163" s="2">
        <v>142.55172413793088</v>
      </c>
      <c r="I163" s="2">
        <f t="shared" si="9"/>
        <v>2.2187960539439784</v>
      </c>
    </row>
    <row r="164" spans="1:9" ht="22.5" customHeight="1" x14ac:dyDescent="0.25">
      <c r="A164" s="3">
        <v>39417</v>
      </c>
      <c r="B164" s="2">
        <v>1.7713000000000001</v>
      </c>
      <c r="C164" s="2">
        <f t="shared" si="8"/>
        <v>2.2287598729888134</v>
      </c>
      <c r="D164" s="2">
        <f t="shared" si="10"/>
        <v>1.8899504490973749</v>
      </c>
      <c r="E164" s="2">
        <f t="shared" si="11"/>
        <v>2.5675692968802517</v>
      </c>
      <c r="F164" s="2">
        <f>_xlfn.STDEV.S($C$2:C164)</f>
        <v>0.33880942389143853</v>
      </c>
      <c r="G164" s="2">
        <v>318.6343011116424</v>
      </c>
      <c r="H164" s="2">
        <v>142.96484110885717</v>
      </c>
      <c r="I164" s="2">
        <f t="shared" si="9"/>
        <v>2.2287598729888134</v>
      </c>
    </row>
    <row r="165" spans="1:9" ht="22.5" customHeight="1" x14ac:dyDescent="0.25">
      <c r="A165" s="3">
        <v>39448</v>
      </c>
      <c r="B165" s="2">
        <v>1.7603</v>
      </c>
      <c r="C165" s="2">
        <f t="shared" si="8"/>
        <v>2.233095511269668</v>
      </c>
      <c r="D165" s="2">
        <f t="shared" si="10"/>
        <v>1.8933506140000955</v>
      </c>
      <c r="E165" s="2">
        <f t="shared" si="11"/>
        <v>2.5728404085392405</v>
      </c>
      <c r="F165" s="2">
        <f>_xlfn.STDEV.S($C$2:C165)</f>
        <v>0.33974489726957247</v>
      </c>
      <c r="G165" s="2">
        <v>320.35483908595677</v>
      </c>
      <c r="H165" s="2">
        <v>143.45774171737645</v>
      </c>
      <c r="I165" s="2">
        <f t="shared" si="9"/>
        <v>2.233095511269668</v>
      </c>
    </row>
    <row r="166" spans="1:9" ht="22.5" customHeight="1" x14ac:dyDescent="0.25">
      <c r="A166" s="3">
        <v>39479</v>
      </c>
      <c r="B166" s="2">
        <v>1.6833</v>
      </c>
      <c r="C166" s="2">
        <f t="shared" si="8"/>
        <v>2.2386273320738015</v>
      </c>
      <c r="D166" s="2">
        <f t="shared" si="10"/>
        <v>1.8979384599100149</v>
      </c>
      <c r="E166" s="2">
        <f t="shared" si="11"/>
        <v>2.5793162042375881</v>
      </c>
      <c r="F166" s="2">
        <f>_xlfn.STDEV.S($C$2:C166)</f>
        <v>0.34068887216378657</v>
      </c>
      <c r="G166" s="2">
        <v>321.92490289167011</v>
      </c>
      <c r="H166" s="2">
        <v>143.80459770114928</v>
      </c>
      <c r="I166" s="2">
        <f t="shared" si="9"/>
        <v>2.2386273320738015</v>
      </c>
    </row>
    <row r="167" spans="1:9" ht="22.5" customHeight="1" x14ac:dyDescent="0.25">
      <c r="A167" s="3">
        <v>39508</v>
      </c>
      <c r="B167" s="2">
        <v>1.7491000000000001</v>
      </c>
      <c r="C167" s="2">
        <f t="shared" si="8"/>
        <v>2.2413553955286085</v>
      </c>
      <c r="D167" s="2">
        <f t="shared" si="10"/>
        <v>1.8997375453338197</v>
      </c>
      <c r="E167" s="2">
        <f t="shared" si="11"/>
        <v>2.5829732457233976</v>
      </c>
      <c r="F167" s="2">
        <f>_xlfn.STDEV.S($C$2:C167)</f>
        <v>0.34161785019478891</v>
      </c>
      <c r="G167" s="2">
        <v>323.47047090249492</v>
      </c>
      <c r="H167" s="2">
        <v>144.31913455037173</v>
      </c>
      <c r="I167" s="2">
        <f t="shared" si="9"/>
        <v>2.2413553955286085</v>
      </c>
    </row>
    <row r="168" spans="1:9" ht="22.5" customHeight="1" x14ac:dyDescent="0.25">
      <c r="A168" s="3">
        <v>39539</v>
      </c>
      <c r="B168" s="2">
        <v>1.6872</v>
      </c>
      <c r="C168" s="2">
        <f t="shared" si="8"/>
        <v>2.2484774486580563</v>
      </c>
      <c r="D168" s="2">
        <f t="shared" si="10"/>
        <v>1.9059087745280459</v>
      </c>
      <c r="E168" s="2">
        <f t="shared" si="11"/>
        <v>2.5910461227880668</v>
      </c>
      <c r="F168" s="2">
        <f>_xlfn.STDEV.S($C$2:C168)</f>
        <v>0.34256867413001041</v>
      </c>
      <c r="G168" s="2">
        <v>325.24933219797254</v>
      </c>
      <c r="H168" s="2">
        <v>144.65314401622703</v>
      </c>
      <c r="I168" s="2">
        <f t="shared" si="9"/>
        <v>2.2484774486580563</v>
      </c>
    </row>
    <row r="169" spans="1:9" ht="22.5" customHeight="1" x14ac:dyDescent="0.25">
      <c r="A169" s="3">
        <v>39569</v>
      </c>
      <c r="B169" s="2">
        <v>1.6294</v>
      </c>
      <c r="C169" s="2">
        <f t="shared" si="8"/>
        <v>2.2529106091796698</v>
      </c>
      <c r="D169" s="2">
        <f t="shared" si="10"/>
        <v>1.9093919231400229</v>
      </c>
      <c r="E169" s="2">
        <f t="shared" si="11"/>
        <v>2.5964292952193166</v>
      </c>
      <c r="F169" s="2">
        <f>_xlfn.STDEV.S($C$2:C169)</f>
        <v>0.34351868603964686</v>
      </c>
      <c r="G169" s="2">
        <v>327.81905772842316</v>
      </c>
      <c r="H169" s="2">
        <v>145.50912778904649</v>
      </c>
      <c r="I169" s="2">
        <f t="shared" si="9"/>
        <v>2.2529106091796698</v>
      </c>
    </row>
    <row r="170" spans="1:9" ht="22.5" customHeight="1" x14ac:dyDescent="0.25">
      <c r="A170" s="3">
        <v>39600</v>
      </c>
      <c r="B170" s="2">
        <v>1.5919000000000001</v>
      </c>
      <c r="C170" s="2">
        <f t="shared" si="8"/>
        <v>2.2460501803412716</v>
      </c>
      <c r="D170" s="2">
        <f t="shared" si="10"/>
        <v>1.9016739835772003</v>
      </c>
      <c r="E170" s="2">
        <f t="shared" si="11"/>
        <v>2.5904263771053428</v>
      </c>
      <c r="F170" s="2">
        <f>_xlfn.STDEV.S($C$2:C170)</f>
        <v>0.34437619676407127</v>
      </c>
      <c r="G170" s="2">
        <v>330.24530788881225</v>
      </c>
      <c r="H170" s="2">
        <v>147.03380662609854</v>
      </c>
      <c r="I170" s="2">
        <f t="shared" si="9"/>
        <v>2.2460501803412716</v>
      </c>
    </row>
    <row r="171" spans="1:9" ht="22.5" customHeight="1" x14ac:dyDescent="0.25">
      <c r="A171" s="3">
        <v>39630</v>
      </c>
      <c r="B171" s="2">
        <v>1.5666</v>
      </c>
      <c r="C171" s="2">
        <f t="shared" si="8"/>
        <v>2.2419394753240178</v>
      </c>
      <c r="D171" s="2">
        <f t="shared" si="10"/>
        <v>1.8967722978391495</v>
      </c>
      <c r="E171" s="2">
        <f t="shared" si="11"/>
        <v>2.5871066528088864</v>
      </c>
      <c r="F171" s="2">
        <f>_xlfn.STDEV.S($C$2:C171)</f>
        <v>0.34516717748486836</v>
      </c>
      <c r="G171" s="2">
        <v>331.99500752370824</v>
      </c>
      <c r="H171" s="2">
        <v>148.08384043272463</v>
      </c>
      <c r="I171" s="2">
        <f t="shared" si="9"/>
        <v>2.2419394753240178</v>
      </c>
    </row>
    <row r="172" spans="1:9" ht="22.5" customHeight="1" x14ac:dyDescent="0.25">
      <c r="A172" s="3">
        <v>39661</v>
      </c>
      <c r="B172" s="2">
        <v>1.6344000000000001</v>
      </c>
      <c r="C172" s="2">
        <f t="shared" si="8"/>
        <v>2.251568903873296</v>
      </c>
      <c r="D172" s="2">
        <f t="shared" si="10"/>
        <v>1.9055674961790769</v>
      </c>
      <c r="E172" s="2">
        <f t="shared" si="11"/>
        <v>2.5975703115675151</v>
      </c>
      <c r="F172" s="2">
        <f>_xlfn.STDEV.S($C$2:C172)</f>
        <v>0.34600140769421911</v>
      </c>
      <c r="G172" s="2">
        <v>332.92468126304971</v>
      </c>
      <c r="H172" s="2">
        <v>147.86342123056102</v>
      </c>
      <c r="I172" s="2">
        <f t="shared" si="9"/>
        <v>2.251568903873296</v>
      </c>
    </row>
    <row r="173" spans="1:9" ht="22.5" customHeight="1" x14ac:dyDescent="0.25">
      <c r="A173" s="3">
        <v>39692</v>
      </c>
      <c r="B173" s="2">
        <v>1.9142999999999999</v>
      </c>
      <c r="C173" s="2">
        <f t="shared" si="8"/>
        <v>2.2554937468867746</v>
      </c>
      <c r="D173" s="2">
        <f t="shared" si="10"/>
        <v>1.9086604268046619</v>
      </c>
      <c r="E173" s="2">
        <f t="shared" si="11"/>
        <v>2.6023270669688872</v>
      </c>
      <c r="F173" s="2">
        <f>_xlfn.STDEV.S($C$2:C173)</f>
        <v>0.34683332008211276</v>
      </c>
      <c r="G173" s="2">
        <v>333.79019934911162</v>
      </c>
      <c r="H173" s="2">
        <v>147.98985801217023</v>
      </c>
      <c r="I173" s="2">
        <f t="shared" si="9"/>
        <v>2.2554937468867746</v>
      </c>
    </row>
    <row r="174" spans="1:9" ht="22.5" customHeight="1" x14ac:dyDescent="0.25">
      <c r="A174" s="3">
        <v>39722</v>
      </c>
      <c r="B174" s="2">
        <v>2.1153</v>
      </c>
      <c r="C174" s="2">
        <f t="shared" si="8"/>
        <v>2.2852958242506332</v>
      </c>
      <c r="D174" s="2">
        <f t="shared" si="10"/>
        <v>1.9374251757625041</v>
      </c>
      <c r="E174" s="2">
        <f t="shared" si="11"/>
        <v>2.633166472738762</v>
      </c>
      <c r="F174" s="2">
        <f>_xlfn.STDEV.S($C$2:C174)</f>
        <v>0.34787064848812904</v>
      </c>
      <c r="G174" s="2">
        <v>335.29260810227561</v>
      </c>
      <c r="H174" s="2">
        <v>146.71737660581459</v>
      </c>
      <c r="I174" s="2">
        <f t="shared" si="9"/>
        <v>2.2852958242506332</v>
      </c>
    </row>
    <row r="175" spans="1:9" ht="22.5" customHeight="1" x14ac:dyDescent="0.25">
      <c r="A175" s="3">
        <v>39753</v>
      </c>
      <c r="B175" s="2">
        <v>2.3331</v>
      </c>
      <c r="C175" s="2">
        <f t="shared" si="8"/>
        <v>2.3348644089347745</v>
      </c>
      <c r="D175" s="2">
        <f t="shared" si="10"/>
        <v>1.9855723404849899</v>
      </c>
      <c r="E175" s="2">
        <f t="shared" si="11"/>
        <v>2.6841564773845592</v>
      </c>
      <c r="F175" s="2">
        <f>_xlfn.STDEV.S($C$2:C175)</f>
        <v>0.34929206844978472</v>
      </c>
      <c r="G175" s="2">
        <v>336.49990085035392</v>
      </c>
      <c r="H175" s="2">
        <v>144.1196754563893</v>
      </c>
      <c r="I175" s="2">
        <f t="shared" si="9"/>
        <v>2.3348644089347745</v>
      </c>
    </row>
    <row r="176" spans="1:9" ht="22.5" customHeight="1" x14ac:dyDescent="0.25">
      <c r="A176" s="3">
        <v>39783</v>
      </c>
      <c r="B176" s="2">
        <v>2.3370000000000002</v>
      </c>
      <c r="C176" s="2">
        <f t="shared" si="8"/>
        <v>2.3608421936839514</v>
      </c>
      <c r="D176" s="2">
        <f t="shared" si="10"/>
        <v>2.0099444037100742</v>
      </c>
      <c r="E176" s="2">
        <f t="shared" si="11"/>
        <v>2.7117399836578286</v>
      </c>
      <c r="F176" s="2">
        <f>_xlfn.STDEV.S($C$2:C176)</f>
        <v>0.35089778997387716</v>
      </c>
      <c r="G176" s="2">
        <v>337.44240572035125</v>
      </c>
      <c r="H176" s="2">
        <v>142.9330628803244</v>
      </c>
      <c r="I176" s="2">
        <f t="shared" si="9"/>
        <v>2.3608421936839514</v>
      </c>
    </row>
    <row r="177" spans="1:9" ht="22.5" customHeight="1" x14ac:dyDescent="0.25">
      <c r="A177" s="3">
        <v>39814</v>
      </c>
      <c r="B177" s="2">
        <v>2.3161999999999998</v>
      </c>
      <c r="C177" s="2">
        <f t="shared" si="8"/>
        <v>2.3661812978173775</v>
      </c>
      <c r="D177" s="2">
        <f t="shared" si="10"/>
        <v>2.0136839898008381</v>
      </c>
      <c r="E177" s="2">
        <f t="shared" si="11"/>
        <v>2.718678605833917</v>
      </c>
      <c r="F177" s="2">
        <f>_xlfn.STDEV.S($C$2:C177)</f>
        <v>0.35249730801653928</v>
      </c>
      <c r="G177" s="2">
        <v>339.06146111584167</v>
      </c>
      <c r="H177" s="2">
        <v>143.29479377958066</v>
      </c>
      <c r="I177" s="2">
        <f t="shared" si="9"/>
        <v>2.3661812978173775</v>
      </c>
    </row>
    <row r="178" spans="1:9" ht="22.5" customHeight="1" x14ac:dyDescent="0.25">
      <c r="A178" s="3">
        <v>39845</v>
      </c>
      <c r="B178" s="2">
        <v>2.3784000000000001</v>
      </c>
      <c r="C178" s="2">
        <f t="shared" si="8"/>
        <v>2.3705625252368407</v>
      </c>
      <c r="D178" s="2">
        <f t="shared" si="10"/>
        <v>2.0164804040199762</v>
      </c>
      <c r="E178" s="2">
        <f t="shared" si="11"/>
        <v>2.7246446464537053</v>
      </c>
      <c r="F178" s="2">
        <f>_xlfn.STDEV.S($C$2:C178)</f>
        <v>0.35408212121686472</v>
      </c>
      <c r="G178" s="2">
        <v>340.92664092664086</v>
      </c>
      <c r="H178" s="2">
        <v>143.81676808654484</v>
      </c>
      <c r="I178" s="2">
        <f t="shared" si="9"/>
        <v>2.3705625252368407</v>
      </c>
    </row>
    <row r="179" spans="1:9" ht="22.5" customHeight="1" x14ac:dyDescent="0.25">
      <c r="A179" s="3">
        <v>39873</v>
      </c>
      <c r="B179" s="2">
        <v>2.3151999999999999</v>
      </c>
      <c r="C179" s="2">
        <f t="shared" si="8"/>
        <v>2.377646631558703</v>
      </c>
      <c r="D179" s="2">
        <f t="shared" si="10"/>
        <v>2.0219695752199374</v>
      </c>
      <c r="E179" s="2">
        <f t="shared" si="11"/>
        <v>2.7333236878974687</v>
      </c>
      <c r="F179" s="2">
        <f>_xlfn.STDEV.S($C$2:C179)</f>
        <v>0.35567705633876551</v>
      </c>
      <c r="G179" s="2">
        <v>341.60785731782704</v>
      </c>
      <c r="H179" s="2">
        <v>143.67478025693023</v>
      </c>
      <c r="I179" s="2">
        <f t="shared" si="9"/>
        <v>2.377646631558703</v>
      </c>
    </row>
    <row r="180" spans="1:9" ht="22.5" customHeight="1" x14ac:dyDescent="0.25">
      <c r="A180" s="3">
        <v>39904</v>
      </c>
      <c r="B180" s="2">
        <v>2.1783000000000001</v>
      </c>
      <c r="C180" s="2">
        <f t="shared" si="8"/>
        <v>2.3866580989620427</v>
      </c>
      <c r="D180" s="2">
        <f t="shared" si="10"/>
        <v>2.0293588131139275</v>
      </c>
      <c r="E180" s="2">
        <f t="shared" si="11"/>
        <v>2.7439573848101579</v>
      </c>
      <c r="F180" s="2">
        <f>_xlfn.STDEV.S($C$2:C180)</f>
        <v>0.35729928584811527</v>
      </c>
      <c r="G180" s="2">
        <v>343.24790910893626</v>
      </c>
      <c r="H180" s="2">
        <v>143.81947261663274</v>
      </c>
      <c r="I180" s="2">
        <f t="shared" si="9"/>
        <v>2.3866580989620427</v>
      </c>
    </row>
    <row r="181" spans="1:9" ht="22.5" customHeight="1" x14ac:dyDescent="0.25">
      <c r="A181" s="3">
        <v>39934</v>
      </c>
      <c r="B181" s="2">
        <v>1.9730000000000001</v>
      </c>
      <c r="C181" s="2">
        <f t="shared" si="8"/>
        <v>2.3943518250830782</v>
      </c>
      <c r="D181" s="2">
        <f t="shared" si="10"/>
        <v>2.0354154634972117</v>
      </c>
      <c r="E181" s="2">
        <f t="shared" si="11"/>
        <v>2.7532881866689447</v>
      </c>
      <c r="F181" s="2">
        <f>_xlfn.STDEV.S($C$2:C181)</f>
        <v>0.3589363615858665</v>
      </c>
      <c r="G181" s="2">
        <v>344.86113217231036</v>
      </c>
      <c r="H181" s="2">
        <v>144.0311020960107</v>
      </c>
      <c r="I181" s="2">
        <f t="shared" si="9"/>
        <v>2.3943518250830782</v>
      </c>
    </row>
    <row r="182" spans="1:9" ht="22.5" customHeight="1" x14ac:dyDescent="0.25">
      <c r="A182" s="3">
        <v>39965</v>
      </c>
      <c r="B182" s="2">
        <v>1.9516</v>
      </c>
      <c r="C182" s="2">
        <f t="shared" si="8"/>
        <v>2.3831893075497712</v>
      </c>
      <c r="D182" s="2">
        <f t="shared" si="10"/>
        <v>2.0227682736408106</v>
      </c>
      <c r="E182" s="2">
        <f t="shared" si="11"/>
        <v>2.7436103414587318</v>
      </c>
      <c r="F182" s="2">
        <f>_xlfn.STDEV.S($C$2:C182)</f>
        <v>0.3604210339089608</v>
      </c>
      <c r="G182" s="2">
        <v>346.10225244666327</v>
      </c>
      <c r="H182" s="2">
        <v>145.22650439486128</v>
      </c>
      <c r="I182" s="2">
        <f t="shared" si="9"/>
        <v>2.3831893075497712</v>
      </c>
    </row>
    <row r="183" spans="1:9" ht="22.5" customHeight="1" x14ac:dyDescent="0.25">
      <c r="A183" s="3">
        <v>39995</v>
      </c>
      <c r="B183" s="2">
        <v>1.8726</v>
      </c>
      <c r="C183" s="2">
        <f t="shared" si="8"/>
        <v>2.3896201508094066</v>
      </c>
      <c r="D183" s="2">
        <f t="shared" si="10"/>
        <v>2.0277082873858525</v>
      </c>
      <c r="E183" s="2">
        <f t="shared" si="11"/>
        <v>2.7515320142329607</v>
      </c>
      <c r="F183" s="2">
        <f>_xlfn.STDEV.S($C$2:C183)</f>
        <v>0.36191186342355408</v>
      </c>
      <c r="G183" s="2">
        <v>346.93277654002725</v>
      </c>
      <c r="H183" s="2">
        <v>145.18323191345493</v>
      </c>
      <c r="I183" s="2">
        <f t="shared" si="9"/>
        <v>2.3896201508094066</v>
      </c>
    </row>
    <row r="184" spans="1:9" ht="22.5" customHeight="1" x14ac:dyDescent="0.25">
      <c r="A184" s="3">
        <v>40026</v>
      </c>
      <c r="B184" s="2">
        <v>1.8864000000000001</v>
      </c>
      <c r="C184" s="2">
        <f t="shared" si="8"/>
        <v>2.3852167254535677</v>
      </c>
      <c r="D184" s="2">
        <f t="shared" si="10"/>
        <v>2.0219007652366856</v>
      </c>
      <c r="E184" s="2">
        <f t="shared" si="11"/>
        <v>2.7485326856704497</v>
      </c>
      <c r="F184" s="2">
        <f>_xlfn.STDEV.S($C$2:C184)</f>
        <v>0.36331596021688212</v>
      </c>
      <c r="G184" s="2">
        <v>347.45302056480296</v>
      </c>
      <c r="H184" s="2">
        <v>145.66937119675447</v>
      </c>
      <c r="I184" s="2">
        <f t="shared" si="9"/>
        <v>2.3852167254535677</v>
      </c>
    </row>
    <row r="185" spans="1:9" ht="22.5" customHeight="1" x14ac:dyDescent="0.25">
      <c r="A185" s="3">
        <v>40057</v>
      </c>
      <c r="B185" s="2">
        <v>1.7781</v>
      </c>
      <c r="C185" s="2">
        <f t="shared" si="8"/>
        <v>2.3863344381845226</v>
      </c>
      <c r="D185" s="2">
        <f t="shared" si="10"/>
        <v>2.02165145066486</v>
      </c>
      <c r="E185" s="2">
        <f t="shared" si="11"/>
        <v>2.7510174257041853</v>
      </c>
      <c r="F185" s="2">
        <f>_xlfn.STDEV.S($C$2:C185)</f>
        <v>0.3646829875196626</v>
      </c>
      <c r="G185" s="2">
        <v>348.28704405743673</v>
      </c>
      <c r="H185" s="2">
        <v>145.95064232589579</v>
      </c>
      <c r="I185" s="2">
        <f t="shared" si="9"/>
        <v>2.3863344381845226</v>
      </c>
    </row>
    <row r="186" spans="1:9" ht="22.5" customHeight="1" x14ac:dyDescent="0.25">
      <c r="A186" s="3">
        <v>40087</v>
      </c>
      <c r="B186" s="2">
        <v>1.744</v>
      </c>
      <c r="C186" s="2">
        <f t="shared" si="8"/>
        <v>2.3858537454387374</v>
      </c>
      <c r="D186" s="2">
        <f t="shared" si="10"/>
        <v>2.0198527901928647</v>
      </c>
      <c r="E186" s="2">
        <f t="shared" si="11"/>
        <v>2.7518547006846101</v>
      </c>
      <c r="F186" s="2">
        <f>_xlfn.STDEV.S($C$2:C186)</f>
        <v>0.36600095524587284</v>
      </c>
      <c r="G186" s="2">
        <v>349.26220998728547</v>
      </c>
      <c r="H186" s="2">
        <v>146.38877620013511</v>
      </c>
      <c r="I186" s="2">
        <f t="shared" si="9"/>
        <v>2.3858537454387374</v>
      </c>
    </row>
    <row r="187" spans="1:9" ht="22.5" customHeight="1" x14ac:dyDescent="0.25">
      <c r="A187" s="3">
        <v>40118</v>
      </c>
      <c r="B187" s="2">
        <v>1.7504999999999999</v>
      </c>
      <c r="C187" s="2">
        <f t="shared" si="8"/>
        <v>2.3876435497515343</v>
      </c>
      <c r="D187" s="2">
        <f t="shared" si="10"/>
        <v>2.0203534956414222</v>
      </c>
      <c r="E187" s="2">
        <f t="shared" si="11"/>
        <v>2.7549336038616463</v>
      </c>
      <c r="F187" s="2">
        <f>_xlfn.STDEV.S($C$2:C187)</f>
        <v>0.36729005411011217</v>
      </c>
      <c r="G187" s="2">
        <v>350.69463075505371</v>
      </c>
      <c r="H187" s="2">
        <v>146.87897227856649</v>
      </c>
      <c r="I187" s="2">
        <f t="shared" si="9"/>
        <v>2.3876435497515343</v>
      </c>
    </row>
    <row r="188" spans="1:9" ht="22.5" customHeight="1" x14ac:dyDescent="0.25">
      <c r="A188" s="3">
        <v>40148</v>
      </c>
      <c r="B188" s="2">
        <v>1.7412000000000001</v>
      </c>
      <c r="C188" s="2">
        <f t="shared" si="8"/>
        <v>2.3952287611828695</v>
      </c>
      <c r="D188" s="2">
        <f t="shared" si="10"/>
        <v>2.0266305846145158</v>
      </c>
      <c r="E188" s="2">
        <f t="shared" si="11"/>
        <v>2.7638269377512232</v>
      </c>
      <c r="F188" s="2">
        <f>_xlfn.STDEV.S($C$2:C188)</f>
        <v>0.36859817656835375</v>
      </c>
      <c r="G188" s="2">
        <v>351.99174141772329</v>
      </c>
      <c r="H188" s="2">
        <v>146.95537525354959</v>
      </c>
      <c r="I188" s="2">
        <f t="shared" si="9"/>
        <v>2.3952287611828695</v>
      </c>
    </row>
    <row r="189" spans="1:9" ht="22.5" customHeight="1" x14ac:dyDescent="0.25">
      <c r="A189" s="3">
        <v>40179</v>
      </c>
      <c r="B189" s="2">
        <v>1.8748</v>
      </c>
      <c r="C189" s="2">
        <f t="shared" si="8"/>
        <v>2.4116269488282107</v>
      </c>
      <c r="D189" s="2">
        <f t="shared" si="10"/>
        <v>2.0416296429350425</v>
      </c>
      <c r="E189" s="2">
        <f t="shared" si="11"/>
        <v>2.781624254721379</v>
      </c>
      <c r="F189" s="2">
        <f>_xlfn.STDEV.S($C$2:C189)</f>
        <v>0.36999730589316832</v>
      </c>
      <c r="G189" s="2">
        <v>354.63145493356967</v>
      </c>
      <c r="H189" s="2">
        <v>147.05070993914796</v>
      </c>
      <c r="I189" s="2">
        <f t="shared" si="9"/>
        <v>2.4116269488282107</v>
      </c>
    </row>
    <row r="190" spans="1:9" ht="22.5" customHeight="1" x14ac:dyDescent="0.25">
      <c r="A190" s="3">
        <v>40210</v>
      </c>
      <c r="B190" s="2">
        <v>1.8109999999999999</v>
      </c>
      <c r="C190" s="2">
        <f t="shared" si="8"/>
        <v>2.4327501261104634</v>
      </c>
      <c r="D190" s="2">
        <f t="shared" si="10"/>
        <v>2.0612233702736518</v>
      </c>
      <c r="E190" s="2">
        <f t="shared" si="11"/>
        <v>2.804276881947275</v>
      </c>
      <c r="F190" s="2">
        <f>_xlfn.STDEV.S($C$2:C190)</f>
        <v>0.37152675583681138</v>
      </c>
      <c r="G190" s="2">
        <v>357.39714682312865</v>
      </c>
      <c r="H190" s="2">
        <v>146.91075050709929</v>
      </c>
      <c r="I190" s="2">
        <f t="shared" si="9"/>
        <v>2.4327501261104634</v>
      </c>
    </row>
    <row r="191" spans="1:9" ht="22.5" customHeight="1" x14ac:dyDescent="0.25">
      <c r="A191" s="3">
        <v>40238</v>
      </c>
      <c r="B191" s="2">
        <v>1.7809999999999999</v>
      </c>
      <c r="C191" s="2">
        <f t="shared" si="8"/>
        <v>2.4445884338773309</v>
      </c>
      <c r="D191" s="2">
        <f t="shared" si="10"/>
        <v>2.0714811702751801</v>
      </c>
      <c r="E191" s="2">
        <f t="shared" si="11"/>
        <v>2.8176956974794818</v>
      </c>
      <c r="F191" s="2">
        <f>_xlfn.STDEV.S($C$2:C191)</f>
        <v>0.37310726360215102</v>
      </c>
      <c r="G191" s="2">
        <v>359.25532783538824</v>
      </c>
      <c r="H191" s="2">
        <v>146.95943204868146</v>
      </c>
      <c r="I191" s="2">
        <f t="shared" si="9"/>
        <v>2.4445884338773309</v>
      </c>
    </row>
    <row r="192" spans="1:9" ht="22.5" customHeight="1" x14ac:dyDescent="0.25">
      <c r="A192" s="3">
        <v>40269</v>
      </c>
      <c r="B192" s="2">
        <v>1.7305999999999999</v>
      </c>
      <c r="C192" s="2">
        <f t="shared" si="8"/>
        <v>2.457960965633375</v>
      </c>
      <c r="D192" s="2">
        <f t="shared" si="10"/>
        <v>2.0832097671989596</v>
      </c>
      <c r="E192" s="2">
        <f t="shared" si="11"/>
        <v>2.8327121640677904</v>
      </c>
      <c r="F192" s="2">
        <f>_xlfn.STDEV.S($C$2:C192)</f>
        <v>0.37475119843441557</v>
      </c>
      <c r="G192" s="2">
        <v>361.30364287463982</v>
      </c>
      <c r="H192" s="2">
        <v>146.99323867478017</v>
      </c>
      <c r="I192" s="2">
        <f t="shared" si="9"/>
        <v>2.457960965633375</v>
      </c>
    </row>
    <row r="193" spans="1:9" ht="22.5" customHeight="1" x14ac:dyDescent="0.25">
      <c r="A193" s="3">
        <v>40299</v>
      </c>
      <c r="B193" s="2">
        <v>1.8167</v>
      </c>
      <c r="C193" s="2">
        <f t="shared" si="8"/>
        <v>2.4698148066016961</v>
      </c>
      <c r="D193" s="2">
        <f t="shared" si="10"/>
        <v>2.0933701062112933</v>
      </c>
      <c r="E193" s="2">
        <f t="shared" si="11"/>
        <v>2.8462595069920988</v>
      </c>
      <c r="F193" s="2">
        <f>_xlfn.STDEV.S($C$2:C193)</f>
        <v>0.37644470039040284</v>
      </c>
      <c r="G193" s="2">
        <v>362.85737615042746</v>
      </c>
      <c r="H193" s="2">
        <v>146.91683569979708</v>
      </c>
      <c r="I193" s="2">
        <f t="shared" si="9"/>
        <v>2.4698148066016961</v>
      </c>
    </row>
    <row r="194" spans="1:9" ht="22.5" customHeight="1" x14ac:dyDescent="0.25">
      <c r="A194" s="3">
        <v>40330</v>
      </c>
      <c r="B194" s="2">
        <v>1.8015000000000001</v>
      </c>
      <c r="C194" s="2">
        <f t="shared" ref="C194:C257" si="12">$B$2*I194</f>
        <v>2.4708495864459894</v>
      </c>
      <c r="D194" s="2">
        <f t="shared" si="10"/>
        <v>2.0927550921501359</v>
      </c>
      <c r="E194" s="2">
        <f t="shared" si="11"/>
        <v>2.8489440807418429</v>
      </c>
      <c r="F194" s="2">
        <f>_xlfn.STDEV.S($C$2:C194)</f>
        <v>0.37809449429585346</v>
      </c>
      <c r="G194" s="2">
        <v>362.85737615042746</v>
      </c>
      <c r="H194" s="2">
        <v>146.85530764029744</v>
      </c>
      <c r="I194" s="2">
        <f t="shared" si="9"/>
        <v>2.4708495864459894</v>
      </c>
    </row>
    <row r="195" spans="1:9" ht="22.5" customHeight="1" x14ac:dyDescent="0.25">
      <c r="A195" s="3">
        <v>40360</v>
      </c>
      <c r="B195" s="2">
        <v>1.7572000000000001</v>
      </c>
      <c r="C195" s="2">
        <f t="shared" si="12"/>
        <v>2.4664853318881592</v>
      </c>
      <c r="D195" s="2">
        <f t="shared" si="10"/>
        <v>2.0868283112235382</v>
      </c>
      <c r="E195" s="2">
        <f t="shared" si="11"/>
        <v>2.8461423525527803</v>
      </c>
      <c r="F195" s="2">
        <f>_xlfn.STDEV.S($C$2:C195)</f>
        <v>0.37965702066462093</v>
      </c>
      <c r="G195" s="2">
        <v>362.89353660954873</v>
      </c>
      <c r="H195" s="2">
        <v>147.12981744421899</v>
      </c>
      <c r="I195" s="2">
        <f t="shared" ref="I195:I258" si="13">G195/H195</f>
        <v>2.4664853318881592</v>
      </c>
    </row>
    <row r="196" spans="1:9" ht="22.5" customHeight="1" x14ac:dyDescent="0.25">
      <c r="A196" s="3">
        <v>40391</v>
      </c>
      <c r="B196" s="2">
        <v>1.756</v>
      </c>
      <c r="C196" s="2">
        <f t="shared" si="12"/>
        <v>2.4638678153369939</v>
      </c>
      <c r="D196" s="2">
        <f t="shared" ref="D196:D259" si="14">C196-F196</f>
        <v>2.0827178055457058</v>
      </c>
      <c r="E196" s="2">
        <f t="shared" ref="E196:E259" si="15">C196+F196</f>
        <v>2.8450178251282821</v>
      </c>
      <c r="F196" s="2">
        <f>_xlfn.STDEV.S($C$2:C196)</f>
        <v>0.38115000979128821</v>
      </c>
      <c r="G196" s="2">
        <v>363.03817844603344</v>
      </c>
      <c r="H196" s="2">
        <v>147.34482758620683</v>
      </c>
      <c r="I196" s="2">
        <f t="shared" si="13"/>
        <v>2.4638678153369939</v>
      </c>
    </row>
    <row r="197" spans="1:9" ht="22.5" customHeight="1" x14ac:dyDescent="0.25">
      <c r="A197" s="3">
        <v>40422</v>
      </c>
      <c r="B197" s="2">
        <v>1.6941999999999999</v>
      </c>
      <c r="C197" s="2">
        <f t="shared" si="12"/>
        <v>2.470959804364651</v>
      </c>
      <c r="D197" s="2">
        <f t="shared" si="14"/>
        <v>2.0883054981017821</v>
      </c>
      <c r="E197" s="2">
        <f t="shared" si="15"/>
        <v>2.8536141106275199</v>
      </c>
      <c r="F197" s="2">
        <f>_xlfn.STDEV.S($C$2:C197)</f>
        <v>0.382654306262869</v>
      </c>
      <c r="G197" s="2">
        <v>364.67123143860306</v>
      </c>
      <c r="H197" s="2">
        <v>147.58282623394177</v>
      </c>
      <c r="I197" s="2">
        <f t="shared" si="13"/>
        <v>2.470959804364651</v>
      </c>
    </row>
    <row r="198" spans="1:9" ht="22.5" customHeight="1" x14ac:dyDescent="0.25">
      <c r="A198" s="3">
        <v>40452</v>
      </c>
      <c r="B198" s="2">
        <v>1.7014</v>
      </c>
      <c r="C198" s="2">
        <f t="shared" si="12"/>
        <v>2.4808562754925547</v>
      </c>
      <c r="D198" s="2">
        <f t="shared" si="14"/>
        <v>2.0966638081963294</v>
      </c>
      <c r="E198" s="2">
        <f t="shared" si="15"/>
        <v>2.8650487427887801</v>
      </c>
      <c r="F198" s="2">
        <f>_xlfn.STDEV.S($C$2:C198)</f>
        <v>0.38419246729622536</v>
      </c>
      <c r="G198" s="2">
        <v>367.40659520115713</v>
      </c>
      <c r="H198" s="2">
        <v>148.09668695064224</v>
      </c>
      <c r="I198" s="2">
        <f t="shared" si="13"/>
        <v>2.4808562754925547</v>
      </c>
    </row>
    <row r="199" spans="1:9" ht="22.5" customHeight="1" x14ac:dyDescent="0.25">
      <c r="A199" s="3">
        <v>40483</v>
      </c>
      <c r="B199" s="2">
        <v>1.7161</v>
      </c>
      <c r="C199" s="2">
        <f t="shared" si="12"/>
        <v>2.4951228978564202</v>
      </c>
      <c r="D199" s="2">
        <f t="shared" si="14"/>
        <v>2.109323200900016</v>
      </c>
      <c r="E199" s="2">
        <f t="shared" si="15"/>
        <v>2.8809225948128243</v>
      </c>
      <c r="F199" s="2">
        <f>_xlfn.STDEV.S($C$2:C199)</f>
        <v>0.3857996969564042</v>
      </c>
      <c r="G199" s="2">
        <v>370.45573843156927</v>
      </c>
      <c r="H199" s="2">
        <v>148.47194050033798</v>
      </c>
      <c r="I199" s="2">
        <f t="shared" si="13"/>
        <v>2.4951228978564202</v>
      </c>
    </row>
    <row r="200" spans="1:9" ht="22.5" customHeight="1" x14ac:dyDescent="0.25">
      <c r="A200" s="3">
        <v>40513</v>
      </c>
      <c r="B200" s="2">
        <v>1.6661999999999999</v>
      </c>
      <c r="C200" s="2">
        <f t="shared" si="12"/>
        <v>2.5007990584933513</v>
      </c>
      <c r="D200" s="2">
        <f t="shared" si="14"/>
        <v>2.1133944197283827</v>
      </c>
      <c r="E200" s="2">
        <f t="shared" si="15"/>
        <v>2.8882036972583198</v>
      </c>
      <c r="F200" s="2">
        <f>_xlfn.STDEV.S($C$2:C200)</f>
        <v>0.38740463876496861</v>
      </c>
      <c r="G200" s="2">
        <v>372.78983774452053</v>
      </c>
      <c r="H200" s="2">
        <v>149.06828938471932</v>
      </c>
      <c r="I200" s="2">
        <f t="shared" si="13"/>
        <v>2.5007990584933513</v>
      </c>
    </row>
    <row r="201" spans="1:9" ht="22.5" customHeight="1" x14ac:dyDescent="0.25">
      <c r="A201" s="3">
        <v>40544</v>
      </c>
      <c r="B201" s="2">
        <v>1.6734</v>
      </c>
      <c r="C201" s="2">
        <f t="shared" si="12"/>
        <v>2.5134078214889932</v>
      </c>
      <c r="D201" s="2">
        <f t="shared" si="14"/>
        <v>2.1243438178355447</v>
      </c>
      <c r="E201" s="2">
        <f t="shared" si="15"/>
        <v>2.9024718251424417</v>
      </c>
      <c r="F201" s="2">
        <f>_xlfn.STDEV.S($C$2:C201)</f>
        <v>0.38906400365344873</v>
      </c>
      <c r="G201" s="2">
        <v>375.88447316543994</v>
      </c>
      <c r="H201" s="2">
        <v>149.55172413793096</v>
      </c>
      <c r="I201" s="2">
        <f t="shared" si="13"/>
        <v>2.5134078214889932</v>
      </c>
    </row>
    <row r="202" spans="1:9" ht="22.5" customHeight="1" x14ac:dyDescent="0.25">
      <c r="A202" s="3">
        <v>40575</v>
      </c>
      <c r="B202" s="2">
        <v>1.6612</v>
      </c>
      <c r="C202" s="2">
        <f t="shared" si="12"/>
        <v>2.5253977562268481</v>
      </c>
      <c r="D202" s="2">
        <f t="shared" si="14"/>
        <v>2.1346257973922644</v>
      </c>
      <c r="E202" s="2">
        <f t="shared" si="15"/>
        <v>2.9161697150614319</v>
      </c>
      <c r="F202" s="2">
        <f>_xlfn.STDEV.S($C$2:C202)</f>
        <v>0.3907719588345836</v>
      </c>
      <c r="G202" s="2">
        <v>378.89162360461449</v>
      </c>
      <c r="H202" s="2">
        <v>150.03245436105468</v>
      </c>
      <c r="I202" s="2">
        <f t="shared" si="13"/>
        <v>2.5253977562268481</v>
      </c>
    </row>
    <row r="203" spans="1:9" ht="22.5" customHeight="1" x14ac:dyDescent="0.25">
      <c r="A203" s="3">
        <v>40603</v>
      </c>
      <c r="B203" s="2">
        <v>1.6287</v>
      </c>
      <c r="C203" s="2">
        <f t="shared" si="12"/>
        <v>2.5322470896796379</v>
      </c>
      <c r="D203" s="2">
        <f t="shared" si="14"/>
        <v>2.1397617111352272</v>
      </c>
      <c r="E203" s="2">
        <f t="shared" si="15"/>
        <v>2.9247324682240485</v>
      </c>
      <c r="F203" s="2">
        <f>_xlfn.STDEV.S($C$2:C203)</f>
        <v>0.39248537854441085</v>
      </c>
      <c r="G203" s="2">
        <v>381.88477644671002</v>
      </c>
      <c r="H203" s="2">
        <v>150.80865449628118</v>
      </c>
      <c r="I203" s="2">
        <f t="shared" si="13"/>
        <v>2.5322470896796379</v>
      </c>
    </row>
    <row r="204" spans="1:9" ht="22.5" customHeight="1" x14ac:dyDescent="0.25">
      <c r="A204" s="3">
        <v>40634</v>
      </c>
      <c r="B204" s="2">
        <v>1.5732999999999999</v>
      </c>
      <c r="C204" s="2">
        <f t="shared" si="12"/>
        <v>2.5398241946216227</v>
      </c>
      <c r="D204" s="2">
        <f t="shared" si="14"/>
        <v>2.1456140830190358</v>
      </c>
      <c r="E204" s="2">
        <f t="shared" si="15"/>
        <v>2.9340343062242096</v>
      </c>
      <c r="F204" s="2">
        <f>_xlfn.STDEV.S($C$2:C204)</f>
        <v>0.39421011160258707</v>
      </c>
      <c r="G204" s="2">
        <v>384.82543829975856</v>
      </c>
      <c r="H204" s="2">
        <v>151.51656524678828</v>
      </c>
      <c r="I204" s="2">
        <f t="shared" si="13"/>
        <v>2.5398241946216227</v>
      </c>
    </row>
    <row r="205" spans="1:9" ht="22.5" customHeight="1" x14ac:dyDescent="0.25">
      <c r="A205" s="3">
        <v>40664</v>
      </c>
      <c r="B205" s="2">
        <v>1.5799000000000001</v>
      </c>
      <c r="C205" s="2">
        <f t="shared" si="12"/>
        <v>2.5436714963176907</v>
      </c>
      <c r="D205" s="2">
        <f t="shared" si="14"/>
        <v>2.1477559762789697</v>
      </c>
      <c r="E205" s="2">
        <f t="shared" si="15"/>
        <v>2.9395870163564117</v>
      </c>
      <c r="F205" s="2">
        <f>_xlfn.STDEV.S($C$2:C205)</f>
        <v>0.39591552003872077</v>
      </c>
      <c r="G205" s="2">
        <v>386.63462772224102</v>
      </c>
      <c r="H205" s="2">
        <v>151.99864773495597</v>
      </c>
      <c r="I205" s="2">
        <f t="shared" si="13"/>
        <v>2.5436714963176907</v>
      </c>
    </row>
    <row r="206" spans="1:9" ht="22.5" customHeight="1" x14ac:dyDescent="0.25">
      <c r="A206" s="3">
        <v>40695</v>
      </c>
      <c r="B206" s="2">
        <v>1.5610999999999999</v>
      </c>
      <c r="C206" s="2">
        <f t="shared" si="12"/>
        <v>2.5474855684887348</v>
      </c>
      <c r="D206" s="2">
        <f t="shared" si="14"/>
        <v>2.1498837032959255</v>
      </c>
      <c r="E206" s="2">
        <f t="shared" si="15"/>
        <v>2.945087433681544</v>
      </c>
      <c r="F206" s="2">
        <f>_xlfn.STDEV.S($C$2:C206)</f>
        <v>0.39760186519280927</v>
      </c>
      <c r="G206" s="2">
        <v>387.21436153460326</v>
      </c>
      <c r="H206" s="2">
        <v>151.99864773495597</v>
      </c>
      <c r="I206" s="2">
        <f t="shared" si="13"/>
        <v>2.5474855684887348</v>
      </c>
    </row>
    <row r="207" spans="1:9" ht="22.5" customHeight="1" x14ac:dyDescent="0.25">
      <c r="A207" s="3">
        <v>40725</v>
      </c>
      <c r="B207" s="2">
        <v>1.5563</v>
      </c>
      <c r="C207" s="2">
        <f t="shared" si="12"/>
        <v>2.5448928501019212</v>
      </c>
      <c r="D207" s="2">
        <f t="shared" si="14"/>
        <v>2.1456741730193278</v>
      </c>
      <c r="E207" s="2">
        <f t="shared" si="15"/>
        <v>2.9441115271845146</v>
      </c>
      <c r="F207" s="2">
        <f>_xlfn.STDEV.S($C$2:C207)</f>
        <v>0.39921867708259334</v>
      </c>
      <c r="G207" s="2">
        <v>387.83375520535645</v>
      </c>
      <c r="H207" s="2">
        <v>152.39688979039883</v>
      </c>
      <c r="I207" s="2">
        <f t="shared" si="13"/>
        <v>2.5448928501019212</v>
      </c>
    </row>
    <row r="208" spans="1:9" ht="22.5" customHeight="1" x14ac:dyDescent="0.25">
      <c r="A208" s="3">
        <v>40756</v>
      </c>
      <c r="B208" s="2">
        <v>1.5871999999999999</v>
      </c>
      <c r="C208" s="2">
        <f t="shared" si="12"/>
        <v>2.5462753074749531</v>
      </c>
      <c r="D208" s="2">
        <f t="shared" si="14"/>
        <v>2.1454758331300061</v>
      </c>
      <c r="E208" s="2">
        <f t="shared" si="15"/>
        <v>2.9470747818199001</v>
      </c>
      <c r="F208" s="2">
        <f>_xlfn.STDEV.S($C$2:C208)</f>
        <v>0.40079947434494723</v>
      </c>
      <c r="G208" s="2">
        <v>389.26850890597115</v>
      </c>
      <c r="H208" s="2">
        <v>152.87762001352255</v>
      </c>
      <c r="I208" s="2">
        <f t="shared" si="13"/>
        <v>2.5462753074749531</v>
      </c>
    </row>
    <row r="209" spans="1:9" ht="22.5" customHeight="1" x14ac:dyDescent="0.25">
      <c r="A209" s="3">
        <v>40787</v>
      </c>
      <c r="B209" s="2">
        <v>1.8544</v>
      </c>
      <c r="C209" s="2">
        <f t="shared" si="12"/>
        <v>2.5542262707136674</v>
      </c>
      <c r="D209" s="2">
        <f t="shared" si="14"/>
        <v>2.1518298420837154</v>
      </c>
      <c r="E209" s="2">
        <f t="shared" si="15"/>
        <v>2.9566226993436193</v>
      </c>
      <c r="F209" s="2">
        <f>_xlfn.STDEV.S($C$2:C209)</f>
        <v>0.4023964286299519</v>
      </c>
      <c r="G209" s="2">
        <v>391.33198800872515</v>
      </c>
      <c r="H209" s="2">
        <v>153.20960108181194</v>
      </c>
      <c r="I209" s="2">
        <f t="shared" si="13"/>
        <v>2.5542262707136674</v>
      </c>
    </row>
    <row r="210" spans="1:9" ht="22.5" customHeight="1" x14ac:dyDescent="0.25">
      <c r="A210" s="3">
        <v>40817</v>
      </c>
      <c r="B210" s="2">
        <v>1.6884999999999999</v>
      </c>
      <c r="C210" s="2">
        <f t="shared" si="12"/>
        <v>2.563481717336431</v>
      </c>
      <c r="D210" s="2">
        <f t="shared" si="14"/>
        <v>2.1594622839862021</v>
      </c>
      <c r="E210" s="2">
        <f t="shared" si="15"/>
        <v>2.96750115068666</v>
      </c>
      <c r="F210" s="2">
        <f>_xlfn.STDEV.S($C$2:C210)</f>
        <v>0.40401943335022916</v>
      </c>
      <c r="G210" s="2">
        <v>393.01519905749518</v>
      </c>
      <c r="H210" s="2">
        <v>153.313049357674</v>
      </c>
      <c r="I210" s="2">
        <f t="shared" si="13"/>
        <v>2.563481717336431</v>
      </c>
    </row>
    <row r="211" spans="1:9" ht="22.5" customHeight="1" x14ac:dyDescent="0.25">
      <c r="A211" s="3">
        <v>40848</v>
      </c>
      <c r="B211" s="2">
        <v>1.8109</v>
      </c>
      <c r="C211" s="2">
        <f t="shared" si="12"/>
        <v>2.5720588484068201</v>
      </c>
      <c r="D211" s="2">
        <f t="shared" si="14"/>
        <v>2.166396111317447</v>
      </c>
      <c r="E211" s="2">
        <f t="shared" si="15"/>
        <v>2.9777215854961931</v>
      </c>
      <c r="F211" s="2">
        <f>_xlfn.STDEV.S($C$2:C211)</f>
        <v>0.40566273708937306</v>
      </c>
      <c r="G211" s="2">
        <v>395.05884823105373</v>
      </c>
      <c r="H211" s="2">
        <v>153.59634888438123</v>
      </c>
      <c r="I211" s="2">
        <f t="shared" si="13"/>
        <v>2.5720588484068201</v>
      </c>
    </row>
    <row r="212" spans="1:9" ht="22.5" customHeight="1" x14ac:dyDescent="0.25">
      <c r="A212" s="3">
        <v>40878</v>
      </c>
      <c r="B212" s="2">
        <v>1.8757999999999999</v>
      </c>
      <c r="C212" s="2">
        <f t="shared" si="12"/>
        <v>2.5843017944260107</v>
      </c>
      <c r="D212" s="2">
        <f t="shared" si="14"/>
        <v>2.1769471122709794</v>
      </c>
      <c r="E212" s="2">
        <f t="shared" si="15"/>
        <v>2.9916564765810421</v>
      </c>
      <c r="F212" s="2">
        <f>_xlfn.STDEV.S($C$2:C212)</f>
        <v>0.40735468215503123</v>
      </c>
      <c r="G212" s="2">
        <v>397.03367588563964</v>
      </c>
      <c r="H212" s="2">
        <v>153.63286004056783</v>
      </c>
      <c r="I212" s="2">
        <f t="shared" si="13"/>
        <v>2.5843017944260107</v>
      </c>
    </row>
    <row r="213" spans="1:9" ht="22.5" customHeight="1" x14ac:dyDescent="0.25">
      <c r="A213" s="3">
        <v>40909</v>
      </c>
      <c r="B213" s="2">
        <v>1.7391000000000001</v>
      </c>
      <c r="C213" s="2">
        <f t="shared" si="12"/>
        <v>2.5917128762647614</v>
      </c>
      <c r="D213" s="2">
        <f t="shared" si="14"/>
        <v>2.1826562385887827</v>
      </c>
      <c r="E213" s="2">
        <f t="shared" si="15"/>
        <v>3.0007695139407402</v>
      </c>
      <c r="F213" s="2">
        <f>_xlfn.STDEV.S($C$2:C213)</f>
        <v>0.40905663767597883</v>
      </c>
      <c r="G213" s="2">
        <v>399.25696088838089</v>
      </c>
      <c r="H213" s="2">
        <v>154.05138607166992</v>
      </c>
      <c r="I213" s="2">
        <f t="shared" si="13"/>
        <v>2.5917128762647614</v>
      </c>
    </row>
    <row r="214" spans="1:9" ht="22.5" customHeight="1" x14ac:dyDescent="0.25">
      <c r="A214" s="3">
        <v>40940</v>
      </c>
      <c r="B214" s="2">
        <v>1.7092000000000001</v>
      </c>
      <c r="C214" s="2">
        <f t="shared" si="12"/>
        <v>2.597820947262623</v>
      </c>
      <c r="D214" s="2">
        <f t="shared" si="14"/>
        <v>2.1870627093603177</v>
      </c>
      <c r="E214" s="2">
        <f t="shared" si="15"/>
        <v>3.0085791851649284</v>
      </c>
      <c r="F214" s="2">
        <f>_xlfn.STDEV.S($C$2:C214)</f>
        <v>0.41075823790230537</v>
      </c>
      <c r="G214" s="2">
        <v>401.0533191802075</v>
      </c>
      <c r="H214" s="2">
        <v>154.38066260987139</v>
      </c>
      <c r="I214" s="2">
        <f t="shared" si="13"/>
        <v>2.597820947262623</v>
      </c>
    </row>
    <row r="215" spans="1:9" ht="22.5" customHeight="1" x14ac:dyDescent="0.25">
      <c r="A215" s="3">
        <v>40969</v>
      </c>
      <c r="B215" s="2">
        <v>1.8221000000000001</v>
      </c>
      <c r="C215" s="2">
        <f t="shared" si="12"/>
        <v>2.5978377245451973</v>
      </c>
      <c r="D215" s="2">
        <f t="shared" si="14"/>
        <v>2.1854252888670049</v>
      </c>
      <c r="E215" s="2">
        <f t="shared" si="15"/>
        <v>3.0102501602233898</v>
      </c>
      <c r="F215" s="2">
        <f>_xlfn.STDEV.S($C$2:C215)</f>
        <v>0.41241243567819258</v>
      </c>
      <c r="G215" s="2">
        <v>401.8955079378041</v>
      </c>
      <c r="H215" s="2">
        <v>154.70385395537508</v>
      </c>
      <c r="I215" s="2">
        <f t="shared" si="13"/>
        <v>2.5978377245451973</v>
      </c>
    </row>
    <row r="216" spans="1:9" ht="22.5" customHeight="1" x14ac:dyDescent="0.25">
      <c r="A216" s="3">
        <v>41000</v>
      </c>
      <c r="B216" s="2">
        <v>1.8917999999999999</v>
      </c>
      <c r="C216" s="2">
        <f t="shared" si="12"/>
        <v>2.6101285444079698</v>
      </c>
      <c r="D216" s="2">
        <f t="shared" si="14"/>
        <v>2.1960138285212376</v>
      </c>
      <c r="E216" s="2">
        <f t="shared" si="15"/>
        <v>3.024243260294702</v>
      </c>
      <c r="F216" s="2">
        <f>_xlfn.STDEV.S($C$2:C216)</f>
        <v>0.41411471588673232</v>
      </c>
      <c r="G216" s="2">
        <v>404.46756640110129</v>
      </c>
      <c r="H216" s="2">
        <v>154.96078431372536</v>
      </c>
      <c r="I216" s="2">
        <f t="shared" si="13"/>
        <v>2.6101285444079698</v>
      </c>
    </row>
    <row r="217" spans="1:9" ht="22.5" customHeight="1" x14ac:dyDescent="0.25">
      <c r="A217" s="3">
        <v>41030</v>
      </c>
      <c r="B217" s="2">
        <v>2.0223</v>
      </c>
      <c r="C217" s="2">
        <f t="shared" si="12"/>
        <v>2.6249517303325947</v>
      </c>
      <c r="D217" s="2">
        <f t="shared" si="14"/>
        <v>2.2090676005471335</v>
      </c>
      <c r="E217" s="2">
        <f t="shared" si="15"/>
        <v>3.0408358601180558</v>
      </c>
      <c r="F217" s="2">
        <f>_xlfn.STDEV.S($C$2:C217)</f>
        <v>0.41588412978546135</v>
      </c>
      <c r="G217" s="2">
        <v>405.92331649733478</v>
      </c>
      <c r="H217" s="2">
        <v>154.64029749830951</v>
      </c>
      <c r="I217" s="2">
        <f t="shared" si="13"/>
        <v>2.6249517303325947</v>
      </c>
    </row>
    <row r="218" spans="1:9" ht="22.5" customHeight="1" x14ac:dyDescent="0.25">
      <c r="A218" s="3">
        <v>41061</v>
      </c>
      <c r="B218" s="2">
        <v>2.0213000000000001</v>
      </c>
      <c r="C218" s="2">
        <f t="shared" si="12"/>
        <v>2.6292214024219818</v>
      </c>
      <c r="D218" s="2">
        <f t="shared" si="14"/>
        <v>2.2115836152102988</v>
      </c>
      <c r="E218" s="2">
        <f t="shared" si="15"/>
        <v>3.0468591896336648</v>
      </c>
      <c r="F218" s="2">
        <f>_xlfn.STDEV.S($C$2:C218)</f>
        <v>0.41763778721168288</v>
      </c>
      <c r="G218" s="2">
        <v>406.24759416300219</v>
      </c>
      <c r="H218" s="2">
        <v>154.51250845165634</v>
      </c>
      <c r="I218" s="2">
        <f t="shared" si="13"/>
        <v>2.6292214024219818</v>
      </c>
    </row>
    <row r="219" spans="1:9" ht="22.5" customHeight="1" x14ac:dyDescent="0.25">
      <c r="A219" s="3">
        <v>41091</v>
      </c>
      <c r="B219" s="2">
        <v>2.0499000000000001</v>
      </c>
      <c r="C219" s="2">
        <f t="shared" si="12"/>
        <v>2.6397679125045372</v>
      </c>
      <c r="D219" s="2">
        <f t="shared" si="14"/>
        <v>2.2203434331711738</v>
      </c>
      <c r="E219" s="2">
        <f t="shared" si="15"/>
        <v>3.0591923918379007</v>
      </c>
      <c r="F219" s="2">
        <f>_xlfn.STDEV.S($C$2:C219)</f>
        <v>0.4194244793333633</v>
      </c>
      <c r="G219" s="2">
        <v>407.99496086505172</v>
      </c>
      <c r="H219" s="2">
        <v>154.55713319810667</v>
      </c>
      <c r="I219" s="2">
        <f t="shared" si="13"/>
        <v>2.6397679125045372</v>
      </c>
    </row>
    <row r="220" spans="1:9" ht="22.5" customHeight="1" x14ac:dyDescent="0.25">
      <c r="A220" s="3">
        <v>41122</v>
      </c>
      <c r="B220" s="2">
        <v>2.0371999999999999</v>
      </c>
      <c r="C220" s="2">
        <f t="shared" si="12"/>
        <v>2.635280793265351</v>
      </c>
      <c r="D220" s="2">
        <f t="shared" si="14"/>
        <v>2.2141524805963808</v>
      </c>
      <c r="E220" s="2">
        <f t="shared" si="15"/>
        <v>3.0564091059343212</v>
      </c>
      <c r="F220" s="2">
        <f>_xlfn.STDEV.S($C$2:C220)</f>
        <v>0.42112831266897</v>
      </c>
      <c r="G220" s="2">
        <v>409.66767371601236</v>
      </c>
      <c r="H220" s="2">
        <v>155.45503718728853</v>
      </c>
      <c r="I220" s="2">
        <f t="shared" si="13"/>
        <v>2.635280793265351</v>
      </c>
    </row>
    <row r="221" spans="1:9" ht="22.5" customHeight="1" x14ac:dyDescent="0.25">
      <c r="A221" s="3">
        <v>41153</v>
      </c>
      <c r="B221" s="2">
        <v>2.0306000000000002</v>
      </c>
      <c r="C221" s="2">
        <f t="shared" si="12"/>
        <v>2.6377176699074862</v>
      </c>
      <c r="D221" s="2">
        <f t="shared" si="14"/>
        <v>2.2149135247413163</v>
      </c>
      <c r="E221" s="2">
        <f t="shared" si="15"/>
        <v>3.0605218150736562</v>
      </c>
      <c r="F221" s="2">
        <f>_xlfn.STDEV.S($C$2:C221)</f>
        <v>0.42280414516617004</v>
      </c>
      <c r="G221" s="2">
        <v>412.0029394953869</v>
      </c>
      <c r="H221" s="2">
        <v>156.19675456389433</v>
      </c>
      <c r="I221" s="2">
        <f t="shared" si="13"/>
        <v>2.6377176699074862</v>
      </c>
    </row>
    <row r="222" spans="1:9" ht="22.5" customHeight="1" x14ac:dyDescent="0.25">
      <c r="A222" s="3">
        <v>41183</v>
      </c>
      <c r="B222" s="2">
        <v>2.0312999999999999</v>
      </c>
      <c r="C222" s="2">
        <f t="shared" si="12"/>
        <v>2.6461447271874805</v>
      </c>
      <c r="D222" s="2">
        <f t="shared" si="14"/>
        <v>2.2216471815912961</v>
      </c>
      <c r="E222" s="2">
        <f t="shared" si="15"/>
        <v>3.0706422727836649</v>
      </c>
      <c r="F222" s="2">
        <f>_xlfn.STDEV.S($C$2:C222)</f>
        <v>0.4244975455961843</v>
      </c>
      <c r="G222" s="2">
        <v>414.43385552146913</v>
      </c>
      <c r="H222" s="2">
        <v>156.61798512508432</v>
      </c>
      <c r="I222" s="2">
        <f t="shared" si="13"/>
        <v>2.6461447271874805</v>
      </c>
    </row>
    <row r="223" spans="1:9" ht="22.5" customHeight="1" x14ac:dyDescent="0.25">
      <c r="A223" s="3">
        <v>41214</v>
      </c>
      <c r="B223" s="2">
        <v>2.1074000000000002</v>
      </c>
      <c r="C223" s="2">
        <f t="shared" si="12"/>
        <v>2.6665015066147295</v>
      </c>
      <c r="D223" s="2">
        <f t="shared" si="14"/>
        <v>2.2402030474628116</v>
      </c>
      <c r="E223" s="2">
        <f t="shared" si="15"/>
        <v>3.0927999657666474</v>
      </c>
      <c r="F223" s="2">
        <f>_xlfn.STDEV.S($C$2:C223)</f>
        <v>0.42629845915191766</v>
      </c>
      <c r="G223" s="2">
        <v>416.92076193586797</v>
      </c>
      <c r="H223" s="2">
        <v>156.35496957403629</v>
      </c>
      <c r="I223" s="2">
        <f t="shared" si="13"/>
        <v>2.6665015066147295</v>
      </c>
    </row>
    <row r="224" spans="1:9" ht="22.5" customHeight="1" x14ac:dyDescent="0.25">
      <c r="A224" s="3">
        <v>41244</v>
      </c>
      <c r="B224" s="2">
        <v>2.0434999999999999</v>
      </c>
      <c r="C224" s="2">
        <f t="shared" si="12"/>
        <v>2.6878950551521301</v>
      </c>
      <c r="D224" s="2">
        <f t="shared" si="14"/>
        <v>2.259680429236782</v>
      </c>
      <c r="E224" s="2">
        <f t="shared" si="15"/>
        <v>3.1161096810674782</v>
      </c>
      <c r="F224" s="2">
        <f>_xlfn.STDEV.S($C$2:C224)</f>
        <v>0.42821462591534792</v>
      </c>
      <c r="G224" s="2">
        <v>420.21486311516554</v>
      </c>
      <c r="H224" s="2">
        <v>156.33603786342101</v>
      </c>
      <c r="I224" s="2">
        <f t="shared" si="13"/>
        <v>2.6878950551521301</v>
      </c>
    </row>
    <row r="225" spans="1:9" ht="22.5" customHeight="1" x14ac:dyDescent="0.25">
      <c r="A225" s="3">
        <v>41275</v>
      </c>
      <c r="B225" s="2">
        <v>1.9883</v>
      </c>
      <c r="C225" s="2">
        <f t="shared" si="12"/>
        <v>2.7056507669822198</v>
      </c>
      <c r="D225" s="2">
        <f t="shared" si="14"/>
        <v>2.2754335599028193</v>
      </c>
      <c r="E225" s="2">
        <f t="shared" si="15"/>
        <v>3.1358679740616204</v>
      </c>
      <c r="F225" s="2">
        <f>_xlfn.STDEV.S($C$2:C225)</f>
        <v>0.4302172070794007</v>
      </c>
      <c r="G225" s="2">
        <v>423.82857609443744</v>
      </c>
      <c r="H225" s="2">
        <v>156.64570655848527</v>
      </c>
      <c r="I225" s="2">
        <f t="shared" si="13"/>
        <v>2.7056507669822198</v>
      </c>
    </row>
    <row r="226" spans="1:9" ht="22.5" customHeight="1" x14ac:dyDescent="0.25">
      <c r="A226" s="3">
        <v>41306</v>
      </c>
      <c r="B226" s="2">
        <v>1.9754</v>
      </c>
      <c r="C226" s="2">
        <f t="shared" si="12"/>
        <v>2.7071843821071364</v>
      </c>
      <c r="D226" s="2">
        <f t="shared" si="14"/>
        <v>2.2750057885837953</v>
      </c>
      <c r="E226" s="2">
        <f t="shared" si="15"/>
        <v>3.1393629756304775</v>
      </c>
      <c r="F226" s="2">
        <f>_xlfn.STDEV.S($C$2:C226)</f>
        <v>0.43217859352334104</v>
      </c>
      <c r="G226" s="2">
        <v>426.37147289715296</v>
      </c>
      <c r="H226" s="2">
        <v>157.49628127112894</v>
      </c>
      <c r="I226" s="2">
        <f t="shared" si="13"/>
        <v>2.7071843821071364</v>
      </c>
    </row>
    <row r="227" spans="1:9" ht="22.5" customHeight="1" x14ac:dyDescent="0.25">
      <c r="A227" s="3">
        <v>41334</v>
      </c>
      <c r="B227" s="2">
        <v>2.0137999999999998</v>
      </c>
      <c r="C227" s="2">
        <f t="shared" si="12"/>
        <v>2.7275781533309642</v>
      </c>
      <c r="D227" s="2">
        <f t="shared" si="14"/>
        <v>2.2933320431212429</v>
      </c>
      <c r="E227" s="2">
        <f t="shared" si="15"/>
        <v>3.1618242635406855</v>
      </c>
      <c r="F227" s="2">
        <f>_xlfn.STDEV.S($C$2:C227)</f>
        <v>0.43424611020972137</v>
      </c>
      <c r="G227" s="2">
        <v>428.37546221232054</v>
      </c>
      <c r="H227" s="2">
        <v>157.05341446923575</v>
      </c>
      <c r="I227" s="2">
        <f t="shared" si="13"/>
        <v>2.7275781533309642</v>
      </c>
    </row>
    <row r="228" spans="1:9" ht="22.5" customHeight="1" x14ac:dyDescent="0.25">
      <c r="A228" s="3">
        <v>41365</v>
      </c>
      <c r="B228" s="2">
        <v>2.0017</v>
      </c>
      <c r="C228" s="2">
        <f t="shared" si="12"/>
        <v>2.7483195225513617</v>
      </c>
      <c r="D228" s="2">
        <f t="shared" si="14"/>
        <v>2.3118975744847559</v>
      </c>
      <c r="E228" s="2">
        <f t="shared" si="15"/>
        <v>3.1847414706179675</v>
      </c>
      <c r="F228" s="2">
        <f>_xlfn.STDEV.S($C$2:C228)</f>
        <v>0.43642194806660595</v>
      </c>
      <c r="G228" s="2">
        <v>430.73172438731382</v>
      </c>
      <c r="H228" s="2">
        <v>156.72549019607823</v>
      </c>
      <c r="I228" s="2">
        <f t="shared" si="13"/>
        <v>2.7483195225513617</v>
      </c>
    </row>
    <row r="229" spans="1:9" ht="22.5" customHeight="1" x14ac:dyDescent="0.25">
      <c r="A229" s="3">
        <v>41395</v>
      </c>
      <c r="B229" s="2">
        <v>2.1318999999999999</v>
      </c>
      <c r="C229" s="2">
        <f t="shared" si="12"/>
        <v>2.7573443304208762</v>
      </c>
      <c r="D229" s="2">
        <f t="shared" si="14"/>
        <v>2.3187324109341811</v>
      </c>
      <c r="E229" s="2">
        <f t="shared" si="15"/>
        <v>3.1959562499075713</v>
      </c>
      <c r="F229" s="2">
        <f>_xlfn.STDEV.S($C$2:C229)</f>
        <v>0.43861191948669492</v>
      </c>
      <c r="G229" s="2">
        <v>432.32511752149247</v>
      </c>
      <c r="H229" s="2">
        <v>156.79039891818775</v>
      </c>
      <c r="I229" s="2">
        <f t="shared" si="13"/>
        <v>2.7573443304208762</v>
      </c>
    </row>
    <row r="230" spans="1:9" ht="22.5" customHeight="1" x14ac:dyDescent="0.25">
      <c r="A230" s="3">
        <v>41426</v>
      </c>
      <c r="B230" s="2">
        <v>2.2155999999999998</v>
      </c>
      <c r="C230" s="2">
        <f t="shared" si="12"/>
        <v>2.7579511080731161</v>
      </c>
      <c r="D230" s="2">
        <f t="shared" si="14"/>
        <v>2.3172015983916934</v>
      </c>
      <c r="E230" s="2">
        <f t="shared" si="15"/>
        <v>3.1987006177545387</v>
      </c>
      <c r="F230" s="2">
        <f>_xlfn.STDEV.S($C$2:C230)</f>
        <v>0.44074950968142279</v>
      </c>
      <c r="G230" s="2">
        <v>433.44959115351895</v>
      </c>
      <c r="H230" s="2">
        <v>157.16362407031755</v>
      </c>
      <c r="I230" s="2">
        <f t="shared" si="13"/>
        <v>2.7579511080731161</v>
      </c>
    </row>
    <row r="231" spans="1:9" ht="22.5" customHeight="1" x14ac:dyDescent="0.25">
      <c r="A231" s="3">
        <v>41456</v>
      </c>
      <c r="B231" s="2">
        <v>2.2902999999999998</v>
      </c>
      <c r="C231" s="2">
        <f t="shared" si="12"/>
        <v>2.753385328219391</v>
      </c>
      <c r="D231" s="2">
        <f t="shared" si="14"/>
        <v>2.3105888489381599</v>
      </c>
      <c r="E231" s="2">
        <f t="shared" si="15"/>
        <v>3.1961818075006221</v>
      </c>
      <c r="F231" s="2">
        <f>_xlfn.STDEV.S($C$2:C231)</f>
        <v>0.44279647928123128</v>
      </c>
      <c r="G231" s="2">
        <v>433.57906892650124</v>
      </c>
      <c r="H231" s="2">
        <v>157.47126436781588</v>
      </c>
      <c r="I231" s="2">
        <f t="shared" si="13"/>
        <v>2.753385328219391</v>
      </c>
    </row>
    <row r="232" spans="1:9" ht="22.5" customHeight="1" x14ac:dyDescent="0.25">
      <c r="A232" s="3">
        <v>41487</v>
      </c>
      <c r="B232" s="2">
        <v>2.3725000000000001</v>
      </c>
      <c r="C232" s="2">
        <f t="shared" si="12"/>
        <v>2.7534195941315831</v>
      </c>
      <c r="D232" s="2">
        <f t="shared" si="14"/>
        <v>2.3086287280885589</v>
      </c>
      <c r="E232" s="2">
        <f t="shared" si="15"/>
        <v>3.1982104601746073</v>
      </c>
      <c r="F232" s="2">
        <f>_xlfn.STDEV.S($C$2:C232)</f>
        <v>0.44479086604302409</v>
      </c>
      <c r="G232" s="2">
        <v>434.61955697605271</v>
      </c>
      <c r="H232" s="2">
        <v>157.84719405003358</v>
      </c>
      <c r="I232" s="2">
        <f t="shared" si="13"/>
        <v>2.7534195941315831</v>
      </c>
    </row>
    <row r="233" spans="1:9" ht="22.5" customHeight="1" x14ac:dyDescent="0.25">
      <c r="A233" s="3">
        <v>41518</v>
      </c>
      <c r="B233" s="2">
        <v>2.23</v>
      </c>
      <c r="C233" s="2">
        <f t="shared" si="12"/>
        <v>2.7620148262209798</v>
      </c>
      <c r="D233" s="2">
        <f t="shared" si="14"/>
        <v>2.3152162007926318</v>
      </c>
      <c r="E233" s="2">
        <f t="shared" si="15"/>
        <v>3.2088134516493279</v>
      </c>
      <c r="F233" s="2">
        <f>_xlfn.STDEV.S($C$2:C233)</f>
        <v>0.44679862542834792</v>
      </c>
      <c r="G233" s="2">
        <v>436.14062919198898</v>
      </c>
      <c r="H233" s="2">
        <v>157.90669371196734</v>
      </c>
      <c r="I233" s="2">
        <f t="shared" si="13"/>
        <v>2.7620148262209798</v>
      </c>
    </row>
    <row r="234" spans="1:9" ht="22.5" customHeight="1" x14ac:dyDescent="0.25">
      <c r="A234" s="3">
        <v>41548</v>
      </c>
      <c r="B234" s="2">
        <v>2.2025999999999999</v>
      </c>
      <c r="C234" s="2">
        <f t="shared" si="12"/>
        <v>2.7762707075307742</v>
      </c>
      <c r="D234" s="2">
        <f t="shared" si="14"/>
        <v>2.3274083656792839</v>
      </c>
      <c r="E234" s="2">
        <f t="shared" si="15"/>
        <v>3.2251330493822645</v>
      </c>
      <c r="F234" s="2">
        <f>_xlfn.STDEV.S($C$2:C234)</f>
        <v>0.44886234185149015</v>
      </c>
      <c r="G234" s="2">
        <v>438.62636913996459</v>
      </c>
      <c r="H234" s="2">
        <v>157.99121027721412</v>
      </c>
      <c r="I234" s="2">
        <f t="shared" si="13"/>
        <v>2.7762707075307742</v>
      </c>
    </row>
    <row r="235" spans="1:9" ht="22.5" customHeight="1" x14ac:dyDescent="0.25">
      <c r="A235" s="3">
        <v>41579</v>
      </c>
      <c r="B235" s="2">
        <v>2.3249</v>
      </c>
      <c r="C235" s="2">
        <f t="shared" si="12"/>
        <v>2.7861268216875854</v>
      </c>
      <c r="D235" s="2">
        <f t="shared" si="14"/>
        <v>2.3351790129390353</v>
      </c>
      <c r="E235" s="2">
        <f t="shared" si="15"/>
        <v>3.2370746304361355</v>
      </c>
      <c r="F235" s="2">
        <f>_xlfn.STDEV.S($C$2:C235)</f>
        <v>0.45094780874855006</v>
      </c>
      <c r="G235" s="2">
        <v>440.99546244561378</v>
      </c>
      <c r="H235" s="2">
        <v>158.28262339418504</v>
      </c>
      <c r="I235" s="2">
        <f t="shared" si="13"/>
        <v>2.7861268216875854</v>
      </c>
    </row>
    <row r="236" spans="1:9" ht="22.5" customHeight="1" x14ac:dyDescent="0.25">
      <c r="A236" s="3">
        <v>41609</v>
      </c>
      <c r="B236" s="2">
        <v>2.3426</v>
      </c>
      <c r="C236" s="2">
        <f t="shared" si="12"/>
        <v>2.8043428436241191</v>
      </c>
      <c r="D236" s="2">
        <f t="shared" si="14"/>
        <v>2.3512245063736326</v>
      </c>
      <c r="E236" s="2">
        <f t="shared" si="15"/>
        <v>3.2574611808746057</v>
      </c>
      <c r="F236" s="2">
        <f>_xlfn.STDEV.S($C$2:C236)</f>
        <v>0.45311833725048667</v>
      </c>
      <c r="G236" s="2">
        <v>445.05243266572597</v>
      </c>
      <c r="H236" s="2">
        <v>158.70114942528713</v>
      </c>
      <c r="I236" s="2">
        <f t="shared" si="13"/>
        <v>2.8043428436241191</v>
      </c>
    </row>
    <row r="237" spans="1:9" ht="22.5" customHeight="1" x14ac:dyDescent="0.25">
      <c r="A237" s="3">
        <v>41640</v>
      </c>
      <c r="B237" s="2">
        <v>2.4262999999999999</v>
      </c>
      <c r="C237" s="2">
        <f t="shared" si="12"/>
        <v>2.812944245218393</v>
      </c>
      <c r="D237" s="2">
        <f t="shared" si="14"/>
        <v>2.3576449419510719</v>
      </c>
      <c r="E237" s="2">
        <f t="shared" si="15"/>
        <v>3.2682435484857142</v>
      </c>
      <c r="F237" s="2">
        <f>_xlfn.STDEV.S($C$2:C237)</f>
        <v>0.45529930326732132</v>
      </c>
      <c r="G237" s="2">
        <v>447.49967922173386</v>
      </c>
      <c r="H237" s="2">
        <v>159.08586883029054</v>
      </c>
      <c r="I237" s="2">
        <f t="shared" si="13"/>
        <v>2.812944245218393</v>
      </c>
    </row>
    <row r="238" spans="1:9" ht="22.5" customHeight="1" x14ac:dyDescent="0.25">
      <c r="A238" s="3">
        <v>41671</v>
      </c>
      <c r="B238" s="2">
        <v>2.3334000000000001</v>
      </c>
      <c r="C238" s="2">
        <f t="shared" si="12"/>
        <v>2.8292384964930353</v>
      </c>
      <c r="D238" s="2">
        <f t="shared" si="14"/>
        <v>2.3716891407919722</v>
      </c>
      <c r="E238" s="2">
        <f t="shared" si="15"/>
        <v>3.2867878521940983</v>
      </c>
      <c r="F238" s="2">
        <f>_xlfn.STDEV.S($C$2:C238)</f>
        <v>0.45754935570106292</v>
      </c>
      <c r="G238" s="2">
        <v>450.58731584411373</v>
      </c>
      <c r="H238" s="2">
        <v>159.26098715348189</v>
      </c>
      <c r="I238" s="2">
        <f t="shared" si="13"/>
        <v>2.8292384964930353</v>
      </c>
    </row>
    <row r="239" spans="1:9" ht="22.5" customHeight="1" x14ac:dyDescent="0.25">
      <c r="A239" s="3">
        <v>41699</v>
      </c>
      <c r="B239" s="2">
        <v>2.2629999999999999</v>
      </c>
      <c r="C239" s="2">
        <f t="shared" si="12"/>
        <v>2.8494501270223518</v>
      </c>
      <c r="D239" s="2">
        <f t="shared" si="14"/>
        <v>2.3895520842975313</v>
      </c>
      <c r="E239" s="2">
        <f t="shared" si="15"/>
        <v>3.3093481697471723</v>
      </c>
      <c r="F239" s="2">
        <f>_xlfn.STDEV.S($C$2:C239)</f>
        <v>0.45989804272482032</v>
      </c>
      <c r="G239" s="2">
        <v>454.73293751239402</v>
      </c>
      <c r="H239" s="2">
        <v>159.58620689655152</v>
      </c>
      <c r="I239" s="2">
        <f t="shared" si="13"/>
        <v>2.8494501270223518</v>
      </c>
    </row>
    <row r="240" spans="1:9" ht="22.5" customHeight="1" x14ac:dyDescent="0.25">
      <c r="A240" s="3">
        <v>41730</v>
      </c>
      <c r="B240" s="2">
        <v>2.2360000000000002</v>
      </c>
      <c r="C240" s="2">
        <f t="shared" si="12"/>
        <v>2.8632045224340339</v>
      </c>
      <c r="D240" s="2">
        <f t="shared" si="14"/>
        <v>2.4009104212252499</v>
      </c>
      <c r="E240" s="2">
        <f t="shared" si="15"/>
        <v>3.3254986236428179</v>
      </c>
      <c r="F240" s="2">
        <f>_xlfn.STDEV.S($C$2:C240)</f>
        <v>0.46229410120878384</v>
      </c>
      <c r="G240" s="2">
        <v>457.77974780995959</v>
      </c>
      <c r="H240" s="2">
        <v>159.88370520622021</v>
      </c>
      <c r="I240" s="2">
        <f t="shared" si="13"/>
        <v>2.8632045224340339</v>
      </c>
    </row>
    <row r="241" spans="1:9" ht="22.5" customHeight="1" x14ac:dyDescent="0.25">
      <c r="A241" s="3">
        <v>41760</v>
      </c>
      <c r="B241" s="2">
        <v>2.2389999999999999</v>
      </c>
      <c r="C241" s="2">
        <f t="shared" si="12"/>
        <v>2.8709099348388243</v>
      </c>
      <c r="D241" s="2">
        <f t="shared" si="14"/>
        <v>2.4062202187220603</v>
      </c>
      <c r="E241" s="2">
        <f t="shared" si="15"/>
        <v>3.3355996509555883</v>
      </c>
      <c r="F241" s="2">
        <f>_xlfn.STDEV.S($C$2:C241)</f>
        <v>0.46468971611676407</v>
      </c>
      <c r="G241" s="2">
        <v>459.88521970395112</v>
      </c>
      <c r="H241" s="2">
        <v>160.18796484110865</v>
      </c>
      <c r="I241" s="2">
        <f t="shared" si="13"/>
        <v>2.8709099348388243</v>
      </c>
    </row>
    <row r="242" spans="1:9" ht="22.5" customHeight="1" x14ac:dyDescent="0.25">
      <c r="A242" s="3">
        <v>41791</v>
      </c>
      <c r="B242" s="2">
        <v>2.2025000000000001</v>
      </c>
      <c r="C242" s="2">
        <f t="shared" si="12"/>
        <v>2.8785904304152341</v>
      </c>
      <c r="D242" s="2">
        <f t="shared" si="14"/>
        <v>2.4115057424719915</v>
      </c>
      <c r="E242" s="2">
        <f t="shared" si="15"/>
        <v>3.3456751183584768</v>
      </c>
      <c r="F242" s="2">
        <f>_xlfn.STDEV.S($C$2:C242)</f>
        <v>0.46708468794324254</v>
      </c>
      <c r="G242" s="2">
        <v>461.72473725343843</v>
      </c>
      <c r="H242" s="2">
        <v>160.39959432048659</v>
      </c>
      <c r="I242" s="2">
        <f t="shared" si="13"/>
        <v>2.8785904304152341</v>
      </c>
    </row>
    <row r="243" spans="1:9" ht="22.5" customHeight="1" x14ac:dyDescent="0.25">
      <c r="A243" s="3">
        <v>41821</v>
      </c>
      <c r="B243" s="2">
        <v>2.2673999999999999</v>
      </c>
      <c r="C243" s="2">
        <f t="shared" si="12"/>
        <v>2.8756448245940458</v>
      </c>
      <c r="D243" s="2">
        <f t="shared" si="14"/>
        <v>2.4062469499837089</v>
      </c>
      <c r="E243" s="2">
        <f t="shared" si="15"/>
        <v>3.3450426992043827</v>
      </c>
      <c r="F243" s="2">
        <f>_xlfn.STDEV.S($C$2:C243)</f>
        <v>0.469397874610337</v>
      </c>
      <c r="G243" s="2">
        <v>461.77139591036894</v>
      </c>
      <c r="H243" s="2">
        <v>160.58012170385371</v>
      </c>
      <c r="I243" s="2">
        <f t="shared" si="13"/>
        <v>2.8756448245940458</v>
      </c>
    </row>
    <row r="244" spans="1:9" ht="22.5" customHeight="1" x14ac:dyDescent="0.25">
      <c r="A244" s="3">
        <v>41852</v>
      </c>
      <c r="B244" s="2">
        <v>2.2395999999999998</v>
      </c>
      <c r="C244" s="2">
        <f t="shared" si="12"/>
        <v>2.8832975926600022</v>
      </c>
      <c r="D244" s="2">
        <f t="shared" si="14"/>
        <v>2.4115859592148001</v>
      </c>
      <c r="E244" s="2">
        <f t="shared" si="15"/>
        <v>3.3550092261052042</v>
      </c>
      <c r="F244" s="2">
        <f>_xlfn.STDEV.S($C$2:C244)</f>
        <v>0.47171163344520195</v>
      </c>
      <c r="G244" s="2">
        <v>462.92619766940032</v>
      </c>
      <c r="H244" s="2">
        <v>160.55442866801869</v>
      </c>
      <c r="I244" s="2">
        <f t="shared" si="13"/>
        <v>2.8832975926600022</v>
      </c>
    </row>
    <row r="245" spans="1:9" ht="22.5" customHeight="1" x14ac:dyDescent="0.25">
      <c r="A245" s="3">
        <v>41883</v>
      </c>
      <c r="B245" s="2">
        <v>2.4510000000000001</v>
      </c>
      <c r="C245" s="2">
        <f t="shared" si="12"/>
        <v>2.8995239852244259</v>
      </c>
      <c r="D245" s="2">
        <f t="shared" si="14"/>
        <v>2.4254332188538963</v>
      </c>
      <c r="E245" s="2">
        <f t="shared" si="15"/>
        <v>3.3736147515949555</v>
      </c>
      <c r="F245" s="2">
        <f>_xlfn.STDEV.S($C$2:C245)</f>
        <v>0.47409076637052944</v>
      </c>
      <c r="G245" s="2">
        <v>465.56474471882348</v>
      </c>
      <c r="H245" s="2">
        <v>160.56592292089223</v>
      </c>
      <c r="I245" s="2">
        <f t="shared" si="13"/>
        <v>2.8995239852244259</v>
      </c>
    </row>
    <row r="246" spans="1:9" ht="22.5" customHeight="1" x14ac:dyDescent="0.25">
      <c r="A246" s="3">
        <v>41913</v>
      </c>
      <c r="B246" s="2">
        <v>2.4441999999999999</v>
      </c>
      <c r="C246" s="2">
        <f t="shared" si="12"/>
        <v>2.9122760353577628</v>
      </c>
      <c r="D246" s="2">
        <f t="shared" si="14"/>
        <v>2.4357680673548177</v>
      </c>
      <c r="E246" s="2">
        <f t="shared" si="15"/>
        <v>3.388784003360708</v>
      </c>
      <c r="F246" s="2">
        <f>_xlfn.STDEV.S($C$2:C246)</f>
        <v>0.47650796800294526</v>
      </c>
      <c r="G246" s="2">
        <v>467.51974244421399</v>
      </c>
      <c r="H246" s="2">
        <v>160.53414469235943</v>
      </c>
      <c r="I246" s="2">
        <f t="shared" si="13"/>
        <v>2.9122760353577628</v>
      </c>
    </row>
    <row r="247" spans="1:9" ht="22.5" customHeight="1" x14ac:dyDescent="0.25">
      <c r="A247" s="3">
        <v>41944</v>
      </c>
      <c r="B247" s="2">
        <v>2.5600999999999998</v>
      </c>
      <c r="C247" s="2">
        <f t="shared" si="12"/>
        <v>2.9326492437177727</v>
      </c>
      <c r="D247" s="2">
        <f t="shared" si="14"/>
        <v>2.4536283756354069</v>
      </c>
      <c r="E247" s="2">
        <f t="shared" si="15"/>
        <v>3.4116701118001385</v>
      </c>
      <c r="F247" s="2">
        <f>_xlfn.STDEV.S($C$2:C247)</f>
        <v>0.47902086808236566</v>
      </c>
      <c r="G247" s="2">
        <v>469.90399981336566</v>
      </c>
      <c r="H247" s="2">
        <v>160.23191345503693</v>
      </c>
      <c r="I247" s="2">
        <f t="shared" si="13"/>
        <v>2.9326492437177727</v>
      </c>
    </row>
    <row r="248" spans="1:9" ht="22.5" customHeight="1" x14ac:dyDescent="0.25">
      <c r="A248" s="3">
        <v>41974</v>
      </c>
      <c r="B248" s="2">
        <v>2.6562000000000001</v>
      </c>
      <c r="C248" s="2">
        <f t="shared" si="12"/>
        <v>2.9646674152568968</v>
      </c>
      <c r="D248" s="2">
        <f t="shared" si="14"/>
        <v>2.4829480417481151</v>
      </c>
      <c r="E248" s="2">
        <f t="shared" si="15"/>
        <v>3.4463867887656785</v>
      </c>
      <c r="F248" s="2">
        <f>_xlfn.STDEV.S($C$2:C248)</f>
        <v>0.4817193735087818</v>
      </c>
      <c r="G248" s="2">
        <v>473.56903731526114</v>
      </c>
      <c r="H248" s="2">
        <v>159.7376605814737</v>
      </c>
      <c r="I248" s="2">
        <f t="shared" si="13"/>
        <v>2.9646674152568968</v>
      </c>
    </row>
    <row r="249" spans="1:9" ht="22.5" customHeight="1" x14ac:dyDescent="0.25">
      <c r="A249" s="3">
        <v>42005</v>
      </c>
      <c r="B249" s="2">
        <v>2.6623000000000001</v>
      </c>
      <c r="C249" s="2">
        <f t="shared" si="12"/>
        <v>3.0206702633893938</v>
      </c>
      <c r="D249" s="2">
        <f t="shared" si="14"/>
        <v>2.5358721699008622</v>
      </c>
      <c r="E249" s="2">
        <f t="shared" si="15"/>
        <v>3.5054683568779255</v>
      </c>
      <c r="F249" s="2">
        <f>_xlfn.STDEV.S($C$2:C249)</f>
        <v>0.48479809348853181</v>
      </c>
      <c r="G249" s="2">
        <v>479.44102928997216</v>
      </c>
      <c r="H249" s="2">
        <v>158.72008113590238</v>
      </c>
      <c r="I249" s="2">
        <f t="shared" si="13"/>
        <v>3.0206702633893938</v>
      </c>
    </row>
    <row r="250" spans="1:9" ht="22.5" customHeight="1" x14ac:dyDescent="0.25">
      <c r="A250" s="3">
        <v>42036</v>
      </c>
      <c r="B250" s="2">
        <v>2.8782000000000001</v>
      </c>
      <c r="C250" s="2">
        <f t="shared" si="12"/>
        <v>3.0497890490166122</v>
      </c>
      <c r="D250" s="2">
        <f t="shared" si="14"/>
        <v>2.5617496544080596</v>
      </c>
      <c r="E250" s="2">
        <f t="shared" si="15"/>
        <v>3.5378284436251648</v>
      </c>
      <c r="F250" s="2">
        <f>_xlfn.STDEV.S($C$2:C250)</f>
        <v>0.48803939460855267</v>
      </c>
      <c r="G250" s="2">
        <v>485.28969193621793</v>
      </c>
      <c r="H250" s="2">
        <v>159.12237998647709</v>
      </c>
      <c r="I250" s="2">
        <f t="shared" si="13"/>
        <v>3.0497890490166122</v>
      </c>
    </row>
    <row r="251" spans="1:9" ht="22.5" customHeight="1" x14ac:dyDescent="0.25">
      <c r="A251" s="3">
        <v>42064</v>
      </c>
      <c r="B251" s="2">
        <v>3.2080000000000002</v>
      </c>
      <c r="C251" s="2">
        <f t="shared" si="12"/>
        <v>3.0817467618019991</v>
      </c>
      <c r="D251" s="2">
        <f t="shared" si="14"/>
        <v>2.5902804821937226</v>
      </c>
      <c r="E251" s="2">
        <f t="shared" si="15"/>
        <v>3.5732130414102756</v>
      </c>
      <c r="F251" s="2">
        <f>_xlfn.STDEV.S($C$2:C251)</f>
        <v>0.49146627960827655</v>
      </c>
      <c r="G251" s="2">
        <v>491.69592553278392</v>
      </c>
      <c r="H251" s="2">
        <v>159.5510480054088</v>
      </c>
      <c r="I251" s="2">
        <f t="shared" si="13"/>
        <v>3.0817467618019991</v>
      </c>
    </row>
    <row r="252" spans="1:9" ht="22.5" customHeight="1" x14ac:dyDescent="0.25">
      <c r="A252" s="3">
        <v>42095</v>
      </c>
      <c r="B252" s="2">
        <v>2.9935999999999998</v>
      </c>
      <c r="C252" s="2">
        <f t="shared" si="12"/>
        <v>3.1003962753517063</v>
      </c>
      <c r="D252" s="2">
        <f t="shared" si="14"/>
        <v>2.6054318809074752</v>
      </c>
      <c r="E252" s="2">
        <f t="shared" si="15"/>
        <v>3.5953606697959373</v>
      </c>
      <c r="F252" s="2">
        <f>_xlfn.STDEV.S($C$2:C252)</f>
        <v>0.49496439444423118</v>
      </c>
      <c r="G252" s="2">
        <v>495.18715953761301</v>
      </c>
      <c r="H252" s="2">
        <v>159.71737660581451</v>
      </c>
      <c r="I252" s="2">
        <f t="shared" si="13"/>
        <v>3.1003962753517063</v>
      </c>
    </row>
    <row r="253" spans="1:9" ht="22.5" customHeight="1" x14ac:dyDescent="0.25">
      <c r="A253" s="3">
        <v>42125</v>
      </c>
      <c r="B253" s="2">
        <v>3.1787999999999998</v>
      </c>
      <c r="C253" s="2">
        <f t="shared" si="12"/>
        <v>3.1130698782604052</v>
      </c>
      <c r="D253" s="2">
        <f t="shared" si="14"/>
        <v>2.6145880717484551</v>
      </c>
      <c r="E253" s="2">
        <f t="shared" si="15"/>
        <v>3.6115516847723552</v>
      </c>
      <c r="F253" s="2">
        <f>_xlfn.STDEV.S($C$2:C253)</f>
        <v>0.49848180651195012</v>
      </c>
      <c r="G253" s="2">
        <v>498.85103057308532</v>
      </c>
      <c r="H253" s="2">
        <v>160.24408384043249</v>
      </c>
      <c r="I253" s="2">
        <f t="shared" si="13"/>
        <v>3.1130698782604052</v>
      </c>
    </row>
    <row r="254" spans="1:9" ht="22.5" customHeight="1" x14ac:dyDescent="0.25">
      <c r="A254" s="3">
        <v>42156</v>
      </c>
      <c r="B254" s="2">
        <v>3.1025999999999998</v>
      </c>
      <c r="C254" s="2">
        <f t="shared" si="12"/>
        <v>3.129005827696973</v>
      </c>
      <c r="D254" s="2">
        <f t="shared" si="14"/>
        <v>2.6269602903932334</v>
      </c>
      <c r="E254" s="2">
        <f t="shared" si="15"/>
        <v>3.6310513650007126</v>
      </c>
      <c r="F254" s="2">
        <f>_xlfn.STDEV.S($C$2:C254)</f>
        <v>0.5020455373037398</v>
      </c>
      <c r="G254" s="2">
        <v>502.79252061729443</v>
      </c>
      <c r="H254" s="2">
        <v>160.68762677484764</v>
      </c>
      <c r="I254" s="2">
        <f t="shared" si="13"/>
        <v>3.129005827696973</v>
      </c>
    </row>
    <row r="255" spans="1:9" ht="22.5" customHeight="1" x14ac:dyDescent="0.25">
      <c r="A255" s="3">
        <v>42186</v>
      </c>
      <c r="B255" s="2">
        <v>3.3940000000000001</v>
      </c>
      <c r="C255" s="2">
        <f t="shared" si="12"/>
        <v>3.1434159937382038</v>
      </c>
      <c r="D255" s="2">
        <f t="shared" si="14"/>
        <v>2.6377742780152849</v>
      </c>
      <c r="E255" s="2">
        <f t="shared" si="15"/>
        <v>3.6490577094611227</v>
      </c>
      <c r="F255" s="2">
        <f>_xlfn.STDEV.S($C$2:C255)</f>
        <v>0.50564171572291894</v>
      </c>
      <c r="G255" s="2">
        <v>505.90931890025581</v>
      </c>
      <c r="H255" s="2">
        <v>160.94252873563192</v>
      </c>
      <c r="I255" s="2">
        <f t="shared" si="13"/>
        <v>3.1434159937382038</v>
      </c>
    </row>
    <row r="256" spans="1:9" ht="22.5" customHeight="1" x14ac:dyDescent="0.25">
      <c r="A256" s="3">
        <v>42217</v>
      </c>
      <c r="B256" s="2">
        <v>3.6467000000000001</v>
      </c>
      <c r="C256" s="2">
        <f t="shared" si="12"/>
        <v>3.1503435536956923</v>
      </c>
      <c r="D256" s="2">
        <f t="shared" si="14"/>
        <v>2.6411367628292561</v>
      </c>
      <c r="E256" s="2">
        <f t="shared" si="15"/>
        <v>3.6595503445621285</v>
      </c>
      <c r="F256" s="2">
        <f>_xlfn.STDEV.S($C$2:C256)</f>
        <v>0.50920679086643594</v>
      </c>
      <c r="G256" s="2">
        <v>507.02212786804972</v>
      </c>
      <c r="H256" s="2">
        <v>160.94185260310996</v>
      </c>
      <c r="I256" s="2">
        <f t="shared" si="13"/>
        <v>3.1503435536956923</v>
      </c>
    </row>
    <row r="257" spans="1:9" ht="22.5" customHeight="1" x14ac:dyDescent="0.25">
      <c r="A257" s="3">
        <v>42248</v>
      </c>
      <c r="B257" s="2">
        <v>3.9729000000000001</v>
      </c>
      <c r="C257" s="2">
        <f t="shared" si="12"/>
        <v>3.1744889663464297</v>
      </c>
      <c r="D257" s="2">
        <f t="shared" si="14"/>
        <v>2.6616034776038364</v>
      </c>
      <c r="E257" s="2">
        <f t="shared" si="15"/>
        <v>3.6873744550890231</v>
      </c>
      <c r="F257" s="2">
        <f>_xlfn.STDEV.S($C$2:C257)</f>
        <v>0.51288548874259343</v>
      </c>
      <c r="G257" s="2">
        <v>509.75982456345042</v>
      </c>
      <c r="H257" s="2">
        <v>160.58012170385371</v>
      </c>
      <c r="I257" s="2">
        <f t="shared" si="13"/>
        <v>3.1744889663464297</v>
      </c>
    </row>
    <row r="258" spans="1:9" ht="22.5" customHeight="1" x14ac:dyDescent="0.25">
      <c r="A258" s="3">
        <v>42278</v>
      </c>
      <c r="B258" s="2">
        <v>3.8589000000000002</v>
      </c>
      <c r="C258" s="2">
        <f t="shared" ref="C258:C321" si="16">$B$2*I258</f>
        <v>3.1973524327211242</v>
      </c>
      <c r="D258" s="2">
        <f t="shared" si="14"/>
        <v>2.6806870561595058</v>
      </c>
      <c r="E258" s="2">
        <f t="shared" si="15"/>
        <v>3.7140178092827427</v>
      </c>
      <c r="F258" s="2">
        <f>_xlfn.STDEV.S($C$2:C258)</f>
        <v>0.51666537656161859</v>
      </c>
      <c r="G258" s="2">
        <v>513.93927375800536</v>
      </c>
      <c r="H258" s="2">
        <v>160.73901284651768</v>
      </c>
      <c r="I258" s="2">
        <f t="shared" si="13"/>
        <v>3.1973524327211242</v>
      </c>
    </row>
    <row r="259" spans="1:9" ht="22.5" customHeight="1" x14ac:dyDescent="0.25">
      <c r="A259" s="3">
        <v>42309</v>
      </c>
      <c r="B259" s="2">
        <v>3.8506</v>
      </c>
      <c r="C259" s="2">
        <f t="shared" si="16"/>
        <v>3.2257920357626735</v>
      </c>
      <c r="D259" s="2">
        <f t="shared" si="14"/>
        <v>2.7051996029027419</v>
      </c>
      <c r="E259" s="2">
        <f t="shared" si="15"/>
        <v>3.7463844686226051</v>
      </c>
      <c r="F259" s="2">
        <f>_xlfn.STDEV.S($C$2:C259)</f>
        <v>0.52059243285993173</v>
      </c>
      <c r="G259" s="2">
        <v>519.13004934153014</v>
      </c>
      <c r="H259" s="2">
        <v>160.93103448275838</v>
      </c>
      <c r="I259" s="2">
        <f t="shared" ref="I259:I322" si="17">G259/H259</f>
        <v>3.2257920357626735</v>
      </c>
    </row>
    <row r="260" spans="1:9" ht="22.5" customHeight="1" x14ac:dyDescent="0.25">
      <c r="A260" s="3">
        <v>42339</v>
      </c>
      <c r="B260" s="2">
        <v>3.9047999999999998</v>
      </c>
      <c r="C260" s="2">
        <f t="shared" si="16"/>
        <v>3.2602630952117306</v>
      </c>
      <c r="D260" s="2">
        <f t="shared" ref="D260:D323" si="18">C260-F260</f>
        <v>2.7355459779857525</v>
      </c>
      <c r="E260" s="2">
        <f t="shared" ref="E260:E323" si="19">C260+F260</f>
        <v>3.7849802124377088</v>
      </c>
      <c r="F260" s="2">
        <f>_xlfn.STDEV.S($C$2:C260)</f>
        <v>0.52471711722597825</v>
      </c>
      <c r="G260" s="2">
        <v>524.11319390171411</v>
      </c>
      <c r="H260" s="2">
        <v>160.75794455713296</v>
      </c>
      <c r="I260" s="2">
        <f t="shared" si="17"/>
        <v>3.2602630952117306</v>
      </c>
    </row>
    <row r="261" spans="1:9" ht="22.5" customHeight="1" x14ac:dyDescent="0.25">
      <c r="A261" s="3">
        <v>42370</v>
      </c>
      <c r="B261" s="2">
        <v>4.0427999999999997</v>
      </c>
      <c r="C261" s="2">
        <f t="shared" si="16"/>
        <v>3.3031803935658819</v>
      </c>
      <c r="D261" s="2">
        <f t="shared" si="18"/>
        <v>2.774068048073008</v>
      </c>
      <c r="E261" s="2">
        <f t="shared" si="19"/>
        <v>3.8322927390587558</v>
      </c>
      <c r="F261" s="2">
        <f>_xlfn.STDEV.S($C$2:C261)</f>
        <v>0.529112345492874</v>
      </c>
      <c r="G261" s="2">
        <v>530.76905131285855</v>
      </c>
      <c r="H261" s="2">
        <v>160.68424611223776</v>
      </c>
      <c r="I261" s="2">
        <f t="shared" si="17"/>
        <v>3.3031803935658819</v>
      </c>
    </row>
    <row r="262" spans="1:9" ht="22.5" customHeight="1" x14ac:dyDescent="0.25">
      <c r="A262" s="3">
        <v>42401</v>
      </c>
      <c r="B262" s="2">
        <v>3.9796</v>
      </c>
      <c r="C262" s="2">
        <f t="shared" si="16"/>
        <v>3.3373450998438905</v>
      </c>
      <c r="D262" s="2">
        <f t="shared" si="18"/>
        <v>2.803646303824185</v>
      </c>
      <c r="E262" s="2">
        <f t="shared" si="19"/>
        <v>3.871043895863596</v>
      </c>
      <c r="F262" s="2">
        <f>_xlfn.STDEV.S($C$2:C262)</f>
        <v>0.53369879601970571</v>
      </c>
      <c r="G262" s="2">
        <v>535.54573131612472</v>
      </c>
      <c r="H262" s="2">
        <v>160.47058823529389</v>
      </c>
      <c r="I262" s="2">
        <f t="shared" si="17"/>
        <v>3.3373450998438905</v>
      </c>
    </row>
    <row r="263" spans="1:9" ht="22.5" customHeight="1" x14ac:dyDescent="0.25">
      <c r="A263" s="3">
        <v>42430</v>
      </c>
      <c r="B263" s="2">
        <v>3.5589</v>
      </c>
      <c r="C263" s="2">
        <f t="shared" si="16"/>
        <v>3.3412201318746826</v>
      </c>
      <c r="D263" s="2">
        <f t="shared" si="18"/>
        <v>2.8030165369648739</v>
      </c>
      <c r="E263" s="2">
        <f t="shared" si="19"/>
        <v>3.8794237267844913</v>
      </c>
      <c r="F263" s="2">
        <f>_xlfn.STDEV.S($C$2:C263)</f>
        <v>0.53820359490980885</v>
      </c>
      <c r="G263" s="2">
        <v>537.84833603564789</v>
      </c>
      <c r="H263" s="2">
        <v>160.97363083164277</v>
      </c>
      <c r="I263" s="2">
        <f t="shared" si="17"/>
        <v>3.3412201318746826</v>
      </c>
    </row>
    <row r="264" spans="1:9" ht="22.5" customHeight="1" x14ac:dyDescent="0.25">
      <c r="A264" s="3">
        <v>42461</v>
      </c>
      <c r="B264" s="2">
        <v>3.4508000000000001</v>
      </c>
      <c r="C264" s="2">
        <f t="shared" si="16"/>
        <v>3.348776056933561</v>
      </c>
      <c r="D264" s="2">
        <f t="shared" si="18"/>
        <v>2.8061144578089525</v>
      </c>
      <c r="E264" s="2">
        <f t="shared" si="19"/>
        <v>3.8914376560581694</v>
      </c>
      <c r="F264" s="2">
        <f>_xlfn.STDEV.S($C$2:C264)</f>
        <v>0.54266159912460843</v>
      </c>
      <c r="G264" s="2">
        <v>541.12960608428955</v>
      </c>
      <c r="H264" s="2">
        <v>161.5902636916833</v>
      </c>
      <c r="I264" s="2">
        <f t="shared" si="17"/>
        <v>3.348776056933561</v>
      </c>
    </row>
    <row r="265" spans="1:9" ht="22.5" customHeight="1" x14ac:dyDescent="0.25">
      <c r="A265" s="3">
        <v>42491</v>
      </c>
      <c r="B265" s="2">
        <v>3.5951</v>
      </c>
      <c r="C265" s="2">
        <f t="shared" si="16"/>
        <v>3.3669334433634273</v>
      </c>
      <c r="D265" s="2">
        <f t="shared" si="18"/>
        <v>2.8197670551250544</v>
      </c>
      <c r="E265" s="2">
        <f t="shared" si="19"/>
        <v>3.9140998316018001</v>
      </c>
      <c r="F265" s="2">
        <f>_xlfn.STDEV.S($C$2:C265)</f>
        <v>0.54716638823837294</v>
      </c>
      <c r="G265" s="2">
        <v>545.34988160365867</v>
      </c>
      <c r="H265" s="2">
        <v>161.97227856659879</v>
      </c>
      <c r="I265" s="2">
        <f t="shared" si="17"/>
        <v>3.3669334433634273</v>
      </c>
    </row>
    <row r="266" spans="1:9" ht="22.5" customHeight="1" x14ac:dyDescent="0.25">
      <c r="A266" s="3">
        <v>42522</v>
      </c>
      <c r="B266" s="2">
        <v>3.2098</v>
      </c>
      <c r="C266" s="2">
        <f t="shared" si="16"/>
        <v>3.3693621249263797</v>
      </c>
      <c r="D266" s="2">
        <f t="shared" si="18"/>
        <v>2.817781633899112</v>
      </c>
      <c r="E266" s="2">
        <f t="shared" si="19"/>
        <v>3.9209426159536473</v>
      </c>
      <c r="F266" s="2">
        <f>_xlfn.STDEV.S($C$2:C266)</f>
        <v>0.55158049102726747</v>
      </c>
      <c r="G266" s="2">
        <v>547.25822067211868</v>
      </c>
      <c r="H266" s="2">
        <v>162.42190669371172</v>
      </c>
      <c r="I266" s="2">
        <f t="shared" si="17"/>
        <v>3.3693621249263797</v>
      </c>
    </row>
    <row r="267" spans="1:9" ht="22.5" customHeight="1" x14ac:dyDescent="0.25">
      <c r="A267" s="3">
        <v>42552</v>
      </c>
      <c r="B267" s="2">
        <v>3.2389999999999999</v>
      </c>
      <c r="C267" s="2">
        <f t="shared" si="16"/>
        <v>3.3885923246620502</v>
      </c>
      <c r="D267" s="2">
        <f t="shared" si="18"/>
        <v>2.8325416326407882</v>
      </c>
      <c r="E267" s="2">
        <f t="shared" si="19"/>
        <v>3.9446430166833122</v>
      </c>
      <c r="F267" s="2">
        <f>_xlfn.STDEV.S($C$2:C267)</f>
        <v>0.55605069202126212</v>
      </c>
      <c r="G267" s="2">
        <v>550.10439874488281</v>
      </c>
      <c r="H267" s="2">
        <v>162.34009465855283</v>
      </c>
      <c r="I267" s="2">
        <f t="shared" si="17"/>
        <v>3.3885923246620502</v>
      </c>
    </row>
    <row r="268" spans="1:9" ht="22.5" customHeight="1" x14ac:dyDescent="0.25">
      <c r="A268" s="3">
        <v>42583</v>
      </c>
      <c r="B268" s="2">
        <v>3.2403</v>
      </c>
      <c r="C268" s="2">
        <f t="shared" si="16"/>
        <v>3.3972196624818585</v>
      </c>
      <c r="D268" s="2">
        <f t="shared" si="18"/>
        <v>2.8367348313868614</v>
      </c>
      <c r="E268" s="2">
        <f t="shared" si="19"/>
        <v>3.9577044935768555</v>
      </c>
      <c r="F268" s="2">
        <f>_xlfn.STDEV.S($C$2:C268)</f>
        <v>0.56048483109499703</v>
      </c>
      <c r="G268" s="2">
        <v>552.5248165731557</v>
      </c>
      <c r="H268" s="2">
        <v>162.64029749830939</v>
      </c>
      <c r="I268" s="2">
        <f t="shared" si="17"/>
        <v>3.3972196624818585</v>
      </c>
    </row>
    <row r="269" spans="1:9" ht="22.5" customHeight="1" x14ac:dyDescent="0.25">
      <c r="A269" s="3">
        <v>42614</v>
      </c>
      <c r="B269" s="2">
        <v>3.2462</v>
      </c>
      <c r="C269" s="2">
        <f t="shared" si="16"/>
        <v>3.3910424584828567</v>
      </c>
      <c r="D269" s="2">
        <f t="shared" si="18"/>
        <v>2.8262831717355681</v>
      </c>
      <c r="E269" s="2">
        <f t="shared" si="19"/>
        <v>3.9558017452301453</v>
      </c>
      <c r="F269" s="2">
        <f>_xlfn.STDEV.S($C$2:C269)</f>
        <v>0.56475928674728837</v>
      </c>
      <c r="G269" s="2">
        <v>552.96690734757271</v>
      </c>
      <c r="H269" s="2">
        <v>163.06693711967517</v>
      </c>
      <c r="I269" s="2">
        <f t="shared" si="17"/>
        <v>3.3910424584828567</v>
      </c>
    </row>
    <row r="270" spans="1:9" ht="22.5" customHeight="1" x14ac:dyDescent="0.25">
      <c r="A270" s="3">
        <v>42644</v>
      </c>
      <c r="B270" s="2">
        <v>3.1810999999999998</v>
      </c>
      <c r="C270" s="2">
        <f t="shared" si="16"/>
        <v>3.3919162752772207</v>
      </c>
      <c r="D270" s="2">
        <f t="shared" si="18"/>
        <v>2.8229779457187725</v>
      </c>
      <c r="E270" s="2">
        <f t="shared" si="19"/>
        <v>3.960854604835669</v>
      </c>
      <c r="F270" s="2">
        <f>_xlfn.STDEV.S($C$2:C270)</f>
        <v>0.56893832955844803</v>
      </c>
      <c r="G270" s="2">
        <v>554.40516044745721</v>
      </c>
      <c r="H270" s="2">
        <v>163.44895199459066</v>
      </c>
      <c r="I270" s="2">
        <f t="shared" si="17"/>
        <v>3.3919162752772207</v>
      </c>
    </row>
    <row r="271" spans="1:9" ht="22.5" customHeight="1" x14ac:dyDescent="0.25">
      <c r="A271" s="3">
        <v>42675</v>
      </c>
      <c r="B271" s="2">
        <v>3.3967000000000001</v>
      </c>
      <c r="C271" s="2">
        <f t="shared" si="16"/>
        <v>3.3940238106188474</v>
      </c>
      <c r="D271" s="2">
        <f t="shared" si="18"/>
        <v>2.8209886647554692</v>
      </c>
      <c r="E271" s="2">
        <f t="shared" si="19"/>
        <v>3.9670589564822256</v>
      </c>
      <c r="F271" s="2">
        <f>_xlfn.STDEV.S($C$2:C271)</f>
        <v>0.57303514586337834</v>
      </c>
      <c r="G271" s="2">
        <v>555.40365570577126</v>
      </c>
      <c r="H271" s="2">
        <v>163.64164976335331</v>
      </c>
      <c r="I271" s="2">
        <f t="shared" si="17"/>
        <v>3.3940238106188474</v>
      </c>
    </row>
    <row r="272" spans="1:9" ht="22.5" customHeight="1" x14ac:dyDescent="0.25">
      <c r="A272" s="3">
        <v>42705</v>
      </c>
      <c r="B272" s="2">
        <v>3.2591000000000001</v>
      </c>
      <c r="C272" s="2">
        <f t="shared" si="16"/>
        <v>3.3956305010050727</v>
      </c>
      <c r="D272" s="2">
        <f t="shared" si="18"/>
        <v>2.8185822114437284</v>
      </c>
      <c r="E272" s="2">
        <f t="shared" si="19"/>
        <v>3.9726787905664169</v>
      </c>
      <c r="F272" s="2">
        <f>_xlfn.STDEV.S($C$2:C272)</f>
        <v>0.57704828956134402</v>
      </c>
      <c r="G272" s="2">
        <v>557.06936975819224</v>
      </c>
      <c r="H272" s="2">
        <v>164.05476673427961</v>
      </c>
      <c r="I272" s="2">
        <f t="shared" si="17"/>
        <v>3.3956305010050727</v>
      </c>
    </row>
    <row r="273" spans="1:9" ht="22.5" customHeight="1" x14ac:dyDescent="0.25">
      <c r="A273" s="3">
        <v>42736</v>
      </c>
      <c r="B273" s="2">
        <v>3.1269999999999998</v>
      </c>
      <c r="C273" s="2">
        <f t="shared" si="16"/>
        <v>3.394810083171119</v>
      </c>
      <c r="D273" s="2">
        <f t="shared" si="18"/>
        <v>2.8138489470869423</v>
      </c>
      <c r="E273" s="2">
        <f t="shared" si="19"/>
        <v>3.9757712192552956</v>
      </c>
      <c r="F273" s="2">
        <f>_xlfn.STDEV.S($C$2:C273)</f>
        <v>0.58096113608417688</v>
      </c>
      <c r="G273" s="2">
        <v>559.18650631641651</v>
      </c>
      <c r="H273" s="2">
        <v>164.71805273833638</v>
      </c>
      <c r="I273" s="2">
        <f t="shared" si="17"/>
        <v>3.394810083171119</v>
      </c>
    </row>
    <row r="274" spans="1:9" ht="22.5" customHeight="1" x14ac:dyDescent="0.25">
      <c r="A274" s="3">
        <v>42767</v>
      </c>
      <c r="B274" s="2">
        <v>3.0992999999999999</v>
      </c>
      <c r="C274" s="2">
        <f t="shared" si="16"/>
        <v>3.4005971792368772</v>
      </c>
      <c r="D274" s="2">
        <f t="shared" si="18"/>
        <v>2.8157684948875064</v>
      </c>
      <c r="E274" s="2">
        <f t="shared" si="19"/>
        <v>3.9854258635862481</v>
      </c>
      <c r="F274" s="2">
        <f>_xlfn.STDEV.S($C$2:C274)</f>
        <v>0.58482868434937063</v>
      </c>
      <c r="G274" s="2">
        <v>561.03185619802014</v>
      </c>
      <c r="H274" s="2">
        <v>164.98039215686242</v>
      </c>
      <c r="I274" s="2">
        <f t="shared" si="17"/>
        <v>3.4005971792368772</v>
      </c>
    </row>
    <row r="275" spans="1:9" ht="22.5" customHeight="1" x14ac:dyDescent="0.25">
      <c r="A275" s="3">
        <v>42795</v>
      </c>
      <c r="B275" s="2">
        <v>3.1684000000000001</v>
      </c>
      <c r="C275" s="2">
        <f t="shared" si="16"/>
        <v>3.4106891998612592</v>
      </c>
      <c r="D275" s="2">
        <f t="shared" si="18"/>
        <v>2.8220035303671547</v>
      </c>
      <c r="E275" s="2">
        <f t="shared" si="19"/>
        <v>3.9993748693553637</v>
      </c>
      <c r="F275" s="2">
        <f>_xlfn.STDEV.S($C$2:C275)</f>
        <v>0.5886856694941045</v>
      </c>
      <c r="G275" s="2">
        <v>562.43394883878341</v>
      </c>
      <c r="H275" s="2">
        <v>164.90331304935737</v>
      </c>
      <c r="I275" s="2">
        <f t="shared" si="17"/>
        <v>3.4106891998612592</v>
      </c>
    </row>
    <row r="276" spans="1:9" ht="22.5" customHeight="1" x14ac:dyDescent="0.25">
      <c r="A276" s="3">
        <v>42826</v>
      </c>
      <c r="B276" s="2">
        <v>3.1983999999999999</v>
      </c>
      <c r="C276" s="2">
        <f t="shared" si="16"/>
        <v>3.4112538972229638</v>
      </c>
      <c r="D276" s="2">
        <f t="shared" si="18"/>
        <v>2.8187952228782058</v>
      </c>
      <c r="E276" s="2">
        <f t="shared" si="19"/>
        <v>4.0037125715677213</v>
      </c>
      <c r="F276" s="2">
        <f>_xlfn.STDEV.S($C$2:C276)</f>
        <v>0.59245867434475785</v>
      </c>
      <c r="G276" s="2">
        <v>563.22131367448662</v>
      </c>
      <c r="H276" s="2">
        <v>165.10682893847164</v>
      </c>
      <c r="I276" s="2">
        <f t="shared" si="17"/>
        <v>3.4112538972229638</v>
      </c>
    </row>
    <row r="277" spans="1:9" ht="22.5" customHeight="1" x14ac:dyDescent="0.25">
      <c r="A277" s="3">
        <v>42856</v>
      </c>
      <c r="B277" s="2">
        <v>3.2437</v>
      </c>
      <c r="C277" s="2">
        <f t="shared" si="16"/>
        <v>3.4244805538968968</v>
      </c>
      <c r="D277" s="2">
        <f t="shared" si="18"/>
        <v>2.8282335880444998</v>
      </c>
      <c r="E277" s="2">
        <f t="shared" si="19"/>
        <v>4.0207275197492942</v>
      </c>
      <c r="F277" s="2">
        <f>_xlfn.STDEV.S($C$2:C277)</f>
        <v>0.59624696585239711</v>
      </c>
      <c r="G277" s="2">
        <v>564.96751391011287</v>
      </c>
      <c r="H277" s="2">
        <v>164.9790398918185</v>
      </c>
      <c r="I277" s="2">
        <f t="shared" si="17"/>
        <v>3.4244805538968968</v>
      </c>
    </row>
    <row r="278" spans="1:9" ht="22.5" customHeight="1" x14ac:dyDescent="0.25">
      <c r="A278" s="3">
        <v>42887</v>
      </c>
      <c r="B278" s="2">
        <v>3.3081999999999998</v>
      </c>
      <c r="C278" s="2">
        <f t="shared" si="16"/>
        <v>3.4143792302490148</v>
      </c>
      <c r="D278" s="2">
        <f t="shared" si="18"/>
        <v>2.8145059229061253</v>
      </c>
      <c r="E278" s="2">
        <f t="shared" si="19"/>
        <v>4.0142525375919043</v>
      </c>
      <c r="F278" s="2">
        <f>_xlfn.STDEV.S($C$2:C278)</f>
        <v>0.59987330734288935</v>
      </c>
      <c r="G278" s="2">
        <v>563.66807031459689</v>
      </c>
      <c r="H278" s="2">
        <v>165.08654496281244</v>
      </c>
      <c r="I278" s="2">
        <f t="shared" si="17"/>
        <v>3.4143792302490148</v>
      </c>
    </row>
    <row r="279" spans="1:9" ht="22.5" customHeight="1" x14ac:dyDescent="0.25">
      <c r="A279" s="3">
        <v>42917</v>
      </c>
      <c r="B279" s="2">
        <v>3.1307</v>
      </c>
      <c r="C279" s="2">
        <f t="shared" si="16"/>
        <v>3.4214545041196622</v>
      </c>
      <c r="D279" s="2">
        <f t="shared" si="18"/>
        <v>2.8179834003543855</v>
      </c>
      <c r="E279" s="2">
        <f t="shared" si="19"/>
        <v>4.0249256078849385</v>
      </c>
      <c r="F279" s="2">
        <f>_xlfn.STDEV.S($C$2:C279)</f>
        <v>0.60347110376527657</v>
      </c>
      <c r="G279" s="2">
        <v>565.02117136558297</v>
      </c>
      <c r="H279" s="2">
        <v>165.14063556457037</v>
      </c>
      <c r="I279" s="2">
        <f t="shared" si="17"/>
        <v>3.4214545041196622</v>
      </c>
    </row>
    <row r="280" spans="1:9" ht="22.5" customHeight="1" x14ac:dyDescent="0.25">
      <c r="A280" s="3">
        <v>42948</v>
      </c>
      <c r="B280" s="2">
        <v>3.1471</v>
      </c>
      <c r="C280" s="2">
        <f t="shared" si="16"/>
        <v>3.4148105699926408</v>
      </c>
      <c r="D280" s="2">
        <f t="shared" si="18"/>
        <v>2.8078705325312132</v>
      </c>
      <c r="E280" s="2">
        <f t="shared" si="19"/>
        <v>4.0217506074540683</v>
      </c>
      <c r="F280" s="2">
        <f>_xlfn.STDEV.S($C$2:C280)</f>
        <v>0.60694003746142755</v>
      </c>
      <c r="G280" s="2">
        <v>566.09432047498592</v>
      </c>
      <c r="H280" s="2">
        <v>165.77620013522622</v>
      </c>
      <c r="I280" s="2">
        <f t="shared" si="17"/>
        <v>3.4148105699926408</v>
      </c>
    </row>
    <row r="281" spans="1:9" ht="22.5" customHeight="1" x14ac:dyDescent="0.25">
      <c r="A281" s="3">
        <v>42979</v>
      </c>
      <c r="B281" s="2">
        <v>3.1680000000000001</v>
      </c>
      <c r="C281" s="2">
        <f t="shared" si="16"/>
        <v>3.4028943054450527</v>
      </c>
      <c r="D281" s="2">
        <f t="shared" si="18"/>
        <v>2.7926475509851265</v>
      </c>
      <c r="E281" s="2">
        <f t="shared" si="19"/>
        <v>4.0131410599049788</v>
      </c>
      <c r="F281" s="2">
        <f>_xlfn.STDEV.S($C$2:C281)</f>
        <v>0.61024675445992604</v>
      </c>
      <c r="G281" s="2">
        <v>566.99949841943885</v>
      </c>
      <c r="H281" s="2">
        <v>166.62271805273804</v>
      </c>
      <c r="I281" s="2">
        <f t="shared" si="17"/>
        <v>3.4028943054450527</v>
      </c>
    </row>
    <row r="282" spans="1:9" ht="22.5" customHeight="1" x14ac:dyDescent="0.25">
      <c r="A282" s="3">
        <v>43009</v>
      </c>
      <c r="B282" s="2">
        <v>3.2768999999999999</v>
      </c>
      <c r="C282" s="2">
        <f t="shared" si="16"/>
        <v>3.4145431722675097</v>
      </c>
      <c r="D282" s="2">
        <f t="shared" si="18"/>
        <v>2.8009790865457922</v>
      </c>
      <c r="E282" s="2">
        <f t="shared" si="19"/>
        <v>4.0281072579892268</v>
      </c>
      <c r="F282" s="2">
        <f>_xlfn.STDEV.S($C$2:C282)</f>
        <v>0.6135640857217175</v>
      </c>
      <c r="G282" s="2">
        <v>569.38142285574395</v>
      </c>
      <c r="H282" s="2">
        <v>166.75185936443512</v>
      </c>
      <c r="I282" s="2">
        <f t="shared" si="17"/>
        <v>3.4145431722675097</v>
      </c>
    </row>
    <row r="283" spans="1:9" ht="22.5" customHeight="1" x14ac:dyDescent="0.25">
      <c r="A283" s="3">
        <v>43040</v>
      </c>
      <c r="B283" s="2">
        <v>3.2616000000000001</v>
      </c>
      <c r="C283" s="2">
        <f t="shared" si="16"/>
        <v>3.4149944114982653</v>
      </c>
      <c r="D283" s="2">
        <f t="shared" si="18"/>
        <v>2.7981819491440518</v>
      </c>
      <c r="E283" s="2">
        <f t="shared" si="19"/>
        <v>4.0318068738524788</v>
      </c>
      <c r="F283" s="2">
        <f>_xlfn.STDEV.S($C$2:C283)</f>
        <v>0.61681246235421339</v>
      </c>
      <c r="G283" s="2">
        <v>570.97598245634583</v>
      </c>
      <c r="H283" s="2">
        <v>167.19675456389422</v>
      </c>
      <c r="I283" s="2">
        <f t="shared" si="17"/>
        <v>3.4149944114982653</v>
      </c>
    </row>
    <row r="284" spans="1:9" ht="22.5" customHeight="1" x14ac:dyDescent="0.25">
      <c r="A284" s="3">
        <v>43070</v>
      </c>
      <c r="B284" s="2">
        <v>3.3079999999999998</v>
      </c>
      <c r="C284" s="2">
        <f t="shared" si="16"/>
        <v>3.4228105450830819</v>
      </c>
      <c r="D284" s="2">
        <f t="shared" si="18"/>
        <v>2.8027652624834869</v>
      </c>
      <c r="E284" s="2">
        <f t="shared" si="19"/>
        <v>4.0428558276826774</v>
      </c>
      <c r="F284" s="2">
        <f>_xlfn.STDEV.S($C$2:C284)</f>
        <v>0.62004528259959502</v>
      </c>
      <c r="G284" s="2">
        <v>573.4885511320565</v>
      </c>
      <c r="H284" s="2">
        <v>167.54901960784284</v>
      </c>
      <c r="I284" s="2">
        <f t="shared" si="17"/>
        <v>3.4228105450830819</v>
      </c>
    </row>
    <row r="285" spans="1:9" ht="22.5" customHeight="1" x14ac:dyDescent="0.25">
      <c r="A285" s="3">
        <v>43101</v>
      </c>
      <c r="B285" s="2">
        <v>3.1623999999999999</v>
      </c>
      <c r="C285" s="2">
        <f t="shared" si="16"/>
        <v>3.419793553186075</v>
      </c>
      <c r="D285" s="2">
        <f t="shared" si="18"/>
        <v>2.7966058660336652</v>
      </c>
      <c r="E285" s="2">
        <f t="shared" si="19"/>
        <v>4.0429812403384844</v>
      </c>
      <c r="F285" s="2">
        <f>_xlfn.STDEV.S($C$2:C285)</f>
        <v>0.62318768715240969</v>
      </c>
      <c r="G285" s="2">
        <v>575.15193225163102</v>
      </c>
      <c r="H285" s="2">
        <v>168.18323191345473</v>
      </c>
      <c r="I285" s="2">
        <f t="shared" si="17"/>
        <v>3.419793553186075</v>
      </c>
    </row>
    <row r="286" spans="1:9" ht="22.5" customHeight="1" x14ac:dyDescent="0.25">
      <c r="A286" s="3">
        <v>43132</v>
      </c>
      <c r="B286" s="2">
        <v>3.2448999999999999</v>
      </c>
      <c r="C286" s="2">
        <f t="shared" si="16"/>
        <v>3.4211654130256117</v>
      </c>
      <c r="D286" s="2">
        <f t="shared" si="18"/>
        <v>2.7948930755925732</v>
      </c>
      <c r="E286" s="2">
        <f t="shared" si="19"/>
        <v>4.0474377504586503</v>
      </c>
      <c r="F286" s="2">
        <f>_xlfn.STDEV.S($C$2:C286)</f>
        <v>0.62627233743303878</v>
      </c>
      <c r="G286" s="2">
        <v>576.99261626754162</v>
      </c>
      <c r="H286" s="2">
        <v>168.65382014874885</v>
      </c>
      <c r="I286" s="2">
        <f t="shared" si="17"/>
        <v>3.4211654130256117</v>
      </c>
    </row>
    <row r="287" spans="1:9" ht="22.5" customHeight="1" x14ac:dyDescent="0.25">
      <c r="A287" s="3">
        <v>43160</v>
      </c>
      <c r="B287" s="2">
        <v>3.3237999999999999</v>
      </c>
      <c r="C287" s="2">
        <f t="shared" si="16"/>
        <v>3.422294947005176</v>
      </c>
      <c r="D287" s="2">
        <f t="shared" si="18"/>
        <v>2.7929958440746052</v>
      </c>
      <c r="E287" s="2">
        <f t="shared" si="19"/>
        <v>4.0515940499357468</v>
      </c>
      <c r="F287" s="2">
        <f>_xlfn.STDEV.S($C$2:C287)</f>
        <v>0.62929910293057101</v>
      </c>
      <c r="G287" s="2">
        <v>577.5116938258941</v>
      </c>
      <c r="H287" s="2">
        <v>168.74983096686921</v>
      </c>
      <c r="I287" s="2">
        <f t="shared" si="17"/>
        <v>3.422294947005176</v>
      </c>
    </row>
    <row r="288" spans="1:9" ht="22.5" customHeight="1" x14ac:dyDescent="0.25">
      <c r="A288" s="3">
        <v>43191</v>
      </c>
      <c r="B288" s="2">
        <v>3.4811000000000001</v>
      </c>
      <c r="C288" s="2">
        <f t="shared" si="16"/>
        <v>3.4220756764060472</v>
      </c>
      <c r="D288" s="2">
        <f t="shared" si="18"/>
        <v>2.78981520329011</v>
      </c>
      <c r="E288" s="2">
        <f t="shared" si="19"/>
        <v>4.0543361495219843</v>
      </c>
      <c r="F288" s="2">
        <f>_xlfn.STDEV.S($C$2:C288)</f>
        <v>0.63226047311593703</v>
      </c>
      <c r="G288" s="2">
        <v>578.78197576082869</v>
      </c>
      <c r="H288" s="2">
        <v>169.1318458417847</v>
      </c>
      <c r="I288" s="2">
        <f t="shared" si="17"/>
        <v>3.4220756764060472</v>
      </c>
    </row>
    <row r="289" spans="1:9" ht="22.5" customHeight="1" x14ac:dyDescent="0.25">
      <c r="A289" s="3">
        <v>43221</v>
      </c>
      <c r="B289" s="2">
        <v>3.7370000000000001</v>
      </c>
      <c r="C289" s="2">
        <f t="shared" si="16"/>
        <v>3.4270934638573478</v>
      </c>
      <c r="D289" s="2">
        <f t="shared" si="18"/>
        <v>2.7919006086334694</v>
      </c>
      <c r="E289" s="2">
        <f t="shared" si="19"/>
        <v>4.0622863190812257</v>
      </c>
      <c r="F289" s="2">
        <f>_xlfn.STDEV.S($C$2:C289)</f>
        <v>0.63519285522387825</v>
      </c>
      <c r="G289" s="2">
        <v>581.09741161100771</v>
      </c>
      <c r="H289" s="2">
        <v>169.55983772819445</v>
      </c>
      <c r="I289" s="2">
        <f t="shared" si="17"/>
        <v>3.4270934638573478</v>
      </c>
    </row>
    <row r="290" spans="1:9" ht="22.5" customHeight="1" x14ac:dyDescent="0.25">
      <c r="A290" s="3">
        <v>43252</v>
      </c>
      <c r="B290" s="2">
        <v>3.8557999999999999</v>
      </c>
      <c r="C290" s="2">
        <f t="shared" si="16"/>
        <v>3.4655905840139241</v>
      </c>
      <c r="D290" s="2">
        <f t="shared" si="18"/>
        <v>2.8272703186202217</v>
      </c>
      <c r="E290" s="2">
        <f t="shared" si="19"/>
        <v>4.1039108494076268</v>
      </c>
      <c r="F290" s="2">
        <f>_xlfn.STDEV.S($C$2:C290)</f>
        <v>0.63832026539370246</v>
      </c>
      <c r="G290" s="2">
        <v>588.41932134983585</v>
      </c>
      <c r="H290" s="2">
        <v>169.78904665314374</v>
      </c>
      <c r="I290" s="2">
        <f t="shared" si="17"/>
        <v>3.4655905840139241</v>
      </c>
    </row>
    <row r="291" spans="1:9" ht="22.5" customHeight="1" x14ac:dyDescent="0.25">
      <c r="A291" s="3">
        <v>43282</v>
      </c>
      <c r="B291" s="2">
        <v>3.7549000000000001</v>
      </c>
      <c r="C291" s="2">
        <f t="shared" si="16"/>
        <v>3.4741931326222475</v>
      </c>
      <c r="D291" s="2">
        <f t="shared" si="18"/>
        <v>2.832753347478028</v>
      </c>
      <c r="E291" s="2">
        <f t="shared" si="19"/>
        <v>4.115632917766467</v>
      </c>
      <c r="F291" s="2">
        <f>_xlfn.STDEV.S($C$2:C291)</f>
        <v>0.64143978514421973</v>
      </c>
      <c r="G291" s="2">
        <v>590.3614879445704</v>
      </c>
      <c r="H291" s="2">
        <v>169.92765382014846</v>
      </c>
      <c r="I291" s="2">
        <f t="shared" si="17"/>
        <v>3.4741931326222475</v>
      </c>
    </row>
    <row r="292" spans="1:9" ht="22.5" customHeight="1" x14ac:dyDescent="0.25">
      <c r="A292" s="3">
        <v>43313</v>
      </c>
      <c r="B292" s="2">
        <v>4.1353</v>
      </c>
      <c r="C292" s="2">
        <f t="shared" si="16"/>
        <v>3.4651961792214383</v>
      </c>
      <c r="D292" s="2">
        <f t="shared" si="18"/>
        <v>2.8207616579579939</v>
      </c>
      <c r="E292" s="2">
        <f t="shared" si="19"/>
        <v>4.1096307004848827</v>
      </c>
      <c r="F292" s="2">
        <f>_xlfn.STDEV.S($C$2:C292)</f>
        <v>0.64443452126344414</v>
      </c>
      <c r="G292" s="2">
        <v>589.83074572198529</v>
      </c>
      <c r="H292" s="2">
        <v>170.21568627450949</v>
      </c>
      <c r="I292" s="2">
        <f t="shared" si="17"/>
        <v>3.4651961792214383</v>
      </c>
    </row>
    <row r="293" spans="1:9" ht="22.5" customHeight="1" x14ac:dyDescent="0.25">
      <c r="A293" s="3">
        <v>43344</v>
      </c>
      <c r="B293" s="2">
        <v>4.0038999999999998</v>
      </c>
      <c r="C293" s="2">
        <f t="shared" si="16"/>
        <v>3.4750642947463155</v>
      </c>
      <c r="D293" s="2">
        <f t="shared" si="18"/>
        <v>2.8276324333379357</v>
      </c>
      <c r="E293" s="2">
        <f t="shared" si="19"/>
        <v>4.1224961561546953</v>
      </c>
      <c r="F293" s="2">
        <f>_xlfn.STDEV.S($C$2:C293)</f>
        <v>0.64743186140837961</v>
      </c>
      <c r="G293" s="2">
        <v>592.661759731247</v>
      </c>
      <c r="H293" s="2">
        <v>170.5469912102769</v>
      </c>
      <c r="I293" s="2">
        <f t="shared" si="17"/>
        <v>3.4750642947463155</v>
      </c>
    </row>
    <row r="294" spans="1:9" ht="22.5" customHeight="1" x14ac:dyDescent="0.25">
      <c r="A294" s="3">
        <v>43374</v>
      </c>
      <c r="B294" s="2">
        <v>3.7176999999999998</v>
      </c>
      <c r="C294" s="2">
        <f t="shared" si="16"/>
        <v>3.4820991632620677</v>
      </c>
      <c r="D294" s="2">
        <f t="shared" si="18"/>
        <v>2.8316859825478993</v>
      </c>
      <c r="E294" s="2">
        <f t="shared" si="19"/>
        <v>4.1325123439762361</v>
      </c>
      <c r="F294" s="2">
        <f>_xlfn.STDEV.S($C$2:C294)</f>
        <v>0.65041318071416854</v>
      </c>
      <c r="G294" s="2">
        <v>595.32830197482849</v>
      </c>
      <c r="H294" s="2">
        <v>170.96822177146689</v>
      </c>
      <c r="I294" s="2">
        <f t="shared" si="17"/>
        <v>3.4820991632620677</v>
      </c>
    </row>
    <row r="295" spans="1:9" ht="22.5" customHeight="1" x14ac:dyDescent="0.25">
      <c r="A295" s="3">
        <v>43405</v>
      </c>
      <c r="B295" s="2">
        <v>3.8633000000000002</v>
      </c>
      <c r="C295" s="2">
        <f t="shared" si="16"/>
        <v>3.4776045789520373</v>
      </c>
      <c r="D295" s="2">
        <f t="shared" si="18"/>
        <v>2.824300437987842</v>
      </c>
      <c r="E295" s="2">
        <f t="shared" si="19"/>
        <v>4.1309087199162331</v>
      </c>
      <c r="F295" s="2">
        <f>_xlfn.STDEV.S($C$2:C295)</f>
        <v>0.65330414096419531</v>
      </c>
      <c r="G295" s="2">
        <v>594.07784996908947</v>
      </c>
      <c r="H295" s="2">
        <v>170.82961460446217</v>
      </c>
      <c r="I295" s="2">
        <f t="shared" si="17"/>
        <v>3.4776045789520373</v>
      </c>
    </row>
    <row r="296" spans="1:9" ht="22.5" customHeight="1" x14ac:dyDescent="0.25">
      <c r="A296" s="3">
        <v>43435</v>
      </c>
      <c r="B296" s="2">
        <v>3.8748</v>
      </c>
      <c r="C296" s="2">
        <f t="shared" si="16"/>
        <v>3.4842831580078899</v>
      </c>
      <c r="D296" s="2">
        <f t="shared" si="18"/>
        <v>2.8281044863328351</v>
      </c>
      <c r="E296" s="2">
        <f t="shared" si="19"/>
        <v>4.1404618296829447</v>
      </c>
      <c r="F296" s="2">
        <f>_xlfn.STDEV.S($C$2:C296)</f>
        <v>0.65617867167505495</v>
      </c>
      <c r="G296" s="2">
        <v>594.96903031646309</v>
      </c>
      <c r="H296" s="2">
        <v>170.75794455713287</v>
      </c>
      <c r="I296" s="2">
        <f t="shared" si="17"/>
        <v>3.4842831580078899</v>
      </c>
    </row>
    <row r="297" spans="1:9" ht="22.5" customHeight="1" x14ac:dyDescent="0.25">
      <c r="A297" s="3">
        <v>43466</v>
      </c>
      <c r="B297" s="2">
        <v>3.6518999999999999</v>
      </c>
      <c r="C297" s="2">
        <f t="shared" si="16"/>
        <v>3.4965529706695562</v>
      </c>
      <c r="D297" s="2">
        <f t="shared" si="18"/>
        <v>2.8374801731224246</v>
      </c>
      <c r="E297" s="2">
        <f t="shared" si="19"/>
        <v>4.1556257682166882</v>
      </c>
      <c r="F297" s="2">
        <f>_xlfn.STDEV.S($C$2:C297)</f>
        <v>0.65907279754713166</v>
      </c>
      <c r="G297" s="2">
        <v>596.87270351923007</v>
      </c>
      <c r="H297" s="2">
        <v>170.70317782285298</v>
      </c>
      <c r="I297" s="2">
        <f t="shared" si="17"/>
        <v>3.4965529706695562</v>
      </c>
    </row>
    <row r="298" spans="1:9" ht="22.5" customHeight="1" x14ac:dyDescent="0.25">
      <c r="A298" s="3">
        <v>43497</v>
      </c>
      <c r="B298" s="2">
        <v>3.7385000000000002</v>
      </c>
      <c r="C298" s="2">
        <f t="shared" si="16"/>
        <v>3.5023610996225698</v>
      </c>
      <c r="D298" s="2">
        <f t="shared" si="18"/>
        <v>2.8404161062818245</v>
      </c>
      <c r="E298" s="2">
        <f t="shared" si="19"/>
        <v>4.1643060929633151</v>
      </c>
      <c r="F298" s="2">
        <f>_xlfn.STDEV.S($C$2:C298)</f>
        <v>0.66194499334074552</v>
      </c>
      <c r="G298" s="2">
        <v>599.43892965041084</v>
      </c>
      <c r="H298" s="2">
        <v>171.15280594996588</v>
      </c>
      <c r="I298" s="2">
        <f t="shared" si="17"/>
        <v>3.5023610996225698</v>
      </c>
    </row>
    <row r="299" spans="1:9" ht="22.5" customHeight="1" x14ac:dyDescent="0.25">
      <c r="A299" s="3">
        <v>43525</v>
      </c>
      <c r="B299" s="2">
        <v>3.8967000000000001</v>
      </c>
      <c r="C299" s="2">
        <f t="shared" si="16"/>
        <v>3.512835073139295</v>
      </c>
      <c r="D299" s="2">
        <f t="shared" si="18"/>
        <v>2.8480098339824216</v>
      </c>
      <c r="E299" s="2">
        <f t="shared" si="19"/>
        <v>4.177660312296168</v>
      </c>
      <c r="F299" s="2">
        <f>_xlfn.STDEV.S($C$2:C299)</f>
        <v>0.6648252391568733</v>
      </c>
      <c r="G299" s="2">
        <v>603.9344912456703</v>
      </c>
      <c r="H299" s="2">
        <v>171.92224475997264</v>
      </c>
      <c r="I299" s="2">
        <f t="shared" si="17"/>
        <v>3.512835073139295</v>
      </c>
    </row>
    <row r="300" spans="1:9" ht="22.5" customHeight="1" x14ac:dyDescent="0.25">
      <c r="A300" s="3">
        <v>43556</v>
      </c>
      <c r="B300" s="2">
        <v>3.9453</v>
      </c>
      <c r="C300" s="2">
        <f t="shared" si="16"/>
        <v>3.5205346742443444</v>
      </c>
      <c r="D300" s="2">
        <f t="shared" si="18"/>
        <v>2.8528388217310856</v>
      </c>
      <c r="E300" s="2">
        <f t="shared" si="19"/>
        <v>4.1882305267576037</v>
      </c>
      <c r="F300" s="2">
        <f>_xlfn.STDEV.S($C$2:C300)</f>
        <v>0.6676958525132588</v>
      </c>
      <c r="G300" s="2">
        <v>607.37673366072227</v>
      </c>
      <c r="H300" s="2">
        <v>172.52400270452981</v>
      </c>
      <c r="I300" s="2">
        <f t="shared" si="17"/>
        <v>3.5205346742443444</v>
      </c>
    </row>
    <row r="301" spans="1:9" ht="22.5" customHeight="1" x14ac:dyDescent="0.25">
      <c r="A301" s="3">
        <v>43586</v>
      </c>
      <c r="B301" s="2">
        <v>3.9407000000000001</v>
      </c>
      <c r="C301" s="2">
        <f t="shared" si="16"/>
        <v>3.5228753631015173</v>
      </c>
      <c r="D301" s="2">
        <f t="shared" si="18"/>
        <v>2.8523519413169298</v>
      </c>
      <c r="E301" s="2">
        <f t="shared" si="19"/>
        <v>4.1933987848861047</v>
      </c>
      <c r="F301" s="2">
        <f>_xlfn.STDEV.S($C$2:C301)</f>
        <v>0.67052342178458735</v>
      </c>
      <c r="G301" s="2">
        <v>608.16643142927205</v>
      </c>
      <c r="H301" s="2">
        <v>172.63353617308962</v>
      </c>
      <c r="I301" s="2">
        <f t="shared" si="17"/>
        <v>3.5228753631015173</v>
      </c>
    </row>
    <row r="302" spans="1:9" ht="22.5" customHeight="1" x14ac:dyDescent="0.25">
      <c r="A302" s="3">
        <v>43617</v>
      </c>
      <c r="B302" s="2">
        <v>3.8321999999999998</v>
      </c>
      <c r="C302" s="2">
        <f t="shared" si="16"/>
        <v>3.5227300280135783</v>
      </c>
      <c r="D302" s="2">
        <f t="shared" si="18"/>
        <v>2.8494364831545651</v>
      </c>
      <c r="E302" s="2">
        <f t="shared" si="19"/>
        <v>4.1960235728725914</v>
      </c>
      <c r="F302" s="2">
        <f>_xlfn.STDEV.S($C$2:C302)</f>
        <v>0.67329354485901305</v>
      </c>
      <c r="G302" s="2">
        <v>608.22708768328187</v>
      </c>
      <c r="H302" s="2">
        <v>172.65787694388072</v>
      </c>
      <c r="I302" s="2">
        <f t="shared" si="17"/>
        <v>3.5227300280135783</v>
      </c>
    </row>
    <row r="303" spans="1:9" ht="22.5" customHeight="1" x14ac:dyDescent="0.25">
      <c r="A303" s="3">
        <v>43647</v>
      </c>
      <c r="B303" s="2">
        <v>3.7648999999999999</v>
      </c>
      <c r="C303" s="2">
        <f t="shared" si="16"/>
        <v>3.5219911672099355</v>
      </c>
      <c r="D303" s="2">
        <f t="shared" si="18"/>
        <v>2.8459871533028069</v>
      </c>
      <c r="E303" s="2">
        <f t="shared" si="19"/>
        <v>4.1979951811170642</v>
      </c>
      <c r="F303" s="2">
        <f>_xlfn.STDEV.S($C$2:C303)</f>
        <v>0.6760040139071285</v>
      </c>
      <c r="G303" s="2">
        <v>609.38305590873642</v>
      </c>
      <c r="H303" s="2">
        <v>173.02231237322491</v>
      </c>
      <c r="I303" s="2">
        <f t="shared" si="17"/>
        <v>3.5219911672099355</v>
      </c>
    </row>
    <row r="304" spans="1:9" ht="22.5" customHeight="1" x14ac:dyDescent="0.25">
      <c r="A304" s="3">
        <v>43678</v>
      </c>
      <c r="B304" s="2">
        <v>4.1384999999999996</v>
      </c>
      <c r="C304" s="2">
        <f t="shared" si="16"/>
        <v>3.5220276911730739</v>
      </c>
      <c r="D304" s="2">
        <f t="shared" si="18"/>
        <v>2.843366680202994</v>
      </c>
      <c r="E304" s="2">
        <f t="shared" si="19"/>
        <v>4.2006887021431538</v>
      </c>
      <c r="F304" s="2">
        <f>_xlfn.STDEV.S($C$2:C304)</f>
        <v>0.67866101097008003</v>
      </c>
      <c r="G304" s="2">
        <v>610.05377410211327</v>
      </c>
      <c r="H304" s="2">
        <v>173.21095334685572</v>
      </c>
      <c r="I304" s="2">
        <f t="shared" si="17"/>
        <v>3.5220276911730739</v>
      </c>
    </row>
    <row r="305" spans="1:9" ht="22.5" customHeight="1" x14ac:dyDescent="0.25">
      <c r="A305" s="3">
        <v>43709</v>
      </c>
      <c r="B305" s="2">
        <v>4.1643999999999997</v>
      </c>
      <c r="C305" s="2">
        <f t="shared" si="16"/>
        <v>3.5148987680808164</v>
      </c>
      <c r="D305" s="2">
        <f t="shared" si="18"/>
        <v>2.8336757410211599</v>
      </c>
      <c r="E305" s="2">
        <f t="shared" si="19"/>
        <v>4.1961217951404723</v>
      </c>
      <c r="F305" s="2">
        <f>_xlfn.STDEV.S($C$2:C305)</f>
        <v>0.68122302705965643</v>
      </c>
      <c r="G305" s="2">
        <v>609.80998261965101</v>
      </c>
      <c r="H305" s="2">
        <v>173.49290060851902</v>
      </c>
      <c r="I305" s="2">
        <f t="shared" si="17"/>
        <v>3.5148987680808164</v>
      </c>
    </row>
    <row r="306" spans="1:9" ht="22.5" customHeight="1" x14ac:dyDescent="0.25">
      <c r="A306" s="3">
        <v>43739</v>
      </c>
      <c r="B306" s="2">
        <v>4.0041000000000002</v>
      </c>
      <c r="C306" s="2">
        <f t="shared" si="16"/>
        <v>3.5087201799529311</v>
      </c>
      <c r="D306" s="2">
        <f t="shared" si="18"/>
        <v>2.8250217460937277</v>
      </c>
      <c r="E306" s="2">
        <f t="shared" si="19"/>
        <v>4.1924186138121344</v>
      </c>
      <c r="F306" s="2">
        <f>_xlfn.STDEV.S($C$2:C306)</f>
        <v>0.68369843385920359</v>
      </c>
      <c r="G306" s="2">
        <v>610.42004455901804</v>
      </c>
      <c r="H306" s="2">
        <v>173.97227856659882</v>
      </c>
      <c r="I306" s="2">
        <f t="shared" si="17"/>
        <v>3.5087201799529311</v>
      </c>
    </row>
    <row r="307" spans="1:9" ht="22.5" customHeight="1" x14ac:dyDescent="0.25">
      <c r="A307" s="3">
        <v>43770</v>
      </c>
      <c r="B307" s="2">
        <v>4.2240000000000002</v>
      </c>
      <c r="C307" s="2">
        <f t="shared" si="16"/>
        <v>3.5200079714795449</v>
      </c>
      <c r="D307" s="2">
        <f t="shared" si="18"/>
        <v>2.8338166470801069</v>
      </c>
      <c r="E307" s="2">
        <f t="shared" si="19"/>
        <v>4.2061992958789833</v>
      </c>
      <c r="F307" s="2">
        <f>_xlfn.STDEV.S($C$2:C307)</f>
        <v>0.68619132439943797</v>
      </c>
      <c r="G307" s="2">
        <v>613.53334344270979</v>
      </c>
      <c r="H307" s="2">
        <v>174.29885057471242</v>
      </c>
      <c r="I307" s="2">
        <f t="shared" si="17"/>
        <v>3.5200079714795449</v>
      </c>
    </row>
    <row r="308" spans="1:9" ht="22.5" customHeight="1" x14ac:dyDescent="0.25">
      <c r="A308" s="3">
        <v>43800</v>
      </c>
      <c r="B308" s="2">
        <v>4.0307000000000004</v>
      </c>
      <c r="C308" s="2">
        <f t="shared" si="16"/>
        <v>3.5539414201026642</v>
      </c>
      <c r="D308" s="2">
        <f t="shared" si="18"/>
        <v>2.8651062154454507</v>
      </c>
      <c r="E308" s="2">
        <f t="shared" si="19"/>
        <v>4.2427766247598777</v>
      </c>
      <c r="F308" s="2">
        <f>_xlfn.STDEV.S($C$2:C308)</f>
        <v>0.68883520465721371</v>
      </c>
      <c r="G308" s="2">
        <v>620.58929883703377</v>
      </c>
      <c r="H308" s="2">
        <v>174.62001352265017</v>
      </c>
      <c r="I308" s="2">
        <f t="shared" si="17"/>
        <v>3.5539414201026642</v>
      </c>
    </row>
    <row r="309" spans="1:9" ht="22.5" customHeight="1" x14ac:dyDescent="0.25">
      <c r="A309" s="3">
        <v>43831</v>
      </c>
      <c r="B309" s="2">
        <v>4.2694999999999999</v>
      </c>
      <c r="C309" s="2">
        <f t="shared" si="16"/>
        <v>3.5556344301855662</v>
      </c>
      <c r="D309" s="2">
        <f t="shared" si="18"/>
        <v>2.8641968031302913</v>
      </c>
      <c r="E309" s="2">
        <f t="shared" si="19"/>
        <v>4.2470720572408416</v>
      </c>
      <c r="F309" s="2">
        <f>_xlfn.STDEV.S($C$2:C309)</f>
        <v>0.69143762705527501</v>
      </c>
      <c r="G309" s="2">
        <v>621.89224183181966</v>
      </c>
      <c r="H309" s="2">
        <v>174.90331304935742</v>
      </c>
      <c r="I309" s="2">
        <f t="shared" si="17"/>
        <v>3.5556344301855662</v>
      </c>
    </row>
    <row r="310" spans="1:9" ht="22.5" customHeight="1" x14ac:dyDescent="0.25">
      <c r="A310" s="3">
        <v>43862</v>
      </c>
      <c r="B310" s="2">
        <v>4.4987000000000004</v>
      </c>
      <c r="C310" s="2">
        <f t="shared" si="16"/>
        <v>3.5600517452732645</v>
      </c>
      <c r="D310" s="2">
        <f t="shared" si="18"/>
        <v>2.8660362651692433</v>
      </c>
      <c r="E310" s="2">
        <f t="shared" si="19"/>
        <v>4.2540672253772858</v>
      </c>
      <c r="F310" s="2">
        <f>_xlfn.STDEV.S($C$2:C310)</f>
        <v>0.69401548010402103</v>
      </c>
      <c r="G310" s="2">
        <v>623.44714157403052</v>
      </c>
      <c r="H310" s="2">
        <v>175.12305611899907</v>
      </c>
      <c r="I310" s="2">
        <f t="shared" si="17"/>
        <v>3.5600517452732645</v>
      </c>
    </row>
    <row r="311" spans="1:9" ht="22.5" customHeight="1" x14ac:dyDescent="0.25">
      <c r="A311" s="3">
        <v>43891</v>
      </c>
      <c r="B311" s="2">
        <v>5.1986999999999997</v>
      </c>
      <c r="C311" s="2">
        <f t="shared" si="16"/>
        <v>3.5741620615658785</v>
      </c>
      <c r="D311" s="2">
        <f t="shared" si="18"/>
        <v>2.8775360986648337</v>
      </c>
      <c r="E311" s="2">
        <f t="shared" si="19"/>
        <v>4.2707880244669232</v>
      </c>
      <c r="F311" s="2">
        <f>_xlfn.STDEV.S($C$2:C311)</f>
        <v>0.6966259629010445</v>
      </c>
      <c r="G311" s="2">
        <v>623.88340001633117</v>
      </c>
      <c r="H311" s="2">
        <v>174.55375253549673</v>
      </c>
      <c r="I311" s="2">
        <f t="shared" si="17"/>
        <v>3.5741620615658785</v>
      </c>
    </row>
    <row r="312" spans="1:9" ht="22.5" customHeight="1" x14ac:dyDescent="0.25">
      <c r="A312" s="3">
        <v>43922</v>
      </c>
      <c r="B312" s="2">
        <v>5.4269999999999996</v>
      </c>
      <c r="C312" s="2">
        <f t="shared" si="16"/>
        <v>3.5918965717956013</v>
      </c>
      <c r="D312" s="2">
        <f t="shared" si="18"/>
        <v>2.8926065839404833</v>
      </c>
      <c r="E312" s="2">
        <f t="shared" si="19"/>
        <v>4.2911865596507193</v>
      </c>
      <c r="F312" s="2">
        <f>_xlfn.STDEV.S($C$2:C312)</f>
        <v>0.69928998785511787</v>
      </c>
      <c r="G312" s="2">
        <v>621.94939868655945</v>
      </c>
      <c r="H312" s="2">
        <v>173.15348208248793</v>
      </c>
      <c r="I312" s="2">
        <f t="shared" si="17"/>
        <v>3.5918965717956013</v>
      </c>
    </row>
    <row r="313" spans="1:9" ht="22.5" customHeight="1" x14ac:dyDescent="0.25">
      <c r="A313" s="3">
        <v>43952</v>
      </c>
      <c r="B313" s="2">
        <v>5.4263000000000003</v>
      </c>
      <c r="C313" s="2">
        <f t="shared" si="16"/>
        <v>3.5803453008375561</v>
      </c>
      <c r="D313" s="2">
        <f t="shared" si="18"/>
        <v>2.8785095848864413</v>
      </c>
      <c r="E313" s="2">
        <f t="shared" si="19"/>
        <v>4.2821810167886714</v>
      </c>
      <c r="F313" s="2">
        <f>_xlfn.STDEV.S($C$2:C313)</f>
        <v>0.70183571595111482</v>
      </c>
      <c r="G313" s="2">
        <v>619.58613771302657</v>
      </c>
      <c r="H313" s="2">
        <v>173.0520622041918</v>
      </c>
      <c r="I313" s="2">
        <f t="shared" si="17"/>
        <v>3.5803453008375561</v>
      </c>
    </row>
    <row r="314" spans="1:9" ht="22.5" customHeight="1" x14ac:dyDescent="0.25">
      <c r="A314" s="3">
        <v>43983</v>
      </c>
      <c r="B314" s="2">
        <v>5.476</v>
      </c>
      <c r="C314" s="2">
        <f t="shared" si="16"/>
        <v>3.5718883440076583</v>
      </c>
      <c r="D314" s="2">
        <f t="shared" si="18"/>
        <v>2.8676038275917497</v>
      </c>
      <c r="E314" s="2">
        <f t="shared" si="19"/>
        <v>4.2761728604235669</v>
      </c>
      <c r="F314" s="2">
        <f>_xlfn.STDEV.S($C$2:C314)</f>
        <v>0.70428451641590839</v>
      </c>
      <c r="G314" s="2">
        <v>621.19702784355422</v>
      </c>
      <c r="H314" s="2">
        <v>173.91277890466509</v>
      </c>
      <c r="I314" s="2">
        <f t="shared" si="17"/>
        <v>3.5718883440076583</v>
      </c>
    </row>
    <row r="315" spans="1:9" ht="22.5" customHeight="1" x14ac:dyDescent="0.25">
      <c r="A315" s="3">
        <v>44013</v>
      </c>
      <c r="B315" s="2">
        <v>5.2032999999999996</v>
      </c>
      <c r="C315" s="2">
        <f t="shared" si="16"/>
        <v>3.5663607985592809</v>
      </c>
      <c r="D315" s="2">
        <f t="shared" si="18"/>
        <v>2.8597051558316826</v>
      </c>
      <c r="E315" s="2">
        <f t="shared" si="19"/>
        <v>4.2730164412868792</v>
      </c>
      <c r="F315" s="2">
        <f>_xlfn.STDEV.S($C$2:C315)</f>
        <v>0.70665564272759818</v>
      </c>
      <c r="G315" s="2">
        <v>623.43314397695133</v>
      </c>
      <c r="H315" s="2">
        <v>174.80933062880302</v>
      </c>
      <c r="I315" s="2">
        <f t="shared" si="17"/>
        <v>3.5663607985592809</v>
      </c>
    </row>
    <row r="316" spans="1:9" ht="22.5" customHeight="1" x14ac:dyDescent="0.25">
      <c r="A316" s="3">
        <v>44044</v>
      </c>
      <c r="B316" s="2">
        <v>5.4713000000000003</v>
      </c>
      <c r="C316" s="2">
        <f t="shared" si="16"/>
        <v>3.5606404825820244</v>
      </c>
      <c r="D316" s="2">
        <f t="shared" si="18"/>
        <v>2.85169037111159</v>
      </c>
      <c r="E316" s="2">
        <f t="shared" si="19"/>
        <v>4.2695905940524588</v>
      </c>
      <c r="F316" s="2">
        <f>_xlfn.STDEV.S($C$2:C316)</f>
        <v>0.70895011147043441</v>
      </c>
      <c r="G316" s="2">
        <v>624.92972039799906</v>
      </c>
      <c r="H316" s="2">
        <v>175.51048005409035</v>
      </c>
      <c r="I316" s="2">
        <f t="shared" si="17"/>
        <v>3.5606404825820244</v>
      </c>
    </row>
    <row r="317" spans="1:9" ht="22.5" customHeight="1" x14ac:dyDescent="0.25">
      <c r="A317" s="3">
        <v>44075</v>
      </c>
      <c r="B317" s="2">
        <v>5.6406999999999998</v>
      </c>
      <c r="C317" s="2">
        <f t="shared" si="16"/>
        <v>3.575028942065519</v>
      </c>
      <c r="D317" s="2">
        <f t="shared" si="18"/>
        <v>2.8637484778140951</v>
      </c>
      <c r="E317" s="2">
        <f t="shared" si="19"/>
        <v>4.2863094063169429</v>
      </c>
      <c r="F317" s="2">
        <f>_xlfn.STDEV.S($C$2:C317)</f>
        <v>0.71128046425142399</v>
      </c>
      <c r="G317" s="2">
        <v>628.9295337633713</v>
      </c>
      <c r="H317" s="2">
        <v>175.92292089249469</v>
      </c>
      <c r="I317" s="2">
        <f t="shared" si="17"/>
        <v>3.575028942065519</v>
      </c>
    </row>
    <row r="318" spans="1:9" ht="22.5" customHeight="1" x14ac:dyDescent="0.25">
      <c r="A318" s="3">
        <v>44105</v>
      </c>
      <c r="B318" s="2">
        <v>5.7717999999999998</v>
      </c>
      <c r="C318" s="2">
        <f t="shared" si="16"/>
        <v>3.6035311833292702</v>
      </c>
      <c r="D318" s="2">
        <f t="shared" si="18"/>
        <v>2.8898061114403024</v>
      </c>
      <c r="E318" s="2">
        <f t="shared" si="19"/>
        <v>4.3172562552182381</v>
      </c>
      <c r="F318" s="2">
        <f>_xlfn.STDEV.S($C$2:C318)</f>
        <v>0.71372507188896805</v>
      </c>
      <c r="G318" s="2">
        <v>634.33843856804651</v>
      </c>
      <c r="H318" s="2">
        <v>176.0324543610545</v>
      </c>
      <c r="I318" s="2">
        <f t="shared" si="17"/>
        <v>3.6035311833292702</v>
      </c>
    </row>
    <row r="319" spans="1:9" ht="22.5" customHeight="1" x14ac:dyDescent="0.25">
      <c r="A319" s="3">
        <v>44136</v>
      </c>
      <c r="B319" s="2">
        <v>5.3316999999999997</v>
      </c>
      <c r="C319" s="2">
        <f t="shared" si="16"/>
        <v>3.6304576049791857</v>
      </c>
      <c r="D319" s="2">
        <f t="shared" si="18"/>
        <v>2.9141826552152477</v>
      </c>
      <c r="E319" s="2">
        <f t="shared" si="19"/>
        <v>4.3467325547431237</v>
      </c>
      <c r="F319" s="2">
        <f>_xlfn.STDEV.S($C$2:C319)</f>
        <v>0.71627494976393813</v>
      </c>
      <c r="G319" s="2">
        <v>639.98413605664439</v>
      </c>
      <c r="H319" s="2">
        <v>176.28194726166305</v>
      </c>
      <c r="I319" s="2">
        <f t="shared" si="17"/>
        <v>3.6304576049791857</v>
      </c>
    </row>
    <row r="320" spans="1:9" ht="22.5" customHeight="1" x14ac:dyDescent="0.25">
      <c r="A320" s="3">
        <v>44166</v>
      </c>
      <c r="B320" s="2">
        <v>5.1966999999999999</v>
      </c>
      <c r="C320" s="2">
        <f t="shared" si="16"/>
        <v>3.6676114529167374</v>
      </c>
      <c r="D320" s="2">
        <f t="shared" si="18"/>
        <v>2.9486227065495596</v>
      </c>
      <c r="E320" s="2">
        <f t="shared" si="19"/>
        <v>4.3866001992839152</v>
      </c>
      <c r="F320" s="2">
        <f>_xlfn.STDEV.S($C$2:C320)</f>
        <v>0.71898874636717802</v>
      </c>
      <c r="G320" s="2">
        <v>648.62415285376085</v>
      </c>
      <c r="H320" s="2">
        <v>176.85192697768741</v>
      </c>
      <c r="I320" s="2">
        <f t="shared" si="17"/>
        <v>3.6676114529167374</v>
      </c>
    </row>
    <row r="321" spans="1:9" ht="22.5" customHeight="1" x14ac:dyDescent="0.25">
      <c r="A321" s="3">
        <v>44197</v>
      </c>
      <c r="B321" s="2">
        <v>5.4759000000000002</v>
      </c>
      <c r="C321" s="2">
        <f t="shared" si="16"/>
        <v>3.6678610046084055</v>
      </c>
      <c r="D321" s="2">
        <f t="shared" si="18"/>
        <v>2.9462079350646522</v>
      </c>
      <c r="E321" s="2">
        <f t="shared" si="19"/>
        <v>4.3895140741521583</v>
      </c>
      <c r="F321" s="2">
        <f>_xlfn.STDEV.S($C$2:C321)</f>
        <v>0.72165306954375319</v>
      </c>
      <c r="G321" s="2">
        <v>650.24554118209778</v>
      </c>
      <c r="H321" s="2">
        <v>177.28194726166305</v>
      </c>
      <c r="I321" s="2">
        <f t="shared" si="17"/>
        <v>3.6678610046084055</v>
      </c>
    </row>
    <row r="322" spans="1:9" ht="22.5" customHeight="1" x14ac:dyDescent="0.25">
      <c r="A322" s="3">
        <v>44228</v>
      </c>
      <c r="B322" s="2">
        <v>5.5301999999999998</v>
      </c>
      <c r="C322" s="2">
        <f t="shared" ref="C322:C334" si="20">$B$2*I322</f>
        <v>3.6833055471407188</v>
      </c>
      <c r="D322" s="2">
        <f t="shared" si="18"/>
        <v>2.9589498879730582</v>
      </c>
      <c r="E322" s="2">
        <f t="shared" si="19"/>
        <v>4.4076612063083793</v>
      </c>
      <c r="F322" s="2">
        <f>_xlfn.STDEV.S($C$2:C322)</f>
        <v>0.72435565916766054</v>
      </c>
      <c r="G322" s="2">
        <v>655.83758121522544</v>
      </c>
      <c r="H322" s="2">
        <v>178.0567951318456</v>
      </c>
      <c r="I322" s="2">
        <f t="shared" si="17"/>
        <v>3.6833055471407188</v>
      </c>
    </row>
    <row r="323" spans="1:9" ht="22.5" customHeight="1" x14ac:dyDescent="0.25">
      <c r="A323" s="3">
        <v>44256</v>
      </c>
      <c r="B323" s="2">
        <v>5.6973000000000003</v>
      </c>
      <c r="C323" s="2">
        <f t="shared" si="20"/>
        <v>3.6939677071732748</v>
      </c>
      <c r="D323" s="2">
        <f t="shared" si="18"/>
        <v>2.9668990577285843</v>
      </c>
      <c r="E323" s="2">
        <f t="shared" si="19"/>
        <v>4.4210363566179653</v>
      </c>
      <c r="F323" s="2">
        <f>_xlfn.STDEV.S($C$2:C323)</f>
        <v>0.72706864944469041</v>
      </c>
      <c r="G323" s="2">
        <v>661.93703414247295</v>
      </c>
      <c r="H323" s="2">
        <v>179.19405003380641</v>
      </c>
      <c r="I323" s="2">
        <f t="shared" ref="I323:I334" si="21">G323/H323</f>
        <v>3.6939677071732748</v>
      </c>
    </row>
    <row r="324" spans="1:9" ht="22.5" customHeight="1" x14ac:dyDescent="0.25">
      <c r="A324" s="3">
        <v>44287</v>
      </c>
      <c r="B324" s="2">
        <v>5.4036</v>
      </c>
      <c r="C324" s="2">
        <f t="shared" si="20"/>
        <v>3.6818151407667474</v>
      </c>
      <c r="D324" s="2">
        <f t="shared" ref="D324:D334" si="22">C324-F324</f>
        <v>2.9521524497726617</v>
      </c>
      <c r="E324" s="2">
        <f t="shared" ref="E324:E334" si="23">C324+F324</f>
        <v>4.4114778317608332</v>
      </c>
      <c r="F324" s="2">
        <f>_xlfn.STDEV.S($C$2:C324)</f>
        <v>0.72966269099408576</v>
      </c>
      <c r="G324" s="2">
        <v>663.98884858099439</v>
      </c>
      <c r="H324" s="2">
        <v>180.3427991886407</v>
      </c>
      <c r="I324" s="2">
        <f t="shared" si="21"/>
        <v>3.6818151407667474</v>
      </c>
    </row>
    <row r="325" spans="1:9" ht="22.5" customHeight="1" x14ac:dyDescent="0.25">
      <c r="A325" s="3">
        <v>44317</v>
      </c>
      <c r="B325" s="2">
        <v>5.2321999999999997</v>
      </c>
      <c r="C325" s="2">
        <f t="shared" si="20"/>
        <v>3.6865032825711461</v>
      </c>
      <c r="D325" s="2">
        <f t="shared" si="22"/>
        <v>2.9542683812014627</v>
      </c>
      <c r="E325" s="2">
        <f t="shared" si="23"/>
        <v>4.41873818394083</v>
      </c>
      <c r="F325" s="2">
        <f>_xlfn.STDEV.S($C$2:C325)</f>
        <v>0.73223490136968339</v>
      </c>
      <c r="G325" s="2">
        <v>669.50040243091678</v>
      </c>
      <c r="H325" s="2">
        <v>181.60851926977662</v>
      </c>
      <c r="I325" s="2">
        <f t="shared" si="21"/>
        <v>3.6865032825711461</v>
      </c>
    </row>
    <row r="326" spans="1:9" ht="22.5" customHeight="1" x14ac:dyDescent="0.25">
      <c r="A326" s="3">
        <v>44348</v>
      </c>
      <c r="B326" s="2">
        <v>5.0022000000000002</v>
      </c>
      <c r="C326" s="2">
        <f t="shared" si="20"/>
        <v>3.6738172954056201</v>
      </c>
      <c r="D326" s="2">
        <f t="shared" si="22"/>
        <v>2.9391273364770765</v>
      </c>
      <c r="E326" s="2">
        <f t="shared" si="23"/>
        <v>4.4085072543341637</v>
      </c>
      <c r="F326" s="2">
        <f>_xlfn.STDEV.S($C$2:C326)</f>
        <v>0.7346899589285435</v>
      </c>
      <c r="G326" s="2">
        <v>673.04879329048583</v>
      </c>
      <c r="H326" s="2">
        <v>183.20148749154811</v>
      </c>
      <c r="I326" s="2">
        <f t="shared" si="21"/>
        <v>3.6738172954056201</v>
      </c>
    </row>
    <row r="327" spans="1:9" ht="22.5" customHeight="1" x14ac:dyDescent="0.25">
      <c r="A327" s="3">
        <v>44378</v>
      </c>
      <c r="B327" s="2">
        <v>5.1215999999999999</v>
      </c>
      <c r="C327" s="2">
        <f t="shared" si="20"/>
        <v>3.6923370563531694</v>
      </c>
      <c r="D327" s="2">
        <f t="shared" si="22"/>
        <v>2.9551359264418569</v>
      </c>
      <c r="E327" s="2">
        <f t="shared" si="23"/>
        <v>4.429538186264482</v>
      </c>
      <c r="F327" s="2">
        <f>_xlfn.STDEV.S($C$2:C327)</f>
        <v>0.73720112991131259</v>
      </c>
      <c r="G327" s="2">
        <v>679.5098508089452</v>
      </c>
      <c r="H327" s="2">
        <v>184.03245436105456</v>
      </c>
      <c r="I327" s="2">
        <f t="shared" si="21"/>
        <v>3.6923370563531694</v>
      </c>
    </row>
    <row r="328" spans="1:9" ht="22.5" customHeight="1" x14ac:dyDescent="0.25">
      <c r="A328" s="3">
        <v>44409</v>
      </c>
      <c r="B328" s="2">
        <v>5.1433</v>
      </c>
      <c r="C328" s="2">
        <f t="shared" si="20"/>
        <v>3.7120765251548531</v>
      </c>
      <c r="D328" s="2">
        <f t="shared" si="22"/>
        <v>2.972301839927344</v>
      </c>
      <c r="E328" s="2">
        <f t="shared" si="23"/>
        <v>4.4518512103823618</v>
      </c>
      <c r="F328" s="2">
        <f>_xlfn.STDEV.S($C$2:C328)</f>
        <v>0.739774685227509</v>
      </c>
      <c r="G328" s="2">
        <v>685.42150264204724</v>
      </c>
      <c r="H328" s="2">
        <v>184.6463826910072</v>
      </c>
      <c r="I328" s="2">
        <f t="shared" si="21"/>
        <v>3.7120765251548531</v>
      </c>
    </row>
    <row r="329" spans="1:9" ht="22.5" customHeight="1" x14ac:dyDescent="0.25">
      <c r="A329" s="3">
        <v>44440</v>
      </c>
      <c r="B329" s="2">
        <v>5.4394</v>
      </c>
      <c r="C329" s="2">
        <f t="shared" si="20"/>
        <v>3.7397703683294061</v>
      </c>
      <c r="D329" s="2">
        <f t="shared" si="22"/>
        <v>2.9973159064563237</v>
      </c>
      <c r="E329" s="2">
        <f t="shared" si="23"/>
        <v>4.4822248302024885</v>
      </c>
      <c r="F329" s="2">
        <f>_xlfn.STDEV.S($C$2:C329)</f>
        <v>0.74245446187308251</v>
      </c>
      <c r="G329" s="2">
        <v>693.37213778301464</v>
      </c>
      <c r="H329" s="2">
        <v>185.40500338066241</v>
      </c>
      <c r="I329" s="2">
        <f t="shared" si="21"/>
        <v>3.7397703683294061</v>
      </c>
    </row>
    <row r="330" spans="1:9" ht="22.5" customHeight="1" x14ac:dyDescent="0.25">
      <c r="A330" s="3">
        <v>44470</v>
      </c>
      <c r="B330" s="2">
        <v>5.6429999999999998</v>
      </c>
      <c r="C330" s="2">
        <f t="shared" si="20"/>
        <v>3.7539884171963389</v>
      </c>
      <c r="D330" s="2">
        <f t="shared" si="22"/>
        <v>3.0088239333011888</v>
      </c>
      <c r="E330" s="2">
        <f t="shared" si="23"/>
        <v>4.499152901091489</v>
      </c>
      <c r="F330" s="2">
        <f>_xlfn.STDEV.S($C$2:C330)</f>
        <v>0.74516448389515</v>
      </c>
      <c r="G330" s="2">
        <v>702.03898330786626</v>
      </c>
      <c r="H330" s="2">
        <v>187.01149425287335</v>
      </c>
      <c r="I330" s="2">
        <f t="shared" si="21"/>
        <v>3.7539884171963389</v>
      </c>
    </row>
    <row r="331" spans="1:9" ht="22.5" customHeight="1" x14ac:dyDescent="0.25">
      <c r="A331" s="3">
        <v>44501</v>
      </c>
      <c r="B331" s="2">
        <v>5.6199000000000003</v>
      </c>
      <c r="C331" s="2">
        <f t="shared" si="20"/>
        <v>3.7633395034880222</v>
      </c>
      <c r="D331" s="2">
        <f t="shared" si="22"/>
        <v>3.015462316025546</v>
      </c>
      <c r="E331" s="2">
        <f t="shared" si="23"/>
        <v>4.5112166909504978</v>
      </c>
      <c r="F331" s="2">
        <f>_xlfn.STDEV.S($C$2:C331)</f>
        <v>0.74787718746247611</v>
      </c>
      <c r="G331" s="2">
        <v>708.70883831608978</v>
      </c>
      <c r="H331" s="2">
        <v>188.31913455037167</v>
      </c>
      <c r="I331" s="2">
        <f t="shared" si="21"/>
        <v>3.7633395034880222</v>
      </c>
    </row>
    <row r="332" spans="1:9" ht="22.5" customHeight="1" x14ac:dyDescent="0.25">
      <c r="A332" s="3">
        <v>44531</v>
      </c>
      <c r="B332" s="2">
        <v>5.5804999999999998</v>
      </c>
      <c r="C332" s="2">
        <f t="shared" si="20"/>
        <v>3.7691312155955936</v>
      </c>
      <c r="D332" s="2">
        <f t="shared" si="22"/>
        <v>3.0185584570316326</v>
      </c>
      <c r="E332" s="2">
        <f t="shared" si="23"/>
        <v>4.5197039741595546</v>
      </c>
      <c r="F332" s="2">
        <f>_xlfn.STDEV.S($C$2:C332)</f>
        <v>0.75057275856396111</v>
      </c>
      <c r="G332" s="2">
        <v>713.88211690326568</v>
      </c>
      <c r="H332" s="2">
        <v>189.40229885057448</v>
      </c>
      <c r="I332" s="2">
        <f t="shared" si="21"/>
        <v>3.7691312155955936</v>
      </c>
    </row>
    <row r="333" spans="1:9" ht="22.5" customHeight="1" x14ac:dyDescent="0.25">
      <c r="A333" s="3">
        <v>44562</v>
      </c>
      <c r="B333" s="2">
        <v>5.3574000000000002</v>
      </c>
      <c r="C333" s="2">
        <f t="shared" si="20"/>
        <v>3.7651975809541836</v>
      </c>
      <c r="D333" s="2">
        <f t="shared" si="22"/>
        <v>3.0119995332331424</v>
      </c>
      <c r="E333" s="2">
        <f t="shared" si="23"/>
        <v>4.5183956286752247</v>
      </c>
      <c r="F333" s="2">
        <f>_xlfn.STDEV.S($C$2:C333)</f>
        <v>0.75319804772104104</v>
      </c>
      <c r="G333" s="2">
        <v>717.73728843215326</v>
      </c>
      <c r="H333" s="2">
        <v>190.62407031778207</v>
      </c>
      <c r="I333" s="2">
        <f t="shared" si="21"/>
        <v>3.7651975809541836</v>
      </c>
    </row>
    <row r="334" spans="1:9" ht="22.5" customHeight="1" x14ac:dyDescent="0.25">
      <c r="A334" s="3">
        <v>44593</v>
      </c>
      <c r="B334" s="2">
        <v>5.01</v>
      </c>
      <c r="C334" s="2">
        <f t="shared" si="20"/>
        <v>3.7781017545453675</v>
      </c>
      <c r="D334" s="2">
        <f t="shared" si="22"/>
        <v>3.0222553114486828</v>
      </c>
      <c r="E334" s="2">
        <f t="shared" si="23"/>
        <v>4.5339481976420517</v>
      </c>
      <c r="F334" s="2">
        <f>_xlfn.STDEV.S($C$2:C334)</f>
        <v>0.75584644309668458</v>
      </c>
      <c r="G334" s="2">
        <v>724.84288758763159</v>
      </c>
      <c r="H334" s="2">
        <v>191.85372302786337</v>
      </c>
      <c r="I334" s="2">
        <f t="shared" si="21"/>
        <v>3.7781017545453675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DD56-BE70-4211-8113-178B050649C4}">
  <sheetPr filterMode="1"/>
  <dimension ref="A1:D144"/>
  <sheetViews>
    <sheetView topLeftCell="A122" workbookViewId="0">
      <selection activeCell="A6" sqref="A6:D144"/>
    </sheetView>
  </sheetViews>
  <sheetFormatPr defaultColWidth="16.25" defaultRowHeight="22.5" customHeight="1" x14ac:dyDescent="0.25"/>
  <cols>
    <col min="1" max="1" width="22.25" style="2" bestFit="1" customWidth="1"/>
    <col min="2" max="3" width="16.25" style="2"/>
    <col min="4" max="4" width="19.875" style="2" bestFit="1" customWidth="1"/>
    <col min="5" max="16384" width="16.25" style="2"/>
  </cols>
  <sheetData>
    <row r="1" spans="1:4" ht="22.5" customHeight="1" x14ac:dyDescent="0.25">
      <c r="A1" s="2" t="s">
        <v>537</v>
      </c>
      <c r="B1" s="2" t="s">
        <v>373</v>
      </c>
      <c r="C1" s="2" t="s">
        <v>558</v>
      </c>
      <c r="D1" s="2" t="s">
        <v>538</v>
      </c>
    </row>
    <row r="2" spans="1:4" ht="22.5" hidden="1" customHeight="1" x14ac:dyDescent="0.25">
      <c r="A2" s="2" t="s">
        <v>429</v>
      </c>
      <c r="B2" s="2">
        <v>668.06100000000004</v>
      </c>
      <c r="C2" s="2">
        <v>21372.6</v>
      </c>
      <c r="D2" s="1" t="s">
        <v>575</v>
      </c>
    </row>
    <row r="3" spans="1:4" ht="22.5" hidden="1" customHeight="1" x14ac:dyDescent="0.25">
      <c r="A3" s="2" t="s">
        <v>430</v>
      </c>
      <c r="B3" s="2">
        <v>379.19671036047396</v>
      </c>
      <c r="C3" s="2">
        <v>71.113</v>
      </c>
      <c r="D3" s="1" t="s">
        <v>575</v>
      </c>
    </row>
    <row r="4" spans="1:4" ht="22.5" hidden="1" customHeight="1" x14ac:dyDescent="0.25">
      <c r="A4" s="2" t="s">
        <v>431</v>
      </c>
      <c r="B4" s="2">
        <v>241.04289855201958</v>
      </c>
      <c r="C4" s="2">
        <v>399.16500000000002</v>
      </c>
      <c r="D4" s="1" t="s">
        <v>575</v>
      </c>
    </row>
    <row r="5" spans="1:4" ht="22.5" hidden="1" customHeight="1" x14ac:dyDescent="0.25">
      <c r="A5" s="2" t="s">
        <v>432</v>
      </c>
      <c r="B5" s="2">
        <v>205.42857635056157</v>
      </c>
      <c r="C5" s="2">
        <v>2833.3009999999999</v>
      </c>
      <c r="D5" s="1" t="s">
        <v>575</v>
      </c>
    </row>
    <row r="6" spans="1:4" ht="22.5" customHeight="1" x14ac:dyDescent="0.25">
      <c r="A6" s="2" t="s">
        <v>539</v>
      </c>
      <c r="B6" s="2">
        <v>143.6827546076718</v>
      </c>
      <c r="C6" s="2">
        <v>14340.6</v>
      </c>
      <c r="D6" s="1" t="s">
        <v>576</v>
      </c>
    </row>
    <row r="7" spans="1:4" ht="22.5" hidden="1" customHeight="1" x14ac:dyDescent="0.25">
      <c r="A7" s="2" t="s">
        <v>433</v>
      </c>
      <c r="B7" s="2">
        <v>105.69663367426384</v>
      </c>
      <c r="C7" s="2">
        <v>2728.8339999999998</v>
      </c>
      <c r="D7" s="1" t="s">
        <v>575</v>
      </c>
    </row>
    <row r="8" spans="1:4" ht="22.5" hidden="1" customHeight="1" x14ac:dyDescent="0.25">
      <c r="A8" s="2" t="s">
        <v>434</v>
      </c>
      <c r="B8" s="2">
        <v>100.91476793633437</v>
      </c>
      <c r="C8" s="2">
        <v>1741.576</v>
      </c>
      <c r="D8" s="1" t="s">
        <v>575</v>
      </c>
    </row>
    <row r="9" spans="1:4" ht="22.5" hidden="1" customHeight="1" x14ac:dyDescent="0.25">
      <c r="A9" s="2" t="s">
        <v>435</v>
      </c>
      <c r="B9" s="2">
        <v>86.230916082900279</v>
      </c>
      <c r="C9" s="2">
        <v>1393.2</v>
      </c>
      <c r="D9" s="1" t="s">
        <v>575</v>
      </c>
    </row>
    <row r="10" spans="1:4" ht="22.5" hidden="1" customHeight="1" x14ac:dyDescent="0.25">
      <c r="A10" s="2" t="s">
        <v>540</v>
      </c>
      <c r="B10" s="2">
        <v>84.368574542496248</v>
      </c>
      <c r="C10" s="2">
        <v>910.29499999999996</v>
      </c>
      <c r="D10" s="1" t="s">
        <v>575</v>
      </c>
    </row>
    <row r="11" spans="1:4" ht="22.5" hidden="1" customHeight="1" x14ac:dyDescent="0.25">
      <c r="A11" s="2" t="s">
        <v>436</v>
      </c>
      <c r="B11" s="2">
        <v>68.527856375270844</v>
      </c>
      <c r="C11" s="2">
        <v>5135.8959999999997</v>
      </c>
      <c r="D11" s="1" t="s">
        <v>575</v>
      </c>
    </row>
    <row r="12" spans="1:4" ht="22.5" hidden="1" customHeight="1" x14ac:dyDescent="0.25">
      <c r="A12" s="2" t="s">
        <v>437</v>
      </c>
      <c r="B12" s="2">
        <v>49.347458710389503</v>
      </c>
      <c r="C12" s="2">
        <v>533.31299999999999</v>
      </c>
      <c r="D12" s="1" t="s">
        <v>575</v>
      </c>
    </row>
    <row r="13" spans="1:4" ht="22.5" hidden="1" customHeight="1" x14ac:dyDescent="0.25">
      <c r="A13" s="2" t="s">
        <v>541</v>
      </c>
      <c r="B13" s="2">
        <v>45.658499999999997</v>
      </c>
      <c r="C13" s="2">
        <v>1651.423</v>
      </c>
      <c r="D13" s="1" t="s">
        <v>575</v>
      </c>
    </row>
    <row r="14" spans="1:4" ht="22.5" hidden="1" customHeight="1" x14ac:dyDescent="0.25">
      <c r="A14" s="2" t="s">
        <v>438</v>
      </c>
      <c r="B14" s="2">
        <v>27.651498823160221</v>
      </c>
      <c r="C14" s="2">
        <v>2005.135</v>
      </c>
      <c r="D14" s="1" t="s">
        <v>575</v>
      </c>
    </row>
    <row r="15" spans="1:4" ht="22.5" customHeight="1" x14ac:dyDescent="0.25">
      <c r="A15" s="2" t="s">
        <v>439</v>
      </c>
      <c r="B15" s="2">
        <v>26.93548021278767</v>
      </c>
      <c r="C15" s="2">
        <v>279.33800000000002</v>
      </c>
      <c r="D15" s="1" t="s">
        <v>576</v>
      </c>
    </row>
    <row r="16" spans="1:4" ht="22.5" hidden="1" customHeight="1" x14ac:dyDescent="0.25">
      <c r="A16" s="2" t="s">
        <v>440</v>
      </c>
      <c r="B16" s="2">
        <v>24.882099999999998</v>
      </c>
      <c r="C16" s="2">
        <v>397.935</v>
      </c>
      <c r="D16" s="1" t="s">
        <v>575</v>
      </c>
    </row>
    <row r="17" spans="1:4" ht="22.5" customHeight="1" x14ac:dyDescent="0.25">
      <c r="A17" s="2" t="s">
        <v>441</v>
      </c>
      <c r="B17" s="2">
        <v>20.858356027739998</v>
      </c>
      <c r="C17" s="2">
        <v>1877.8219999999999</v>
      </c>
      <c r="D17" s="1" t="s">
        <v>576</v>
      </c>
    </row>
    <row r="18" spans="1:4" ht="22.5" customHeight="1" x14ac:dyDescent="0.25">
      <c r="A18" s="2" t="s">
        <v>442</v>
      </c>
      <c r="B18" s="2">
        <v>18.110426197866669</v>
      </c>
      <c r="C18" s="2">
        <v>792.96600000000001</v>
      </c>
      <c r="D18" s="1" t="s">
        <v>576</v>
      </c>
    </row>
    <row r="19" spans="1:4" ht="22.5" hidden="1" customHeight="1" x14ac:dyDescent="0.25">
      <c r="A19" s="2" t="s">
        <v>443</v>
      </c>
      <c r="B19" s="2">
        <v>15.734889531746022</v>
      </c>
      <c r="C19" s="2">
        <v>445.125</v>
      </c>
      <c r="D19" s="1" t="s">
        <v>575</v>
      </c>
    </row>
    <row r="20" spans="1:4" ht="22.5" hidden="1" customHeight="1" x14ac:dyDescent="0.25">
      <c r="A20" s="2" t="s">
        <v>444</v>
      </c>
      <c r="B20" s="2">
        <v>13.334989931874732</v>
      </c>
      <c r="C20" s="2">
        <v>405.51</v>
      </c>
      <c r="D20" s="1" t="s">
        <v>575</v>
      </c>
    </row>
    <row r="21" spans="1:4" ht="22.5" hidden="1" customHeight="1" x14ac:dyDescent="0.25">
      <c r="A21" s="2" t="s">
        <v>445</v>
      </c>
      <c r="B21" s="2">
        <v>13.193256342784968</v>
      </c>
      <c r="C21" s="2">
        <v>268.81200000000001</v>
      </c>
      <c r="D21" s="1" t="s">
        <v>575</v>
      </c>
    </row>
    <row r="22" spans="1:4" ht="22.5" customHeight="1" x14ac:dyDescent="0.25">
      <c r="A22" s="2" t="s">
        <v>446</v>
      </c>
      <c r="B22" s="2">
        <v>13.111324567050888</v>
      </c>
      <c r="C22" s="2">
        <v>2870.5039999999999</v>
      </c>
      <c r="D22" s="1" t="s">
        <v>576</v>
      </c>
    </row>
    <row r="23" spans="1:4" ht="22.5" hidden="1" customHeight="1" x14ac:dyDescent="0.25">
      <c r="A23" s="2" t="s">
        <v>447</v>
      </c>
      <c r="B23" s="2">
        <v>12.687082027344983</v>
      </c>
      <c r="C23" s="2">
        <v>3888.7559999999999</v>
      </c>
      <c r="D23" s="1" t="s">
        <v>575</v>
      </c>
    </row>
    <row r="24" spans="1:4" ht="22.5" customHeight="1" x14ac:dyDescent="0.25">
      <c r="A24" s="2" t="s">
        <v>448</v>
      </c>
      <c r="B24" s="2">
        <v>11.225476435346984</v>
      </c>
      <c r="C24" s="2">
        <v>365.279</v>
      </c>
      <c r="D24" s="1" t="s">
        <v>576</v>
      </c>
    </row>
    <row r="25" spans="1:4" ht="22.5" hidden="1" customHeight="1" x14ac:dyDescent="0.25">
      <c r="A25" s="2" t="s">
        <v>449</v>
      </c>
      <c r="B25" s="2">
        <v>10.79812870807678</v>
      </c>
      <c r="C25" s="2">
        <v>347.56099999999998</v>
      </c>
      <c r="D25" s="1" t="s">
        <v>575</v>
      </c>
    </row>
    <row r="26" spans="1:4" ht="22.5" customHeight="1" x14ac:dyDescent="0.25">
      <c r="A26" s="2" t="s">
        <v>450</v>
      </c>
      <c r="B26" s="2">
        <v>8.57376</v>
      </c>
      <c r="C26" s="2">
        <v>302.33499999999998</v>
      </c>
      <c r="D26" s="1" t="s">
        <v>576</v>
      </c>
    </row>
    <row r="27" spans="1:4" ht="22.5" customHeight="1" x14ac:dyDescent="0.25">
      <c r="A27" s="2" t="s">
        <v>451</v>
      </c>
      <c r="B27" s="2">
        <v>6.8425736741207484</v>
      </c>
      <c r="C27" s="2">
        <v>1120.0419999999999</v>
      </c>
      <c r="D27" s="1" t="s">
        <v>576</v>
      </c>
    </row>
    <row r="28" spans="1:4" ht="22.5" hidden="1" customHeight="1" x14ac:dyDescent="0.25">
      <c r="A28" s="2" t="s">
        <v>452</v>
      </c>
      <c r="B28" s="2">
        <v>6.2019686163746286</v>
      </c>
      <c r="C28" s="2">
        <v>533.88</v>
      </c>
      <c r="D28" s="1" t="s">
        <v>575</v>
      </c>
    </row>
    <row r="29" spans="1:4" ht="22.5" customHeight="1" x14ac:dyDescent="0.25">
      <c r="A29" s="2" t="s">
        <v>453</v>
      </c>
      <c r="B29" s="2">
        <v>6.1285501947001304</v>
      </c>
      <c r="C29" s="2">
        <v>230.86500000000001</v>
      </c>
      <c r="D29" s="1" t="s">
        <v>576</v>
      </c>
    </row>
    <row r="30" spans="1:4" ht="22.5" customHeight="1" x14ac:dyDescent="0.25">
      <c r="A30" s="2" t="s">
        <v>454</v>
      </c>
      <c r="B30" s="2">
        <v>5.810821539163042</v>
      </c>
      <c r="C30" s="2">
        <v>323.375</v>
      </c>
      <c r="D30" s="1" t="s">
        <v>576</v>
      </c>
    </row>
    <row r="31" spans="1:4" ht="22.5" customHeight="1" x14ac:dyDescent="0.25">
      <c r="A31" s="2" t="s">
        <v>455</v>
      </c>
      <c r="B31" s="2">
        <v>5.722963134627002</v>
      </c>
      <c r="C31" s="2">
        <v>249.69499999999999</v>
      </c>
      <c r="D31" s="1" t="s">
        <v>576</v>
      </c>
    </row>
    <row r="32" spans="1:4" ht="22.5" hidden="1" customHeight="1" x14ac:dyDescent="0.25">
      <c r="A32" s="2" t="s">
        <v>456</v>
      </c>
      <c r="B32" s="2">
        <v>5.1760096368829105</v>
      </c>
      <c r="C32" s="2">
        <v>210.44300000000001</v>
      </c>
      <c r="D32" s="1" t="s">
        <v>575</v>
      </c>
    </row>
    <row r="33" spans="1:4" ht="22.5" hidden="1" customHeight="1" x14ac:dyDescent="0.25">
      <c r="A33" s="2" t="s">
        <v>457</v>
      </c>
      <c r="B33" s="2">
        <v>5.157620838987798</v>
      </c>
      <c r="C33" s="2">
        <v>205.34899999999999</v>
      </c>
      <c r="D33" s="1" t="s">
        <v>575</v>
      </c>
    </row>
    <row r="34" spans="1:4" ht="22.5" hidden="1" customHeight="1" x14ac:dyDescent="0.25">
      <c r="A34" s="2" t="s">
        <v>542</v>
      </c>
      <c r="B34" s="2">
        <v>4.2809617067095349</v>
      </c>
      <c r="C34" s="2">
        <v>363.01600000000002</v>
      </c>
      <c r="D34" s="1" t="s">
        <v>575</v>
      </c>
    </row>
    <row r="35" spans="1:4" ht="22.5" hidden="1" customHeight="1" x14ac:dyDescent="0.25">
      <c r="A35" s="2" t="s">
        <v>458</v>
      </c>
      <c r="B35" s="2">
        <v>3.2067663390938552</v>
      </c>
      <c r="C35" s="2">
        <v>24.952999999999999</v>
      </c>
      <c r="D35" s="1" t="s">
        <v>575</v>
      </c>
    </row>
    <row r="36" spans="1:4" ht="22.5" customHeight="1" x14ac:dyDescent="0.25">
      <c r="A36" s="2" t="s">
        <v>459</v>
      </c>
      <c r="B36" s="2">
        <v>3.056</v>
      </c>
      <c r="C36" s="2">
        <v>760.51599999999996</v>
      </c>
      <c r="D36" s="1" t="s">
        <v>576</v>
      </c>
    </row>
    <row r="37" spans="1:4" ht="22.5" customHeight="1" x14ac:dyDescent="0.25">
      <c r="A37" s="2" t="s">
        <v>460</v>
      </c>
      <c r="B37" s="2">
        <v>2.8481111453680588</v>
      </c>
      <c r="C37" s="2">
        <v>163.494</v>
      </c>
      <c r="D37" s="1" t="s">
        <v>576</v>
      </c>
    </row>
    <row r="38" spans="1:4" ht="22.5" customHeight="1" x14ac:dyDescent="0.25">
      <c r="A38" s="2" t="s">
        <v>461</v>
      </c>
      <c r="B38" s="2">
        <v>2.7919999999999998</v>
      </c>
      <c r="C38" s="2">
        <v>276.94200000000001</v>
      </c>
      <c r="D38" s="1" t="s">
        <v>576</v>
      </c>
    </row>
    <row r="39" spans="1:4" ht="22.5" hidden="1" customHeight="1" x14ac:dyDescent="0.25">
      <c r="A39" s="2" t="s">
        <v>462</v>
      </c>
      <c r="B39" s="2">
        <v>2.5245119403886656</v>
      </c>
      <c r="C39" s="2">
        <v>374.39</v>
      </c>
      <c r="D39" s="1" t="s">
        <v>575</v>
      </c>
    </row>
    <row r="40" spans="1:4" ht="22.5" customHeight="1" x14ac:dyDescent="0.25">
      <c r="A40" s="2" t="s">
        <v>463</v>
      </c>
      <c r="B40" s="2">
        <v>2.3767000000000005</v>
      </c>
      <c r="C40" s="2">
        <v>89.031999999999996</v>
      </c>
      <c r="D40" s="1" t="s">
        <v>576</v>
      </c>
    </row>
    <row r="41" spans="1:4" ht="22.5" customHeight="1" x14ac:dyDescent="0.25">
      <c r="A41" s="2" t="s">
        <v>543</v>
      </c>
      <c r="B41" s="2">
        <v>2.3529719761868426</v>
      </c>
      <c r="C41" s="2">
        <v>51.475000000000001</v>
      </c>
      <c r="D41" s="1" t="s">
        <v>576</v>
      </c>
    </row>
    <row r="42" spans="1:4" ht="22.5" customHeight="1" x14ac:dyDescent="0.25">
      <c r="A42" s="2" t="s">
        <v>544</v>
      </c>
      <c r="B42" s="2">
        <v>2.3271152224357441</v>
      </c>
      <c r="C42" s="2">
        <v>181.667</v>
      </c>
      <c r="D42" s="1" t="s">
        <v>576</v>
      </c>
    </row>
    <row r="43" spans="1:4" ht="22.5" customHeight="1" x14ac:dyDescent="0.25">
      <c r="A43" s="2" t="s">
        <v>464</v>
      </c>
      <c r="B43" s="2">
        <v>2.0655859030551409</v>
      </c>
      <c r="C43" s="2">
        <v>23.309000000000001</v>
      </c>
      <c r="D43" s="1" t="s">
        <v>576</v>
      </c>
    </row>
    <row r="44" spans="1:4" ht="22.5" customHeight="1" x14ac:dyDescent="0.25">
      <c r="A44" s="2" t="s">
        <v>465</v>
      </c>
      <c r="B44" s="2">
        <v>2.0271709472200001</v>
      </c>
      <c r="C44" s="2">
        <v>66.787999999999997</v>
      </c>
      <c r="D44" s="1" t="s">
        <v>576</v>
      </c>
    </row>
    <row r="45" spans="1:4" ht="22.5" customHeight="1" x14ac:dyDescent="0.25">
      <c r="A45" s="2" t="s">
        <v>545</v>
      </c>
      <c r="B45" s="2">
        <v>1.9060443844444372</v>
      </c>
      <c r="C45" s="2">
        <v>105.131</v>
      </c>
      <c r="D45" s="1" t="s">
        <v>576</v>
      </c>
    </row>
    <row r="46" spans="1:4" ht="22.5" customHeight="1" x14ac:dyDescent="0.25">
      <c r="A46" s="2" t="s">
        <v>466</v>
      </c>
      <c r="B46" s="2">
        <v>1.6535257197061881</v>
      </c>
      <c r="C46" s="2">
        <v>448.12</v>
      </c>
      <c r="D46" s="1" t="s">
        <v>576</v>
      </c>
    </row>
    <row r="47" spans="1:4" ht="22.5" customHeight="1" x14ac:dyDescent="0.25">
      <c r="A47" s="2" t="s">
        <v>546</v>
      </c>
      <c r="B47" s="2">
        <v>1.2289505272503742</v>
      </c>
      <c r="C47" s="2">
        <v>60.752000000000002</v>
      </c>
      <c r="D47" s="1" t="s">
        <v>576</v>
      </c>
    </row>
    <row r="48" spans="1:4" ht="22.5" customHeight="1" x14ac:dyDescent="0.25">
      <c r="A48" s="2" t="s">
        <v>467</v>
      </c>
      <c r="B48" s="2">
        <v>1.1415124417362366</v>
      </c>
      <c r="C48" s="2">
        <v>14.045999999999999</v>
      </c>
      <c r="D48" s="1" t="s">
        <v>576</v>
      </c>
    </row>
    <row r="49" spans="1:4" ht="22.5" hidden="1" customHeight="1" x14ac:dyDescent="0.25">
      <c r="A49" s="2" t="s">
        <v>468</v>
      </c>
      <c r="B49" s="2">
        <v>1.1102616951435782</v>
      </c>
      <c r="C49" s="2">
        <v>24.858000000000001</v>
      </c>
      <c r="D49" s="1" t="s">
        <v>575</v>
      </c>
    </row>
    <row r="50" spans="1:4" ht="22.5" customHeight="1" x14ac:dyDescent="0.25">
      <c r="A50" s="2" t="s">
        <v>469</v>
      </c>
      <c r="B50" s="2">
        <v>0.99976680000000007</v>
      </c>
      <c r="C50" s="2">
        <v>77.004000000000005</v>
      </c>
      <c r="D50" s="1" t="s">
        <v>576</v>
      </c>
    </row>
    <row r="51" spans="1:4" ht="22.5" customHeight="1" x14ac:dyDescent="0.25">
      <c r="A51" s="2" t="s">
        <v>547</v>
      </c>
      <c r="B51" s="2">
        <v>0.98390402366713048</v>
      </c>
      <c r="C51" s="2">
        <v>59.906999999999996</v>
      </c>
      <c r="D51" s="1" t="s">
        <v>576</v>
      </c>
    </row>
    <row r="52" spans="1:4" ht="22.5" customHeight="1" x14ac:dyDescent="0.25">
      <c r="A52" s="2" t="s">
        <v>548</v>
      </c>
      <c r="B52" s="2">
        <v>0.71551085074538401</v>
      </c>
      <c r="C52" s="2">
        <v>13.619</v>
      </c>
      <c r="D52" s="1" t="s">
        <v>576</v>
      </c>
    </row>
    <row r="53" spans="1:4" ht="22.5" customHeight="1" x14ac:dyDescent="0.25">
      <c r="A53" s="2" t="s">
        <v>470</v>
      </c>
      <c r="B53" s="2">
        <v>0.59100165675777683</v>
      </c>
      <c r="C53" s="2">
        <v>544.21</v>
      </c>
      <c r="D53" s="1" t="s">
        <v>576</v>
      </c>
    </row>
    <row r="54" spans="1:4" ht="22.5" customHeight="1" x14ac:dyDescent="0.25">
      <c r="A54" s="2" t="s">
        <v>471</v>
      </c>
      <c r="B54" s="2">
        <v>0.53500000000000003</v>
      </c>
      <c r="C54" s="2">
        <v>327.87299999999999</v>
      </c>
      <c r="D54" s="1" t="s">
        <v>576</v>
      </c>
    </row>
    <row r="55" spans="1:4" ht="22.5" hidden="1" customHeight="1" x14ac:dyDescent="0.25">
      <c r="A55" s="2" t="s">
        <v>549</v>
      </c>
      <c r="B55" s="2">
        <v>0.52018402284639076</v>
      </c>
      <c r="C55" s="2">
        <v>31.048999999999999</v>
      </c>
      <c r="D55" s="1" t="s">
        <v>575</v>
      </c>
    </row>
    <row r="56" spans="1:4" ht="22.5" customHeight="1" x14ac:dyDescent="0.25">
      <c r="A56" s="2" t="s">
        <v>472</v>
      </c>
      <c r="B56" s="2">
        <v>0.51400000000000001</v>
      </c>
      <c r="C56" s="2">
        <v>153.99700000000001</v>
      </c>
      <c r="D56" s="1" t="s">
        <v>576</v>
      </c>
    </row>
    <row r="57" spans="1:4" ht="22.5" customHeight="1" x14ac:dyDescent="0.25">
      <c r="A57" s="2" t="s">
        <v>473</v>
      </c>
      <c r="B57" s="2">
        <v>0.49635199999999996</v>
      </c>
      <c r="C57" s="2">
        <v>37.906999999999996</v>
      </c>
      <c r="D57" s="1" t="s">
        <v>576</v>
      </c>
    </row>
    <row r="58" spans="1:4" ht="22.5" customHeight="1" x14ac:dyDescent="0.25">
      <c r="A58" s="2" t="s">
        <v>474</v>
      </c>
      <c r="B58" s="2">
        <v>0.36284117720169284</v>
      </c>
      <c r="C58" s="2">
        <v>61.930999999999997</v>
      </c>
      <c r="D58" s="1" t="s">
        <v>576</v>
      </c>
    </row>
    <row r="59" spans="1:4" ht="22.5" customHeight="1" x14ac:dyDescent="0.25">
      <c r="A59" s="2" t="s">
        <v>475</v>
      </c>
      <c r="B59" s="2">
        <v>0.32178563858031217</v>
      </c>
      <c r="C59" s="2">
        <v>136.19200000000001</v>
      </c>
      <c r="D59" s="1" t="s">
        <v>576</v>
      </c>
    </row>
    <row r="60" spans="1:4" ht="22.5" hidden="1" customHeight="1" x14ac:dyDescent="0.25">
      <c r="A60" s="2" t="s">
        <v>476</v>
      </c>
      <c r="B60" s="2">
        <v>0.31652615969688225</v>
      </c>
      <c r="C60" s="2">
        <v>15.728</v>
      </c>
      <c r="D60" s="1" t="s">
        <v>575</v>
      </c>
    </row>
    <row r="61" spans="1:4" ht="22.5" customHeight="1" x14ac:dyDescent="0.25">
      <c r="A61" s="2" t="s">
        <v>550</v>
      </c>
      <c r="B61" s="2">
        <v>0.20922426792644411</v>
      </c>
      <c r="C61" s="2">
        <v>12.55</v>
      </c>
      <c r="D61" s="1" t="s">
        <v>576</v>
      </c>
    </row>
    <row r="62" spans="1:4" ht="22.5" customHeight="1" x14ac:dyDescent="0.25">
      <c r="A62" s="2" t="s">
        <v>477</v>
      </c>
      <c r="B62" s="2">
        <v>0.19596784977782913</v>
      </c>
      <c r="C62" s="2">
        <v>25.09</v>
      </c>
      <c r="D62" s="1" t="s">
        <v>576</v>
      </c>
    </row>
    <row r="63" spans="1:4" ht="22.5" customHeight="1" x14ac:dyDescent="0.25">
      <c r="A63" s="2" t="s">
        <v>478</v>
      </c>
      <c r="B63" s="2">
        <v>0.14448482391532164</v>
      </c>
      <c r="C63" s="2">
        <v>20.202999999999999</v>
      </c>
      <c r="D63" s="1" t="s">
        <v>576</v>
      </c>
    </row>
    <row r="64" spans="1:4" ht="22.5" customHeight="1" x14ac:dyDescent="0.25">
      <c r="A64" s="2" t="s">
        <v>479</v>
      </c>
      <c r="B64" s="2">
        <v>3.5369487469721218E-2</v>
      </c>
      <c r="C64" s="2">
        <v>23.207999999999998</v>
      </c>
      <c r="D64" s="1" t="s">
        <v>576</v>
      </c>
    </row>
    <row r="65" spans="1:4" ht="22.5" customHeight="1" x14ac:dyDescent="0.25">
      <c r="A65" s="2" t="s">
        <v>551</v>
      </c>
      <c r="B65" s="2">
        <v>1.9416941648945051E-2</v>
      </c>
      <c r="C65" s="2">
        <v>60.81</v>
      </c>
      <c r="D65" s="1" t="s">
        <v>576</v>
      </c>
    </row>
    <row r="66" spans="1:4" ht="22.5" customHeight="1" x14ac:dyDescent="0.25">
      <c r="A66" s="2" t="s">
        <v>480</v>
      </c>
      <c r="B66" s="2">
        <v>9.5069774512339892E-3</v>
      </c>
      <c r="C66" s="2">
        <v>12.563000000000001</v>
      </c>
      <c r="D66" s="1" t="s">
        <v>576</v>
      </c>
    </row>
    <row r="67" spans="1:4" ht="22.5" customHeight="1" x14ac:dyDescent="0.25">
      <c r="A67" s="2" t="s">
        <v>552</v>
      </c>
      <c r="B67" s="2">
        <v>7.5325223181817863E-3</v>
      </c>
      <c r="C67" s="2">
        <v>7.9530000000000003</v>
      </c>
      <c r="D67" s="1" t="s">
        <v>576</v>
      </c>
    </row>
    <row r="68" spans="1:4" ht="22.5" customHeight="1" x14ac:dyDescent="0.25">
      <c r="A68" s="2" t="s">
        <v>481</v>
      </c>
      <c r="B68" s="2">
        <v>8.8000000000000003E-4</v>
      </c>
      <c r="C68" s="2">
        <v>10.356</v>
      </c>
      <c r="D68" s="1" t="s">
        <v>576</v>
      </c>
    </row>
    <row r="69" spans="1:4" ht="22.5" customHeight="1" x14ac:dyDescent="0.25">
      <c r="A69" s="2" t="s">
        <v>482</v>
      </c>
      <c r="B69" s="2">
        <v>8.0000000000000004E-4</v>
      </c>
      <c r="C69" s="2">
        <v>233.953</v>
      </c>
      <c r="D69" s="1" t="s">
        <v>576</v>
      </c>
    </row>
    <row r="70" spans="1:4" ht="22.5" customHeight="1" x14ac:dyDescent="0.25">
      <c r="A70" s="2" t="s">
        <v>483</v>
      </c>
      <c r="B70" s="2">
        <v>3.7994741126852103E-4</v>
      </c>
      <c r="C70" s="2">
        <v>41.192999999999998</v>
      </c>
      <c r="D70" s="1" t="s">
        <v>576</v>
      </c>
    </row>
    <row r="71" spans="1:4" ht="22.5" customHeight="1" x14ac:dyDescent="0.25">
      <c r="A71" s="2" t="s">
        <v>553</v>
      </c>
      <c r="B71" s="2">
        <v>3.4895999999999999E-4</v>
      </c>
      <c r="C71" s="2">
        <v>8.1170000000000009</v>
      </c>
      <c r="D71" s="1" t="s">
        <v>576</v>
      </c>
    </row>
    <row r="72" spans="1:4" ht="22.5" customHeight="1" x14ac:dyDescent="0.25">
      <c r="A72" s="2" t="s">
        <v>554</v>
      </c>
      <c r="B72" s="2">
        <v>2.9540352803461101E-4</v>
      </c>
      <c r="C72" s="2">
        <v>8.8719999999999999</v>
      </c>
      <c r="D72" s="1" t="s">
        <v>576</v>
      </c>
    </row>
    <row r="73" spans="1:4" ht="22.5" customHeight="1" x14ac:dyDescent="0.25">
      <c r="A73" s="2" t="s">
        <v>555</v>
      </c>
      <c r="B73" s="2">
        <v>1.1217303982789006E-4</v>
      </c>
      <c r="C73" s="2">
        <v>2.2280000000000002</v>
      </c>
      <c r="D73" s="1" t="s">
        <v>576</v>
      </c>
    </row>
    <row r="74" spans="1:4" ht="22.5" customHeight="1" x14ac:dyDescent="0.25">
      <c r="A74" s="2" t="s">
        <v>484</v>
      </c>
      <c r="B74" s="2">
        <v>6.8871679039048887E-6</v>
      </c>
      <c r="C74" s="2">
        <v>1.982</v>
      </c>
      <c r="D74" s="1" t="s">
        <v>576</v>
      </c>
    </row>
    <row r="75" spans="1:4" ht="22.5" customHeight="1" x14ac:dyDescent="0.25">
      <c r="A75" s="2" t="s">
        <v>556</v>
      </c>
      <c r="B75" s="2">
        <v>0</v>
      </c>
      <c r="C75" s="2">
        <v>18.876000000000001</v>
      </c>
      <c r="D75" s="1" t="s">
        <v>576</v>
      </c>
    </row>
    <row r="76" spans="1:4" ht="22.5" customHeight="1" x14ac:dyDescent="0.25">
      <c r="A76" s="2" t="s">
        <v>485</v>
      </c>
      <c r="B76" s="2">
        <v>0</v>
      </c>
      <c r="C76" s="2">
        <v>84.516000000000005</v>
      </c>
      <c r="D76" s="1" t="s">
        <v>576</v>
      </c>
    </row>
    <row r="77" spans="1:4" ht="22.5" customHeight="1" x14ac:dyDescent="0.25">
      <c r="A77" s="2" t="s">
        <v>557</v>
      </c>
      <c r="B77" s="2">
        <v>0</v>
      </c>
      <c r="C77" s="2">
        <v>13.164</v>
      </c>
      <c r="D77" s="1" t="s">
        <v>576</v>
      </c>
    </row>
    <row r="78" spans="1:4" ht="22.5" customHeight="1" x14ac:dyDescent="0.25">
      <c r="A78" s="2" t="s">
        <v>486</v>
      </c>
      <c r="B78" s="2">
        <v>0</v>
      </c>
      <c r="C78" s="2">
        <v>2.488</v>
      </c>
      <c r="D78" s="1" t="s">
        <v>576</v>
      </c>
    </row>
    <row r="79" spans="1:4" ht="22.5" customHeight="1" x14ac:dyDescent="0.25">
      <c r="A79" s="2" t="s">
        <v>487</v>
      </c>
      <c r="B79" s="2">
        <v>0</v>
      </c>
      <c r="C79" s="2">
        <v>13.47</v>
      </c>
      <c r="D79" s="1" t="s">
        <v>576</v>
      </c>
    </row>
    <row r="80" spans="1:4" ht="22.5" customHeight="1" x14ac:dyDescent="0.25">
      <c r="A80" s="2" t="s">
        <v>488</v>
      </c>
      <c r="B80" s="2">
        <v>0</v>
      </c>
      <c r="C80" s="2">
        <v>27.088000000000001</v>
      </c>
      <c r="D80" s="1" t="s">
        <v>576</v>
      </c>
    </row>
    <row r="81" spans="1:4" ht="22.5" customHeight="1" x14ac:dyDescent="0.25">
      <c r="A81" s="2" t="s">
        <v>489</v>
      </c>
      <c r="B81" s="2">
        <v>0</v>
      </c>
      <c r="C81" s="2">
        <v>39.009</v>
      </c>
      <c r="D81" s="1" t="s">
        <v>576</v>
      </c>
    </row>
    <row r="82" spans="1:4" ht="22.5" customHeight="1" x14ac:dyDescent="0.25">
      <c r="A82" s="2" t="s">
        <v>490</v>
      </c>
      <c r="B82" s="2">
        <v>0</v>
      </c>
      <c r="C82" s="2">
        <v>3.3460000000000001</v>
      </c>
      <c r="D82" s="1" t="s">
        <v>576</v>
      </c>
    </row>
    <row r="83" spans="1:4" ht="22.5" customHeight="1" x14ac:dyDescent="0.25">
      <c r="A83" s="2" t="s">
        <v>491</v>
      </c>
      <c r="B83" s="2">
        <v>0</v>
      </c>
      <c r="C83" s="2">
        <v>26.896999999999998</v>
      </c>
      <c r="D83" s="1" t="s">
        <v>576</v>
      </c>
    </row>
    <row r="84" spans="1:4" ht="22.5" customHeight="1" x14ac:dyDescent="0.25">
      <c r="A84" s="2" t="s">
        <v>492</v>
      </c>
      <c r="B84" s="2">
        <v>0</v>
      </c>
      <c r="C84" s="2">
        <v>5.4960000000000004</v>
      </c>
      <c r="D84" s="1" t="s">
        <v>576</v>
      </c>
    </row>
    <row r="85" spans="1:4" ht="22.5" customHeight="1" x14ac:dyDescent="0.25">
      <c r="A85" s="2" t="s">
        <v>493</v>
      </c>
      <c r="B85" s="2">
        <v>0</v>
      </c>
      <c r="C85" s="2">
        <v>1.806</v>
      </c>
      <c r="D85" s="1" t="s">
        <v>576</v>
      </c>
    </row>
    <row r="86" spans="1:4" ht="22.5" customHeight="1" x14ac:dyDescent="0.25">
      <c r="A86" s="2" t="s">
        <v>494</v>
      </c>
      <c r="B86" s="2">
        <v>0</v>
      </c>
      <c r="C86" s="2">
        <v>68.352999999999994</v>
      </c>
      <c r="D86" s="1" t="s">
        <v>576</v>
      </c>
    </row>
    <row r="87" spans="1:4" ht="22.5" customHeight="1" x14ac:dyDescent="0.25">
      <c r="A87" s="2" t="s">
        <v>495</v>
      </c>
      <c r="B87" s="2">
        <v>0</v>
      </c>
      <c r="C87" s="2">
        <v>13.513999999999999</v>
      </c>
      <c r="D87" s="1" t="s">
        <v>576</v>
      </c>
    </row>
    <row r="88" spans="1:4" ht="22.5" customHeight="1" x14ac:dyDescent="0.25">
      <c r="A88" s="2" t="s">
        <v>496</v>
      </c>
      <c r="B88" s="2">
        <v>0</v>
      </c>
      <c r="C88" s="2">
        <v>5.1740000000000004</v>
      </c>
      <c r="D88" s="1" t="s">
        <v>576</v>
      </c>
    </row>
    <row r="89" spans="1:4" ht="22.5" customHeight="1" x14ac:dyDescent="0.25">
      <c r="A89" s="2" t="s">
        <v>497</v>
      </c>
      <c r="B89" s="2">
        <v>0</v>
      </c>
      <c r="C89" s="2">
        <v>0.19800000000000001</v>
      </c>
      <c r="D89" s="1" t="s">
        <v>576</v>
      </c>
    </row>
    <row r="90" spans="1:4" ht="22.5" customHeight="1" x14ac:dyDescent="0.25">
      <c r="A90" s="2" t="s">
        <v>498</v>
      </c>
      <c r="B90" s="2">
        <v>0</v>
      </c>
      <c r="C90" s="2">
        <v>52.371000000000002</v>
      </c>
      <c r="D90" s="1" t="s">
        <v>576</v>
      </c>
    </row>
    <row r="91" spans="1:4" ht="22.5" customHeight="1" x14ac:dyDescent="0.25">
      <c r="A91" s="2" t="s">
        <v>499</v>
      </c>
      <c r="B91" s="2">
        <v>0</v>
      </c>
      <c r="C91" s="2">
        <v>3.08</v>
      </c>
      <c r="D91" s="1" t="s">
        <v>576</v>
      </c>
    </row>
    <row r="92" spans="1:4" ht="22.5" customHeight="1" x14ac:dyDescent="0.25">
      <c r="A92" s="2" t="s">
        <v>559</v>
      </c>
      <c r="B92" s="2">
        <v>0</v>
      </c>
      <c r="C92" s="2">
        <v>14.105</v>
      </c>
      <c r="D92" s="1" t="s">
        <v>576</v>
      </c>
    </row>
    <row r="93" spans="1:4" ht="22.5" customHeight="1" x14ac:dyDescent="0.25">
      <c r="A93" s="2" t="s">
        <v>560</v>
      </c>
      <c r="B93" s="2">
        <v>0</v>
      </c>
      <c r="C93" s="2">
        <v>7.8890000000000002</v>
      </c>
      <c r="D93" s="1" t="s">
        <v>576</v>
      </c>
    </row>
    <row r="94" spans="1:4" ht="22.5" customHeight="1" x14ac:dyDescent="0.25">
      <c r="A94" s="2" t="s">
        <v>561</v>
      </c>
      <c r="B94" s="2">
        <v>0</v>
      </c>
      <c r="C94" s="2">
        <v>15.39</v>
      </c>
      <c r="D94" s="1" t="s">
        <v>576</v>
      </c>
    </row>
    <row r="95" spans="1:4" ht="22.5" customHeight="1" x14ac:dyDescent="0.25">
      <c r="A95" s="2" t="s">
        <v>500</v>
      </c>
      <c r="B95" s="2">
        <v>0</v>
      </c>
      <c r="C95" s="2">
        <v>68.802000000000007</v>
      </c>
      <c r="D95" s="1" t="s">
        <v>576</v>
      </c>
    </row>
    <row r="96" spans="1:4" ht="22.5" customHeight="1" x14ac:dyDescent="0.25">
      <c r="A96" s="2" t="s">
        <v>501</v>
      </c>
      <c r="B96" s="2">
        <v>0</v>
      </c>
      <c r="C96" s="2">
        <v>34.186</v>
      </c>
      <c r="D96" s="1" t="s">
        <v>576</v>
      </c>
    </row>
    <row r="97" spans="1:4" ht="22.5" customHeight="1" x14ac:dyDescent="0.25">
      <c r="A97" s="2" t="s">
        <v>502</v>
      </c>
      <c r="B97" s="2">
        <v>0</v>
      </c>
      <c r="C97" s="2">
        <v>12.625</v>
      </c>
      <c r="D97" s="1" t="s">
        <v>576</v>
      </c>
    </row>
    <row r="98" spans="1:4" ht="22.5" customHeight="1" x14ac:dyDescent="0.25">
      <c r="A98" s="2" t="s">
        <v>503</v>
      </c>
      <c r="B98" s="2">
        <v>0</v>
      </c>
      <c r="C98" s="2">
        <v>24.829000000000001</v>
      </c>
      <c r="D98" s="1" t="s">
        <v>576</v>
      </c>
    </row>
    <row r="99" spans="1:4" ht="22.5" customHeight="1" x14ac:dyDescent="0.25">
      <c r="A99" s="2" t="s">
        <v>504</v>
      </c>
      <c r="B99" s="2">
        <v>0</v>
      </c>
      <c r="C99" s="2">
        <v>0.84599999999999997</v>
      </c>
      <c r="D99" s="1" t="s">
        <v>576</v>
      </c>
    </row>
    <row r="100" spans="1:4" ht="22.5" customHeight="1" x14ac:dyDescent="0.25">
      <c r="A100" s="2" t="s">
        <v>505</v>
      </c>
      <c r="B100" s="2">
        <v>0</v>
      </c>
      <c r="C100" s="2">
        <v>1.579</v>
      </c>
      <c r="D100" s="1" t="s">
        <v>576</v>
      </c>
    </row>
    <row r="101" spans="1:4" ht="22.5" customHeight="1" x14ac:dyDescent="0.25">
      <c r="A101" s="2" t="s">
        <v>506</v>
      </c>
      <c r="B101" s="2">
        <v>0</v>
      </c>
      <c r="C101" s="2">
        <v>33.564</v>
      </c>
      <c r="D101" s="1" t="s">
        <v>576</v>
      </c>
    </row>
    <row r="102" spans="1:4" ht="22.5" customHeight="1" x14ac:dyDescent="0.25">
      <c r="A102" s="2" t="s">
        <v>562</v>
      </c>
      <c r="B102" s="2">
        <v>0</v>
      </c>
      <c r="C102" s="2">
        <v>2.0179999999999998</v>
      </c>
      <c r="D102" s="1" t="s">
        <v>576</v>
      </c>
    </row>
    <row r="103" spans="1:4" ht="22.5" customHeight="1" x14ac:dyDescent="0.25">
      <c r="A103" s="2" t="s">
        <v>507</v>
      </c>
      <c r="B103" s="2">
        <v>0</v>
      </c>
      <c r="C103" s="2">
        <v>0.51700000000000002</v>
      </c>
      <c r="D103" s="1" t="s">
        <v>576</v>
      </c>
    </row>
    <row r="104" spans="1:4" ht="22.5" customHeight="1" x14ac:dyDescent="0.25">
      <c r="A104" s="2" t="s">
        <v>508</v>
      </c>
      <c r="B104" s="2">
        <v>0</v>
      </c>
      <c r="C104" s="2">
        <v>38.000999999999998</v>
      </c>
      <c r="D104" s="1" t="s">
        <v>576</v>
      </c>
    </row>
    <row r="105" spans="1:4" ht="22.5" customHeight="1" x14ac:dyDescent="0.25">
      <c r="A105" s="2" t="s">
        <v>509</v>
      </c>
      <c r="B105" s="2">
        <v>0</v>
      </c>
      <c r="C105" s="2">
        <v>0.92800000000000005</v>
      </c>
      <c r="D105" s="1" t="s">
        <v>576</v>
      </c>
    </row>
    <row r="106" spans="1:4" ht="22.5" customHeight="1" x14ac:dyDescent="0.25">
      <c r="A106" s="2" t="s">
        <v>563</v>
      </c>
      <c r="B106" s="2">
        <v>0</v>
      </c>
      <c r="C106" s="2">
        <v>63.96</v>
      </c>
      <c r="D106" s="1" t="s">
        <v>576</v>
      </c>
    </row>
    <row r="107" spans="1:4" ht="22.5" customHeight="1" x14ac:dyDescent="0.25">
      <c r="A107" s="2" t="s">
        <v>564</v>
      </c>
      <c r="B107" s="2">
        <v>0</v>
      </c>
      <c r="C107" s="2">
        <v>21.888000000000002</v>
      </c>
      <c r="D107" s="1" t="s">
        <v>576</v>
      </c>
    </row>
    <row r="108" spans="1:4" ht="22.5" customHeight="1" x14ac:dyDescent="0.25">
      <c r="A108" s="2" t="s">
        <v>510</v>
      </c>
      <c r="B108" s="2">
        <v>0</v>
      </c>
      <c r="C108" s="2">
        <v>19.587</v>
      </c>
      <c r="D108" s="1" t="s">
        <v>576</v>
      </c>
    </row>
    <row r="109" spans="1:4" ht="22.5" customHeight="1" x14ac:dyDescent="0.25">
      <c r="A109" s="2" t="s">
        <v>565</v>
      </c>
      <c r="B109" s="2">
        <v>-2.1333992477557316E-8</v>
      </c>
      <c r="C109" s="2">
        <v>0.43099999999999999</v>
      </c>
      <c r="D109" s="1" t="s">
        <v>576</v>
      </c>
    </row>
    <row r="110" spans="1:4" ht="22.5" customHeight="1" x14ac:dyDescent="0.25">
      <c r="A110" s="2" t="s">
        <v>566</v>
      </c>
      <c r="B110" s="2">
        <v>-1.66E-3</v>
      </c>
      <c r="C110" s="2">
        <v>11.972</v>
      </c>
      <c r="D110" s="1" t="s">
        <v>576</v>
      </c>
    </row>
    <row r="111" spans="1:4" ht="22.5" customHeight="1" x14ac:dyDescent="0.25">
      <c r="A111" s="2" t="s">
        <v>511</v>
      </c>
      <c r="B111" s="2">
        <v>-7.4416039630465893E-3</v>
      </c>
      <c r="C111" s="2">
        <v>119.871</v>
      </c>
      <c r="D111" s="1" t="s">
        <v>576</v>
      </c>
    </row>
    <row r="112" spans="1:4" ht="22.5" customHeight="1" x14ac:dyDescent="0.25">
      <c r="A112" s="2" t="s">
        <v>567</v>
      </c>
      <c r="B112" s="2">
        <v>-7.5663266400000017E-3</v>
      </c>
      <c r="C112" s="2">
        <v>64.414000000000001</v>
      </c>
      <c r="D112" s="1" t="s">
        <v>576</v>
      </c>
    </row>
    <row r="113" spans="1:4" ht="22.5" customHeight="1" x14ac:dyDescent="0.25">
      <c r="A113" s="2" t="s">
        <v>512</v>
      </c>
      <c r="B113" s="2">
        <v>-8.3343460776546859E-3</v>
      </c>
      <c r="C113" s="2">
        <v>13.997</v>
      </c>
      <c r="D113" s="1" t="s">
        <v>576</v>
      </c>
    </row>
    <row r="114" spans="1:4" ht="22.5" customHeight="1" x14ac:dyDescent="0.25">
      <c r="A114" s="2" t="s">
        <v>513</v>
      </c>
      <c r="B114" s="2">
        <v>-8.9999999999999993E-3</v>
      </c>
      <c r="C114" s="2">
        <v>1.9830000000000001</v>
      </c>
      <c r="D114" s="1" t="s">
        <v>576</v>
      </c>
    </row>
    <row r="115" spans="1:4" ht="22.5" customHeight="1" x14ac:dyDescent="0.25">
      <c r="A115" s="2" t="s">
        <v>514</v>
      </c>
      <c r="B115" s="2">
        <v>-1.0028566666620952E-2</v>
      </c>
      <c r="C115" s="2">
        <v>1.58</v>
      </c>
      <c r="D115" s="1" t="s">
        <v>576</v>
      </c>
    </row>
    <row r="116" spans="1:4" ht="22.5" customHeight="1" x14ac:dyDescent="0.25">
      <c r="A116" s="2" t="s">
        <v>515</v>
      </c>
      <c r="B116" s="2">
        <v>-1.7706929980425803E-2</v>
      </c>
      <c r="C116" s="2">
        <v>17.134</v>
      </c>
      <c r="D116" s="1" t="s">
        <v>576</v>
      </c>
    </row>
    <row r="117" spans="1:4" ht="22.5" customHeight="1" x14ac:dyDescent="0.25">
      <c r="A117" s="2" t="s">
        <v>516</v>
      </c>
      <c r="B117" s="2">
        <v>-1.8169014084507044E-2</v>
      </c>
      <c r="C117" s="2">
        <v>44.566000000000003</v>
      </c>
      <c r="D117" s="1" t="s">
        <v>576</v>
      </c>
    </row>
    <row r="118" spans="1:4" ht="22.5" customHeight="1" x14ac:dyDescent="0.25">
      <c r="A118" s="2" t="s">
        <v>517</v>
      </c>
      <c r="B118" s="2">
        <v>-2.0326692611885903E-2</v>
      </c>
      <c r="C118" s="2">
        <v>15.808</v>
      </c>
      <c r="D118" s="1" t="s">
        <v>576</v>
      </c>
    </row>
    <row r="119" spans="1:4" ht="22.5" customHeight="1" x14ac:dyDescent="0.25">
      <c r="A119" s="2" t="s">
        <v>518</v>
      </c>
      <c r="B119" s="2">
        <v>-3.5714285720000002E-2</v>
      </c>
      <c r="C119" s="2">
        <v>3.984</v>
      </c>
      <c r="D119" s="1" t="s">
        <v>576</v>
      </c>
    </row>
    <row r="120" spans="1:4" ht="22.5" hidden="1" customHeight="1" x14ac:dyDescent="0.25">
      <c r="A120" s="2" t="s">
        <v>519</v>
      </c>
      <c r="B120" s="2">
        <v>-4.4755866233766144E-2</v>
      </c>
      <c r="C120" s="2">
        <v>34.058999999999997</v>
      </c>
      <c r="D120" s="1" t="s">
        <v>575</v>
      </c>
    </row>
    <row r="121" spans="1:4" ht="22.5" customHeight="1" x14ac:dyDescent="0.25">
      <c r="A121" s="2" t="s">
        <v>520</v>
      </c>
      <c r="B121" s="2">
        <v>-7.8234296976901097E-2</v>
      </c>
      <c r="C121" s="2">
        <v>83.977999999999994</v>
      </c>
      <c r="D121" s="1" t="s">
        <v>576</v>
      </c>
    </row>
    <row r="122" spans="1:4" ht="22.5" customHeight="1" x14ac:dyDescent="0.25">
      <c r="A122" s="2" t="s">
        <v>568</v>
      </c>
      <c r="B122" s="2">
        <v>-9.2522561285953014E-2</v>
      </c>
      <c r="C122" s="2">
        <v>3.31</v>
      </c>
      <c r="D122" s="1" t="s">
        <v>576</v>
      </c>
    </row>
    <row r="123" spans="1:4" ht="22.5" customHeight="1" x14ac:dyDescent="0.25">
      <c r="A123" s="2" t="s">
        <v>521</v>
      </c>
      <c r="B123" s="2">
        <v>-0.10449391496897521</v>
      </c>
      <c r="C123" s="2">
        <v>15.282999999999999</v>
      </c>
      <c r="D123" s="1" t="s">
        <v>576</v>
      </c>
    </row>
    <row r="124" spans="1:4" ht="22.5" customHeight="1" x14ac:dyDescent="0.25">
      <c r="A124" s="2" t="s">
        <v>522</v>
      </c>
      <c r="B124" s="2">
        <v>-0.13097</v>
      </c>
      <c r="C124" s="2">
        <v>68.563000000000002</v>
      </c>
      <c r="D124" s="1" t="s">
        <v>576</v>
      </c>
    </row>
    <row r="125" spans="1:4" ht="22.5" customHeight="1" x14ac:dyDescent="0.25">
      <c r="A125" s="2" t="s">
        <v>569</v>
      </c>
      <c r="B125" s="2">
        <v>-0.15031517911742109</v>
      </c>
      <c r="C125" s="2">
        <v>18.771000000000001</v>
      </c>
      <c r="D125" s="1" t="s">
        <v>576</v>
      </c>
    </row>
    <row r="126" spans="1:4" ht="22.5" customHeight="1" x14ac:dyDescent="0.25">
      <c r="A126" s="2" t="s">
        <v>570</v>
      </c>
      <c r="B126" s="2">
        <v>-0.177672</v>
      </c>
      <c r="C126" s="2">
        <v>48.173999999999999</v>
      </c>
      <c r="D126" s="1" t="s">
        <v>576</v>
      </c>
    </row>
    <row r="127" spans="1:4" ht="22.5" customHeight="1" x14ac:dyDescent="0.25">
      <c r="A127" s="2" t="s">
        <v>523</v>
      </c>
      <c r="B127" s="2">
        <v>-0.19307551197999998</v>
      </c>
      <c r="C127" s="2">
        <v>108.108</v>
      </c>
      <c r="D127" s="1" t="s">
        <v>576</v>
      </c>
    </row>
    <row r="128" spans="1:4" ht="22.5" customHeight="1" x14ac:dyDescent="0.25">
      <c r="A128" s="2" t="s">
        <v>524</v>
      </c>
      <c r="B128" s="2">
        <v>-0.24334058717418061</v>
      </c>
      <c r="C128" s="2">
        <v>302.39699999999999</v>
      </c>
      <c r="D128" s="1" t="s">
        <v>576</v>
      </c>
    </row>
    <row r="129" spans="1:4" ht="22.5" customHeight="1" x14ac:dyDescent="0.25">
      <c r="A129" s="2" t="s">
        <v>525</v>
      </c>
      <c r="B129" s="2">
        <v>-0.31888217680000003</v>
      </c>
      <c r="C129" s="2">
        <v>17.477</v>
      </c>
      <c r="D129" s="1" t="s">
        <v>576</v>
      </c>
    </row>
    <row r="130" spans="1:4" ht="22.5" customHeight="1" x14ac:dyDescent="0.25">
      <c r="A130" s="2" t="s">
        <v>526</v>
      </c>
      <c r="B130" s="2">
        <v>-0.41809521109100606</v>
      </c>
      <c r="C130" s="2">
        <v>5.5430000000000001</v>
      </c>
      <c r="D130" s="1" t="s">
        <v>576</v>
      </c>
    </row>
    <row r="131" spans="1:4" ht="22.5" customHeight="1" x14ac:dyDescent="0.25">
      <c r="A131" s="2" t="s">
        <v>527</v>
      </c>
      <c r="B131" s="2">
        <v>-0.6108969993570279</v>
      </c>
      <c r="C131" s="2">
        <v>64.066999999999993</v>
      </c>
      <c r="D131" s="1" t="s">
        <v>576</v>
      </c>
    </row>
    <row r="132" spans="1:4" ht="22.5" hidden="1" customHeight="1" x14ac:dyDescent="0.25">
      <c r="A132" s="2" t="s">
        <v>528</v>
      </c>
      <c r="B132" s="2">
        <v>-0.76298255560454531</v>
      </c>
      <c r="C132" s="2">
        <v>1392.328</v>
      </c>
      <c r="D132" s="1" t="s">
        <v>575</v>
      </c>
    </row>
    <row r="133" spans="1:4" ht="22.5" hidden="1" customHeight="1" x14ac:dyDescent="0.25">
      <c r="A133" s="2" t="s">
        <v>529</v>
      </c>
      <c r="B133" s="2">
        <v>-0.89110128605555927</v>
      </c>
      <c r="C133" s="2">
        <v>54.646000000000001</v>
      </c>
      <c r="D133" s="1" t="s">
        <v>575</v>
      </c>
    </row>
    <row r="134" spans="1:4" ht="22.5" customHeight="1" x14ac:dyDescent="0.25">
      <c r="A134" s="2" t="s">
        <v>530</v>
      </c>
      <c r="B134" s="2">
        <v>-1.2446513333679741</v>
      </c>
      <c r="C134" s="2">
        <v>376.82299999999998</v>
      </c>
      <c r="D134" s="1" t="s">
        <v>576</v>
      </c>
    </row>
    <row r="135" spans="1:4" ht="22.5" hidden="1" customHeight="1" x14ac:dyDescent="0.25">
      <c r="A135" s="2" t="s">
        <v>571</v>
      </c>
      <c r="B135" s="2">
        <v>-1.2523598988002096</v>
      </c>
      <c r="C135" s="2">
        <v>54.185000000000002</v>
      </c>
      <c r="D135" s="1" t="s">
        <v>575</v>
      </c>
    </row>
    <row r="136" spans="1:4" ht="22.5" customHeight="1" x14ac:dyDescent="0.25">
      <c r="A136" s="2" t="s">
        <v>531</v>
      </c>
      <c r="B136" s="2">
        <v>-2.8421365765101467</v>
      </c>
      <c r="C136" s="2">
        <v>451.815</v>
      </c>
      <c r="D136" s="1" t="s">
        <v>576</v>
      </c>
    </row>
    <row r="137" spans="1:4" ht="22.5" customHeight="1" x14ac:dyDescent="0.25">
      <c r="A137" s="2" t="s">
        <v>532</v>
      </c>
      <c r="B137" s="2">
        <v>-3.7445054945054936</v>
      </c>
      <c r="C137" s="2">
        <v>175.83799999999999</v>
      </c>
      <c r="D137" s="1" t="s">
        <v>576</v>
      </c>
    </row>
    <row r="138" spans="1:4" ht="22.5" customHeight="1" x14ac:dyDescent="0.25">
      <c r="A138" s="2" t="s">
        <v>572</v>
      </c>
      <c r="B138" s="2">
        <v>-4.9988599999999996</v>
      </c>
      <c r="C138" s="2">
        <v>1690.05</v>
      </c>
      <c r="D138" s="1" t="s">
        <v>576</v>
      </c>
    </row>
    <row r="139" spans="1:4" ht="22.5" customHeight="1" x14ac:dyDescent="0.25">
      <c r="A139" s="2" t="s">
        <v>573</v>
      </c>
      <c r="B139" s="2">
        <v>-5.0010000000000003</v>
      </c>
      <c r="C139" s="2">
        <v>597.19399999999996</v>
      </c>
      <c r="D139" s="1" t="s">
        <v>576</v>
      </c>
    </row>
    <row r="140" spans="1:4" ht="22.5" hidden="1" customHeight="1" x14ac:dyDescent="0.25">
      <c r="A140" s="2" t="s">
        <v>533</v>
      </c>
      <c r="B140" s="2">
        <v>-5.2583967863303105</v>
      </c>
      <c r="C140" s="2">
        <v>732.49199999999996</v>
      </c>
      <c r="D140" s="1" t="s">
        <v>575</v>
      </c>
    </row>
    <row r="141" spans="1:4" ht="22.5" hidden="1" customHeight="1" x14ac:dyDescent="0.25">
      <c r="A141" s="2" t="s">
        <v>534</v>
      </c>
      <c r="B141" s="2">
        <v>-5.7154022048340094</v>
      </c>
      <c r="C141" s="2">
        <v>240.01300000000001</v>
      </c>
      <c r="D141" s="1" t="s">
        <v>575</v>
      </c>
    </row>
    <row r="142" spans="1:4" ht="22.5" hidden="1" customHeight="1" x14ac:dyDescent="0.25">
      <c r="A142" s="2" t="s">
        <v>574</v>
      </c>
      <c r="B142" s="2">
        <v>-7.0302765811137489</v>
      </c>
      <c r="C142" s="2">
        <v>252.49799999999999</v>
      </c>
      <c r="D142" s="1" t="s">
        <v>575</v>
      </c>
    </row>
    <row r="143" spans="1:4" ht="22.5" customHeight="1" x14ac:dyDescent="0.25">
      <c r="A143" s="2" t="s">
        <v>535</v>
      </c>
      <c r="B143" s="2">
        <v>-13.016088707</v>
      </c>
      <c r="C143" s="2">
        <v>1269.432</v>
      </c>
      <c r="D143" s="1" t="s">
        <v>576</v>
      </c>
    </row>
    <row r="144" spans="1:4" ht="22.5" customHeight="1" x14ac:dyDescent="0.25">
      <c r="A144" s="2" t="s">
        <v>536</v>
      </c>
      <c r="B144" s="2">
        <v>-25.813019362087562</v>
      </c>
      <c r="C144" s="2">
        <v>387.84899999999999</v>
      </c>
      <c r="D144" s="1" t="s">
        <v>576</v>
      </c>
    </row>
  </sheetData>
  <autoFilter ref="A1:D144" xr:uid="{CCD8DD56-BE70-4211-8113-178B050649C4}">
    <filterColumn colId="3">
      <filters>
        <filter val="Economia Emergente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3956-5773-40D4-9428-E7E93A5344A7}">
  <dimension ref="A1:D41"/>
  <sheetViews>
    <sheetView topLeftCell="A7" workbookViewId="0">
      <selection activeCell="B22" sqref="B22:B24"/>
    </sheetView>
  </sheetViews>
  <sheetFormatPr defaultColWidth="16.25" defaultRowHeight="22.5" customHeight="1" x14ac:dyDescent="0.25"/>
  <cols>
    <col min="1" max="2" width="16.25" style="2"/>
    <col min="3" max="3" width="19.875" style="2" bestFit="1" customWidth="1"/>
    <col min="4" max="16384" width="16.25" style="2"/>
  </cols>
  <sheetData>
    <row r="1" spans="1:4" ht="22.5" customHeight="1" x14ac:dyDescent="0.25">
      <c r="A1" s="2" t="s">
        <v>537</v>
      </c>
      <c r="B1" s="2" t="s">
        <v>373</v>
      </c>
      <c r="C1" s="2" t="s">
        <v>538</v>
      </c>
      <c r="D1" s="2" t="s">
        <v>577</v>
      </c>
    </row>
    <row r="2" spans="1:4" ht="22.5" customHeight="1" x14ac:dyDescent="0.25">
      <c r="A2" s="4" t="s">
        <v>429</v>
      </c>
      <c r="B2" s="2">
        <v>668.06100000000004</v>
      </c>
      <c r="C2" s="2" t="s">
        <v>575</v>
      </c>
      <c r="D2" s="2" t="s">
        <v>579</v>
      </c>
    </row>
    <row r="3" spans="1:4" ht="22.5" customHeight="1" x14ac:dyDescent="0.25">
      <c r="A3" s="4" t="s">
        <v>430</v>
      </c>
      <c r="B3" s="2">
        <v>379.19671036047396</v>
      </c>
      <c r="C3" s="2" t="s">
        <v>575</v>
      </c>
      <c r="D3" s="2" t="s">
        <v>580</v>
      </c>
    </row>
    <row r="4" spans="1:4" ht="22.5" customHeight="1" x14ac:dyDescent="0.25">
      <c r="A4" s="4" t="s">
        <v>431</v>
      </c>
      <c r="B4" s="2">
        <v>241.04289855201958</v>
      </c>
      <c r="C4" s="2" t="s">
        <v>575</v>
      </c>
      <c r="D4" s="2" t="s">
        <v>580</v>
      </c>
    </row>
    <row r="5" spans="1:4" ht="22.5" customHeight="1" x14ac:dyDescent="0.25">
      <c r="A5" s="4" t="s">
        <v>432</v>
      </c>
      <c r="B5" s="2">
        <v>205.42857635056157</v>
      </c>
      <c r="C5" s="2" t="s">
        <v>575</v>
      </c>
      <c r="D5" s="2" t="s">
        <v>580</v>
      </c>
    </row>
    <row r="6" spans="1:4" ht="22.5" customHeight="1" x14ac:dyDescent="0.25">
      <c r="A6" s="4" t="s">
        <v>433</v>
      </c>
      <c r="B6" s="2">
        <v>105.69663367426384</v>
      </c>
      <c r="C6" s="2" t="s">
        <v>575</v>
      </c>
      <c r="D6" s="2" t="s">
        <v>580</v>
      </c>
    </row>
    <row r="7" spans="1:4" ht="22.5" customHeight="1" x14ac:dyDescent="0.25">
      <c r="A7" s="4" t="s">
        <v>434</v>
      </c>
      <c r="B7" s="2">
        <v>100.91476793633437</v>
      </c>
      <c r="C7" s="2" t="s">
        <v>575</v>
      </c>
      <c r="D7" s="2" t="s">
        <v>579</v>
      </c>
    </row>
    <row r="8" spans="1:4" ht="22.5" customHeight="1" x14ac:dyDescent="0.25">
      <c r="A8" s="4" t="s">
        <v>435</v>
      </c>
      <c r="B8" s="2">
        <v>86.230916082900279</v>
      </c>
      <c r="C8" s="2" t="s">
        <v>575</v>
      </c>
      <c r="D8" s="2" t="s">
        <v>580</v>
      </c>
    </row>
    <row r="9" spans="1:4" ht="22.5" customHeight="1" x14ac:dyDescent="0.25">
      <c r="A9" s="4" t="s">
        <v>540</v>
      </c>
      <c r="B9" s="2">
        <v>84.368574542496248</v>
      </c>
      <c r="C9" s="2" t="s">
        <v>575</v>
      </c>
      <c r="D9" s="2" t="s">
        <v>580</v>
      </c>
    </row>
    <row r="10" spans="1:4" ht="22.5" customHeight="1" x14ac:dyDescent="0.25">
      <c r="A10" s="4" t="s">
        <v>436</v>
      </c>
      <c r="B10" s="2">
        <v>68.527856375270844</v>
      </c>
      <c r="C10" s="2" t="s">
        <v>575</v>
      </c>
      <c r="D10" s="2" t="s">
        <v>581</v>
      </c>
    </row>
    <row r="11" spans="1:4" ht="22.5" customHeight="1" x14ac:dyDescent="0.25">
      <c r="A11" s="4" t="s">
        <v>437</v>
      </c>
      <c r="B11" s="2">
        <v>49.347458710389503</v>
      </c>
      <c r="C11" s="2" t="s">
        <v>575</v>
      </c>
      <c r="D11" s="2" t="s">
        <v>580</v>
      </c>
    </row>
    <row r="12" spans="1:4" ht="22.5" customHeight="1" x14ac:dyDescent="0.25">
      <c r="A12" s="2" t="s">
        <v>468</v>
      </c>
      <c r="B12" s="2">
        <v>1.1102616951435782</v>
      </c>
      <c r="C12" s="2" t="s">
        <v>575</v>
      </c>
      <c r="D12" s="2" t="s">
        <v>580</v>
      </c>
    </row>
    <row r="13" spans="1:4" ht="22.5" customHeight="1" x14ac:dyDescent="0.25">
      <c r="A13" s="2" t="s">
        <v>549</v>
      </c>
      <c r="B13" s="2">
        <v>0.52018402284639076</v>
      </c>
      <c r="C13" s="2" t="s">
        <v>575</v>
      </c>
      <c r="D13" s="2" t="s">
        <v>580</v>
      </c>
    </row>
    <row r="14" spans="1:4" ht="22.5" customHeight="1" x14ac:dyDescent="0.25">
      <c r="A14" s="2" t="s">
        <v>476</v>
      </c>
      <c r="B14" s="2">
        <v>0.31652615969688225</v>
      </c>
      <c r="C14" s="2" t="s">
        <v>575</v>
      </c>
      <c r="D14" s="2" t="s">
        <v>580</v>
      </c>
    </row>
    <row r="15" spans="1:4" ht="22.5" customHeight="1" x14ac:dyDescent="0.25">
      <c r="A15" s="2" t="s">
        <v>519</v>
      </c>
      <c r="B15" s="2">
        <v>-4.4755866233766144E-2</v>
      </c>
      <c r="C15" s="2" t="s">
        <v>575</v>
      </c>
      <c r="D15" s="2" t="s">
        <v>580</v>
      </c>
    </row>
    <row r="16" spans="1:4" ht="22.5" customHeight="1" x14ac:dyDescent="0.25">
      <c r="A16" s="2" t="s">
        <v>528</v>
      </c>
      <c r="B16" s="2">
        <v>-0.76298255560454531</v>
      </c>
      <c r="C16" s="2" t="s">
        <v>575</v>
      </c>
      <c r="D16" s="2" t="s">
        <v>578</v>
      </c>
    </row>
    <row r="17" spans="1:4" ht="22.5" customHeight="1" x14ac:dyDescent="0.25">
      <c r="A17" s="2" t="s">
        <v>529</v>
      </c>
      <c r="B17" s="2">
        <v>-0.89110128605555927</v>
      </c>
      <c r="C17" s="2" t="s">
        <v>575</v>
      </c>
      <c r="D17" s="2" t="s">
        <v>580</v>
      </c>
    </row>
    <row r="18" spans="1:4" ht="22.5" customHeight="1" x14ac:dyDescent="0.25">
      <c r="A18" s="2" t="s">
        <v>571</v>
      </c>
      <c r="B18" s="2">
        <v>-1.2523598988002096</v>
      </c>
      <c r="C18" s="2" t="s">
        <v>575</v>
      </c>
      <c r="D18" s="2" t="s">
        <v>580</v>
      </c>
    </row>
    <row r="19" spans="1:4" ht="22.5" customHeight="1" x14ac:dyDescent="0.25">
      <c r="A19" s="2" t="s">
        <v>533</v>
      </c>
      <c r="B19" s="2">
        <v>-5.2583967863303105</v>
      </c>
      <c r="C19" s="2" t="s">
        <v>575</v>
      </c>
      <c r="D19" s="2" t="s">
        <v>580</v>
      </c>
    </row>
    <row r="20" spans="1:4" ht="22.5" customHeight="1" x14ac:dyDescent="0.25">
      <c r="A20" s="2" t="s">
        <v>534</v>
      </c>
      <c r="B20" s="2">
        <v>-5.7154022048340094</v>
      </c>
      <c r="C20" s="2" t="s">
        <v>575</v>
      </c>
      <c r="D20" s="2" t="s">
        <v>580</v>
      </c>
    </row>
    <row r="21" spans="1:4" ht="22.5" customHeight="1" x14ac:dyDescent="0.25">
      <c r="A21" s="2" t="s">
        <v>574</v>
      </c>
      <c r="B21" s="2">
        <v>-7.0302765811137489</v>
      </c>
      <c r="C21" s="2" t="s">
        <v>575</v>
      </c>
      <c r="D21" s="2" t="s">
        <v>580</v>
      </c>
    </row>
    <row r="22" spans="1:4" ht="22.5" customHeight="1" x14ac:dyDescent="0.25">
      <c r="A22" s="4" t="s">
        <v>539</v>
      </c>
      <c r="B22" s="7">
        <v>143.6827546076718</v>
      </c>
      <c r="C22" s="2" t="s">
        <v>576</v>
      </c>
      <c r="D22" s="2" t="s">
        <v>581</v>
      </c>
    </row>
    <row r="23" spans="1:4" ht="22.5" customHeight="1" x14ac:dyDescent="0.25">
      <c r="A23" s="4" t="s">
        <v>439</v>
      </c>
      <c r="B23" s="7">
        <v>26.93548021278767</v>
      </c>
      <c r="C23" s="2" t="s">
        <v>576</v>
      </c>
      <c r="D23" s="2" t="s">
        <v>579</v>
      </c>
    </row>
    <row r="24" spans="1:4" ht="22.5" customHeight="1" x14ac:dyDescent="0.25">
      <c r="A24" s="4" t="s">
        <v>441</v>
      </c>
      <c r="B24" s="7">
        <v>20.858356027739998</v>
      </c>
      <c r="C24" s="2" t="s">
        <v>576</v>
      </c>
      <c r="D24" s="2" t="s">
        <v>579</v>
      </c>
    </row>
    <row r="25" spans="1:4" ht="22.5" customHeight="1" x14ac:dyDescent="0.25">
      <c r="A25" s="4" t="s">
        <v>442</v>
      </c>
      <c r="B25" s="2">
        <v>18.110426197866669</v>
      </c>
      <c r="C25" s="2" t="s">
        <v>576</v>
      </c>
      <c r="D25" s="2" t="s">
        <v>581</v>
      </c>
    </row>
    <row r="26" spans="1:4" ht="22.5" customHeight="1" x14ac:dyDescent="0.25">
      <c r="A26" s="4" t="s">
        <v>446</v>
      </c>
      <c r="B26" s="2">
        <v>13.111324567050888</v>
      </c>
      <c r="C26" s="2" t="s">
        <v>576</v>
      </c>
      <c r="D26" s="2" t="s">
        <v>581</v>
      </c>
    </row>
    <row r="27" spans="1:4" ht="22.5" customHeight="1" x14ac:dyDescent="0.25">
      <c r="A27" s="4" t="s">
        <v>448</v>
      </c>
      <c r="B27" s="2">
        <v>11.225476435346984</v>
      </c>
      <c r="C27" s="2" t="s">
        <v>576</v>
      </c>
      <c r="D27" s="2" t="s">
        <v>581</v>
      </c>
    </row>
    <row r="28" spans="1:4" ht="22.5" customHeight="1" x14ac:dyDescent="0.25">
      <c r="A28" s="4" t="s">
        <v>450</v>
      </c>
      <c r="B28" s="2">
        <v>8.57376</v>
      </c>
      <c r="C28" s="2" t="s">
        <v>576</v>
      </c>
      <c r="D28" s="2" t="s">
        <v>582</v>
      </c>
    </row>
    <row r="29" spans="1:4" ht="22.5" customHeight="1" x14ac:dyDescent="0.25">
      <c r="A29" s="4" t="s">
        <v>451</v>
      </c>
      <c r="B29" s="2">
        <v>6.8425736741207484</v>
      </c>
      <c r="C29" s="2" t="s">
        <v>576</v>
      </c>
      <c r="D29" s="2" t="s">
        <v>581</v>
      </c>
    </row>
    <row r="30" spans="1:4" ht="22.5" customHeight="1" x14ac:dyDescent="0.25">
      <c r="A30" s="4" t="s">
        <v>453</v>
      </c>
      <c r="B30" s="2">
        <v>6.1285501947001304</v>
      </c>
      <c r="C30" s="2" t="s">
        <v>576</v>
      </c>
      <c r="D30" s="2" t="s">
        <v>579</v>
      </c>
    </row>
    <row r="31" spans="1:4" ht="22.5" customHeight="1" x14ac:dyDescent="0.25">
      <c r="A31" s="4" t="s">
        <v>454</v>
      </c>
      <c r="B31" s="2">
        <v>5.810821539163042</v>
      </c>
      <c r="C31" s="2" t="s">
        <v>576</v>
      </c>
      <c r="D31" s="2" t="s">
        <v>579</v>
      </c>
    </row>
    <row r="32" spans="1:4" ht="22.5" customHeight="1" x14ac:dyDescent="0.25">
      <c r="A32" s="2" t="s">
        <v>525</v>
      </c>
      <c r="B32" s="2">
        <v>-0.31888217680000003</v>
      </c>
      <c r="C32" s="2" t="s">
        <v>576</v>
      </c>
      <c r="D32" s="2" t="s">
        <v>581</v>
      </c>
    </row>
    <row r="33" spans="1:4" ht="22.5" customHeight="1" x14ac:dyDescent="0.25">
      <c r="A33" s="2" t="s">
        <v>526</v>
      </c>
      <c r="B33" s="2">
        <v>-0.41809521109100606</v>
      </c>
      <c r="C33" s="2" t="s">
        <v>576</v>
      </c>
      <c r="D33" s="2" t="s">
        <v>580</v>
      </c>
    </row>
    <row r="34" spans="1:4" ht="22.5" customHeight="1" x14ac:dyDescent="0.25">
      <c r="A34" s="2" t="s">
        <v>527</v>
      </c>
      <c r="B34" s="2">
        <v>-0.6108969993570279</v>
      </c>
      <c r="C34" s="2" t="s">
        <v>576</v>
      </c>
      <c r="D34" s="2" t="s">
        <v>579</v>
      </c>
    </row>
    <row r="35" spans="1:4" ht="22.5" customHeight="1" x14ac:dyDescent="0.25">
      <c r="A35" s="2" t="s">
        <v>530</v>
      </c>
      <c r="B35" s="2">
        <v>-1.2446513333679741</v>
      </c>
      <c r="C35" s="2" t="s">
        <v>576</v>
      </c>
      <c r="D35" s="2" t="s">
        <v>581</v>
      </c>
    </row>
    <row r="36" spans="1:4" ht="22.5" customHeight="1" x14ac:dyDescent="0.25">
      <c r="A36" s="2" t="s">
        <v>531</v>
      </c>
      <c r="B36" s="2">
        <v>-2.8421365765101467</v>
      </c>
      <c r="C36" s="2" t="s">
        <v>576</v>
      </c>
      <c r="D36" s="2" t="s">
        <v>579</v>
      </c>
    </row>
    <row r="37" spans="1:4" ht="22.5" customHeight="1" x14ac:dyDescent="0.25">
      <c r="A37" s="2" t="s">
        <v>532</v>
      </c>
      <c r="B37" s="2">
        <v>-3.7445054945054936</v>
      </c>
      <c r="C37" s="2" t="s">
        <v>576</v>
      </c>
      <c r="D37" s="2" t="s">
        <v>581</v>
      </c>
    </row>
    <row r="38" spans="1:4" ht="22.5" customHeight="1" x14ac:dyDescent="0.25">
      <c r="A38" s="2" t="s">
        <v>572</v>
      </c>
      <c r="B38" s="2">
        <v>-4.9988599999999996</v>
      </c>
      <c r="C38" s="2" t="s">
        <v>576</v>
      </c>
      <c r="D38" s="2" t="s">
        <v>580</v>
      </c>
    </row>
    <row r="39" spans="1:4" ht="22.5" customHeight="1" x14ac:dyDescent="0.25">
      <c r="A39" s="2" t="s">
        <v>573</v>
      </c>
      <c r="B39" s="2">
        <v>-5.0010000000000003</v>
      </c>
      <c r="C39" s="2" t="s">
        <v>576</v>
      </c>
      <c r="D39" s="2" t="s">
        <v>580</v>
      </c>
    </row>
    <row r="40" spans="1:4" ht="22.5" customHeight="1" x14ac:dyDescent="0.25">
      <c r="A40" s="2" t="s">
        <v>535</v>
      </c>
      <c r="B40" s="2">
        <v>-13.016088707</v>
      </c>
      <c r="C40" s="2" t="s">
        <v>576</v>
      </c>
      <c r="D40" s="2" t="s">
        <v>579</v>
      </c>
    </row>
    <row r="41" spans="1:4" ht="22.5" customHeight="1" x14ac:dyDescent="0.25">
      <c r="A41" s="2" t="s">
        <v>536</v>
      </c>
      <c r="B41" s="2">
        <v>-25.813019362087562</v>
      </c>
      <c r="C41" s="2" t="s">
        <v>576</v>
      </c>
      <c r="D41" s="2" t="s">
        <v>582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7408-7C19-43D5-83E4-8557E91AE1CB}">
  <dimension ref="A1:AB1048576"/>
  <sheetViews>
    <sheetView workbookViewId="0">
      <pane xSplit="1" ySplit="1" topLeftCell="U24" activePane="bottomRight" state="frozen"/>
      <selection pane="topRight" activeCell="B1" sqref="B1"/>
      <selection pane="bottomLeft" activeCell="A2" sqref="A2"/>
      <selection pane="bottomRight" activeCell="X46" sqref="X46:AB46"/>
    </sheetView>
  </sheetViews>
  <sheetFormatPr defaultColWidth="16.25" defaultRowHeight="22.5" customHeight="1" x14ac:dyDescent="0.25"/>
  <cols>
    <col min="1" max="16384" width="16.25" style="2"/>
  </cols>
  <sheetData>
    <row r="1" spans="1:28" ht="22.5" customHeight="1" x14ac:dyDescent="0.25">
      <c r="A1" s="2" t="s">
        <v>0</v>
      </c>
      <c r="B1" s="2" t="s">
        <v>583</v>
      </c>
      <c r="C1" s="2" t="s">
        <v>439</v>
      </c>
      <c r="D1" s="2" t="s">
        <v>453</v>
      </c>
      <c r="E1" s="2" t="s">
        <v>584</v>
      </c>
      <c r="F1" s="2" t="s">
        <v>585</v>
      </c>
      <c r="G1" s="2" t="s">
        <v>586</v>
      </c>
      <c r="H1" s="2" t="s">
        <v>587</v>
      </c>
      <c r="I1" s="2" t="s">
        <v>531</v>
      </c>
      <c r="J1" s="2" t="s">
        <v>588</v>
      </c>
      <c r="L1" s="2" t="str">
        <f>A1</f>
        <v>data</v>
      </c>
      <c r="M1" s="2" t="s">
        <v>583</v>
      </c>
      <c r="N1" s="2" t="s">
        <v>439</v>
      </c>
      <c r="O1" s="2" t="s">
        <v>453</v>
      </c>
      <c r="P1" s="2" t="s">
        <v>584</v>
      </c>
      <c r="Q1" s="2" t="s">
        <v>585</v>
      </c>
      <c r="R1" s="2" t="s">
        <v>586</v>
      </c>
      <c r="S1" s="2" t="s">
        <v>587</v>
      </c>
      <c r="T1" s="2" t="s">
        <v>531</v>
      </c>
      <c r="U1" s="2" t="s">
        <v>588</v>
      </c>
      <c r="W1" s="2" t="str">
        <f>L1</f>
        <v>data</v>
      </c>
      <c r="X1" s="2" t="s">
        <v>583</v>
      </c>
      <c r="Y1" s="2" t="s">
        <v>589</v>
      </c>
      <c r="Z1" s="2" t="s">
        <v>423</v>
      </c>
      <c r="AA1" s="2" t="s">
        <v>424</v>
      </c>
      <c r="AB1" s="2" t="s">
        <v>428</v>
      </c>
    </row>
    <row r="2" spans="1:28" ht="22.5" customHeight="1" x14ac:dyDescent="0.25">
      <c r="A2" s="3">
        <v>44564</v>
      </c>
      <c r="B2" s="2">
        <v>5.6818</v>
      </c>
      <c r="C2" s="2">
        <v>851.15</v>
      </c>
      <c r="D2" s="1">
        <v>3.9740000000000002</v>
      </c>
      <c r="E2" s="2">
        <v>4066.6</v>
      </c>
      <c r="F2" s="2">
        <v>20.494</v>
      </c>
      <c r="G2" s="2">
        <v>6.8949999999999996</v>
      </c>
      <c r="H2" s="2">
        <v>44.69</v>
      </c>
      <c r="I2" s="2">
        <v>102.9</v>
      </c>
      <c r="J2" s="2">
        <v>6884</v>
      </c>
      <c r="L2" s="3">
        <f>A2</f>
        <v>44564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W2" s="3">
        <f t="shared" ref="W2:W46" si="0">L2</f>
        <v>44564</v>
      </c>
      <c r="X2" s="2">
        <f>M2</f>
        <v>0</v>
      </c>
      <c r="Y2" s="2">
        <f>AVERAGE(N2:U2)</f>
        <v>0</v>
      </c>
      <c r="Z2" s="2">
        <f>Y2-AB2</f>
        <v>0</v>
      </c>
      <c r="AA2" s="2">
        <f>Y2+AB2</f>
        <v>0</v>
      </c>
      <c r="AB2" s="2">
        <f>X2</f>
        <v>0</v>
      </c>
    </row>
    <row r="3" spans="1:28" ht="22.5" customHeight="1" x14ac:dyDescent="0.25">
      <c r="A3" s="3">
        <v>44565</v>
      </c>
      <c r="B3" s="2">
        <v>5.6769999999999996</v>
      </c>
      <c r="C3" s="2">
        <v>846.68</v>
      </c>
      <c r="D3" s="1">
        <v>3.9456000000000002</v>
      </c>
      <c r="E3" s="2">
        <v>4076.8</v>
      </c>
      <c r="F3" s="2">
        <v>20.501000000000001</v>
      </c>
      <c r="G3" s="2">
        <v>6.9050000000000002</v>
      </c>
      <c r="H3" s="2">
        <v>44.61</v>
      </c>
      <c r="I3" s="2">
        <v>103.09</v>
      </c>
      <c r="J3" s="2">
        <v>6919.61</v>
      </c>
      <c r="L3" s="3">
        <f>A3</f>
        <v>44565</v>
      </c>
      <c r="M3" s="2">
        <f t="shared" ref="M3:M46" si="1">(B3/$B$2-1)*100</f>
        <v>-8.4480270336872998E-2</v>
      </c>
      <c r="N3" s="2">
        <f t="shared" ref="N3:N46" si="2">(C3/$C$2-1)*100</f>
        <v>-0.52517182635258841</v>
      </c>
      <c r="O3" s="2">
        <f t="shared" ref="O3:O46" si="3">(D3/$D$2-1)*100</f>
        <v>-0.71464519375943336</v>
      </c>
      <c r="P3" s="2">
        <f t="shared" ref="P3:P46" si="4">(E3/$E$2-1)*100</f>
        <v>0.25082378399645666</v>
      </c>
      <c r="Q3" s="2">
        <f t="shared" ref="Q3:Q46" si="5">(F3/$F$2-1)*100</f>
        <v>3.4156338440527456E-2</v>
      </c>
      <c r="R3" s="2">
        <f t="shared" ref="R3:R46" si="6">(G3/$G$2-1)*100</f>
        <v>0.14503263234229014</v>
      </c>
      <c r="S3" s="2">
        <f t="shared" ref="S3:S46" si="7">(H3/$H$2-1)*100</f>
        <v>-0.1790109644215665</v>
      </c>
      <c r="T3" s="2">
        <f t="shared" ref="T3:T46" si="8">(I3/$I$2-1)*100</f>
        <v>0.18464528668609148</v>
      </c>
      <c r="U3" s="2">
        <f t="shared" ref="U3:U46" si="9">(J3/$J$2-1)*100</f>
        <v>0.51728646135966727</v>
      </c>
      <c r="W3" s="3">
        <f t="shared" si="0"/>
        <v>44565</v>
      </c>
      <c r="X3" s="2">
        <f t="shared" ref="X3:X46" si="10">M3</f>
        <v>-8.4480270336872998E-2</v>
      </c>
      <c r="Y3" s="2">
        <f t="shared" ref="Y3:Y46" si="11">AVERAGE(N3:U3)</f>
        <v>-3.5860435213569408E-2</v>
      </c>
      <c r="Z3" s="2">
        <f t="shared" ref="Z3:Z46" si="12">Y3-AB3</f>
        <v>-0.44904894538277812</v>
      </c>
      <c r="AA3" s="2">
        <f t="shared" ref="AA3:AA46" si="13">Y3+AB3</f>
        <v>0.3773280749556393</v>
      </c>
      <c r="AB3" s="2">
        <f>_xlfn.STDEV.S(N3:U3)</f>
        <v>0.41318851016920871</v>
      </c>
    </row>
    <row r="4" spans="1:28" ht="22.5" customHeight="1" x14ac:dyDescent="0.25">
      <c r="A4" s="3">
        <v>44566</v>
      </c>
      <c r="B4" s="2">
        <v>5.7087000000000003</v>
      </c>
      <c r="C4" s="2">
        <v>837.86</v>
      </c>
      <c r="D4" s="1">
        <v>3.9529000000000001</v>
      </c>
      <c r="E4" s="2">
        <v>4022.1</v>
      </c>
      <c r="F4" s="2">
        <v>20.565000000000001</v>
      </c>
      <c r="G4" s="2">
        <v>6.8949999999999996</v>
      </c>
      <c r="H4" s="2">
        <v>44.73</v>
      </c>
      <c r="I4" s="2">
        <v>103.04</v>
      </c>
      <c r="J4" s="2">
        <v>6941</v>
      </c>
      <c r="L4" s="3">
        <f t="shared" ref="L4:L46" si="14">A4</f>
        <v>44566</v>
      </c>
      <c r="M4" s="2">
        <f t="shared" si="1"/>
        <v>0.47344151501285126</v>
      </c>
      <c r="N4" s="2">
        <f t="shared" si="2"/>
        <v>-1.5614169065382044</v>
      </c>
      <c r="O4" s="2">
        <f t="shared" si="3"/>
        <v>-0.53095118268746688</v>
      </c>
      <c r="P4" s="2">
        <f t="shared" si="4"/>
        <v>-1.0942802341021962</v>
      </c>
      <c r="Q4" s="2">
        <f t="shared" si="5"/>
        <v>0.34644286132528013</v>
      </c>
      <c r="R4" s="2">
        <f t="shared" si="6"/>
        <v>0</v>
      </c>
      <c r="S4" s="2">
        <f t="shared" si="7"/>
        <v>8.9505482210783249E-2</v>
      </c>
      <c r="T4" s="2">
        <f t="shared" si="8"/>
        <v>0.13605442176871652</v>
      </c>
      <c r="U4" s="2">
        <f t="shared" si="9"/>
        <v>0.82800697269029833</v>
      </c>
      <c r="W4" s="3">
        <f t="shared" si="0"/>
        <v>44566</v>
      </c>
      <c r="X4" s="2">
        <f t="shared" si="10"/>
        <v>0.47344151501285126</v>
      </c>
      <c r="Y4" s="2">
        <f t="shared" si="11"/>
        <v>-0.22332982316659866</v>
      </c>
      <c r="Z4" s="2">
        <f t="shared" si="12"/>
        <v>-1.0116835967133597</v>
      </c>
      <c r="AA4" s="2">
        <f t="shared" si="13"/>
        <v>0.56502395038016229</v>
      </c>
      <c r="AB4" s="2">
        <f t="shared" ref="AB4:AB46" si="15">_xlfn.STDEV.S(N4:U4)</f>
        <v>0.78835377354676095</v>
      </c>
    </row>
    <row r="5" spans="1:28" ht="22.5" customHeight="1" x14ac:dyDescent="0.25">
      <c r="A5" s="3">
        <v>44567</v>
      </c>
      <c r="B5" s="2">
        <v>5.6833999999999998</v>
      </c>
      <c r="C5" s="2">
        <v>836.85</v>
      </c>
      <c r="D5" s="1">
        <v>3.9554999999999998</v>
      </c>
      <c r="E5" s="2">
        <v>4030.51</v>
      </c>
      <c r="F5" s="2">
        <v>20.486000000000001</v>
      </c>
      <c r="G5" s="2">
        <v>6.8849999999999998</v>
      </c>
      <c r="H5" s="2">
        <v>44.73</v>
      </c>
      <c r="I5" s="2">
        <v>103.22</v>
      </c>
      <c r="J5" s="2">
        <v>6939.04</v>
      </c>
      <c r="L5" s="3">
        <f t="shared" si="14"/>
        <v>44567</v>
      </c>
      <c r="M5" s="2">
        <f t="shared" si="1"/>
        <v>2.8160090112283598E-2</v>
      </c>
      <c r="N5" s="2">
        <f t="shared" si="2"/>
        <v>-1.680079891910935</v>
      </c>
      <c r="O5" s="2">
        <f t="shared" si="3"/>
        <v>-0.46552591847006664</v>
      </c>
      <c r="P5" s="2">
        <f t="shared" si="4"/>
        <v>-0.88747356514040643</v>
      </c>
      <c r="Q5" s="2">
        <f t="shared" si="5"/>
        <v>-3.9035815360588533E-2</v>
      </c>
      <c r="R5" s="2">
        <f t="shared" si="6"/>
        <v>-0.14503263234227903</v>
      </c>
      <c r="S5" s="2">
        <f t="shared" si="7"/>
        <v>8.9505482210783249E-2</v>
      </c>
      <c r="T5" s="2">
        <f t="shared" si="8"/>
        <v>0.310981535471333</v>
      </c>
      <c r="U5" s="2">
        <f t="shared" si="9"/>
        <v>0.79953515398023534</v>
      </c>
      <c r="W5" s="3">
        <f t="shared" si="0"/>
        <v>44567</v>
      </c>
      <c r="X5" s="2">
        <f t="shared" si="10"/>
        <v>2.8160090112283598E-2</v>
      </c>
      <c r="Y5" s="2">
        <f t="shared" si="11"/>
        <v>-0.2521407064452405</v>
      </c>
      <c r="Z5" s="2">
        <f t="shared" si="12"/>
        <v>-1.0160524566349494</v>
      </c>
      <c r="AA5" s="2">
        <f t="shared" si="13"/>
        <v>0.51177104374446847</v>
      </c>
      <c r="AB5" s="2">
        <f t="shared" si="15"/>
        <v>0.76391175018970892</v>
      </c>
    </row>
    <row r="6" spans="1:28" ht="22.5" customHeight="1" x14ac:dyDescent="0.25">
      <c r="A6" s="3">
        <v>44568</v>
      </c>
      <c r="B6" s="2">
        <v>5.6355000000000004</v>
      </c>
      <c r="C6" s="2">
        <v>827.33</v>
      </c>
      <c r="D6" s="1">
        <v>3.9329000000000001</v>
      </c>
      <c r="E6" s="2">
        <v>4047.06</v>
      </c>
      <c r="F6" s="2">
        <v>20.36</v>
      </c>
      <c r="G6" s="2">
        <v>6.8949999999999996</v>
      </c>
      <c r="H6" s="2">
        <v>44.73</v>
      </c>
      <c r="I6" s="2">
        <v>103.285</v>
      </c>
      <c r="J6" s="2">
        <v>6940.87</v>
      </c>
      <c r="L6" s="3">
        <f t="shared" si="14"/>
        <v>44568</v>
      </c>
      <c r="M6" s="2">
        <f t="shared" si="1"/>
        <v>-0.81488260762433429</v>
      </c>
      <c r="N6" s="2">
        <f t="shared" si="2"/>
        <v>-2.7985666451271762</v>
      </c>
      <c r="O6" s="2">
        <f t="shared" si="3"/>
        <v>-1.0342224458983473</v>
      </c>
      <c r="P6" s="2">
        <f t="shared" si="4"/>
        <v>-0.48049968032263246</v>
      </c>
      <c r="Q6" s="2">
        <f t="shared" si="5"/>
        <v>-0.65384990728993841</v>
      </c>
      <c r="R6" s="2">
        <f t="shared" si="6"/>
        <v>0</v>
      </c>
      <c r="S6" s="2">
        <f t="shared" si="7"/>
        <v>8.9505482210783249E-2</v>
      </c>
      <c r="T6" s="2">
        <f t="shared" si="8"/>
        <v>0.37414965986393156</v>
      </c>
      <c r="U6" s="2">
        <f t="shared" si="9"/>
        <v>0.82611853573504312</v>
      </c>
      <c r="W6" s="3">
        <f t="shared" si="0"/>
        <v>44568</v>
      </c>
      <c r="X6" s="2">
        <f t="shared" si="10"/>
        <v>-0.81488260762433429</v>
      </c>
      <c r="Y6" s="2">
        <f t="shared" si="11"/>
        <v>-0.45967062510354206</v>
      </c>
      <c r="Z6" s="2">
        <f t="shared" si="12"/>
        <v>-1.5745111226388875</v>
      </c>
      <c r="AA6" s="2">
        <f t="shared" si="13"/>
        <v>0.65516987243180336</v>
      </c>
      <c r="AB6" s="2">
        <f t="shared" si="15"/>
        <v>1.1148404975353454</v>
      </c>
    </row>
    <row r="7" spans="1:28" ht="22.5" customHeight="1" x14ac:dyDescent="0.25">
      <c r="A7" s="3">
        <v>44571</v>
      </c>
      <c r="B7" s="2">
        <v>5.6632999999999996</v>
      </c>
      <c r="C7" s="2">
        <v>835</v>
      </c>
      <c r="D7" s="1">
        <v>3.9207000000000001</v>
      </c>
      <c r="E7" s="2">
        <v>4047.06</v>
      </c>
      <c r="F7" s="2">
        <v>20.36</v>
      </c>
      <c r="G7" s="2">
        <v>6.8849999999999998</v>
      </c>
      <c r="H7" s="2">
        <v>44.52</v>
      </c>
      <c r="I7" s="2">
        <v>103.45</v>
      </c>
      <c r="J7" s="2">
        <v>6933</v>
      </c>
      <c r="L7" s="3">
        <f t="shared" si="14"/>
        <v>44571</v>
      </c>
      <c r="M7" s="2">
        <f t="shared" si="1"/>
        <v>-0.32560104192334016</v>
      </c>
      <c r="N7" s="2">
        <f t="shared" si="2"/>
        <v>-1.8974328849204025</v>
      </c>
      <c r="O7" s="2">
        <f t="shared" si="3"/>
        <v>-1.3412179164569715</v>
      </c>
      <c r="P7" s="2">
        <f t="shared" si="4"/>
        <v>-0.48049968032263246</v>
      </c>
      <c r="Q7" s="2">
        <f t="shared" si="5"/>
        <v>-0.65384990728993841</v>
      </c>
      <c r="R7" s="2">
        <f t="shared" si="6"/>
        <v>-0.14503263234227903</v>
      </c>
      <c r="S7" s="2">
        <f t="shared" si="7"/>
        <v>-0.38039829939582326</v>
      </c>
      <c r="T7" s="2">
        <f t="shared" si="8"/>
        <v>0.53449951409134666</v>
      </c>
      <c r="U7" s="2">
        <f t="shared" si="9"/>
        <v>0.71179546775130831</v>
      </c>
      <c r="W7" s="3">
        <f t="shared" si="0"/>
        <v>44571</v>
      </c>
      <c r="X7" s="2">
        <f t="shared" si="10"/>
        <v>-0.32560104192334016</v>
      </c>
      <c r="Y7" s="2">
        <f t="shared" si="11"/>
        <v>-0.45651704236067403</v>
      </c>
      <c r="Z7" s="2">
        <f t="shared" si="12"/>
        <v>-1.3306152769211681</v>
      </c>
      <c r="AA7" s="2">
        <f t="shared" si="13"/>
        <v>0.41758119219982015</v>
      </c>
      <c r="AB7" s="2">
        <f t="shared" si="15"/>
        <v>0.87409823456049418</v>
      </c>
    </row>
    <row r="8" spans="1:28" ht="22.5" customHeight="1" x14ac:dyDescent="0.25">
      <c r="A8" s="3">
        <v>44572</v>
      </c>
      <c r="B8" s="2">
        <v>5.5686</v>
      </c>
      <c r="C8" s="2">
        <v>827.65</v>
      </c>
      <c r="D8" s="1">
        <v>3.8956</v>
      </c>
      <c r="E8" s="2">
        <v>3987.91</v>
      </c>
      <c r="F8" s="2">
        <v>20.375</v>
      </c>
      <c r="G8" s="2">
        <v>6.89</v>
      </c>
      <c r="H8" s="2">
        <v>44.67</v>
      </c>
      <c r="I8" s="2">
        <v>103.46</v>
      </c>
      <c r="J8" s="2">
        <v>6935</v>
      </c>
      <c r="L8" s="3">
        <f t="shared" si="14"/>
        <v>44572</v>
      </c>
      <c r="M8" s="2">
        <f t="shared" si="1"/>
        <v>-1.9923263754443976</v>
      </c>
      <c r="N8" s="2">
        <f t="shared" si="2"/>
        <v>-2.7609704517417621</v>
      </c>
      <c r="O8" s="2">
        <f t="shared" si="3"/>
        <v>-1.9728233517866234</v>
      </c>
      <c r="P8" s="2">
        <f t="shared" si="4"/>
        <v>-1.9350317218315038</v>
      </c>
      <c r="Q8" s="2">
        <f t="shared" si="5"/>
        <v>-0.58065775348882243</v>
      </c>
      <c r="R8" s="2">
        <f t="shared" si="6"/>
        <v>-7.2516316171133965E-2</v>
      </c>
      <c r="S8" s="2">
        <f t="shared" si="7"/>
        <v>-4.4752741105380522E-2</v>
      </c>
      <c r="T8" s="2">
        <f t="shared" si="8"/>
        <v>0.54421768707482165</v>
      </c>
      <c r="U8" s="2">
        <f t="shared" si="9"/>
        <v>0.74084834398604471</v>
      </c>
      <c r="W8" s="3">
        <f t="shared" si="0"/>
        <v>44572</v>
      </c>
      <c r="X8" s="2">
        <f t="shared" si="10"/>
        <v>-1.9923263754443976</v>
      </c>
      <c r="Y8" s="2">
        <f t="shared" si="11"/>
        <v>-0.76021078813304488</v>
      </c>
      <c r="Z8" s="2">
        <f t="shared" si="12"/>
        <v>-2.0599595577274443</v>
      </c>
      <c r="AA8" s="2">
        <f t="shared" si="13"/>
        <v>0.53953798146135457</v>
      </c>
      <c r="AB8" s="2">
        <f t="shared" si="15"/>
        <v>1.2997487695943994</v>
      </c>
    </row>
    <row r="9" spans="1:28" ht="22.5" customHeight="1" x14ac:dyDescent="0.25">
      <c r="A9" s="3">
        <v>44573</v>
      </c>
      <c r="B9" s="2">
        <v>5.5338000000000003</v>
      </c>
      <c r="C9" s="2">
        <v>822.97</v>
      </c>
      <c r="D9" s="1">
        <v>3.8843999999999999</v>
      </c>
      <c r="E9" s="2">
        <v>3970.51</v>
      </c>
      <c r="F9" s="2">
        <v>20.334</v>
      </c>
      <c r="G9" s="2">
        <v>6.8949999999999996</v>
      </c>
      <c r="H9" s="2">
        <v>44.63</v>
      </c>
      <c r="I9" s="2">
        <v>103.66</v>
      </c>
      <c r="J9" s="2">
        <v>6956.85</v>
      </c>
      <c r="L9" s="3">
        <f t="shared" si="14"/>
        <v>44573</v>
      </c>
      <c r="M9" s="2">
        <f t="shared" si="1"/>
        <v>-2.6048083353866658</v>
      </c>
      <c r="N9" s="2">
        <f t="shared" si="2"/>
        <v>-3.3108147800035237</v>
      </c>
      <c r="O9" s="2">
        <f t="shared" si="3"/>
        <v>-2.2546552591847124</v>
      </c>
      <c r="P9" s="2">
        <f t="shared" si="4"/>
        <v>-2.3629075886489881</v>
      </c>
      <c r="Q9" s="2">
        <f t="shared" si="5"/>
        <v>-0.78071630721187057</v>
      </c>
      <c r="R9" s="2">
        <f t="shared" si="6"/>
        <v>0</v>
      </c>
      <c r="S9" s="2">
        <f t="shared" si="7"/>
        <v>-0.13425822331616377</v>
      </c>
      <c r="T9" s="2">
        <f t="shared" si="8"/>
        <v>0.73858114674441033</v>
      </c>
      <c r="U9" s="2">
        <f t="shared" si="9"/>
        <v>1.0582510168506643</v>
      </c>
      <c r="W9" s="3">
        <f t="shared" si="0"/>
        <v>44573</v>
      </c>
      <c r="X9" s="2">
        <f t="shared" si="10"/>
        <v>-2.6048083353866658</v>
      </c>
      <c r="Y9" s="2">
        <f t="shared" si="11"/>
        <v>-0.88081499934627316</v>
      </c>
      <c r="Z9" s="2">
        <f t="shared" si="12"/>
        <v>-2.4716170055697892</v>
      </c>
      <c r="AA9" s="2">
        <f t="shared" si="13"/>
        <v>0.70998700687724303</v>
      </c>
      <c r="AB9" s="2">
        <f t="shared" si="15"/>
        <v>1.5908020062235162</v>
      </c>
    </row>
    <row r="10" spans="1:28" ht="22.5" customHeight="1" x14ac:dyDescent="0.25">
      <c r="A10" s="3">
        <v>44574</v>
      </c>
      <c r="B10" s="2">
        <v>5.5286</v>
      </c>
      <c r="C10" s="2">
        <v>815.67</v>
      </c>
      <c r="D10" s="1">
        <v>3.887</v>
      </c>
      <c r="E10" s="2">
        <v>3963.41</v>
      </c>
      <c r="F10" s="2">
        <v>20.332999999999998</v>
      </c>
      <c r="G10" s="2">
        <v>6.8849999999999998</v>
      </c>
      <c r="H10" s="2">
        <v>44.5</v>
      </c>
      <c r="I10" s="2">
        <v>103.76</v>
      </c>
      <c r="J10" s="2">
        <v>6949.88</v>
      </c>
      <c r="L10" s="3">
        <f t="shared" si="14"/>
        <v>44574</v>
      </c>
      <c r="M10" s="2">
        <f t="shared" si="1"/>
        <v>-2.6963286282516097</v>
      </c>
      <c r="N10" s="2">
        <f t="shared" si="2"/>
        <v>-4.1684779416084172</v>
      </c>
      <c r="O10" s="2">
        <f t="shared" si="3"/>
        <v>-2.18922999496729</v>
      </c>
      <c r="P10" s="2">
        <f t="shared" si="4"/>
        <v>-2.5375006147641765</v>
      </c>
      <c r="Q10" s="2">
        <f t="shared" si="5"/>
        <v>-0.78559578413194275</v>
      </c>
      <c r="R10" s="2">
        <f t="shared" si="6"/>
        <v>-0.14503263234227903</v>
      </c>
      <c r="S10" s="2">
        <f t="shared" si="7"/>
        <v>-0.42515104050122599</v>
      </c>
      <c r="T10" s="2">
        <f t="shared" si="8"/>
        <v>0.83576287657920467</v>
      </c>
      <c r="U10" s="2">
        <f t="shared" si="9"/>
        <v>0.9570017431725697</v>
      </c>
      <c r="W10" s="3">
        <f t="shared" si="0"/>
        <v>44574</v>
      </c>
      <c r="X10" s="2">
        <f t="shared" si="10"/>
        <v>-2.6963286282516097</v>
      </c>
      <c r="Y10" s="2">
        <f t="shared" si="11"/>
        <v>-1.0572779235704446</v>
      </c>
      <c r="Z10" s="2">
        <f t="shared" si="12"/>
        <v>-2.8340508152055706</v>
      </c>
      <c r="AA10" s="2">
        <f t="shared" si="13"/>
        <v>0.71949496806468138</v>
      </c>
      <c r="AB10" s="2">
        <f t="shared" si="15"/>
        <v>1.776772891635126</v>
      </c>
    </row>
    <row r="11" spans="1:28" ht="22.5" customHeight="1" x14ac:dyDescent="0.25">
      <c r="A11" s="3">
        <v>44575</v>
      </c>
      <c r="B11" s="2">
        <v>5.5343999999999998</v>
      </c>
      <c r="C11" s="2">
        <v>818.88</v>
      </c>
      <c r="D11" s="1">
        <v>3.8660000000000001</v>
      </c>
      <c r="E11" s="2">
        <v>4003.26</v>
      </c>
      <c r="F11" s="2">
        <v>20.29</v>
      </c>
      <c r="G11" s="2">
        <v>6.8949999999999996</v>
      </c>
      <c r="H11" s="2">
        <v>44.56</v>
      </c>
      <c r="I11" s="2">
        <v>103.84</v>
      </c>
      <c r="J11" s="2">
        <v>6969.54</v>
      </c>
      <c r="L11" s="3">
        <f t="shared" si="14"/>
        <v>44575</v>
      </c>
      <c r="M11" s="2">
        <f t="shared" si="1"/>
        <v>-2.5942483015945705</v>
      </c>
      <c r="N11" s="2">
        <f t="shared" si="2"/>
        <v>-3.7913411267109232</v>
      </c>
      <c r="O11" s="2">
        <f t="shared" si="3"/>
        <v>-2.7176648213387056</v>
      </c>
      <c r="P11" s="2">
        <f t="shared" si="4"/>
        <v>-1.5575665174838882</v>
      </c>
      <c r="Q11" s="2">
        <f t="shared" si="5"/>
        <v>-0.99541329169513526</v>
      </c>
      <c r="R11" s="2">
        <f t="shared" si="6"/>
        <v>0</v>
      </c>
      <c r="S11" s="2">
        <f t="shared" si="7"/>
        <v>-0.29089281718504001</v>
      </c>
      <c r="T11" s="2">
        <f t="shared" si="8"/>
        <v>0.91350826044702682</v>
      </c>
      <c r="U11" s="2">
        <f t="shared" si="9"/>
        <v>1.2425915165601431</v>
      </c>
      <c r="W11" s="3">
        <f t="shared" si="0"/>
        <v>44575</v>
      </c>
      <c r="X11" s="2">
        <f t="shared" si="10"/>
        <v>-2.5942483015945705</v>
      </c>
      <c r="Y11" s="2">
        <f t="shared" si="11"/>
        <v>-0.89959734967581495</v>
      </c>
      <c r="Z11" s="2">
        <f t="shared" si="12"/>
        <v>-2.6384712552157463</v>
      </c>
      <c r="AA11" s="2">
        <f t="shared" si="13"/>
        <v>0.8392765558641162</v>
      </c>
      <c r="AB11" s="2">
        <f t="shared" si="15"/>
        <v>1.7388739055399312</v>
      </c>
    </row>
    <row r="12" spans="1:28" ht="22.5" customHeight="1" x14ac:dyDescent="0.25">
      <c r="A12" s="3">
        <v>44578</v>
      </c>
      <c r="B12" s="2">
        <v>5.5164999999999997</v>
      </c>
      <c r="C12" s="2">
        <v>821.68</v>
      </c>
      <c r="D12" s="1">
        <v>3.8424</v>
      </c>
      <c r="E12" s="2">
        <v>4003.26</v>
      </c>
      <c r="F12" s="2">
        <v>20.280999999999999</v>
      </c>
      <c r="G12" s="2">
        <v>6.8949999999999996</v>
      </c>
      <c r="H12" s="2">
        <v>44.56</v>
      </c>
      <c r="I12" s="2">
        <v>104.02</v>
      </c>
      <c r="J12" s="2">
        <v>6957.86</v>
      </c>
      <c r="L12" s="3">
        <f t="shared" si="14"/>
        <v>44578</v>
      </c>
      <c r="M12" s="2">
        <f t="shared" si="1"/>
        <v>-2.9092893097257932</v>
      </c>
      <c r="N12" s="2">
        <f t="shared" si="2"/>
        <v>-3.4623744345884999</v>
      </c>
      <c r="O12" s="2">
        <f t="shared" si="3"/>
        <v>-3.3115249119275325</v>
      </c>
      <c r="P12" s="2">
        <f t="shared" si="4"/>
        <v>-1.5575665174838882</v>
      </c>
      <c r="Q12" s="2">
        <f t="shared" si="5"/>
        <v>-1.0393285839758071</v>
      </c>
      <c r="R12" s="2">
        <f t="shared" si="6"/>
        <v>0</v>
      </c>
      <c r="S12" s="2">
        <f t="shared" si="7"/>
        <v>-0.29089281718504001</v>
      </c>
      <c r="T12" s="2">
        <f t="shared" si="8"/>
        <v>1.0884353741496433</v>
      </c>
      <c r="U12" s="2">
        <f t="shared" si="9"/>
        <v>1.0729227193492008</v>
      </c>
      <c r="W12" s="3">
        <f t="shared" si="0"/>
        <v>44578</v>
      </c>
      <c r="X12" s="2">
        <f t="shared" si="10"/>
        <v>-2.9092893097257932</v>
      </c>
      <c r="Y12" s="2">
        <f t="shared" si="11"/>
        <v>-0.93754114645774056</v>
      </c>
      <c r="Z12" s="2">
        <f t="shared" si="12"/>
        <v>-2.7042595521685002</v>
      </c>
      <c r="AA12" s="2">
        <f t="shared" si="13"/>
        <v>0.82917725925301911</v>
      </c>
      <c r="AB12" s="2">
        <f t="shared" si="15"/>
        <v>1.7667184057107597</v>
      </c>
    </row>
    <row r="13" spans="1:28" ht="22.5" customHeight="1" x14ac:dyDescent="0.25">
      <c r="A13" s="3">
        <v>44579</v>
      </c>
      <c r="B13" s="2">
        <v>5.5666000000000002</v>
      </c>
      <c r="C13" s="2">
        <v>817.08</v>
      </c>
      <c r="D13" s="1">
        <v>3.8597000000000001</v>
      </c>
      <c r="E13" s="2">
        <v>4033.2</v>
      </c>
      <c r="F13" s="2">
        <v>20.396000000000001</v>
      </c>
      <c r="G13" s="2">
        <v>6.89</v>
      </c>
      <c r="H13" s="2">
        <v>44.56</v>
      </c>
      <c r="I13" s="2">
        <v>104.06</v>
      </c>
      <c r="J13" s="2">
        <v>6959</v>
      </c>
      <c r="L13" s="3">
        <f t="shared" si="14"/>
        <v>44579</v>
      </c>
      <c r="M13" s="2">
        <f t="shared" si="1"/>
        <v>-2.0275264880847521</v>
      </c>
      <c r="N13" s="2">
        <f t="shared" si="2"/>
        <v>-4.0028197145039019</v>
      </c>
      <c r="O13" s="2">
        <f t="shared" si="3"/>
        <v>-2.8761952692501258</v>
      </c>
      <c r="P13" s="2">
        <f t="shared" si="4"/>
        <v>-0.82132493975310972</v>
      </c>
      <c r="Q13" s="2">
        <f t="shared" si="5"/>
        <v>-0.47818873816726226</v>
      </c>
      <c r="R13" s="2">
        <f t="shared" si="6"/>
        <v>-7.2516316171133965E-2</v>
      </c>
      <c r="S13" s="2">
        <f t="shared" si="7"/>
        <v>-0.29089281718504001</v>
      </c>
      <c r="T13" s="2">
        <f t="shared" si="8"/>
        <v>1.1273080660835655</v>
      </c>
      <c r="U13" s="2">
        <f t="shared" si="9"/>
        <v>1.0894828588030148</v>
      </c>
      <c r="W13" s="3">
        <f t="shared" si="0"/>
        <v>44579</v>
      </c>
      <c r="X13" s="2">
        <f t="shared" si="10"/>
        <v>-2.0275264880847521</v>
      </c>
      <c r="Y13" s="2">
        <f t="shared" si="11"/>
        <v>-0.79064335876799918</v>
      </c>
      <c r="Z13" s="2">
        <f t="shared" si="12"/>
        <v>-2.5932225536290083</v>
      </c>
      <c r="AA13" s="2">
        <f t="shared" si="13"/>
        <v>1.0119358360930097</v>
      </c>
      <c r="AB13" s="2">
        <f t="shared" si="15"/>
        <v>1.802579194861009</v>
      </c>
    </row>
    <row r="14" spans="1:28" ht="22.5" customHeight="1" x14ac:dyDescent="0.25">
      <c r="A14" s="3">
        <v>44580</v>
      </c>
      <c r="B14" s="2">
        <v>5.4382999999999999</v>
      </c>
      <c r="C14" s="2">
        <v>808.18</v>
      </c>
      <c r="D14" s="1">
        <v>3.8553999999999999</v>
      </c>
      <c r="E14" s="2">
        <v>3990.36</v>
      </c>
      <c r="F14" s="2">
        <v>20.501999999999999</v>
      </c>
      <c r="G14" s="2">
        <v>6.8849999999999998</v>
      </c>
      <c r="H14" s="2">
        <v>44.57</v>
      </c>
      <c r="I14" s="2">
        <v>104.14</v>
      </c>
      <c r="J14" s="2">
        <v>6959</v>
      </c>
      <c r="L14" s="3">
        <f t="shared" si="14"/>
        <v>44580</v>
      </c>
      <c r="M14" s="2">
        <f t="shared" si="1"/>
        <v>-4.2856137139638868</v>
      </c>
      <c r="N14" s="2">
        <f t="shared" si="2"/>
        <v>-5.0484638430358997</v>
      </c>
      <c r="O14" s="2">
        <f t="shared" si="3"/>
        <v>-2.9843985908404647</v>
      </c>
      <c r="P14" s="2">
        <f t="shared" si="4"/>
        <v>-1.8747848325382344</v>
      </c>
      <c r="Q14" s="2">
        <f t="shared" si="5"/>
        <v>3.9035815360599635E-2</v>
      </c>
      <c r="R14" s="2">
        <f t="shared" si="6"/>
        <v>-0.14503263234227903</v>
      </c>
      <c r="S14" s="2">
        <f t="shared" si="7"/>
        <v>-0.26851644663234975</v>
      </c>
      <c r="T14" s="2">
        <f t="shared" si="8"/>
        <v>1.2050534499514098</v>
      </c>
      <c r="U14" s="2">
        <f t="shared" si="9"/>
        <v>1.0894828588030148</v>
      </c>
      <c r="W14" s="3">
        <f t="shared" si="0"/>
        <v>44580</v>
      </c>
      <c r="X14" s="2">
        <f t="shared" si="10"/>
        <v>-4.2856137139638868</v>
      </c>
      <c r="Y14" s="2">
        <f t="shared" si="11"/>
        <v>-0.99845302765927513</v>
      </c>
      <c r="Z14" s="2">
        <f t="shared" si="12"/>
        <v>-3.1587095852578475</v>
      </c>
      <c r="AA14" s="2">
        <f t="shared" si="13"/>
        <v>1.161803529939297</v>
      </c>
      <c r="AB14" s="2">
        <f t="shared" si="15"/>
        <v>2.1602565575985722</v>
      </c>
    </row>
    <row r="15" spans="1:28" ht="22.5" customHeight="1" x14ac:dyDescent="0.25">
      <c r="A15" s="3">
        <v>44581</v>
      </c>
      <c r="B15" s="2">
        <v>5.4191000000000003</v>
      </c>
      <c r="C15" s="2">
        <v>801.93</v>
      </c>
      <c r="D15" s="1">
        <v>3.8256000000000001</v>
      </c>
      <c r="E15" s="2">
        <v>3971.01</v>
      </c>
      <c r="F15" s="2">
        <v>20.529</v>
      </c>
      <c r="G15" s="2">
        <v>6.8949999999999996</v>
      </c>
      <c r="H15" s="2">
        <v>44.64</v>
      </c>
      <c r="I15" s="2">
        <v>104.21</v>
      </c>
      <c r="J15" s="2">
        <v>6986</v>
      </c>
      <c r="L15" s="3">
        <f t="shared" si="14"/>
        <v>44581</v>
      </c>
      <c r="M15" s="2">
        <f t="shared" si="1"/>
        <v>-4.6235347953113344</v>
      </c>
      <c r="N15" s="2">
        <f t="shared" si="2"/>
        <v>-5.782764495094872</v>
      </c>
      <c r="O15" s="2">
        <f t="shared" si="3"/>
        <v>-3.7342727730246605</v>
      </c>
      <c r="P15" s="2">
        <f t="shared" si="4"/>
        <v>-2.3506123051197481</v>
      </c>
      <c r="Q15" s="2">
        <f t="shared" si="5"/>
        <v>0.17078169220259287</v>
      </c>
      <c r="R15" s="2">
        <f t="shared" si="6"/>
        <v>0</v>
      </c>
      <c r="S15" s="2">
        <f t="shared" si="7"/>
        <v>-0.11188185276347351</v>
      </c>
      <c r="T15" s="2">
        <f t="shared" si="8"/>
        <v>1.273080660835757</v>
      </c>
      <c r="U15" s="2">
        <f t="shared" si="9"/>
        <v>1.4816966879721116</v>
      </c>
      <c r="W15" s="3">
        <f t="shared" si="0"/>
        <v>44581</v>
      </c>
      <c r="X15" s="2">
        <f t="shared" si="10"/>
        <v>-4.6235347953113344</v>
      </c>
      <c r="Y15" s="2">
        <f t="shared" si="11"/>
        <v>-1.131746548124037</v>
      </c>
      <c r="Z15" s="2">
        <f t="shared" si="12"/>
        <v>-3.7097185623811191</v>
      </c>
      <c r="AA15" s="2">
        <f t="shared" si="13"/>
        <v>1.4462254661330451</v>
      </c>
      <c r="AB15" s="2">
        <f t="shared" si="15"/>
        <v>2.5779720142570821</v>
      </c>
    </row>
    <row r="16" spans="1:28" ht="22.5" customHeight="1" x14ac:dyDescent="0.25">
      <c r="A16" s="3">
        <v>44582</v>
      </c>
      <c r="B16" s="2">
        <v>5.4581999999999997</v>
      </c>
      <c r="C16" s="2">
        <v>798.13</v>
      </c>
      <c r="D16" s="1">
        <v>3.8001</v>
      </c>
      <c r="E16" s="2">
        <v>3952.44</v>
      </c>
      <c r="F16" s="2">
        <v>20.451000000000001</v>
      </c>
      <c r="G16" s="2">
        <v>6.8949999999999996</v>
      </c>
      <c r="H16" s="2">
        <v>44.52</v>
      </c>
      <c r="I16" s="2">
        <v>104.34</v>
      </c>
      <c r="J16" s="2">
        <v>7017.91</v>
      </c>
      <c r="L16" s="3">
        <f t="shared" si="14"/>
        <v>44582</v>
      </c>
      <c r="M16" s="2">
        <f t="shared" si="1"/>
        <v>-3.9353725931922989</v>
      </c>
      <c r="N16" s="2">
        <f t="shared" si="2"/>
        <v>-6.2292192915467286</v>
      </c>
      <c r="O16" s="2">
        <f t="shared" si="3"/>
        <v>-4.3759436336185287</v>
      </c>
      <c r="P16" s="2">
        <f t="shared" si="4"/>
        <v>-2.8072591353956566</v>
      </c>
      <c r="Q16" s="2">
        <f t="shared" si="5"/>
        <v>-0.2098175075631814</v>
      </c>
      <c r="R16" s="2">
        <f t="shared" si="6"/>
        <v>0</v>
      </c>
      <c r="S16" s="2">
        <f t="shared" si="7"/>
        <v>-0.38039829939582326</v>
      </c>
      <c r="T16" s="2">
        <f t="shared" si="8"/>
        <v>1.3994169096209985</v>
      </c>
      <c r="U16" s="2">
        <f t="shared" si="9"/>
        <v>1.9452353282974899</v>
      </c>
      <c r="W16" s="3">
        <f t="shared" si="0"/>
        <v>44582</v>
      </c>
      <c r="X16" s="2">
        <f t="shared" si="10"/>
        <v>-3.9353725931922989</v>
      </c>
      <c r="Y16" s="2">
        <f t="shared" si="11"/>
        <v>-1.3322482037001788</v>
      </c>
      <c r="Z16" s="2">
        <f t="shared" si="12"/>
        <v>-4.1999180325732191</v>
      </c>
      <c r="AA16" s="2">
        <f t="shared" si="13"/>
        <v>1.535421625172861</v>
      </c>
      <c r="AB16" s="2">
        <f t="shared" si="15"/>
        <v>2.8676698288730398</v>
      </c>
    </row>
    <row r="17" spans="1:28" ht="22.5" customHeight="1" x14ac:dyDescent="0.25">
      <c r="A17" s="3">
        <v>44585</v>
      </c>
      <c r="B17" s="2">
        <v>5.4877000000000002</v>
      </c>
      <c r="C17" s="2">
        <v>806.53</v>
      </c>
      <c r="D17" s="1">
        <v>3.8407</v>
      </c>
      <c r="E17" s="2">
        <v>3971.91</v>
      </c>
      <c r="F17" s="2">
        <v>20.561</v>
      </c>
      <c r="G17" s="2">
        <v>6.8849999999999998</v>
      </c>
      <c r="H17" s="2">
        <v>44.53</v>
      </c>
      <c r="I17" s="2">
        <v>104.42</v>
      </c>
      <c r="J17" s="2">
        <v>7019</v>
      </c>
      <c r="L17" s="3">
        <f t="shared" si="14"/>
        <v>44585</v>
      </c>
      <c r="M17" s="2">
        <f t="shared" si="1"/>
        <v>-3.4161709317469757</v>
      </c>
      <c r="N17" s="2">
        <f t="shared" si="2"/>
        <v>-5.2423192151794584</v>
      </c>
      <c r="O17" s="2">
        <f t="shared" si="3"/>
        <v>-3.35430296930046</v>
      </c>
      <c r="P17" s="2">
        <f t="shared" si="4"/>
        <v>-2.3284807947671293</v>
      </c>
      <c r="Q17" s="2">
        <f t="shared" si="5"/>
        <v>0.32692495364496921</v>
      </c>
      <c r="R17" s="2">
        <f t="shared" si="6"/>
        <v>-0.14503263234227903</v>
      </c>
      <c r="S17" s="2">
        <f t="shared" si="7"/>
        <v>-0.358021928843133</v>
      </c>
      <c r="T17" s="2">
        <f t="shared" si="8"/>
        <v>1.4771622934888207</v>
      </c>
      <c r="U17" s="2">
        <f t="shared" si="9"/>
        <v>1.9610691458454399</v>
      </c>
      <c r="W17" s="3">
        <f t="shared" si="0"/>
        <v>44585</v>
      </c>
      <c r="X17" s="2">
        <f t="shared" si="10"/>
        <v>-3.4161709317469757</v>
      </c>
      <c r="Y17" s="2">
        <f t="shared" si="11"/>
        <v>-0.95787514343165381</v>
      </c>
      <c r="Z17" s="2">
        <f t="shared" si="12"/>
        <v>-3.4391990521386826</v>
      </c>
      <c r="AA17" s="2">
        <f t="shared" si="13"/>
        <v>1.5234487652753752</v>
      </c>
      <c r="AB17" s="2">
        <f t="shared" si="15"/>
        <v>2.4813239087070289</v>
      </c>
    </row>
    <row r="18" spans="1:28" ht="22.5" customHeight="1" x14ac:dyDescent="0.25">
      <c r="A18" s="3">
        <v>44586</v>
      </c>
      <c r="B18" s="2">
        <v>5.4436999999999998</v>
      </c>
      <c r="C18" s="2">
        <v>798.98</v>
      </c>
      <c r="D18" s="1">
        <v>3.8347000000000002</v>
      </c>
      <c r="E18" s="2">
        <v>3963.56</v>
      </c>
      <c r="F18" s="2">
        <v>20.6</v>
      </c>
      <c r="G18" s="2">
        <v>6.8949999999999996</v>
      </c>
      <c r="H18" s="2">
        <v>44.46</v>
      </c>
      <c r="I18" s="2">
        <v>104.61</v>
      </c>
      <c r="J18" s="2">
        <v>7044.34</v>
      </c>
      <c r="L18" s="3">
        <f t="shared" si="14"/>
        <v>44586</v>
      </c>
      <c r="M18" s="2">
        <f t="shared" si="1"/>
        <v>-4.1905734098349186</v>
      </c>
      <c r="N18" s="2">
        <f t="shared" si="2"/>
        <v>-6.1293544028667046</v>
      </c>
      <c r="O18" s="2">
        <f t="shared" si="3"/>
        <v>-3.5052843482637153</v>
      </c>
      <c r="P18" s="2">
        <f t="shared" si="4"/>
        <v>-2.5338120297054068</v>
      </c>
      <c r="Q18" s="2">
        <f t="shared" si="5"/>
        <v>0.517224553527873</v>
      </c>
      <c r="R18" s="2">
        <f t="shared" si="6"/>
        <v>0</v>
      </c>
      <c r="S18" s="2">
        <f t="shared" si="7"/>
        <v>-0.51465652271200923</v>
      </c>
      <c r="T18" s="2">
        <f t="shared" si="8"/>
        <v>1.6618075801749121</v>
      </c>
      <c r="U18" s="2">
        <f t="shared" si="9"/>
        <v>2.3291690877396798</v>
      </c>
      <c r="W18" s="3">
        <f t="shared" si="0"/>
        <v>44586</v>
      </c>
      <c r="X18" s="2">
        <f t="shared" si="10"/>
        <v>-4.1905734098349186</v>
      </c>
      <c r="Y18" s="2">
        <f t="shared" si="11"/>
        <v>-1.0218632602631716</v>
      </c>
      <c r="Z18" s="2">
        <f t="shared" si="12"/>
        <v>-3.8664470015046972</v>
      </c>
      <c r="AA18" s="2">
        <f t="shared" si="13"/>
        <v>1.8227204809783539</v>
      </c>
      <c r="AB18" s="2">
        <f t="shared" si="15"/>
        <v>2.8445837412415256</v>
      </c>
    </row>
    <row r="19" spans="1:28" ht="22.5" customHeight="1" x14ac:dyDescent="0.25">
      <c r="A19" s="3">
        <v>44587</v>
      </c>
      <c r="B19" s="2">
        <v>5.4324000000000003</v>
      </c>
      <c r="C19" s="2">
        <v>802.4</v>
      </c>
      <c r="D19" s="1">
        <v>3.8252999999999999</v>
      </c>
      <c r="E19" s="2">
        <v>3924.22</v>
      </c>
      <c r="F19" s="2">
        <v>20.731000000000002</v>
      </c>
      <c r="G19" s="2">
        <v>6.8849999999999998</v>
      </c>
      <c r="H19" s="2">
        <v>44.51</v>
      </c>
      <c r="I19" s="2">
        <v>104.7</v>
      </c>
      <c r="J19" s="2">
        <v>7060.66</v>
      </c>
      <c r="L19" s="3">
        <f t="shared" si="14"/>
        <v>44587</v>
      </c>
      <c r="M19" s="2">
        <f t="shared" si="1"/>
        <v>-4.3894540462529381</v>
      </c>
      <c r="N19" s="2">
        <f t="shared" si="2"/>
        <v>-5.7275450860600374</v>
      </c>
      <c r="O19" s="2">
        <f t="shared" si="3"/>
        <v>-3.7418218419728255</v>
      </c>
      <c r="P19" s="2">
        <f t="shared" si="4"/>
        <v>-3.5012049377858734</v>
      </c>
      <c r="Q19" s="2">
        <f t="shared" si="5"/>
        <v>1.1564360300575949</v>
      </c>
      <c r="R19" s="2">
        <f t="shared" si="6"/>
        <v>-0.14503263234227903</v>
      </c>
      <c r="S19" s="2">
        <f t="shared" si="7"/>
        <v>-0.40277466994853572</v>
      </c>
      <c r="T19" s="2">
        <f t="shared" si="8"/>
        <v>1.7492711370262315</v>
      </c>
      <c r="U19" s="2">
        <f t="shared" si="9"/>
        <v>2.5662405578152248</v>
      </c>
      <c r="W19" s="3">
        <f t="shared" si="0"/>
        <v>44587</v>
      </c>
      <c r="X19" s="2">
        <f t="shared" si="10"/>
        <v>-4.3894540462529381</v>
      </c>
      <c r="Y19" s="2">
        <f t="shared" si="11"/>
        <v>-1.0058039304013127</v>
      </c>
      <c r="Z19" s="2">
        <f t="shared" si="12"/>
        <v>-3.9851963266848767</v>
      </c>
      <c r="AA19" s="2">
        <f t="shared" si="13"/>
        <v>1.9735884658822513</v>
      </c>
      <c r="AB19" s="2">
        <f t="shared" si="15"/>
        <v>2.979392396283564</v>
      </c>
    </row>
    <row r="20" spans="1:28" ht="22.5" customHeight="1" x14ac:dyDescent="0.25">
      <c r="A20" s="3">
        <v>44588</v>
      </c>
      <c r="B20" s="2">
        <v>5.4065000000000003</v>
      </c>
      <c r="C20" s="2">
        <v>804.42</v>
      </c>
      <c r="D20" s="1">
        <v>3.8275999999999999</v>
      </c>
      <c r="E20" s="2">
        <v>3956.63</v>
      </c>
      <c r="F20" s="2">
        <v>20.748999999999999</v>
      </c>
      <c r="G20" s="2">
        <v>6.8849999999999998</v>
      </c>
      <c r="H20" s="2">
        <v>44.08</v>
      </c>
      <c r="I20" s="2">
        <v>104.75</v>
      </c>
      <c r="J20" s="2">
        <v>7079.29</v>
      </c>
      <c r="L20" s="3">
        <f t="shared" si="14"/>
        <v>44588</v>
      </c>
      <c r="M20" s="2">
        <f t="shared" si="1"/>
        <v>-4.8452955049456126</v>
      </c>
      <c r="N20" s="2">
        <f t="shared" si="2"/>
        <v>-5.4902191153145763</v>
      </c>
      <c r="O20" s="2">
        <f t="shared" si="3"/>
        <v>-3.6839456467035792</v>
      </c>
      <c r="P20" s="2">
        <f t="shared" si="4"/>
        <v>-2.7042246594206398</v>
      </c>
      <c r="Q20" s="2">
        <f t="shared" si="5"/>
        <v>1.2442666146189163</v>
      </c>
      <c r="R20" s="2">
        <f t="shared" si="6"/>
        <v>-0.14503263234227903</v>
      </c>
      <c r="S20" s="2">
        <f t="shared" si="7"/>
        <v>-1.3649586037144723</v>
      </c>
      <c r="T20" s="2">
        <f t="shared" si="8"/>
        <v>1.7978620019436287</v>
      </c>
      <c r="U20" s="2">
        <f t="shared" si="9"/>
        <v>2.8368680999419027</v>
      </c>
      <c r="W20" s="3">
        <f t="shared" si="0"/>
        <v>44588</v>
      </c>
      <c r="X20" s="2">
        <f t="shared" si="10"/>
        <v>-4.8452955049456126</v>
      </c>
      <c r="Y20" s="2">
        <f t="shared" si="11"/>
        <v>-0.93867299262388704</v>
      </c>
      <c r="Z20" s="2">
        <f t="shared" si="12"/>
        <v>-3.8342462354267908</v>
      </c>
      <c r="AA20" s="2">
        <f t="shared" si="13"/>
        <v>1.9569002501790167</v>
      </c>
      <c r="AB20" s="2">
        <f t="shared" si="15"/>
        <v>2.8955732428029037</v>
      </c>
    </row>
    <row r="21" spans="1:28" ht="22.5" customHeight="1" x14ac:dyDescent="0.25">
      <c r="A21" s="3">
        <v>44589</v>
      </c>
      <c r="B21" s="2">
        <v>5.3673999999999999</v>
      </c>
      <c r="C21" s="2">
        <v>812.55</v>
      </c>
      <c r="D21" s="1">
        <v>3.8384999999999998</v>
      </c>
      <c r="E21" s="2">
        <v>3951.63</v>
      </c>
      <c r="F21" s="2">
        <v>20.789000000000001</v>
      </c>
      <c r="G21" s="2">
        <v>6.8949999999999996</v>
      </c>
      <c r="H21" s="2">
        <v>43.93</v>
      </c>
      <c r="I21" s="2">
        <v>104.83</v>
      </c>
      <c r="J21" s="2">
        <v>7068.66</v>
      </c>
      <c r="L21" s="3">
        <f t="shared" si="14"/>
        <v>44589</v>
      </c>
      <c r="M21" s="2">
        <f t="shared" si="1"/>
        <v>-5.5334577070646596</v>
      </c>
      <c r="N21" s="2">
        <f t="shared" si="2"/>
        <v>-4.535040827116255</v>
      </c>
      <c r="O21" s="2">
        <f t="shared" si="3"/>
        <v>-3.4096628082536551</v>
      </c>
      <c r="P21" s="2">
        <f t="shared" si="4"/>
        <v>-2.8271774947130179</v>
      </c>
      <c r="Q21" s="2">
        <f t="shared" si="5"/>
        <v>1.4394456914218923</v>
      </c>
      <c r="R21" s="2">
        <f t="shared" si="6"/>
        <v>0</v>
      </c>
      <c r="S21" s="2">
        <f t="shared" si="7"/>
        <v>-1.700604162004915</v>
      </c>
      <c r="T21" s="2">
        <f t="shared" si="8"/>
        <v>1.8756073858114508</v>
      </c>
      <c r="U21" s="2">
        <f t="shared" si="9"/>
        <v>2.6824520627542148</v>
      </c>
      <c r="W21" s="3">
        <f t="shared" si="0"/>
        <v>44589</v>
      </c>
      <c r="X21" s="2">
        <f t="shared" si="10"/>
        <v>-5.5334577070646596</v>
      </c>
      <c r="Y21" s="2">
        <f t="shared" si="11"/>
        <v>-0.80937251901253571</v>
      </c>
      <c r="Z21" s="2">
        <f t="shared" si="12"/>
        <v>-3.4985616668257888</v>
      </c>
      <c r="AA21" s="2">
        <f t="shared" si="13"/>
        <v>1.8798166288007172</v>
      </c>
      <c r="AB21" s="2">
        <f t="shared" si="15"/>
        <v>2.689189147813253</v>
      </c>
    </row>
    <row r="22" spans="1:28" ht="22.5" customHeight="1" x14ac:dyDescent="0.25">
      <c r="A22" s="3">
        <v>44592</v>
      </c>
      <c r="B22" s="2">
        <v>5.3041</v>
      </c>
      <c r="C22" s="2">
        <v>799.9</v>
      </c>
      <c r="D22" s="1">
        <v>3.8370000000000002</v>
      </c>
      <c r="E22" s="2">
        <v>3941.41</v>
      </c>
      <c r="F22" s="2">
        <v>20.625</v>
      </c>
      <c r="G22" s="2">
        <v>6.8849999999999998</v>
      </c>
      <c r="H22" s="2">
        <v>43.92</v>
      </c>
      <c r="I22" s="2">
        <v>105</v>
      </c>
      <c r="J22" s="2">
        <v>7033</v>
      </c>
      <c r="L22" s="3">
        <f t="shared" si="14"/>
        <v>44592</v>
      </c>
      <c r="M22" s="2">
        <f t="shared" si="1"/>
        <v>-6.6475412721320737</v>
      </c>
      <c r="N22" s="2">
        <f t="shared" si="2"/>
        <v>-6.0212653468836308</v>
      </c>
      <c r="O22" s="2">
        <f t="shared" si="3"/>
        <v>-3.4474081529944689</v>
      </c>
      <c r="P22" s="2">
        <f t="shared" si="4"/>
        <v>-3.0784930900506602</v>
      </c>
      <c r="Q22" s="2">
        <f t="shared" si="5"/>
        <v>0.63921147652972188</v>
      </c>
      <c r="R22" s="2">
        <f t="shared" si="6"/>
        <v>-0.14503263234227903</v>
      </c>
      <c r="S22" s="2">
        <f t="shared" si="7"/>
        <v>-1.7229805325576053</v>
      </c>
      <c r="T22" s="2">
        <f t="shared" si="8"/>
        <v>2.0408163265306145</v>
      </c>
      <c r="U22" s="2">
        <f t="shared" si="9"/>
        <v>2.1644392794886613</v>
      </c>
      <c r="W22" s="3">
        <f t="shared" si="0"/>
        <v>44592</v>
      </c>
      <c r="X22" s="2">
        <f t="shared" si="10"/>
        <v>-6.6475412721320737</v>
      </c>
      <c r="Y22" s="2">
        <f t="shared" si="11"/>
        <v>-1.1963390840349559</v>
      </c>
      <c r="Z22" s="2">
        <f t="shared" si="12"/>
        <v>-4.0851247357147784</v>
      </c>
      <c r="AA22" s="2">
        <f t="shared" si="13"/>
        <v>1.6924465676448661</v>
      </c>
      <c r="AB22" s="2">
        <f t="shared" si="15"/>
        <v>2.888785651679822</v>
      </c>
    </row>
    <row r="23" spans="1:28" ht="22.5" customHeight="1" x14ac:dyDescent="0.25">
      <c r="A23" s="3">
        <v>44593</v>
      </c>
      <c r="B23" s="2">
        <v>5.266</v>
      </c>
      <c r="C23" s="2">
        <v>801.75</v>
      </c>
      <c r="D23" s="1">
        <v>3.8856000000000002</v>
      </c>
      <c r="E23" s="2">
        <v>3919.13</v>
      </c>
      <c r="F23" s="2">
        <v>20.53</v>
      </c>
      <c r="G23" s="2">
        <v>6.8849999999999998</v>
      </c>
      <c r="H23" s="2">
        <v>43.9</v>
      </c>
      <c r="I23" s="2">
        <v>105.11499999999999</v>
      </c>
      <c r="J23" s="2">
        <v>7031.71</v>
      </c>
      <c r="L23" s="3">
        <f t="shared" si="14"/>
        <v>44593</v>
      </c>
      <c r="M23" s="2">
        <f t="shared" si="1"/>
        <v>-7.3181034179309323</v>
      </c>
      <c r="N23" s="2">
        <f t="shared" si="2"/>
        <v>-5.8039123538741633</v>
      </c>
      <c r="O23" s="2">
        <f t="shared" si="3"/>
        <v>-2.2244589833920525</v>
      </c>
      <c r="P23" s="2">
        <f t="shared" si="4"/>
        <v>-3.6263709241135089</v>
      </c>
      <c r="Q23" s="2">
        <f t="shared" si="5"/>
        <v>0.17566116912268726</v>
      </c>
      <c r="R23" s="2">
        <f t="shared" si="6"/>
        <v>-0.14503263234227903</v>
      </c>
      <c r="S23" s="2">
        <f t="shared" si="7"/>
        <v>-1.767733273663008</v>
      </c>
      <c r="T23" s="2">
        <f t="shared" si="8"/>
        <v>2.1525753158406102</v>
      </c>
      <c r="U23" s="2">
        <f t="shared" si="9"/>
        <v>2.1457001743172555</v>
      </c>
      <c r="W23" s="3">
        <f t="shared" si="0"/>
        <v>44593</v>
      </c>
      <c r="X23" s="2">
        <f t="shared" si="10"/>
        <v>-7.3181034179309323</v>
      </c>
      <c r="Y23" s="2">
        <f t="shared" si="11"/>
        <v>-1.1366964385130571</v>
      </c>
      <c r="Z23" s="2">
        <f t="shared" si="12"/>
        <v>-3.9106037929991664</v>
      </c>
      <c r="AA23" s="2">
        <f t="shared" si="13"/>
        <v>1.6372109159730521</v>
      </c>
      <c r="AB23" s="2">
        <f t="shared" si="15"/>
        <v>2.7739073544861093</v>
      </c>
    </row>
    <row r="24" spans="1:28" ht="22.5" customHeight="1" x14ac:dyDescent="0.25">
      <c r="A24" s="3">
        <v>44594</v>
      </c>
      <c r="B24" s="2">
        <v>5.2625000000000002</v>
      </c>
      <c r="C24" s="2">
        <v>809.7</v>
      </c>
      <c r="D24" s="1">
        <v>3.8609</v>
      </c>
      <c r="E24" s="2">
        <v>3928.64</v>
      </c>
      <c r="F24" s="2">
        <v>20.562999999999999</v>
      </c>
      <c r="G24" s="2">
        <v>6.8949999999999996</v>
      </c>
      <c r="H24" s="2">
        <v>43.91</v>
      </c>
      <c r="I24" s="2">
        <v>105.16</v>
      </c>
      <c r="J24" s="2">
        <v>7036.5</v>
      </c>
      <c r="L24" s="3">
        <f t="shared" si="14"/>
        <v>44594</v>
      </c>
      <c r="M24" s="2">
        <f t="shared" si="1"/>
        <v>-7.3797036150515698</v>
      </c>
      <c r="N24" s="2">
        <f t="shared" si="2"/>
        <v>-4.8698819244551439</v>
      </c>
      <c r="O24" s="2">
        <f t="shared" si="3"/>
        <v>-2.845998993457477</v>
      </c>
      <c r="P24" s="2">
        <f t="shared" si="4"/>
        <v>-3.3925146313873999</v>
      </c>
      <c r="Q24" s="2">
        <f t="shared" si="5"/>
        <v>0.33668390748511356</v>
      </c>
      <c r="R24" s="2">
        <f t="shared" si="6"/>
        <v>0</v>
      </c>
      <c r="S24" s="2">
        <f t="shared" si="7"/>
        <v>-1.7453569031103178</v>
      </c>
      <c r="T24" s="2">
        <f t="shared" si="8"/>
        <v>2.1963070942662588</v>
      </c>
      <c r="U24" s="2">
        <f t="shared" si="9"/>
        <v>2.2152818128994722</v>
      </c>
      <c r="W24" s="3">
        <f t="shared" si="0"/>
        <v>44594</v>
      </c>
      <c r="X24" s="2">
        <f t="shared" si="10"/>
        <v>-7.3797036150515698</v>
      </c>
      <c r="Y24" s="2">
        <f t="shared" si="11"/>
        <v>-1.0131849547199367</v>
      </c>
      <c r="Z24" s="2">
        <f t="shared" si="12"/>
        <v>-3.6318850376124425</v>
      </c>
      <c r="AA24" s="2">
        <f t="shared" si="13"/>
        <v>1.605515128172569</v>
      </c>
      <c r="AB24" s="2">
        <f t="shared" si="15"/>
        <v>2.6187000828925058</v>
      </c>
    </row>
    <row r="25" spans="1:28" ht="22.5" customHeight="1" x14ac:dyDescent="0.25">
      <c r="A25" s="3">
        <v>44595</v>
      </c>
      <c r="B25" s="2">
        <v>5.2839</v>
      </c>
      <c r="C25" s="2">
        <v>817.58</v>
      </c>
      <c r="D25" s="1">
        <v>3.8462000000000001</v>
      </c>
      <c r="E25" s="2">
        <v>3950.06</v>
      </c>
      <c r="F25" s="2">
        <v>20.530999999999999</v>
      </c>
      <c r="G25" s="2">
        <v>6.8849999999999998</v>
      </c>
      <c r="H25" s="2">
        <v>43.7</v>
      </c>
      <c r="I25" s="2">
        <v>105.27</v>
      </c>
      <c r="J25" s="2">
        <v>6982</v>
      </c>
      <c r="L25" s="3">
        <f t="shared" si="14"/>
        <v>44595</v>
      </c>
      <c r="M25" s="2">
        <f t="shared" si="1"/>
        <v>-7.0030624097997096</v>
      </c>
      <c r="N25" s="2">
        <f t="shared" si="2"/>
        <v>-3.9440756623391859</v>
      </c>
      <c r="O25" s="2">
        <f t="shared" si="3"/>
        <v>-3.2159033719174612</v>
      </c>
      <c r="P25" s="2">
        <f t="shared" si="4"/>
        <v>-2.8657846849948321</v>
      </c>
      <c r="Q25" s="2">
        <f t="shared" si="5"/>
        <v>0.18054064604273723</v>
      </c>
      <c r="R25" s="2">
        <f t="shared" si="6"/>
        <v>-0.14503263234227903</v>
      </c>
      <c r="S25" s="2">
        <f t="shared" si="7"/>
        <v>-2.2152606847169243</v>
      </c>
      <c r="T25" s="2">
        <f t="shared" si="8"/>
        <v>2.3032069970845281</v>
      </c>
      <c r="U25" s="2">
        <f t="shared" si="9"/>
        <v>1.4235909355026166</v>
      </c>
      <c r="W25" s="3">
        <f t="shared" si="0"/>
        <v>44595</v>
      </c>
      <c r="X25" s="2">
        <f t="shared" si="10"/>
        <v>-7.0030624097997096</v>
      </c>
      <c r="Y25" s="2">
        <f t="shared" si="11"/>
        <v>-1.0598398072101001</v>
      </c>
      <c r="Z25" s="2">
        <f t="shared" si="12"/>
        <v>-3.3718206760933391</v>
      </c>
      <c r="AA25" s="2">
        <f t="shared" si="13"/>
        <v>1.2521410616731388</v>
      </c>
      <c r="AB25" s="2">
        <f t="shared" si="15"/>
        <v>2.3119808688832388</v>
      </c>
    </row>
    <row r="26" spans="1:28" ht="22.5" customHeight="1" x14ac:dyDescent="0.25">
      <c r="A26" s="3">
        <v>44596</v>
      </c>
      <c r="B26" s="2">
        <v>5.3278999999999996</v>
      </c>
      <c r="C26" s="2">
        <v>828.05</v>
      </c>
      <c r="D26" s="1">
        <v>3.8317999999999999</v>
      </c>
      <c r="E26" s="2">
        <v>3946.18</v>
      </c>
      <c r="F26" s="2">
        <v>20.6785</v>
      </c>
      <c r="G26" s="2">
        <v>6.8849999999999998</v>
      </c>
      <c r="H26" s="2">
        <v>43.77</v>
      </c>
      <c r="I26" s="2">
        <v>105.3</v>
      </c>
      <c r="J26" s="2">
        <v>6970</v>
      </c>
      <c r="L26" s="3">
        <f t="shared" si="14"/>
        <v>44596</v>
      </c>
      <c r="M26" s="2">
        <f t="shared" si="1"/>
        <v>-6.228659931711789</v>
      </c>
      <c r="N26" s="2">
        <f t="shared" si="2"/>
        <v>-2.713975210009989</v>
      </c>
      <c r="O26" s="2">
        <f t="shared" si="3"/>
        <v>-3.5782586814293027</v>
      </c>
      <c r="P26" s="2">
        <f t="shared" si="4"/>
        <v>-2.9611960851817276</v>
      </c>
      <c r="Q26" s="2">
        <f t="shared" si="5"/>
        <v>0.90026349175369447</v>
      </c>
      <c r="R26" s="2">
        <f t="shared" si="6"/>
        <v>-0.14503263234227903</v>
      </c>
      <c r="S26" s="2">
        <f t="shared" si="7"/>
        <v>-2.058626090848048</v>
      </c>
      <c r="T26" s="2">
        <f t="shared" si="8"/>
        <v>2.3323615160349753</v>
      </c>
      <c r="U26" s="2">
        <f t="shared" si="9"/>
        <v>1.2492736780941316</v>
      </c>
      <c r="W26" s="3">
        <f t="shared" si="0"/>
        <v>44596</v>
      </c>
      <c r="X26" s="2">
        <f t="shared" si="10"/>
        <v>-6.228659931711789</v>
      </c>
      <c r="Y26" s="2">
        <f t="shared" si="11"/>
        <v>-0.87189875174106801</v>
      </c>
      <c r="Z26" s="2">
        <f t="shared" si="12"/>
        <v>-3.1056228869523035</v>
      </c>
      <c r="AA26" s="2">
        <f t="shared" si="13"/>
        <v>1.3618253834701677</v>
      </c>
      <c r="AB26" s="2">
        <f t="shared" si="15"/>
        <v>2.2337241352112356</v>
      </c>
    </row>
    <row r="27" spans="1:28" ht="22.5" customHeight="1" x14ac:dyDescent="0.25">
      <c r="A27" s="3">
        <v>44599</v>
      </c>
      <c r="B27" s="2">
        <v>5.2636000000000003</v>
      </c>
      <c r="C27" s="2">
        <v>824.08</v>
      </c>
      <c r="D27" s="1">
        <v>3.8346</v>
      </c>
      <c r="E27" s="2">
        <v>3959.23</v>
      </c>
      <c r="F27" s="2">
        <v>20.577999999999999</v>
      </c>
      <c r="G27" s="2">
        <v>6.875</v>
      </c>
      <c r="H27" s="2">
        <v>43.74</v>
      </c>
      <c r="I27" s="2">
        <v>105.57</v>
      </c>
      <c r="J27" s="2">
        <v>6949</v>
      </c>
      <c r="L27" s="3">
        <f t="shared" si="14"/>
        <v>44599</v>
      </c>
      <c r="M27" s="2">
        <f t="shared" si="1"/>
        <v>-7.3603435530993693</v>
      </c>
      <c r="N27" s="2">
        <f t="shared" si="2"/>
        <v>-3.1804029841978387</v>
      </c>
      <c r="O27" s="2">
        <f t="shared" si="3"/>
        <v>-3.5078007045797777</v>
      </c>
      <c r="P27" s="2">
        <f t="shared" si="4"/>
        <v>-2.6402891850686006</v>
      </c>
      <c r="Q27" s="2">
        <f t="shared" si="5"/>
        <v>0.40987606128621845</v>
      </c>
      <c r="R27" s="2">
        <f t="shared" si="6"/>
        <v>-0.29006526468454696</v>
      </c>
      <c r="S27" s="2">
        <f t="shared" si="7"/>
        <v>-2.125755202506141</v>
      </c>
      <c r="T27" s="2">
        <f t="shared" si="8"/>
        <v>2.5947521865889112</v>
      </c>
      <c r="U27" s="2">
        <f t="shared" si="9"/>
        <v>0.94421847762928834</v>
      </c>
      <c r="W27" s="3">
        <f t="shared" si="0"/>
        <v>44599</v>
      </c>
      <c r="X27" s="2">
        <f t="shared" si="10"/>
        <v>-7.3603435530993693</v>
      </c>
      <c r="Y27" s="2">
        <f t="shared" si="11"/>
        <v>-0.9744333269415606</v>
      </c>
      <c r="Z27" s="2">
        <f t="shared" si="12"/>
        <v>-3.1844705698138673</v>
      </c>
      <c r="AA27" s="2">
        <f t="shared" si="13"/>
        <v>1.2356039159307459</v>
      </c>
      <c r="AB27" s="2">
        <f t="shared" si="15"/>
        <v>2.2100372428723065</v>
      </c>
    </row>
    <row r="28" spans="1:28" ht="22.5" customHeight="1" x14ac:dyDescent="0.25">
      <c r="A28" s="3">
        <v>44600</v>
      </c>
      <c r="B28" s="2">
        <v>5.2592999999999996</v>
      </c>
      <c r="C28" s="2">
        <v>826.6</v>
      </c>
      <c r="D28" s="1">
        <v>3.8235000000000001</v>
      </c>
      <c r="E28" s="2">
        <v>3941.63</v>
      </c>
      <c r="F28" s="2">
        <v>20.597999999999999</v>
      </c>
      <c r="G28" s="2">
        <v>6.8849999999999998</v>
      </c>
      <c r="H28" s="2">
        <v>43.64</v>
      </c>
      <c r="I28" s="2">
        <v>105.8</v>
      </c>
      <c r="J28" s="2">
        <v>6930.99</v>
      </c>
      <c r="L28" s="3">
        <f t="shared" si="14"/>
        <v>44600</v>
      </c>
      <c r="M28" s="2">
        <f t="shared" si="1"/>
        <v>-7.4360237952761477</v>
      </c>
      <c r="N28" s="2">
        <f t="shared" si="2"/>
        <v>-2.8843329612876611</v>
      </c>
      <c r="O28" s="2">
        <f t="shared" si="3"/>
        <v>-3.7871162556618043</v>
      </c>
      <c r="P28" s="2">
        <f t="shared" si="4"/>
        <v>-3.0730831652977852</v>
      </c>
      <c r="Q28" s="2">
        <f t="shared" si="5"/>
        <v>0.50746559968770644</v>
      </c>
      <c r="R28" s="2">
        <f t="shared" si="6"/>
        <v>-0.14503263234227903</v>
      </c>
      <c r="S28" s="2">
        <f t="shared" si="7"/>
        <v>-2.3495189080331103</v>
      </c>
      <c r="T28" s="2">
        <f t="shared" si="8"/>
        <v>2.8182701652089248</v>
      </c>
      <c r="U28" s="2">
        <f t="shared" si="9"/>
        <v>0.68259732713538135</v>
      </c>
      <c r="W28" s="3">
        <f t="shared" si="0"/>
        <v>44600</v>
      </c>
      <c r="X28" s="2">
        <f t="shared" si="10"/>
        <v>-7.4360237952761477</v>
      </c>
      <c r="Y28" s="2">
        <f t="shared" si="11"/>
        <v>-1.0288438538238285</v>
      </c>
      <c r="Z28" s="2">
        <f t="shared" si="12"/>
        <v>-3.3540071241442835</v>
      </c>
      <c r="AA28" s="2">
        <f t="shared" si="13"/>
        <v>1.2963194164966267</v>
      </c>
      <c r="AB28" s="2">
        <f t="shared" si="15"/>
        <v>2.3251632703204552</v>
      </c>
    </row>
    <row r="29" spans="1:28" ht="22.5" customHeight="1" x14ac:dyDescent="0.25">
      <c r="A29" s="3">
        <v>44601</v>
      </c>
      <c r="B29" s="2">
        <v>5.2354000000000003</v>
      </c>
      <c r="C29" s="2">
        <v>811.8</v>
      </c>
      <c r="D29" s="1">
        <v>3.7924000000000002</v>
      </c>
      <c r="E29" s="2">
        <v>3930.16</v>
      </c>
      <c r="F29" s="2">
        <v>20.462</v>
      </c>
      <c r="G29" s="2">
        <v>6.875</v>
      </c>
      <c r="H29" s="2">
        <v>43.45</v>
      </c>
      <c r="I29" s="2">
        <v>105.88</v>
      </c>
      <c r="J29" s="2">
        <v>6963.74</v>
      </c>
      <c r="L29" s="3">
        <f t="shared" si="14"/>
        <v>44601</v>
      </c>
      <c r="M29" s="2">
        <f t="shared" si="1"/>
        <v>-7.8566651413284454</v>
      </c>
      <c r="N29" s="2">
        <f t="shared" si="2"/>
        <v>-4.6231569053633343</v>
      </c>
      <c r="O29" s="2">
        <f t="shared" si="3"/>
        <v>-4.5697030699547003</v>
      </c>
      <c r="P29" s="2">
        <f t="shared" si="4"/>
        <v>-3.3551369694585165</v>
      </c>
      <c r="Q29" s="2">
        <f t="shared" si="5"/>
        <v>-0.15614326144237634</v>
      </c>
      <c r="R29" s="2">
        <f t="shared" si="6"/>
        <v>-0.29006526468454696</v>
      </c>
      <c r="S29" s="2">
        <f t="shared" si="7"/>
        <v>-2.7746699485343362</v>
      </c>
      <c r="T29" s="2">
        <f t="shared" si="8"/>
        <v>2.8960155490767692</v>
      </c>
      <c r="U29" s="2">
        <f t="shared" si="9"/>
        <v>1.1583381754793676</v>
      </c>
      <c r="W29" s="3">
        <f t="shared" si="0"/>
        <v>44601</v>
      </c>
      <c r="X29" s="2">
        <f t="shared" si="10"/>
        <v>-7.8566651413284454</v>
      </c>
      <c r="Y29" s="2">
        <f t="shared" si="11"/>
        <v>-1.464315211860209</v>
      </c>
      <c r="Z29" s="2">
        <f t="shared" si="12"/>
        <v>-4.2390719057999782</v>
      </c>
      <c r="AA29" s="2">
        <f t="shared" si="13"/>
        <v>1.3104414820795602</v>
      </c>
      <c r="AB29" s="2">
        <f t="shared" si="15"/>
        <v>2.7747566939397692</v>
      </c>
    </row>
    <row r="30" spans="1:28" ht="22.5" customHeight="1" x14ac:dyDescent="0.25">
      <c r="A30" s="3">
        <v>44602</v>
      </c>
      <c r="B30" s="2">
        <v>5.2496</v>
      </c>
      <c r="C30" s="2">
        <v>803.6</v>
      </c>
      <c r="D30" s="1">
        <v>3.7256</v>
      </c>
      <c r="E30" s="2">
        <v>3916.44</v>
      </c>
      <c r="F30" s="2">
        <v>20.542999999999999</v>
      </c>
      <c r="G30" s="2">
        <v>6.8849999999999998</v>
      </c>
      <c r="H30" s="2">
        <v>43.23</v>
      </c>
      <c r="I30" s="2">
        <v>106.01</v>
      </c>
      <c r="J30" s="2">
        <v>6939.6</v>
      </c>
      <c r="L30" s="3">
        <f t="shared" si="14"/>
        <v>44602</v>
      </c>
      <c r="M30" s="2">
        <f t="shared" si="1"/>
        <v>-7.6067443415818943</v>
      </c>
      <c r="N30" s="2">
        <f t="shared" si="2"/>
        <v>-5.5865593608647064</v>
      </c>
      <c r="O30" s="2">
        <f t="shared" si="3"/>
        <v>-6.2506290890790179</v>
      </c>
      <c r="P30" s="2">
        <f t="shared" si="4"/>
        <v>-3.6925195495008056</v>
      </c>
      <c r="Q30" s="2">
        <f t="shared" si="5"/>
        <v>0.23909436908362558</v>
      </c>
      <c r="R30" s="2">
        <f t="shared" si="6"/>
        <v>-0.14503263234227903</v>
      </c>
      <c r="S30" s="2">
        <f t="shared" si="7"/>
        <v>-3.2669501006936663</v>
      </c>
      <c r="T30" s="2">
        <f t="shared" si="8"/>
        <v>3.0223517978620107</v>
      </c>
      <c r="U30" s="2">
        <f t="shared" si="9"/>
        <v>0.80766995932597396</v>
      </c>
      <c r="W30" s="3">
        <f t="shared" si="0"/>
        <v>44602</v>
      </c>
      <c r="X30" s="2">
        <f t="shared" si="10"/>
        <v>-7.6067443415818943</v>
      </c>
      <c r="Y30" s="2">
        <f t="shared" si="11"/>
        <v>-1.8590718257761081</v>
      </c>
      <c r="Z30" s="2">
        <f t="shared" si="12"/>
        <v>-5.1714647974902075</v>
      </c>
      <c r="AA30" s="2">
        <f t="shared" si="13"/>
        <v>1.4533211459379913</v>
      </c>
      <c r="AB30" s="2">
        <f t="shared" si="15"/>
        <v>3.3123929717140994</v>
      </c>
    </row>
    <row r="31" spans="1:28" ht="22.5" customHeight="1" x14ac:dyDescent="0.25">
      <c r="A31" s="3">
        <v>44603</v>
      </c>
      <c r="B31" s="2">
        <v>5.2526999999999999</v>
      </c>
      <c r="C31" s="2">
        <v>809.03</v>
      </c>
      <c r="D31" s="1">
        <v>3.7433999999999998</v>
      </c>
      <c r="E31" s="2">
        <v>3921.42</v>
      </c>
      <c r="F31" s="2">
        <v>20.526</v>
      </c>
      <c r="G31" s="2">
        <v>6.875</v>
      </c>
      <c r="H31" s="2">
        <v>43.18</v>
      </c>
      <c r="I31" s="2">
        <v>106.14</v>
      </c>
      <c r="J31" s="2">
        <v>6939.16</v>
      </c>
      <c r="L31" s="3">
        <f t="shared" si="14"/>
        <v>44603</v>
      </c>
      <c r="M31" s="2">
        <f t="shared" si="1"/>
        <v>-7.5521841669893401</v>
      </c>
      <c r="N31" s="2">
        <f t="shared" si="2"/>
        <v>-4.9485989543558766</v>
      </c>
      <c r="O31" s="2">
        <f t="shared" si="3"/>
        <v>-5.8027176648213441</v>
      </c>
      <c r="P31" s="2">
        <f t="shared" si="4"/>
        <v>-3.5700585255495909</v>
      </c>
      <c r="Q31" s="2">
        <f t="shared" si="5"/>
        <v>0.15614326144237634</v>
      </c>
      <c r="R31" s="2">
        <f t="shared" si="6"/>
        <v>-0.29006526468454696</v>
      </c>
      <c r="S31" s="2">
        <f t="shared" si="7"/>
        <v>-3.3788319534571398</v>
      </c>
      <c r="T31" s="2">
        <f t="shared" si="8"/>
        <v>3.14868804664723</v>
      </c>
      <c r="U31" s="2">
        <f t="shared" si="9"/>
        <v>0.80127832655432218</v>
      </c>
      <c r="W31" s="3">
        <f t="shared" si="0"/>
        <v>44603</v>
      </c>
      <c r="X31" s="2">
        <f t="shared" si="10"/>
        <v>-7.5521841669893401</v>
      </c>
      <c r="Y31" s="2">
        <f t="shared" si="11"/>
        <v>-1.7355203410280713</v>
      </c>
      <c r="Z31" s="2">
        <f t="shared" si="12"/>
        <v>-4.8726378138691082</v>
      </c>
      <c r="AA31" s="2">
        <f t="shared" si="13"/>
        <v>1.4015971318129656</v>
      </c>
      <c r="AB31" s="2">
        <f t="shared" si="15"/>
        <v>3.1371174728410369</v>
      </c>
    </row>
    <row r="32" spans="1:28" ht="22.5" customHeight="1" x14ac:dyDescent="0.25">
      <c r="A32" s="3">
        <v>44606</v>
      </c>
      <c r="B32" s="2">
        <v>5.2149000000000001</v>
      </c>
      <c r="C32" s="2">
        <v>812.93</v>
      </c>
      <c r="D32" s="1">
        <v>3.7867999999999999</v>
      </c>
      <c r="E32" s="2">
        <v>3941.48</v>
      </c>
      <c r="F32" s="2">
        <v>20.405000000000001</v>
      </c>
      <c r="G32" s="2">
        <v>6.8849999999999998</v>
      </c>
      <c r="H32" s="2">
        <v>43.05</v>
      </c>
      <c r="I32" s="2">
        <v>106.25</v>
      </c>
      <c r="J32" s="2">
        <v>6945</v>
      </c>
      <c r="L32" s="3">
        <f t="shared" si="14"/>
        <v>44606</v>
      </c>
      <c r="M32" s="2">
        <f t="shared" si="1"/>
        <v>-8.2174662958921392</v>
      </c>
      <c r="N32" s="2">
        <f t="shared" si="2"/>
        <v>-4.4903953474710772</v>
      </c>
      <c r="O32" s="2">
        <f t="shared" si="3"/>
        <v>-4.7106190236537504</v>
      </c>
      <c r="P32" s="2">
        <f t="shared" si="4"/>
        <v>-3.0767717503565661</v>
      </c>
      <c r="Q32" s="2">
        <f t="shared" si="5"/>
        <v>-0.43427344588659045</v>
      </c>
      <c r="R32" s="2">
        <f t="shared" si="6"/>
        <v>-0.14503263234227903</v>
      </c>
      <c r="S32" s="2">
        <f t="shared" si="7"/>
        <v>-3.669724770642202</v>
      </c>
      <c r="T32" s="2">
        <f t="shared" si="8"/>
        <v>3.2555879494654993</v>
      </c>
      <c r="U32" s="2">
        <f t="shared" si="9"/>
        <v>0.88611272515979334</v>
      </c>
      <c r="W32" s="3">
        <f t="shared" si="0"/>
        <v>44606</v>
      </c>
      <c r="X32" s="2">
        <f t="shared" si="10"/>
        <v>-8.2174662958921392</v>
      </c>
      <c r="Y32" s="2">
        <f t="shared" si="11"/>
        <v>-1.5481395369658966</v>
      </c>
      <c r="Z32" s="2">
        <f t="shared" si="12"/>
        <v>-4.4193457195399741</v>
      </c>
      <c r="AA32" s="2">
        <f t="shared" si="13"/>
        <v>1.323066645608181</v>
      </c>
      <c r="AB32" s="2">
        <f t="shared" si="15"/>
        <v>2.8712061825740776</v>
      </c>
    </row>
    <row r="33" spans="1:28" ht="22.5" customHeight="1" x14ac:dyDescent="0.25">
      <c r="A33" s="3">
        <v>44607</v>
      </c>
      <c r="B33" s="2">
        <v>5.1589999999999998</v>
      </c>
      <c r="C33" s="2">
        <v>800.2</v>
      </c>
      <c r="D33" s="1">
        <v>3.7921</v>
      </c>
      <c r="E33" s="2">
        <v>3947.59</v>
      </c>
      <c r="F33" s="2">
        <v>20.389399999999998</v>
      </c>
      <c r="G33" s="2">
        <v>6.875</v>
      </c>
      <c r="H33" s="2">
        <v>43.09</v>
      </c>
      <c r="I33" s="2">
        <v>106.35</v>
      </c>
      <c r="J33" s="2">
        <v>6940</v>
      </c>
      <c r="L33" s="3">
        <f t="shared" si="14"/>
        <v>44607</v>
      </c>
      <c r="M33" s="2">
        <f t="shared" si="1"/>
        <v>-9.201309444190219</v>
      </c>
      <c r="N33" s="2">
        <f t="shared" si="2"/>
        <v>-5.9860189155847898</v>
      </c>
      <c r="O33" s="2">
        <f t="shared" si="3"/>
        <v>-4.5772521389028764</v>
      </c>
      <c r="P33" s="2">
        <f t="shared" si="4"/>
        <v>-2.926523385629265</v>
      </c>
      <c r="Q33" s="2">
        <f t="shared" si="5"/>
        <v>-0.51039328583976085</v>
      </c>
      <c r="R33" s="2">
        <f t="shared" si="6"/>
        <v>-0.29006526468454696</v>
      </c>
      <c r="S33" s="2">
        <f t="shared" si="7"/>
        <v>-3.5802192884314077</v>
      </c>
      <c r="T33" s="2">
        <f t="shared" si="8"/>
        <v>3.3527696793002715</v>
      </c>
      <c r="U33" s="2">
        <f t="shared" si="9"/>
        <v>0.81348053457293013</v>
      </c>
      <c r="W33" s="3">
        <f t="shared" si="0"/>
        <v>44607</v>
      </c>
      <c r="X33" s="2">
        <f t="shared" si="10"/>
        <v>-9.201309444190219</v>
      </c>
      <c r="Y33" s="2">
        <f t="shared" si="11"/>
        <v>-1.7130277581499307</v>
      </c>
      <c r="Z33" s="2">
        <f t="shared" si="12"/>
        <v>-4.8053664557738047</v>
      </c>
      <c r="AA33" s="2">
        <f t="shared" si="13"/>
        <v>1.3793109394739433</v>
      </c>
      <c r="AB33" s="2">
        <f t="shared" si="15"/>
        <v>3.092338697623874</v>
      </c>
    </row>
    <row r="34" spans="1:28" ht="22.5" customHeight="1" x14ac:dyDescent="0.25">
      <c r="A34" s="3">
        <v>44608</v>
      </c>
      <c r="B34" s="2">
        <v>5.1369999999999996</v>
      </c>
      <c r="C34" s="2">
        <v>797.3</v>
      </c>
      <c r="D34" s="1">
        <v>3.7464</v>
      </c>
      <c r="E34" s="2">
        <v>3960.41</v>
      </c>
      <c r="F34" s="2">
        <v>20.270299999999999</v>
      </c>
      <c r="G34" s="2">
        <v>6.8849999999999998</v>
      </c>
      <c r="H34" s="2">
        <v>43.07</v>
      </c>
      <c r="I34" s="2">
        <v>106.52500000000001</v>
      </c>
      <c r="J34" s="2">
        <v>6937.5</v>
      </c>
      <c r="L34" s="3">
        <f t="shared" si="14"/>
        <v>44608</v>
      </c>
      <c r="M34" s="2">
        <f t="shared" si="1"/>
        <v>-9.5885106832341975</v>
      </c>
      <c r="N34" s="2">
        <f t="shared" si="2"/>
        <v>-6.3267344181401679</v>
      </c>
      <c r="O34" s="2">
        <f t="shared" si="3"/>
        <v>-5.7272269753397165</v>
      </c>
      <c r="P34" s="2">
        <f t="shared" si="4"/>
        <v>-2.6112723159396056</v>
      </c>
      <c r="Q34" s="2">
        <f t="shared" si="5"/>
        <v>-1.0915389870205905</v>
      </c>
      <c r="R34" s="2">
        <f t="shared" si="6"/>
        <v>-0.14503263234227903</v>
      </c>
      <c r="S34" s="2">
        <f t="shared" si="7"/>
        <v>-3.6249720295367993</v>
      </c>
      <c r="T34" s="2">
        <f t="shared" si="8"/>
        <v>3.5228377065111838</v>
      </c>
      <c r="U34" s="2">
        <f t="shared" si="9"/>
        <v>0.77716443927948742</v>
      </c>
      <c r="W34" s="3">
        <f t="shared" si="0"/>
        <v>44608</v>
      </c>
      <c r="X34" s="2">
        <f t="shared" si="10"/>
        <v>-9.5885106832341975</v>
      </c>
      <c r="Y34" s="2">
        <f t="shared" si="11"/>
        <v>-1.9033469015660609</v>
      </c>
      <c r="Z34" s="2">
        <f t="shared" si="12"/>
        <v>-5.2421424291001983</v>
      </c>
      <c r="AA34" s="2">
        <f t="shared" si="13"/>
        <v>1.4354486259680765</v>
      </c>
      <c r="AB34" s="2">
        <f t="shared" si="15"/>
        <v>3.3387955275341374</v>
      </c>
    </row>
    <row r="35" spans="1:28" ht="22.5" customHeight="1" x14ac:dyDescent="0.25">
      <c r="A35" s="3">
        <v>44609</v>
      </c>
      <c r="B35" s="2">
        <v>5.1718000000000002</v>
      </c>
      <c r="C35" s="2">
        <v>794.5</v>
      </c>
      <c r="D35" s="1">
        <v>3.7151999999999998</v>
      </c>
      <c r="E35" s="2">
        <v>3930.35</v>
      </c>
      <c r="F35" s="2">
        <v>20.283999999999999</v>
      </c>
      <c r="G35" s="2">
        <v>6.8849999999999998</v>
      </c>
      <c r="H35" s="2">
        <v>43.02</v>
      </c>
      <c r="I35" s="2">
        <v>106.67</v>
      </c>
      <c r="J35" s="2">
        <v>6922.71</v>
      </c>
      <c r="L35" s="3">
        <f t="shared" si="14"/>
        <v>44609</v>
      </c>
      <c r="M35" s="2">
        <f t="shared" si="1"/>
        <v>-8.9760287232919076</v>
      </c>
      <c r="N35" s="2">
        <f t="shared" si="2"/>
        <v>-6.65570111026258</v>
      </c>
      <c r="O35" s="2">
        <f t="shared" si="3"/>
        <v>-6.5123301459486749</v>
      </c>
      <c r="P35" s="2">
        <f t="shared" si="4"/>
        <v>-3.3504647617174088</v>
      </c>
      <c r="Q35" s="2">
        <f t="shared" si="5"/>
        <v>-1.0246901532155794</v>
      </c>
      <c r="R35" s="2">
        <f t="shared" si="6"/>
        <v>-0.14503263234227903</v>
      </c>
      <c r="S35" s="2">
        <f t="shared" si="7"/>
        <v>-3.7368538823002839</v>
      </c>
      <c r="T35" s="2">
        <f t="shared" si="8"/>
        <v>3.6637512147716267</v>
      </c>
      <c r="U35" s="2">
        <f t="shared" si="9"/>
        <v>0.56231841952354422</v>
      </c>
      <c r="W35" s="3">
        <f t="shared" si="0"/>
        <v>44609</v>
      </c>
      <c r="X35" s="2">
        <f t="shared" si="10"/>
        <v>-8.9760287232919076</v>
      </c>
      <c r="Y35" s="2">
        <f t="shared" si="11"/>
        <v>-2.1498753814364546</v>
      </c>
      <c r="Z35" s="2">
        <f t="shared" si="12"/>
        <v>-5.7302400546769583</v>
      </c>
      <c r="AA35" s="2">
        <f t="shared" si="13"/>
        <v>1.4304892918040486</v>
      </c>
      <c r="AB35" s="2">
        <f t="shared" si="15"/>
        <v>3.5803646732405032</v>
      </c>
    </row>
    <row r="36" spans="1:28" ht="22.5" customHeight="1" x14ac:dyDescent="0.25">
      <c r="A36" s="3">
        <v>44610</v>
      </c>
      <c r="B36" s="2">
        <v>5.1384999999999996</v>
      </c>
      <c r="C36" s="2">
        <v>800.5</v>
      </c>
      <c r="D36" s="1">
        <v>3.7212000000000001</v>
      </c>
      <c r="E36" s="2">
        <v>3928.01</v>
      </c>
      <c r="F36" s="2">
        <v>20.28</v>
      </c>
      <c r="G36" s="2">
        <v>6.8849999999999998</v>
      </c>
      <c r="H36" s="2">
        <v>43.06</v>
      </c>
      <c r="I36" s="2">
        <v>106.78</v>
      </c>
      <c r="J36" s="2">
        <v>6949.74</v>
      </c>
      <c r="L36" s="3">
        <f t="shared" si="14"/>
        <v>44610</v>
      </c>
      <c r="M36" s="2">
        <f t="shared" si="1"/>
        <v>-9.5621105987539252</v>
      </c>
      <c r="N36" s="2">
        <f t="shared" si="2"/>
        <v>-5.9507724842859595</v>
      </c>
      <c r="O36" s="2">
        <f t="shared" si="3"/>
        <v>-6.3613487669854081</v>
      </c>
      <c r="P36" s="2">
        <f t="shared" si="4"/>
        <v>-3.4080066886342353</v>
      </c>
      <c r="Q36" s="2">
        <f t="shared" si="5"/>
        <v>-1.0442080608958682</v>
      </c>
      <c r="R36" s="2">
        <f t="shared" si="6"/>
        <v>-0.14503263234227903</v>
      </c>
      <c r="S36" s="2">
        <f t="shared" si="7"/>
        <v>-3.6473484000895007</v>
      </c>
      <c r="T36" s="2">
        <f t="shared" si="8"/>
        <v>3.770651117589896</v>
      </c>
      <c r="U36" s="2">
        <f t="shared" si="9"/>
        <v>0.95496804183614614</v>
      </c>
      <c r="W36" s="3">
        <f t="shared" si="0"/>
        <v>44610</v>
      </c>
      <c r="X36" s="2">
        <f t="shared" si="10"/>
        <v>-9.5621105987539252</v>
      </c>
      <c r="Y36" s="2">
        <f t="shared" si="11"/>
        <v>-1.9788872342259012</v>
      </c>
      <c r="Z36" s="2">
        <f t="shared" si="12"/>
        <v>-5.478057186831176</v>
      </c>
      <c r="AA36" s="2">
        <f t="shared" si="13"/>
        <v>1.5202827183793732</v>
      </c>
      <c r="AB36" s="2">
        <f t="shared" si="15"/>
        <v>3.4991699526052744</v>
      </c>
    </row>
    <row r="37" spans="1:28" ht="22.5" customHeight="1" x14ac:dyDescent="0.25">
      <c r="A37" s="3">
        <v>44613</v>
      </c>
      <c r="B37" s="2">
        <v>5.1036000000000001</v>
      </c>
      <c r="C37" s="2">
        <v>797.79</v>
      </c>
      <c r="D37" s="1">
        <v>3.7484000000000002</v>
      </c>
      <c r="E37" s="2">
        <v>3931.01</v>
      </c>
      <c r="F37" s="2">
        <v>20.295000000000002</v>
      </c>
      <c r="G37" s="2">
        <v>6.8849999999999998</v>
      </c>
      <c r="H37" s="2">
        <v>43.06</v>
      </c>
      <c r="I37" s="2">
        <v>107.06</v>
      </c>
      <c r="J37" s="2">
        <v>6927.57</v>
      </c>
      <c r="L37" s="3">
        <f t="shared" si="14"/>
        <v>44613</v>
      </c>
      <c r="M37" s="2">
        <f t="shared" si="1"/>
        <v>-10.176352564328205</v>
      </c>
      <c r="N37" s="2">
        <f t="shared" si="2"/>
        <v>-6.2691652470187371</v>
      </c>
      <c r="O37" s="2">
        <f t="shared" si="3"/>
        <v>-5.676899849018624</v>
      </c>
      <c r="P37" s="2">
        <f t="shared" si="4"/>
        <v>-3.3342349874588062</v>
      </c>
      <c r="Q37" s="2">
        <f t="shared" si="5"/>
        <v>-0.97101590709475216</v>
      </c>
      <c r="R37" s="2">
        <f t="shared" si="6"/>
        <v>-0.14503263234227903</v>
      </c>
      <c r="S37" s="2">
        <f t="shared" si="7"/>
        <v>-3.6473484000895007</v>
      </c>
      <c r="T37" s="2">
        <f t="shared" si="8"/>
        <v>4.0427599611273068</v>
      </c>
      <c r="U37" s="2">
        <f t="shared" si="9"/>
        <v>0.63291690877396167</v>
      </c>
      <c r="W37" s="3">
        <f t="shared" si="0"/>
        <v>44613</v>
      </c>
      <c r="X37" s="2">
        <f t="shared" si="10"/>
        <v>-10.176352564328205</v>
      </c>
      <c r="Y37" s="2">
        <f t="shared" si="11"/>
        <v>-1.9210025191401794</v>
      </c>
      <c r="Z37" s="2">
        <f t="shared" si="12"/>
        <v>-5.387913267055656</v>
      </c>
      <c r="AA37" s="2">
        <f t="shared" si="13"/>
        <v>1.5459082287752972</v>
      </c>
      <c r="AB37" s="2">
        <f t="shared" si="15"/>
        <v>3.4669107479154766</v>
      </c>
    </row>
    <row r="38" spans="1:28" ht="22.5" customHeight="1" x14ac:dyDescent="0.25">
      <c r="A38" s="3">
        <v>44614</v>
      </c>
      <c r="B38" s="2">
        <v>5.0583</v>
      </c>
      <c r="C38" s="2">
        <v>791.89</v>
      </c>
      <c r="D38" s="1">
        <v>3.7136</v>
      </c>
      <c r="E38" s="2">
        <v>3926.01</v>
      </c>
      <c r="F38" s="2">
        <v>20.289000000000001</v>
      </c>
      <c r="G38" s="2">
        <v>6.875</v>
      </c>
      <c r="H38" s="2">
        <v>42.86</v>
      </c>
      <c r="I38" s="2">
        <v>107.19</v>
      </c>
      <c r="J38" s="2">
        <v>6923.08</v>
      </c>
      <c r="L38" s="3">
        <f t="shared" si="14"/>
        <v>44614</v>
      </c>
      <c r="M38" s="2">
        <f t="shared" si="1"/>
        <v>-10.973635115632375</v>
      </c>
      <c r="N38" s="2">
        <f t="shared" si="2"/>
        <v>-6.9623450625624139</v>
      </c>
      <c r="O38" s="2">
        <f t="shared" si="3"/>
        <v>-6.55259184700554</v>
      </c>
      <c r="P38" s="2">
        <f t="shared" si="4"/>
        <v>-3.4571878227511843</v>
      </c>
      <c r="Q38" s="2">
        <f t="shared" si="5"/>
        <v>-1.0002927686151963</v>
      </c>
      <c r="R38" s="2">
        <f t="shared" si="6"/>
        <v>-0.29006526468454696</v>
      </c>
      <c r="S38" s="2">
        <f t="shared" si="7"/>
        <v>-4.094875811143428</v>
      </c>
      <c r="T38" s="2">
        <f t="shared" si="8"/>
        <v>4.1690962099125262</v>
      </c>
      <c r="U38" s="2">
        <f t="shared" si="9"/>
        <v>0.56769320162695092</v>
      </c>
      <c r="W38" s="3">
        <f t="shared" si="0"/>
        <v>44614</v>
      </c>
      <c r="X38" s="2">
        <f t="shared" si="10"/>
        <v>-10.973635115632375</v>
      </c>
      <c r="Y38" s="2">
        <f t="shared" si="11"/>
        <v>-2.2025711456528541</v>
      </c>
      <c r="Z38" s="2">
        <f t="shared" si="12"/>
        <v>-5.9842689744857847</v>
      </c>
      <c r="AA38" s="2">
        <f t="shared" si="13"/>
        <v>1.579126683180077</v>
      </c>
      <c r="AB38" s="2">
        <f t="shared" si="15"/>
        <v>3.781697828832931</v>
      </c>
    </row>
    <row r="39" spans="1:28" ht="22.5" customHeight="1" x14ac:dyDescent="0.25">
      <c r="A39" s="3">
        <v>44615</v>
      </c>
      <c r="B39" s="2">
        <v>5.0102000000000002</v>
      </c>
      <c r="C39" s="2">
        <v>791.17</v>
      </c>
      <c r="D39" s="1">
        <v>3.7322000000000002</v>
      </c>
      <c r="E39" s="2">
        <v>3909.01</v>
      </c>
      <c r="F39" s="2">
        <v>20.2484</v>
      </c>
      <c r="G39" s="2">
        <v>6.8849999999999998</v>
      </c>
      <c r="H39" s="2">
        <v>42.65</v>
      </c>
      <c r="I39" s="2">
        <v>107.285</v>
      </c>
      <c r="J39" s="2">
        <v>6939.65</v>
      </c>
      <c r="L39" s="3">
        <f t="shared" si="14"/>
        <v>44615</v>
      </c>
      <c r="M39" s="2">
        <f t="shared" si="1"/>
        <v>-11.820197824633038</v>
      </c>
      <c r="N39" s="2">
        <f t="shared" si="2"/>
        <v>-7.0469364976796118</v>
      </c>
      <c r="O39" s="2">
        <f t="shared" si="3"/>
        <v>-6.0845495722194221</v>
      </c>
      <c r="P39" s="2">
        <f t="shared" si="4"/>
        <v>-3.8752274627452787</v>
      </c>
      <c r="Q39" s="2">
        <f t="shared" si="5"/>
        <v>-1.1983995315702156</v>
      </c>
      <c r="R39" s="2">
        <f t="shared" si="6"/>
        <v>-0.14503263234227903</v>
      </c>
      <c r="S39" s="2">
        <f t="shared" si="7"/>
        <v>-4.5647795927500567</v>
      </c>
      <c r="T39" s="2">
        <f t="shared" si="8"/>
        <v>4.2614188532555719</v>
      </c>
      <c r="U39" s="2">
        <f t="shared" si="9"/>
        <v>0.80839628123183793</v>
      </c>
      <c r="W39" s="3">
        <f t="shared" si="0"/>
        <v>44615</v>
      </c>
      <c r="X39" s="2">
        <f t="shared" si="10"/>
        <v>-11.820197824633038</v>
      </c>
      <c r="Y39" s="2">
        <f t="shared" si="11"/>
        <v>-2.2306387693524323</v>
      </c>
      <c r="Z39" s="2">
        <f t="shared" si="12"/>
        <v>-6.0665602391080622</v>
      </c>
      <c r="AA39" s="2">
        <f t="shared" si="13"/>
        <v>1.605282700403198</v>
      </c>
      <c r="AB39" s="2">
        <f t="shared" si="15"/>
        <v>3.8359214697556303</v>
      </c>
    </row>
    <row r="40" spans="1:28" ht="22.5" customHeight="1" x14ac:dyDescent="0.25">
      <c r="A40" s="3">
        <v>44616</v>
      </c>
      <c r="B40" s="2">
        <v>5.1231</v>
      </c>
      <c r="C40" s="2">
        <v>815.7</v>
      </c>
      <c r="D40" s="2">
        <v>3.7930000000000001</v>
      </c>
      <c r="E40" s="2">
        <v>3923.01</v>
      </c>
      <c r="F40" s="2">
        <v>20.541</v>
      </c>
      <c r="G40" s="2">
        <v>6.875</v>
      </c>
      <c r="H40" s="2">
        <v>42.27</v>
      </c>
      <c r="I40" s="2">
        <v>107.37</v>
      </c>
      <c r="J40" s="2">
        <v>7011.16</v>
      </c>
      <c r="L40" s="3">
        <f t="shared" si="14"/>
        <v>44616</v>
      </c>
      <c r="M40" s="10">
        <f t="shared" si="1"/>
        <v>-9.8331514660846882</v>
      </c>
      <c r="N40" s="10">
        <f t="shared" si="2"/>
        <v>-4.1649532984785242</v>
      </c>
      <c r="O40" s="10">
        <f t="shared" si="3"/>
        <v>-4.5546049320583819</v>
      </c>
      <c r="P40" s="10">
        <f t="shared" si="4"/>
        <v>-3.5309595239266134</v>
      </c>
      <c r="Q40" s="10">
        <f t="shared" si="5"/>
        <v>0.22933541524348122</v>
      </c>
      <c r="R40" s="10">
        <f t="shared" si="6"/>
        <v>-0.29006526468454696</v>
      </c>
      <c r="S40" s="10">
        <f t="shared" si="7"/>
        <v>-5.4150816737525087</v>
      </c>
      <c r="T40" s="10">
        <f t="shared" si="8"/>
        <v>4.3440233236151649</v>
      </c>
      <c r="U40" s="10">
        <f t="shared" si="9"/>
        <v>1.8471818710052323</v>
      </c>
      <c r="W40" s="3">
        <f t="shared" si="0"/>
        <v>44616</v>
      </c>
      <c r="X40" s="10">
        <f t="shared" si="10"/>
        <v>-9.8331514660846882</v>
      </c>
      <c r="Y40" s="10">
        <f t="shared" si="11"/>
        <v>-1.4418905103795869</v>
      </c>
      <c r="Z40" s="10">
        <f t="shared" si="12"/>
        <v>-4.940237321954994</v>
      </c>
      <c r="AA40" s="10">
        <f t="shared" si="13"/>
        <v>2.0564563011958197</v>
      </c>
      <c r="AB40" s="10">
        <f t="shared" si="15"/>
        <v>3.4983468115754066</v>
      </c>
    </row>
    <row r="41" spans="1:28" ht="22.5" customHeight="1" x14ac:dyDescent="0.25">
      <c r="A41" s="3">
        <v>44617</v>
      </c>
      <c r="B41" s="2">
        <v>5.1623000000000001</v>
      </c>
      <c r="C41" s="2">
        <v>800.99</v>
      </c>
      <c r="D41" s="2">
        <v>3.7970000000000002</v>
      </c>
      <c r="E41" s="2">
        <v>3909.55</v>
      </c>
      <c r="F41" s="2">
        <v>20.335000000000001</v>
      </c>
      <c r="G41" s="2">
        <v>6.8849999999999998</v>
      </c>
      <c r="H41" s="2">
        <v>42.27</v>
      </c>
      <c r="I41" s="2">
        <v>107.44</v>
      </c>
      <c r="J41" s="2">
        <v>6982.61</v>
      </c>
      <c r="L41" s="3">
        <f t="shared" si="14"/>
        <v>44617</v>
      </c>
      <c r="M41" s="10">
        <f t="shared" si="1"/>
        <v>-9.1432292583336299</v>
      </c>
      <c r="N41" s="10">
        <f t="shared" si="2"/>
        <v>-5.8932033131645412</v>
      </c>
      <c r="O41" s="10">
        <f t="shared" si="3"/>
        <v>-4.4539506794162076</v>
      </c>
      <c r="P41" s="10">
        <f t="shared" si="4"/>
        <v>-3.8619485565337119</v>
      </c>
      <c r="Q41" s="10">
        <f t="shared" si="5"/>
        <v>-0.77583683029178729</v>
      </c>
      <c r="R41" s="10">
        <f t="shared" si="6"/>
        <v>-0.14503263234227903</v>
      </c>
      <c r="S41" s="10">
        <f t="shared" si="7"/>
        <v>-5.4150816737525087</v>
      </c>
      <c r="T41" s="10">
        <f t="shared" si="8"/>
        <v>4.412050534499512</v>
      </c>
      <c r="U41" s="10">
        <f t="shared" si="9"/>
        <v>1.432452062754197</v>
      </c>
      <c r="W41" s="3">
        <f t="shared" si="0"/>
        <v>44617</v>
      </c>
      <c r="X41" s="10">
        <f t="shared" si="10"/>
        <v>-9.1432292583336299</v>
      </c>
      <c r="Y41" s="10">
        <f t="shared" si="11"/>
        <v>-1.8375688860309158</v>
      </c>
      <c r="Z41" s="10">
        <f t="shared" si="12"/>
        <v>-5.5007655565275826</v>
      </c>
      <c r="AA41" s="10">
        <f t="shared" si="13"/>
        <v>1.8256277844657505</v>
      </c>
      <c r="AB41" s="10">
        <f t="shared" si="15"/>
        <v>3.6631966704966663</v>
      </c>
    </row>
    <row r="42" spans="1:28" ht="22.5" customHeight="1" x14ac:dyDescent="0.25">
      <c r="A42" s="3">
        <v>44620</v>
      </c>
      <c r="B42" s="2">
        <v>5.1599000000000004</v>
      </c>
      <c r="C42" s="2">
        <v>798</v>
      </c>
      <c r="D42" s="2">
        <v>3.7730000000000001</v>
      </c>
      <c r="E42" s="2">
        <v>3933.01</v>
      </c>
      <c r="F42" s="2">
        <v>20.460999999999999</v>
      </c>
      <c r="G42" s="2">
        <v>6.875</v>
      </c>
      <c r="H42" s="2">
        <v>42.53</v>
      </c>
      <c r="I42" s="2">
        <v>107.39</v>
      </c>
      <c r="J42" s="2">
        <v>6981</v>
      </c>
      <c r="L42" s="3">
        <f t="shared" si="14"/>
        <v>44620</v>
      </c>
      <c r="M42" s="10">
        <f t="shared" si="1"/>
        <v>-9.1854693935020553</v>
      </c>
      <c r="N42" s="10">
        <f t="shared" si="2"/>
        <v>-6.2444927451095538</v>
      </c>
      <c r="O42" s="10">
        <f t="shared" si="3"/>
        <v>-5.0578761952692508</v>
      </c>
      <c r="P42" s="10">
        <f t="shared" si="4"/>
        <v>-3.2850538533418461</v>
      </c>
      <c r="Q42" s="10">
        <f t="shared" si="5"/>
        <v>-0.16102273836244851</v>
      </c>
      <c r="R42" s="10">
        <f t="shared" si="6"/>
        <v>-0.29006526468454696</v>
      </c>
      <c r="S42" s="10">
        <f t="shared" si="7"/>
        <v>-4.8332960393824065</v>
      </c>
      <c r="T42" s="10">
        <f t="shared" si="8"/>
        <v>4.3634596695821148</v>
      </c>
      <c r="U42" s="10">
        <f t="shared" si="9"/>
        <v>1.4090644973852484</v>
      </c>
      <c r="W42" s="3">
        <f t="shared" si="0"/>
        <v>44620</v>
      </c>
      <c r="X42" s="10">
        <f t="shared" si="10"/>
        <v>-9.1854693935020553</v>
      </c>
      <c r="Y42" s="10">
        <f t="shared" si="11"/>
        <v>-1.7624103336478363</v>
      </c>
      <c r="Z42" s="10">
        <f t="shared" si="12"/>
        <v>-5.4466376887150902</v>
      </c>
      <c r="AA42" s="10">
        <f t="shared" si="13"/>
        <v>1.9218170214194179</v>
      </c>
      <c r="AB42" s="10">
        <f t="shared" si="15"/>
        <v>3.6842273550672542</v>
      </c>
    </row>
    <row r="43" spans="1:28" ht="22.5" customHeight="1" x14ac:dyDescent="0.25">
      <c r="A43" s="3">
        <v>44621</v>
      </c>
      <c r="B43" s="2">
        <v>5.1595000000000004</v>
      </c>
      <c r="C43" s="2">
        <v>805.49</v>
      </c>
      <c r="D43" s="2">
        <v>3.7763</v>
      </c>
      <c r="E43" s="2">
        <v>3879.01</v>
      </c>
      <c r="F43" s="2">
        <v>20.635000000000002</v>
      </c>
      <c r="G43" s="2">
        <v>6.8849999999999998</v>
      </c>
      <c r="H43" s="2">
        <v>42.53</v>
      </c>
      <c r="I43" s="2">
        <v>107.39</v>
      </c>
      <c r="J43" s="2">
        <v>6960.72</v>
      </c>
      <c r="L43" s="3">
        <f t="shared" si="14"/>
        <v>44621</v>
      </c>
      <c r="M43" s="10">
        <f t="shared" si="1"/>
        <v>-9.1925094160301253</v>
      </c>
      <c r="N43" s="10">
        <f t="shared" si="2"/>
        <v>-5.3645068436820704</v>
      </c>
      <c r="O43" s="10">
        <f t="shared" si="3"/>
        <v>-4.9748364368394586</v>
      </c>
      <c r="P43" s="10">
        <f t="shared" si="4"/>
        <v>-4.6129444744995691</v>
      </c>
      <c r="Q43" s="10">
        <f t="shared" si="5"/>
        <v>0.68800624573046587</v>
      </c>
      <c r="R43" s="10">
        <f t="shared" si="6"/>
        <v>-0.14503263234227903</v>
      </c>
      <c r="S43" s="10">
        <f t="shared" si="7"/>
        <v>-4.8332960393824065</v>
      </c>
      <c r="T43" s="10">
        <f t="shared" si="8"/>
        <v>4.3634596695821148</v>
      </c>
      <c r="U43" s="10">
        <f t="shared" si="9"/>
        <v>1.1144683323649041</v>
      </c>
      <c r="W43" s="3">
        <f t="shared" si="0"/>
        <v>44621</v>
      </c>
      <c r="X43" s="10">
        <f t="shared" si="10"/>
        <v>-9.1925094160301253</v>
      </c>
      <c r="Y43" s="10">
        <f t="shared" si="11"/>
        <v>-1.7205852723835375</v>
      </c>
      <c r="Z43" s="10">
        <f t="shared" si="12"/>
        <v>-5.4095618271733059</v>
      </c>
      <c r="AA43" s="10">
        <f t="shared" si="13"/>
        <v>1.9683912824062306</v>
      </c>
      <c r="AB43" s="10">
        <f t="shared" si="15"/>
        <v>3.6889765547897682</v>
      </c>
    </row>
    <row r="44" spans="1:28" ht="22.5" customHeight="1" x14ac:dyDescent="0.25">
      <c r="A44" s="3">
        <v>44622</v>
      </c>
      <c r="B44" s="2">
        <v>5.0994999999999999</v>
      </c>
      <c r="C44" s="2">
        <v>804.18</v>
      </c>
      <c r="D44" s="2">
        <v>3.7452999999999999</v>
      </c>
      <c r="E44" s="2">
        <v>3834.01</v>
      </c>
      <c r="F44" s="2">
        <v>20.593</v>
      </c>
      <c r="G44" s="2">
        <v>6.875</v>
      </c>
      <c r="H44" s="2">
        <v>42.53</v>
      </c>
      <c r="I44" s="2">
        <v>107.82</v>
      </c>
      <c r="J44" s="2">
        <v>6948</v>
      </c>
      <c r="L44" s="3">
        <f t="shared" si="14"/>
        <v>44622</v>
      </c>
      <c r="M44" s="10">
        <f t="shared" si="1"/>
        <v>-10.248512795240948</v>
      </c>
      <c r="N44" s="10">
        <f t="shared" si="2"/>
        <v>-5.5184162603536429</v>
      </c>
      <c r="O44" s="10">
        <f t="shared" si="3"/>
        <v>-5.7549068948163136</v>
      </c>
      <c r="P44" s="10">
        <f t="shared" si="4"/>
        <v>-5.7195199921310058</v>
      </c>
      <c r="Q44" s="10">
        <f t="shared" si="5"/>
        <v>0.48306821508734554</v>
      </c>
      <c r="R44" s="10">
        <f t="shared" si="6"/>
        <v>-0.29006526468454696</v>
      </c>
      <c r="S44" s="10">
        <f t="shared" si="7"/>
        <v>-4.8332960393824065</v>
      </c>
      <c r="T44" s="10">
        <f t="shared" si="8"/>
        <v>4.7813411078717172</v>
      </c>
      <c r="U44" s="10">
        <f t="shared" si="9"/>
        <v>0.92969203951192014</v>
      </c>
      <c r="W44" s="3">
        <f t="shared" si="0"/>
        <v>44622</v>
      </c>
      <c r="X44" s="10">
        <f t="shared" si="10"/>
        <v>-10.248512795240948</v>
      </c>
      <c r="Y44" s="10">
        <f t="shared" si="11"/>
        <v>-1.9902628861121165</v>
      </c>
      <c r="Z44" s="10">
        <f t="shared" si="12"/>
        <v>-5.9902522240427825</v>
      </c>
      <c r="AA44" s="10">
        <f t="shared" si="13"/>
        <v>2.0097264518185489</v>
      </c>
      <c r="AB44" s="10">
        <f t="shared" si="15"/>
        <v>3.9999893379306655</v>
      </c>
    </row>
    <row r="45" spans="1:28" ht="22.5" customHeight="1" x14ac:dyDescent="0.25">
      <c r="A45" s="3">
        <v>44623</v>
      </c>
      <c r="B45" s="2">
        <v>5.032</v>
      </c>
      <c r="C45" s="2">
        <v>795.15</v>
      </c>
      <c r="D45" s="2">
        <v>3.7280000000000002</v>
      </c>
      <c r="E45" s="2">
        <v>3755.45</v>
      </c>
      <c r="F45" s="2">
        <v>20.633600000000001</v>
      </c>
      <c r="G45" s="2">
        <v>6.875</v>
      </c>
      <c r="H45" s="2">
        <v>42.72</v>
      </c>
      <c r="I45" s="2">
        <v>108.03</v>
      </c>
      <c r="J45" s="2">
        <v>6976.67</v>
      </c>
      <c r="L45" s="3">
        <f t="shared" si="14"/>
        <v>44623</v>
      </c>
      <c r="M45" s="10">
        <f t="shared" si="1"/>
        <v>-11.436516596853108</v>
      </c>
      <c r="N45" s="10">
        <f t="shared" si="2"/>
        <v>-6.5793338424484542</v>
      </c>
      <c r="O45" s="10">
        <f t="shared" si="3"/>
        <v>-6.1902365374937096</v>
      </c>
      <c r="P45" s="10">
        <f t="shared" si="4"/>
        <v>-7.651354940244925</v>
      </c>
      <c r="Q45" s="10">
        <f t="shared" si="5"/>
        <v>0.68117497804236482</v>
      </c>
      <c r="R45" s="10">
        <f t="shared" si="6"/>
        <v>-0.29006526468454696</v>
      </c>
      <c r="S45" s="10">
        <f t="shared" si="7"/>
        <v>-4.4081449988811805</v>
      </c>
      <c r="T45" s="10">
        <f t="shared" si="8"/>
        <v>4.9854227405247808</v>
      </c>
      <c r="U45" s="10">
        <f t="shared" si="9"/>
        <v>1.3461650203370201</v>
      </c>
      <c r="W45" s="3">
        <f t="shared" si="0"/>
        <v>44623</v>
      </c>
      <c r="X45" s="10">
        <f t="shared" si="10"/>
        <v>-11.436516596853108</v>
      </c>
      <c r="Y45" s="10">
        <f t="shared" si="11"/>
        <v>-2.2632966056060813</v>
      </c>
      <c r="Z45" s="10">
        <f t="shared" si="12"/>
        <v>-6.827384405655275</v>
      </c>
      <c r="AA45" s="10">
        <f t="shared" si="13"/>
        <v>2.3007911944431125</v>
      </c>
      <c r="AB45" s="10">
        <f t="shared" si="15"/>
        <v>4.5640878000491938</v>
      </c>
    </row>
    <row r="46" spans="1:28" ht="22.5" customHeight="1" x14ac:dyDescent="0.25">
      <c r="A46" s="3">
        <v>44624</v>
      </c>
      <c r="B46" s="2">
        <v>5.0620000000000003</v>
      </c>
      <c r="C46" s="2">
        <v>806.11</v>
      </c>
      <c r="D46" s="2">
        <v>3.7511999999999999</v>
      </c>
      <c r="E46" s="2">
        <v>3826.01</v>
      </c>
      <c r="F46" s="2">
        <v>20.934999999999999</v>
      </c>
      <c r="G46" s="2">
        <v>6.8849999999999998</v>
      </c>
      <c r="H46" s="2">
        <v>42.57</v>
      </c>
      <c r="I46" s="2">
        <v>108.02</v>
      </c>
      <c r="J46" s="2">
        <v>6960</v>
      </c>
      <c r="L46" s="3">
        <f t="shared" si="14"/>
        <v>44624</v>
      </c>
      <c r="M46" s="10">
        <f t="shared" si="1"/>
        <v>-10.908514907247701</v>
      </c>
      <c r="N46" s="10">
        <f t="shared" si="2"/>
        <v>-5.2916642189978269</v>
      </c>
      <c r="O46" s="10">
        <f t="shared" si="3"/>
        <v>-5.6064418721691105</v>
      </c>
      <c r="P46" s="10">
        <f t="shared" si="4"/>
        <v>-5.9162445285988241</v>
      </c>
      <c r="Q46" s="10">
        <f t="shared" si="5"/>
        <v>2.1518493217526968</v>
      </c>
      <c r="R46" s="10">
        <f t="shared" si="6"/>
        <v>-0.14503263234227903</v>
      </c>
      <c r="S46" s="10">
        <f t="shared" si="7"/>
        <v>-4.7437905571716232</v>
      </c>
      <c r="T46" s="10">
        <f t="shared" si="8"/>
        <v>4.9757045675412837</v>
      </c>
      <c r="U46" s="10">
        <f t="shared" si="9"/>
        <v>1.1040092969204052</v>
      </c>
      <c r="W46" s="3">
        <f t="shared" si="0"/>
        <v>44624</v>
      </c>
      <c r="X46" s="7">
        <f t="shared" si="10"/>
        <v>-10.908514907247701</v>
      </c>
      <c r="Y46" s="7">
        <f t="shared" si="11"/>
        <v>-1.6839513278831602</v>
      </c>
      <c r="Z46" s="7">
        <f t="shared" si="12"/>
        <v>-5.9077246018103793</v>
      </c>
      <c r="AA46" s="7">
        <f t="shared" si="13"/>
        <v>2.539821946044059</v>
      </c>
      <c r="AB46" s="7">
        <f t="shared" si="15"/>
        <v>4.2237732739272191</v>
      </c>
    </row>
    <row r="47" spans="1:28" ht="22.5" customHeight="1" x14ac:dyDescent="0.25">
      <c r="U47" s="10"/>
      <c r="AB47" s="10"/>
    </row>
    <row r="1048576" spans="15:26" ht="22.5" customHeight="1" x14ac:dyDescent="0.25">
      <c r="O1048576" s="10"/>
      <c r="S1048576" s="10"/>
      <c r="T1048576" s="10"/>
      <c r="Z1048576" s="10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6CCC-6EEA-4304-930B-CC2E3356B849}">
  <dimension ref="A1:AB54"/>
  <sheetViews>
    <sheetView topLeftCell="A37" workbookViewId="0">
      <selection activeCell="K54" sqref="K54"/>
    </sheetView>
  </sheetViews>
  <sheetFormatPr defaultColWidth="16.25" defaultRowHeight="22.5" customHeight="1" x14ac:dyDescent="0.25"/>
  <cols>
    <col min="1" max="16384" width="16.25" style="2"/>
  </cols>
  <sheetData>
    <row r="1" spans="1:28" ht="22.5" customHeight="1" x14ac:dyDescent="0.25">
      <c r="A1" s="12" t="s">
        <v>0</v>
      </c>
      <c r="B1" s="12" t="s">
        <v>7</v>
      </c>
      <c r="C1" s="12"/>
      <c r="D1" s="12"/>
      <c r="E1" s="12" t="s">
        <v>593</v>
      </c>
      <c r="F1" s="12"/>
      <c r="G1" s="12"/>
      <c r="H1" s="12" t="s">
        <v>594</v>
      </c>
      <c r="I1" s="12"/>
      <c r="J1" s="12"/>
      <c r="K1" s="12" t="s">
        <v>595</v>
      </c>
      <c r="L1" s="12"/>
      <c r="M1" s="12"/>
      <c r="N1" s="12" t="s">
        <v>596</v>
      </c>
      <c r="O1" s="12"/>
      <c r="P1" s="12"/>
      <c r="Q1" s="12" t="s">
        <v>597</v>
      </c>
      <c r="R1" s="12"/>
      <c r="S1" s="12"/>
      <c r="T1" s="12" t="s">
        <v>598</v>
      </c>
      <c r="U1" s="12"/>
      <c r="V1" s="12"/>
      <c r="W1" s="12" t="s">
        <v>599</v>
      </c>
      <c r="X1" s="12"/>
      <c r="Y1" s="12"/>
      <c r="Z1" s="12" t="s">
        <v>600</v>
      </c>
      <c r="AA1" s="12"/>
      <c r="AB1" s="12"/>
    </row>
    <row r="2" spans="1:28" ht="22.5" customHeight="1" x14ac:dyDescent="0.25">
      <c r="A2" s="12"/>
      <c r="B2" s="2" t="s">
        <v>590</v>
      </c>
      <c r="C2" s="2" t="s">
        <v>591</v>
      </c>
      <c r="D2" s="2" t="s">
        <v>592</v>
      </c>
      <c r="E2" s="2" t="s">
        <v>590</v>
      </c>
      <c r="F2" s="2" t="s">
        <v>591</v>
      </c>
      <c r="G2" s="2" t="s">
        <v>592</v>
      </c>
      <c r="H2" s="2" t="s">
        <v>590</v>
      </c>
      <c r="I2" s="2" t="s">
        <v>591</v>
      </c>
      <c r="J2" s="2" t="s">
        <v>592</v>
      </c>
      <c r="K2" s="2" t="s">
        <v>590</v>
      </c>
      <c r="L2" s="2" t="s">
        <v>591</v>
      </c>
      <c r="M2" s="2" t="s">
        <v>592</v>
      </c>
      <c r="N2" s="2" t="s">
        <v>590</v>
      </c>
      <c r="O2" s="2" t="s">
        <v>591</v>
      </c>
      <c r="P2" s="2" t="s">
        <v>592</v>
      </c>
      <c r="Q2" s="2" t="s">
        <v>590</v>
      </c>
      <c r="R2" s="2" t="s">
        <v>591</v>
      </c>
      <c r="S2" s="2" t="s">
        <v>592</v>
      </c>
      <c r="T2" s="2" t="s">
        <v>590</v>
      </c>
      <c r="U2" s="2" t="s">
        <v>591</v>
      </c>
      <c r="V2" s="2" t="s">
        <v>592</v>
      </c>
      <c r="W2" s="2" t="s">
        <v>590</v>
      </c>
      <c r="X2" s="2" t="s">
        <v>591</v>
      </c>
      <c r="Y2" s="2" t="s">
        <v>592</v>
      </c>
      <c r="Z2" s="2" t="s">
        <v>590</v>
      </c>
      <c r="AA2" s="2" t="s">
        <v>591</v>
      </c>
      <c r="AB2" s="2" t="s">
        <v>592</v>
      </c>
    </row>
    <row r="3" spans="1:28" ht="22.5" customHeight="1" x14ac:dyDescent="0.25">
      <c r="A3" s="3">
        <v>44593</v>
      </c>
      <c r="B3" s="2">
        <v>0.85704406315442105</v>
      </c>
      <c r="C3" s="2">
        <v>0.42841792245796401</v>
      </c>
      <c r="D3" s="2">
        <v>1.28567020385088</v>
      </c>
      <c r="E3" s="2">
        <v>0.32582383214114702</v>
      </c>
      <c r="F3" s="2">
        <v>-0.21447612605618099</v>
      </c>
      <c r="G3" s="2">
        <v>0.86612379033847497</v>
      </c>
      <c r="H3" s="2">
        <v>0.47732045245265098</v>
      </c>
      <c r="I3" s="2">
        <v>0.24797198560754999</v>
      </c>
      <c r="J3" s="2">
        <v>0.706668919297753</v>
      </c>
      <c r="K3" s="2">
        <v>0.359116135327682</v>
      </c>
      <c r="L3" s="2">
        <v>7.7091523424497405E-2</v>
      </c>
      <c r="M3" s="2">
        <v>0.641140747230867</v>
      </c>
      <c r="N3" s="2">
        <v>0.46180284194210303</v>
      </c>
      <c r="O3" s="2">
        <v>5.6940018958185302E-3</v>
      </c>
      <c r="P3" s="2">
        <v>0.91791168198838702</v>
      </c>
      <c r="Q3" s="2">
        <v>1.2884768768511801</v>
      </c>
      <c r="R3" s="2">
        <v>1.02030329006746</v>
      </c>
      <c r="S3" s="2">
        <v>1.5566504636348899</v>
      </c>
      <c r="T3" s="2">
        <v>2.7734956021013399</v>
      </c>
      <c r="U3" s="2">
        <v>2.4467405634647998</v>
      </c>
      <c r="V3" s="2">
        <v>3.10025064073788</v>
      </c>
      <c r="W3" s="2">
        <v>7.4640491275389395E-2</v>
      </c>
      <c r="X3" s="2">
        <v>-0.38797979686116402</v>
      </c>
      <c r="Y3" s="2">
        <v>0.53726077941194295</v>
      </c>
      <c r="Z3" s="2">
        <v>0.82789334240093404</v>
      </c>
      <c r="AA3" s="2">
        <v>0.57400899819426099</v>
      </c>
      <c r="AB3" s="2">
        <v>1.0817776866076101</v>
      </c>
    </row>
    <row r="4" spans="1:28" ht="22.5" customHeight="1" x14ac:dyDescent="0.25">
      <c r="A4" s="3">
        <v>44621</v>
      </c>
      <c r="B4" s="2">
        <v>0.70429932261941697</v>
      </c>
      <c r="C4" s="2">
        <v>0.17770175274154301</v>
      </c>
      <c r="D4" s="2">
        <v>1.2308968924972901</v>
      </c>
      <c r="E4" s="2">
        <v>0.600463344883299</v>
      </c>
      <c r="F4" s="2">
        <v>6.8364000345996203E-3</v>
      </c>
      <c r="G4" s="2">
        <v>1.194090289732</v>
      </c>
      <c r="H4" s="2">
        <v>0.243099109869852</v>
      </c>
      <c r="I4" s="2">
        <v>-3.1744888235077698E-3</v>
      </c>
      <c r="J4" s="2">
        <v>0.48937270856321202</v>
      </c>
      <c r="K4" s="2">
        <v>0.283250198600213</v>
      </c>
      <c r="L4" s="2">
        <v>-2.3220325626325802E-3</v>
      </c>
      <c r="M4" s="2">
        <v>0.56882242976305797</v>
      </c>
      <c r="N4" s="2">
        <v>0.42403808632317802</v>
      </c>
      <c r="O4" s="2">
        <v>-3.67018158522553E-2</v>
      </c>
      <c r="P4" s="2">
        <v>0.884777988498612</v>
      </c>
      <c r="Q4" s="2">
        <v>1.17762699505227</v>
      </c>
      <c r="R4" s="2">
        <v>0.875577666050945</v>
      </c>
      <c r="S4" s="2">
        <v>1.47967632405359</v>
      </c>
      <c r="T4" s="2">
        <v>-0.25131313069704903</v>
      </c>
      <c r="U4" s="2">
        <v>-0.57906183900284902</v>
      </c>
      <c r="V4" s="2">
        <v>7.6435577608751901E-2</v>
      </c>
      <c r="W4" s="2">
        <v>6.5769139065884094E-2</v>
      </c>
      <c r="X4" s="2">
        <v>-0.40080553902167598</v>
      </c>
      <c r="Y4" s="2">
        <v>0.53234381715344403</v>
      </c>
      <c r="Z4" s="2">
        <v>1.1887989892180599</v>
      </c>
      <c r="AA4" s="2">
        <v>0.927061809991375</v>
      </c>
      <c r="AB4" s="2">
        <v>1.45053616844474</v>
      </c>
    </row>
    <row r="5" spans="1:28" ht="22.5" customHeight="1" x14ac:dyDescent="0.25">
      <c r="A5" s="3">
        <v>44652</v>
      </c>
      <c r="B5" s="2">
        <v>0.66198326089822701</v>
      </c>
      <c r="C5" s="2">
        <v>0.11314714417479201</v>
      </c>
      <c r="D5" s="2">
        <v>1.21081937762166</v>
      </c>
      <c r="E5" s="2">
        <v>0.76127518293441798</v>
      </c>
      <c r="F5" s="2">
        <v>0.15719039707757201</v>
      </c>
      <c r="G5" s="2">
        <v>1.3653599687912601</v>
      </c>
      <c r="H5" s="2">
        <v>0.57187304223392599</v>
      </c>
      <c r="I5" s="2">
        <v>0.32452952366801402</v>
      </c>
      <c r="J5" s="2">
        <v>0.81921656079983796</v>
      </c>
      <c r="K5" s="2">
        <v>0.28761866080686699</v>
      </c>
      <c r="L5" s="2">
        <v>2.0433695689238101E-3</v>
      </c>
      <c r="M5" s="2">
        <v>0.57319395204481105</v>
      </c>
      <c r="N5" s="2">
        <v>0.466940771853322</v>
      </c>
      <c r="O5" s="2">
        <v>-6.1436099137497403E-3</v>
      </c>
      <c r="P5" s="2">
        <v>0.94002515362039496</v>
      </c>
      <c r="Q5" s="2">
        <v>1.03977593015284</v>
      </c>
      <c r="R5" s="2">
        <v>0.71636717431108399</v>
      </c>
      <c r="S5" s="2">
        <v>1.3631846859946</v>
      </c>
      <c r="T5" s="2">
        <v>1.26158579862705E-2</v>
      </c>
      <c r="U5" s="2">
        <v>-0.31513889382287302</v>
      </c>
      <c r="V5" s="2">
        <v>0.340370609795414</v>
      </c>
      <c r="W5" s="2">
        <v>-3.6186569907121699E-2</v>
      </c>
      <c r="X5" s="2">
        <v>-0.50602915193627596</v>
      </c>
      <c r="Y5" s="2">
        <v>0.43365601212203297</v>
      </c>
      <c r="Z5" s="2">
        <v>1.2221045770257699</v>
      </c>
      <c r="AA5" s="2">
        <v>0.95359691793939805</v>
      </c>
      <c r="AB5" s="2">
        <v>1.4906122361121401</v>
      </c>
    </row>
    <row r="6" spans="1:28" ht="22.5" customHeight="1" x14ac:dyDescent="0.25">
      <c r="A6" s="3">
        <v>44682</v>
      </c>
      <c r="B6" s="2">
        <v>0.63070924355334901</v>
      </c>
      <c r="C6" s="2">
        <v>7.6333041642146202E-2</v>
      </c>
      <c r="D6" s="2">
        <v>1.1850854454645501</v>
      </c>
      <c r="E6" s="2">
        <v>0.64166001639041903</v>
      </c>
      <c r="F6" s="2">
        <v>3.5431556307118001E-2</v>
      </c>
      <c r="G6" s="2">
        <v>1.2478884764737199</v>
      </c>
      <c r="H6" s="2">
        <v>0.45238886487956298</v>
      </c>
      <c r="I6" s="2">
        <v>0.202821055195157</v>
      </c>
      <c r="J6" s="2">
        <v>0.70195667456396804</v>
      </c>
      <c r="K6" s="2">
        <v>0.334531955401903</v>
      </c>
      <c r="L6" s="2">
        <v>4.8211279174173297E-2</v>
      </c>
      <c r="M6" s="2">
        <v>0.620852631629632</v>
      </c>
      <c r="N6" s="2">
        <v>0.45412653106733603</v>
      </c>
      <c r="O6" s="2">
        <v>-1.98672562871379E-2</v>
      </c>
      <c r="P6" s="2">
        <v>0.92812031842180998</v>
      </c>
      <c r="Q6" s="2">
        <v>0.99798846469826297</v>
      </c>
      <c r="R6" s="2">
        <v>0.66059761069053302</v>
      </c>
      <c r="S6" s="2">
        <v>1.3353793187059899</v>
      </c>
      <c r="T6" s="2">
        <v>4.1487636205265702E-2</v>
      </c>
      <c r="U6" s="2">
        <v>-0.28626715241629402</v>
      </c>
      <c r="V6" s="2">
        <v>0.36924242482682501</v>
      </c>
      <c r="W6" s="2">
        <v>0.23674651433146199</v>
      </c>
      <c r="X6" s="2">
        <v>-0.23397284903403201</v>
      </c>
      <c r="Y6" s="2">
        <v>0.70746587769695601</v>
      </c>
      <c r="Z6" s="2">
        <v>1.3033514944636799</v>
      </c>
      <c r="AA6" s="2">
        <v>1.02898067646837</v>
      </c>
      <c r="AB6" s="2">
        <v>1.5777223124589901</v>
      </c>
    </row>
    <row r="7" spans="1:28" ht="22.5" customHeight="1" x14ac:dyDescent="0.25">
      <c r="A7" s="3">
        <v>44713</v>
      </c>
      <c r="B7" s="2">
        <v>0.61180436429520302</v>
      </c>
      <c r="C7" s="2">
        <v>5.6021221886708897E-2</v>
      </c>
      <c r="D7" s="2">
        <v>1.1675875067037</v>
      </c>
      <c r="E7" s="2">
        <v>0.34889244886494097</v>
      </c>
      <c r="F7" s="2">
        <v>-0.25777910310454399</v>
      </c>
      <c r="G7" s="2">
        <v>0.95556400083442505</v>
      </c>
      <c r="H7" s="2">
        <v>0.44542087883371301</v>
      </c>
      <c r="I7" s="2">
        <v>0.19469129083651299</v>
      </c>
      <c r="J7" s="2">
        <v>0.69615046683091297</v>
      </c>
      <c r="K7" s="2">
        <v>0.37007455559769498</v>
      </c>
      <c r="L7" s="2">
        <v>8.3745614221201997E-2</v>
      </c>
      <c r="M7" s="2">
        <v>0.65640349697418798</v>
      </c>
      <c r="N7" s="2">
        <v>0.49081729544980601</v>
      </c>
      <c r="O7" s="2">
        <v>1.60394100394789E-2</v>
      </c>
      <c r="P7" s="2">
        <v>0.96559518086013196</v>
      </c>
      <c r="Q7" s="2">
        <v>0.86265250072591804</v>
      </c>
      <c r="R7" s="2">
        <v>0.51592130307473805</v>
      </c>
      <c r="S7" s="2">
        <v>1.2093836983771</v>
      </c>
      <c r="T7" s="2">
        <v>3.2773598178418503E-2</v>
      </c>
      <c r="U7" s="2">
        <v>-0.29498119066737599</v>
      </c>
      <c r="V7" s="2">
        <v>0.36052838702421303</v>
      </c>
      <c r="W7" s="2">
        <v>8.8915698645590194E-2</v>
      </c>
      <c r="X7" s="2">
        <v>-0.38262193207497602</v>
      </c>
      <c r="Y7" s="2">
        <v>0.56045332936615599</v>
      </c>
      <c r="Z7" s="2">
        <v>1.1773129342769599</v>
      </c>
      <c r="AA7" s="2">
        <v>0.89784657211227004</v>
      </c>
      <c r="AB7" s="2">
        <v>1.4567792964416499</v>
      </c>
    </row>
    <row r="8" spans="1:28" ht="22.5" customHeight="1" x14ac:dyDescent="0.25">
      <c r="A8" s="3">
        <v>44743</v>
      </c>
      <c r="B8" s="2">
        <v>0.62017571702570096</v>
      </c>
      <c r="C8" s="2">
        <v>6.4033594037313096E-2</v>
      </c>
      <c r="D8" s="2">
        <v>1.1763178400140899</v>
      </c>
      <c r="E8" s="2">
        <v>0.40901244247414598</v>
      </c>
      <c r="F8" s="2">
        <v>-0.19775085067810999</v>
      </c>
      <c r="G8" s="2">
        <v>1.0157757356263999</v>
      </c>
      <c r="H8" s="2">
        <v>6.1997372255290499E-2</v>
      </c>
      <c r="I8" s="2">
        <v>-0.189627413831397</v>
      </c>
      <c r="J8" s="2">
        <v>0.31362215834197799</v>
      </c>
      <c r="K8" s="2">
        <v>0.41132001671854501</v>
      </c>
      <c r="L8" s="2">
        <v>0.12444415388272401</v>
      </c>
      <c r="M8" s="2">
        <v>0.69819587955436602</v>
      </c>
      <c r="N8" s="2">
        <v>0.60142539526552996</v>
      </c>
      <c r="O8" s="2">
        <v>0.126537827783679</v>
      </c>
      <c r="P8" s="2">
        <v>1.07631296274738</v>
      </c>
      <c r="Q8" s="2">
        <v>0.75108456815845304</v>
      </c>
      <c r="R8" s="2">
        <v>0.39803811832292602</v>
      </c>
      <c r="S8" s="2">
        <v>1.1041310179939801</v>
      </c>
      <c r="T8" s="2">
        <v>8.7187485275113899E-2</v>
      </c>
      <c r="U8" s="2">
        <v>-0.240567303572047</v>
      </c>
      <c r="V8" s="2">
        <v>0.41494227412227502</v>
      </c>
      <c r="W8" s="2">
        <v>0.223375197750421</v>
      </c>
      <c r="X8" s="2">
        <v>-0.248737768929021</v>
      </c>
      <c r="Y8" s="2">
        <v>0.69548816442986305</v>
      </c>
      <c r="Z8" s="2">
        <v>0.55968327048274702</v>
      </c>
      <c r="AA8" s="2">
        <v>0.27577556633070699</v>
      </c>
      <c r="AB8" s="2">
        <v>0.84359097463478805</v>
      </c>
    </row>
    <row r="9" spans="1:28" ht="22.5" customHeight="1" x14ac:dyDescent="0.25">
      <c r="A9" s="3">
        <v>44774</v>
      </c>
      <c r="B9" s="2">
        <v>0.69651386782036395</v>
      </c>
      <c r="C9" s="2">
        <v>0.14028004248156001</v>
      </c>
      <c r="D9" s="2">
        <v>1.2527476931591699</v>
      </c>
      <c r="E9" s="2">
        <v>0.52605089010411599</v>
      </c>
      <c r="F9" s="2">
        <v>-8.0731404266084397E-2</v>
      </c>
      <c r="G9" s="2">
        <v>1.13283318447432</v>
      </c>
      <c r="H9" s="2">
        <v>0.28558614424790102</v>
      </c>
      <c r="I9" s="2">
        <v>3.3353529835181701E-2</v>
      </c>
      <c r="J9" s="2">
        <v>0.53781875866062101</v>
      </c>
      <c r="K9" s="2">
        <v>0.47555776526156002</v>
      </c>
      <c r="L9" s="2">
        <v>0.18864424945931799</v>
      </c>
      <c r="M9" s="2">
        <v>0.76247128106380302</v>
      </c>
      <c r="N9" s="2">
        <v>0.54149083911278895</v>
      </c>
      <c r="O9" s="2">
        <v>6.6546830768842394E-2</v>
      </c>
      <c r="P9" s="2">
        <v>1.01643484745674</v>
      </c>
      <c r="Q9" s="2">
        <v>0.74155464846089203</v>
      </c>
      <c r="R9" s="2">
        <v>0.38420585554999198</v>
      </c>
      <c r="S9" s="2">
        <v>1.09890344137179</v>
      </c>
      <c r="T9" s="2">
        <v>-0.85788137242531504</v>
      </c>
      <c r="U9" s="2">
        <v>-1.1856361612724799</v>
      </c>
      <c r="V9" s="2">
        <v>-0.53012658357814602</v>
      </c>
      <c r="W9" s="2">
        <v>0.24593165930918701</v>
      </c>
      <c r="X9" s="2">
        <v>-0.227332782354917</v>
      </c>
      <c r="Y9" s="2">
        <v>0.71919610097329101</v>
      </c>
      <c r="Z9" s="2">
        <v>0.98720671497318502</v>
      </c>
      <c r="AA9" s="2">
        <v>0.69941854024967598</v>
      </c>
      <c r="AB9" s="2">
        <v>1.2749948896966901</v>
      </c>
    </row>
    <row r="10" spans="1:28" ht="22.5" customHeight="1" x14ac:dyDescent="0.25">
      <c r="A10" s="3">
        <v>44805</v>
      </c>
      <c r="B10" s="2">
        <v>0.65631039246448097</v>
      </c>
      <c r="C10" s="2">
        <v>0.10005313449636299</v>
      </c>
      <c r="D10" s="2">
        <v>1.2125676504326</v>
      </c>
      <c r="E10" s="2">
        <v>0.430085258831507</v>
      </c>
      <c r="F10" s="2">
        <v>-0.17670097019973499</v>
      </c>
      <c r="G10" s="2">
        <v>1.0368714878627501</v>
      </c>
      <c r="H10" s="2">
        <v>0.238029691456037</v>
      </c>
      <c r="I10" s="2">
        <v>-1.46330248569037E-2</v>
      </c>
      <c r="J10" s="2">
        <v>0.49069240776897899</v>
      </c>
      <c r="K10" s="2">
        <v>0.442756167130537</v>
      </c>
      <c r="L10" s="2">
        <v>0.155417398636578</v>
      </c>
      <c r="M10" s="2">
        <v>0.73009493562449601</v>
      </c>
      <c r="N10" s="2">
        <v>0.53520752221428602</v>
      </c>
      <c r="O10" s="2">
        <v>6.0252461462761801E-2</v>
      </c>
      <c r="P10" s="2">
        <v>1.0101625829658101</v>
      </c>
      <c r="Q10" s="2">
        <v>0.65624949999350501</v>
      </c>
      <c r="R10" s="2">
        <v>0.29595526199227001</v>
      </c>
      <c r="S10" s="2">
        <v>1.01654373799474</v>
      </c>
      <c r="T10" s="2">
        <v>-5.0979700286117098E-2</v>
      </c>
      <c r="U10" s="2">
        <v>-0.378734489133286</v>
      </c>
      <c r="V10" s="2">
        <v>0.27677508856105199</v>
      </c>
      <c r="W10" s="2">
        <v>0.23383861900904801</v>
      </c>
      <c r="X10" s="2">
        <v>-0.239873104168742</v>
      </c>
      <c r="Y10" s="2">
        <v>0.70755034218683799</v>
      </c>
      <c r="Z10" s="2">
        <v>0.90108251409796203</v>
      </c>
      <c r="AA10" s="2">
        <v>0.60989707711384999</v>
      </c>
      <c r="AB10" s="2">
        <v>1.19226795108207</v>
      </c>
    </row>
    <row r="11" spans="1:28" ht="22.5" customHeight="1" x14ac:dyDescent="0.25">
      <c r="A11" s="3">
        <v>44835</v>
      </c>
      <c r="B11" s="2">
        <v>0.67050484159854296</v>
      </c>
      <c r="C11" s="2">
        <v>0.11424159544774</v>
      </c>
      <c r="D11" s="2">
        <v>1.2267680877493501</v>
      </c>
      <c r="E11" s="2">
        <v>0.46394161077278001</v>
      </c>
      <c r="F11" s="2">
        <v>-0.14284542767223499</v>
      </c>
      <c r="G11" s="2">
        <v>1.0707286492178001</v>
      </c>
      <c r="H11" s="2">
        <v>0.39933701902553198</v>
      </c>
      <c r="I11" s="2">
        <v>0.14637369315288001</v>
      </c>
      <c r="J11" s="2">
        <v>0.652300344898184</v>
      </c>
      <c r="K11" s="2">
        <v>0.50476510517804696</v>
      </c>
      <c r="L11" s="2">
        <v>0.217355159203656</v>
      </c>
      <c r="M11" s="2">
        <v>0.79217505115243803</v>
      </c>
      <c r="N11" s="2">
        <v>0.52130574573187805</v>
      </c>
      <c r="O11" s="2">
        <v>4.6346316832284698E-2</v>
      </c>
      <c r="P11" s="2">
        <v>0.99626517463147002</v>
      </c>
      <c r="Q11" s="2">
        <v>0.66743348795272395</v>
      </c>
      <c r="R11" s="2">
        <v>0.305116189634002</v>
      </c>
      <c r="S11" s="2">
        <v>1.0297507862714499</v>
      </c>
      <c r="T11" s="2">
        <v>1.94714923262598E-2</v>
      </c>
      <c r="U11" s="2">
        <v>-0.30828329652090902</v>
      </c>
      <c r="V11" s="2">
        <v>0.34722628117342902</v>
      </c>
      <c r="W11" s="2">
        <v>0.58969786829337301</v>
      </c>
      <c r="X11" s="2">
        <v>0.115639250828908</v>
      </c>
      <c r="Y11" s="2">
        <v>1.0637564857578401</v>
      </c>
      <c r="Z11" s="2">
        <v>1.6647901984328799</v>
      </c>
      <c r="AA11" s="2">
        <v>1.3706254870761501</v>
      </c>
      <c r="AB11" s="2">
        <v>1.95895490978961</v>
      </c>
    </row>
    <row r="12" spans="1:28" ht="22.5" customHeight="1" x14ac:dyDescent="0.25">
      <c r="A12" s="3">
        <v>44866</v>
      </c>
      <c r="B12" s="2">
        <v>0.54599262711043495</v>
      </c>
      <c r="C12" s="2">
        <v>-1.0272149344004999E-2</v>
      </c>
      <c r="D12" s="2">
        <v>1.10225740356487</v>
      </c>
      <c r="E12" s="2">
        <v>0.528505451992897</v>
      </c>
      <c r="F12" s="2">
        <v>-7.8281727051936895E-2</v>
      </c>
      <c r="G12" s="2">
        <v>1.13529263103773</v>
      </c>
      <c r="H12" s="2">
        <v>-3.2973837859921998E-3</v>
      </c>
      <c r="I12" s="2">
        <v>-0.25647177642768598</v>
      </c>
      <c r="J12" s="2">
        <v>0.24987700885570099</v>
      </c>
      <c r="K12" s="2">
        <v>0.44812996252042597</v>
      </c>
      <c r="L12" s="2">
        <v>0.16037154445785801</v>
      </c>
      <c r="M12" s="2">
        <v>0.735888380582993</v>
      </c>
      <c r="N12" s="2">
        <v>0.54620223688981395</v>
      </c>
      <c r="O12" s="2">
        <v>7.1241781204264304E-2</v>
      </c>
      <c r="P12" s="2">
        <v>1.0211626925753601</v>
      </c>
      <c r="Q12" s="2">
        <v>0.61094497952802096</v>
      </c>
      <c r="R12" s="2">
        <v>0.247235117177663</v>
      </c>
      <c r="S12" s="2">
        <v>0.97465484187837803</v>
      </c>
      <c r="T12" s="2">
        <v>-7.8926700070447199E-3</v>
      </c>
      <c r="U12" s="2">
        <v>-0.33564745885421399</v>
      </c>
      <c r="V12" s="2">
        <v>0.319862118840124</v>
      </c>
      <c r="W12" s="2">
        <v>0.17364419231834399</v>
      </c>
      <c r="X12" s="2">
        <v>-0.30061198578048598</v>
      </c>
      <c r="Y12" s="2">
        <v>0.64790037041717397</v>
      </c>
      <c r="Z12" s="2">
        <v>0.94670883604936895</v>
      </c>
      <c r="AA12" s="2">
        <v>0.64992764782782497</v>
      </c>
      <c r="AB12" s="2">
        <v>1.2434900242709099</v>
      </c>
    </row>
    <row r="13" spans="1:28" ht="22.5" customHeight="1" x14ac:dyDescent="0.25">
      <c r="A13" s="3">
        <v>44896</v>
      </c>
      <c r="B13" s="2">
        <v>0.63581920034216799</v>
      </c>
      <c r="C13" s="2">
        <v>7.9554032810647698E-2</v>
      </c>
      <c r="D13" s="2">
        <v>1.1920843678736901</v>
      </c>
      <c r="E13" s="2">
        <v>0.57383292868691804</v>
      </c>
      <c r="F13" s="2">
        <v>-3.2954148838334002E-2</v>
      </c>
      <c r="G13" s="2">
        <v>1.1806200062121699</v>
      </c>
      <c r="H13" s="2">
        <v>0.54702464881559099</v>
      </c>
      <c r="I13" s="2">
        <v>0.29370221132505397</v>
      </c>
      <c r="J13" s="2">
        <v>0.80034708630612805</v>
      </c>
      <c r="K13" s="2">
        <v>0.43731669143632701</v>
      </c>
      <c r="L13" s="2">
        <v>0.14945709051668801</v>
      </c>
      <c r="M13" s="2">
        <v>0.72517629235596603</v>
      </c>
      <c r="N13" s="2">
        <v>0.81791922035837805</v>
      </c>
      <c r="O13" s="2">
        <v>0.34295841173313302</v>
      </c>
      <c r="P13" s="2">
        <v>1.29288002898362</v>
      </c>
      <c r="Q13" s="2">
        <v>0.61417304237870496</v>
      </c>
      <c r="R13" s="2">
        <v>0.24950319486349201</v>
      </c>
      <c r="S13" s="2">
        <v>0.97884288989391899</v>
      </c>
      <c r="T13" s="2">
        <v>0.15787603782611601</v>
      </c>
      <c r="U13" s="2">
        <v>-0.16987875102105299</v>
      </c>
      <c r="V13" s="2">
        <v>0.485630826673286</v>
      </c>
      <c r="W13" s="2">
        <v>0.35851268926156499</v>
      </c>
      <c r="X13" s="2">
        <v>-0.11592625855619799</v>
      </c>
      <c r="Y13" s="2">
        <v>0.83295163707932796</v>
      </c>
      <c r="Z13" s="2">
        <v>1.6120011802573899</v>
      </c>
      <c r="AA13" s="2">
        <v>1.3129193102713901</v>
      </c>
      <c r="AB13" s="2">
        <v>1.91108305024339</v>
      </c>
    </row>
    <row r="15" spans="1:28" ht="22.5" customHeight="1" x14ac:dyDescent="0.25">
      <c r="A15" s="2" t="str">
        <f>A1</f>
        <v>data</v>
      </c>
      <c r="B15" s="2" t="s">
        <v>7</v>
      </c>
      <c r="C15" s="2" t="s">
        <v>593</v>
      </c>
      <c r="D15" s="2" t="s">
        <v>594</v>
      </c>
      <c r="E15" s="2" t="s">
        <v>602</v>
      </c>
      <c r="F15" s="2" t="s">
        <v>596</v>
      </c>
      <c r="G15" s="2" t="s">
        <v>597</v>
      </c>
      <c r="H15" s="2" t="s">
        <v>598</v>
      </c>
      <c r="I15" s="2" t="s">
        <v>599</v>
      </c>
      <c r="J15" s="2" t="s">
        <v>600</v>
      </c>
    </row>
    <row r="16" spans="1:28" ht="22.5" customHeight="1" x14ac:dyDescent="0.25">
      <c r="A16" s="2" t="s">
        <v>601</v>
      </c>
      <c r="B16" s="2" t="s">
        <v>590</v>
      </c>
      <c r="C16" s="2" t="s">
        <v>590</v>
      </c>
      <c r="D16" s="2" t="s">
        <v>590</v>
      </c>
      <c r="E16" s="2" t="s">
        <v>590</v>
      </c>
      <c r="F16" s="2" t="s">
        <v>590</v>
      </c>
      <c r="G16" s="2" t="s">
        <v>590</v>
      </c>
      <c r="H16" s="2" t="s">
        <v>590</v>
      </c>
      <c r="I16" s="2" t="s">
        <v>590</v>
      </c>
      <c r="J16" s="2" t="s">
        <v>590</v>
      </c>
    </row>
    <row r="17" spans="1:10" ht="22.5" customHeight="1" x14ac:dyDescent="0.25">
      <c r="A17" s="3">
        <f t="shared" ref="A17:A27" si="0">A3</f>
        <v>44593</v>
      </c>
      <c r="B17" s="2" cm="1">
        <f t="array" ref="B17:B27">_xlfn.IFS(B16="Base",B3:B13,B16="Otimista",C3:C13,B16="Pessimista",D3:D13)</f>
        <v>0.85704406315442105</v>
      </c>
      <c r="C17" s="2" cm="1">
        <f t="array" ref="C17:C27">_xlfn.IFS(C16="Base",E3:E13,C16="Otimista",F3:F13,C16="Pessimista",G3:G13)</f>
        <v>0.32582383214114702</v>
      </c>
      <c r="D17" s="2" cm="1">
        <f t="array" ref="D17:D27">_xlfn.IFS(D16="Base",H3:H13,D16="Otimista",I3:I13,D16="Pessimista",J3:J13)</f>
        <v>0.47732045245265098</v>
      </c>
      <c r="E17" s="2" cm="1">
        <f t="array" ref="E17:E27">_xlfn.IFS(E16="Base",K3:K13,E16="Otimista",L3:L13,E16="Pessimista",M3:M13)</f>
        <v>0.359116135327682</v>
      </c>
      <c r="F17" s="2" cm="1">
        <f t="array" ref="F17:F27">_xlfn.IFS(F16="Base",N3:N13,F16="Otimista",O3:O13,F16="Pessimista",P3:P13)</f>
        <v>0.46180284194210303</v>
      </c>
      <c r="G17" s="2" cm="1">
        <f t="array" ref="G17:G27">_xlfn.IFS(G16="Base",Q3:Q13,G16="Otimista",R3:R13,G16="Pessimista",S3:S13)</f>
        <v>1.2884768768511801</v>
      </c>
      <c r="H17" s="2" cm="1">
        <f t="array" ref="H17:H27">_xlfn.IFS(H16="Base",T3:T13,H16="Otimista",U3:U13,H16="Pessimista",V3:V13)</f>
        <v>2.7734956021013399</v>
      </c>
      <c r="I17" s="2" cm="1">
        <f t="array" ref="I17:I27">_xlfn.IFS(I16="Base",W3:W13,I16="Otimista",X3:X13,I16="Pessimista",Y3:Y13)</f>
        <v>7.4640491275389395E-2</v>
      </c>
      <c r="J17" s="2" cm="1">
        <f t="array" ref="J17:J27">_xlfn.IFS(J16="Base",Z3:Z13,J16="Otimista",AA3:AA13,J16="Pessimista",AB3:AB13)</f>
        <v>0.82789334240093404</v>
      </c>
    </row>
    <row r="18" spans="1:10" ht="22.5" customHeight="1" x14ac:dyDescent="0.25">
      <c r="A18" s="3">
        <f t="shared" si="0"/>
        <v>44621</v>
      </c>
      <c r="B18" s="2">
        <v>0.70429932261941697</v>
      </c>
      <c r="C18" s="2">
        <v>0.600463344883299</v>
      </c>
      <c r="D18" s="2">
        <v>0.243099109869852</v>
      </c>
      <c r="E18" s="2">
        <v>0.283250198600213</v>
      </c>
      <c r="F18" s="2">
        <v>0.42403808632317802</v>
      </c>
      <c r="G18" s="2">
        <v>1.17762699505227</v>
      </c>
      <c r="H18" s="2">
        <v>-0.25131313069704903</v>
      </c>
      <c r="I18" s="2">
        <v>6.5769139065884094E-2</v>
      </c>
      <c r="J18" s="2">
        <v>1.1887989892180599</v>
      </c>
    </row>
    <row r="19" spans="1:10" ht="22.5" customHeight="1" x14ac:dyDescent="0.25">
      <c r="A19" s="3">
        <f t="shared" si="0"/>
        <v>44652</v>
      </c>
      <c r="B19" s="2">
        <v>0.66198326089822701</v>
      </c>
      <c r="C19" s="2">
        <v>0.76127518293441798</v>
      </c>
      <c r="D19" s="2">
        <v>0.57187304223392599</v>
      </c>
      <c r="E19" s="2">
        <v>0.28761866080686699</v>
      </c>
      <c r="F19" s="2">
        <v>0.466940771853322</v>
      </c>
      <c r="G19" s="2">
        <v>1.03977593015284</v>
      </c>
      <c r="H19" s="2">
        <v>1.26158579862705E-2</v>
      </c>
      <c r="I19" s="2">
        <v>-3.6186569907121699E-2</v>
      </c>
      <c r="J19" s="2">
        <v>1.2221045770257699</v>
      </c>
    </row>
    <row r="20" spans="1:10" ht="22.5" customHeight="1" x14ac:dyDescent="0.25">
      <c r="A20" s="3">
        <f t="shared" si="0"/>
        <v>44682</v>
      </c>
      <c r="B20" s="2">
        <v>0.63070924355334901</v>
      </c>
      <c r="C20" s="2">
        <v>0.64166001639041903</v>
      </c>
      <c r="D20" s="2">
        <v>0.45238886487956298</v>
      </c>
      <c r="E20" s="2">
        <v>0.334531955401903</v>
      </c>
      <c r="F20" s="2">
        <v>0.45412653106733603</v>
      </c>
      <c r="G20" s="2">
        <v>0.99798846469826297</v>
      </c>
      <c r="H20" s="2">
        <v>4.1487636205265702E-2</v>
      </c>
      <c r="I20" s="2">
        <v>0.23674651433146199</v>
      </c>
      <c r="J20" s="2">
        <v>1.3033514944636799</v>
      </c>
    </row>
    <row r="21" spans="1:10" ht="22.5" customHeight="1" x14ac:dyDescent="0.25">
      <c r="A21" s="3">
        <f t="shared" si="0"/>
        <v>44713</v>
      </c>
      <c r="B21" s="2">
        <v>0.61180436429520302</v>
      </c>
      <c r="C21" s="2">
        <v>0.34889244886494097</v>
      </c>
      <c r="D21" s="2">
        <v>0.44542087883371301</v>
      </c>
      <c r="E21" s="2">
        <v>0.37007455559769498</v>
      </c>
      <c r="F21" s="2">
        <v>0.49081729544980601</v>
      </c>
      <c r="G21" s="2">
        <v>0.86265250072591804</v>
      </c>
      <c r="H21" s="2">
        <v>3.2773598178418503E-2</v>
      </c>
      <c r="I21" s="2">
        <v>8.8915698645590194E-2</v>
      </c>
      <c r="J21" s="2">
        <v>1.1773129342769599</v>
      </c>
    </row>
    <row r="22" spans="1:10" ht="22.5" customHeight="1" x14ac:dyDescent="0.25">
      <c r="A22" s="3">
        <f t="shared" si="0"/>
        <v>44743</v>
      </c>
      <c r="B22" s="2">
        <v>0.62017571702570096</v>
      </c>
      <c r="C22" s="2">
        <v>0.40901244247414598</v>
      </c>
      <c r="D22" s="2">
        <v>6.1997372255290499E-2</v>
      </c>
      <c r="E22" s="2">
        <v>0.41132001671854501</v>
      </c>
      <c r="F22" s="2">
        <v>0.60142539526552996</v>
      </c>
      <c r="G22" s="2">
        <v>0.75108456815845304</v>
      </c>
      <c r="H22" s="2">
        <v>8.7187485275113899E-2</v>
      </c>
      <c r="I22" s="2">
        <v>0.223375197750421</v>
      </c>
      <c r="J22" s="2">
        <v>0.55968327048274702</v>
      </c>
    </row>
    <row r="23" spans="1:10" ht="22.5" customHeight="1" x14ac:dyDescent="0.25">
      <c r="A23" s="3">
        <f t="shared" si="0"/>
        <v>44774</v>
      </c>
      <c r="B23" s="2">
        <v>0.69651386782036395</v>
      </c>
      <c r="C23" s="2">
        <v>0.52605089010411599</v>
      </c>
      <c r="D23" s="2">
        <v>0.28558614424790102</v>
      </c>
      <c r="E23" s="2">
        <v>0.47555776526156002</v>
      </c>
      <c r="F23" s="2">
        <v>0.54149083911278895</v>
      </c>
      <c r="G23" s="2">
        <v>0.74155464846089203</v>
      </c>
      <c r="H23" s="2">
        <v>-0.85788137242531504</v>
      </c>
      <c r="I23" s="2">
        <v>0.24593165930918701</v>
      </c>
      <c r="J23" s="2">
        <v>0.98720671497318502</v>
      </c>
    </row>
    <row r="24" spans="1:10" ht="22.5" customHeight="1" x14ac:dyDescent="0.25">
      <c r="A24" s="3">
        <f t="shared" si="0"/>
        <v>44805</v>
      </c>
      <c r="B24" s="2">
        <v>0.65631039246448097</v>
      </c>
      <c r="C24" s="2">
        <v>0.430085258831507</v>
      </c>
      <c r="D24" s="2">
        <v>0.238029691456037</v>
      </c>
      <c r="E24" s="2">
        <v>0.442756167130537</v>
      </c>
      <c r="F24" s="2">
        <v>0.53520752221428602</v>
      </c>
      <c r="G24" s="2">
        <v>0.65624949999350501</v>
      </c>
      <c r="H24" s="2">
        <v>-5.0979700286117098E-2</v>
      </c>
      <c r="I24" s="2">
        <v>0.23383861900904801</v>
      </c>
      <c r="J24" s="2">
        <v>0.90108251409796203</v>
      </c>
    </row>
    <row r="25" spans="1:10" ht="22.5" customHeight="1" x14ac:dyDescent="0.25">
      <c r="A25" s="3">
        <f t="shared" si="0"/>
        <v>44835</v>
      </c>
      <c r="B25" s="2">
        <v>0.67050484159854296</v>
      </c>
      <c r="C25" s="2">
        <v>0.46394161077278001</v>
      </c>
      <c r="D25" s="2">
        <v>0.39933701902553198</v>
      </c>
      <c r="E25" s="2">
        <v>0.50476510517804696</v>
      </c>
      <c r="F25" s="2">
        <v>0.52130574573187805</v>
      </c>
      <c r="G25" s="2">
        <v>0.66743348795272395</v>
      </c>
      <c r="H25" s="2">
        <v>1.94714923262598E-2</v>
      </c>
      <c r="I25" s="2">
        <v>0.58969786829337301</v>
      </c>
      <c r="J25" s="2">
        <v>1.6647901984328799</v>
      </c>
    </row>
    <row r="26" spans="1:10" ht="22.5" customHeight="1" x14ac:dyDescent="0.25">
      <c r="A26" s="3">
        <f t="shared" si="0"/>
        <v>44866</v>
      </c>
      <c r="B26" s="2">
        <v>0.54599262711043495</v>
      </c>
      <c r="C26" s="2">
        <v>0.528505451992897</v>
      </c>
      <c r="D26" s="2">
        <v>-3.2973837859921998E-3</v>
      </c>
      <c r="E26" s="2">
        <v>0.44812996252042597</v>
      </c>
      <c r="F26" s="2">
        <v>0.54620223688981395</v>
      </c>
      <c r="G26" s="2">
        <v>0.61094497952802096</v>
      </c>
      <c r="H26" s="2">
        <v>-7.8926700070447199E-3</v>
      </c>
      <c r="I26" s="2">
        <v>0.17364419231834399</v>
      </c>
      <c r="J26" s="2">
        <v>0.94670883604936895</v>
      </c>
    </row>
    <row r="27" spans="1:10" ht="22.5" customHeight="1" x14ac:dyDescent="0.25">
      <c r="A27" s="3">
        <f t="shared" si="0"/>
        <v>44896</v>
      </c>
      <c r="B27" s="2">
        <v>0.63581920034216799</v>
      </c>
      <c r="C27" s="2">
        <v>0.57383292868691804</v>
      </c>
      <c r="D27" s="2">
        <v>0.54702464881559099</v>
      </c>
      <c r="E27" s="2">
        <v>0.43731669143632701</v>
      </c>
      <c r="F27" s="2">
        <v>0.81791922035837805</v>
      </c>
      <c r="G27" s="2">
        <v>0.61417304237870496</v>
      </c>
      <c r="H27" s="2">
        <v>0.15787603782611601</v>
      </c>
      <c r="I27" s="2">
        <v>0.35851268926156499</v>
      </c>
      <c r="J27" s="2">
        <v>1.6120011802573899</v>
      </c>
    </row>
    <row r="29" spans="1:10" ht="22.5" customHeight="1" x14ac:dyDescent="0.25">
      <c r="A29" s="2" t="str">
        <f>A15</f>
        <v>data</v>
      </c>
      <c r="B29" s="2" t="s">
        <v>7</v>
      </c>
      <c r="C29" s="2" t="s">
        <v>593</v>
      </c>
      <c r="D29" s="2" t="s">
        <v>594</v>
      </c>
      <c r="E29" s="2" t="s">
        <v>602</v>
      </c>
      <c r="F29" s="2" t="s">
        <v>596</v>
      </c>
      <c r="G29" s="2" t="s">
        <v>597</v>
      </c>
      <c r="H29" s="2" t="s">
        <v>598</v>
      </c>
      <c r="I29" s="2" t="s">
        <v>599</v>
      </c>
      <c r="J29" s="2" t="s">
        <v>600</v>
      </c>
    </row>
    <row r="30" spans="1:10" ht="22.5" customHeight="1" x14ac:dyDescent="0.25">
      <c r="A30" s="3">
        <f t="shared" ref="A30:A40" si="1">A17</f>
        <v>44593</v>
      </c>
      <c r="B30" s="2">
        <v>20.712700000000002</v>
      </c>
      <c r="C30" s="2">
        <v>21.8902</v>
      </c>
      <c r="D30" s="2">
        <v>12.3893</v>
      </c>
      <c r="E30" s="2">
        <v>9.8795000000000002</v>
      </c>
      <c r="F30" s="2">
        <v>16.142299999999999</v>
      </c>
      <c r="G30" s="2">
        <v>3.8727999999999998</v>
      </c>
      <c r="H30" s="2">
        <v>5.5617000000000001</v>
      </c>
      <c r="I30" s="2">
        <v>5.2142999999999997</v>
      </c>
      <c r="J30" s="2">
        <v>4.3369999999999997</v>
      </c>
    </row>
    <row r="31" spans="1:10" ht="22.5" customHeight="1" x14ac:dyDescent="0.25">
      <c r="A31" s="3">
        <f t="shared" si="1"/>
        <v>44621</v>
      </c>
      <c r="B31" s="2">
        <f t="shared" ref="B31:B40" si="2">B30</f>
        <v>20.712700000000002</v>
      </c>
      <c r="C31" s="2">
        <f t="shared" ref="C31:C40" si="3">C30</f>
        <v>21.8902</v>
      </c>
      <c r="D31" s="2">
        <f t="shared" ref="D31:D40" si="4">D30</f>
        <v>12.3893</v>
      </c>
      <c r="E31" s="2">
        <f t="shared" ref="E31:E40" si="5">E30</f>
        <v>9.8795000000000002</v>
      </c>
      <c r="F31" s="2">
        <f t="shared" ref="F31:F40" si="6">F30</f>
        <v>16.142299999999999</v>
      </c>
      <c r="G31" s="2">
        <f t="shared" ref="G31:G40" si="7">G30</f>
        <v>3.8727999999999998</v>
      </c>
      <c r="H31" s="2">
        <f t="shared" ref="H31:H40" si="8">H30</f>
        <v>5.5617000000000001</v>
      </c>
      <c r="I31" s="2">
        <f t="shared" ref="I31:I40" si="9">I30</f>
        <v>5.2142999999999997</v>
      </c>
      <c r="J31" s="2">
        <f t="shared" ref="J31:J40" si="10">J30</f>
        <v>4.3369999999999997</v>
      </c>
    </row>
    <row r="32" spans="1:10" ht="22.5" customHeight="1" x14ac:dyDescent="0.25">
      <c r="A32" s="3">
        <f t="shared" si="1"/>
        <v>44652</v>
      </c>
      <c r="B32" s="2">
        <f t="shared" si="2"/>
        <v>20.712700000000002</v>
      </c>
      <c r="C32" s="2">
        <f t="shared" si="3"/>
        <v>21.8902</v>
      </c>
      <c r="D32" s="2">
        <f t="shared" si="4"/>
        <v>12.3893</v>
      </c>
      <c r="E32" s="2">
        <f t="shared" si="5"/>
        <v>9.8795000000000002</v>
      </c>
      <c r="F32" s="2">
        <f t="shared" si="6"/>
        <v>16.142299999999999</v>
      </c>
      <c r="G32" s="2">
        <f t="shared" si="7"/>
        <v>3.8727999999999998</v>
      </c>
      <c r="H32" s="2">
        <f t="shared" si="8"/>
        <v>5.5617000000000001</v>
      </c>
      <c r="I32" s="2">
        <f t="shared" si="9"/>
        <v>5.2142999999999997</v>
      </c>
      <c r="J32" s="2">
        <f t="shared" si="10"/>
        <v>4.3369999999999997</v>
      </c>
    </row>
    <row r="33" spans="1:11" ht="22.5" customHeight="1" x14ac:dyDescent="0.25">
      <c r="A33" s="3">
        <f t="shared" si="1"/>
        <v>44682</v>
      </c>
      <c r="B33" s="2">
        <f t="shared" si="2"/>
        <v>20.712700000000002</v>
      </c>
      <c r="C33" s="2">
        <f t="shared" si="3"/>
        <v>21.8902</v>
      </c>
      <c r="D33" s="2">
        <f t="shared" si="4"/>
        <v>12.3893</v>
      </c>
      <c r="E33" s="2">
        <f t="shared" si="5"/>
        <v>9.8795000000000002</v>
      </c>
      <c r="F33" s="2">
        <f t="shared" si="6"/>
        <v>16.142299999999999</v>
      </c>
      <c r="G33" s="2">
        <f t="shared" si="7"/>
        <v>3.8727999999999998</v>
      </c>
      <c r="H33" s="2">
        <f t="shared" si="8"/>
        <v>5.5617000000000001</v>
      </c>
      <c r="I33" s="2">
        <f t="shared" si="9"/>
        <v>5.2142999999999997</v>
      </c>
      <c r="J33" s="2">
        <f t="shared" si="10"/>
        <v>4.3369999999999997</v>
      </c>
    </row>
    <row r="34" spans="1:11" ht="22.5" customHeight="1" x14ac:dyDescent="0.25">
      <c r="A34" s="3">
        <f t="shared" si="1"/>
        <v>44713</v>
      </c>
      <c r="B34" s="2">
        <f t="shared" si="2"/>
        <v>20.712700000000002</v>
      </c>
      <c r="C34" s="2">
        <f t="shared" si="3"/>
        <v>21.8902</v>
      </c>
      <c r="D34" s="2">
        <f t="shared" si="4"/>
        <v>12.3893</v>
      </c>
      <c r="E34" s="2">
        <f t="shared" si="5"/>
        <v>9.8795000000000002</v>
      </c>
      <c r="F34" s="2">
        <f t="shared" si="6"/>
        <v>16.142299999999999</v>
      </c>
      <c r="G34" s="2">
        <f t="shared" si="7"/>
        <v>3.8727999999999998</v>
      </c>
      <c r="H34" s="2">
        <f t="shared" si="8"/>
        <v>5.5617000000000001</v>
      </c>
      <c r="I34" s="2">
        <f t="shared" si="9"/>
        <v>5.2142999999999997</v>
      </c>
      <c r="J34" s="2">
        <f t="shared" si="10"/>
        <v>4.3369999999999997</v>
      </c>
    </row>
    <row r="35" spans="1:11" ht="22.5" customHeight="1" x14ac:dyDescent="0.25">
      <c r="A35" s="3">
        <f t="shared" si="1"/>
        <v>44743</v>
      </c>
      <c r="B35" s="2">
        <f t="shared" si="2"/>
        <v>20.712700000000002</v>
      </c>
      <c r="C35" s="2">
        <f t="shared" si="3"/>
        <v>21.8902</v>
      </c>
      <c r="D35" s="2">
        <f t="shared" si="4"/>
        <v>12.3893</v>
      </c>
      <c r="E35" s="2">
        <f t="shared" si="5"/>
        <v>9.8795000000000002</v>
      </c>
      <c r="F35" s="2">
        <f t="shared" si="6"/>
        <v>16.142299999999999</v>
      </c>
      <c r="G35" s="2">
        <f t="shared" si="7"/>
        <v>3.8727999999999998</v>
      </c>
      <c r="H35" s="2">
        <f t="shared" si="8"/>
        <v>5.5617000000000001</v>
      </c>
      <c r="I35" s="2">
        <f t="shared" si="9"/>
        <v>5.2142999999999997</v>
      </c>
      <c r="J35" s="2">
        <f t="shared" si="10"/>
        <v>4.3369999999999997</v>
      </c>
    </row>
    <row r="36" spans="1:11" ht="22.5" customHeight="1" x14ac:dyDescent="0.25">
      <c r="A36" s="3">
        <f t="shared" si="1"/>
        <v>44774</v>
      </c>
      <c r="B36" s="2">
        <f t="shared" si="2"/>
        <v>20.712700000000002</v>
      </c>
      <c r="C36" s="2">
        <f t="shared" si="3"/>
        <v>21.8902</v>
      </c>
      <c r="D36" s="2">
        <f t="shared" si="4"/>
        <v>12.3893</v>
      </c>
      <c r="E36" s="2">
        <f t="shared" si="5"/>
        <v>9.8795000000000002</v>
      </c>
      <c r="F36" s="2">
        <f t="shared" si="6"/>
        <v>16.142299999999999</v>
      </c>
      <c r="G36" s="2">
        <f t="shared" si="7"/>
        <v>3.8727999999999998</v>
      </c>
      <c r="H36" s="2">
        <f t="shared" si="8"/>
        <v>5.5617000000000001</v>
      </c>
      <c r="I36" s="2">
        <f t="shared" si="9"/>
        <v>5.2142999999999997</v>
      </c>
      <c r="J36" s="2">
        <f t="shared" si="10"/>
        <v>4.3369999999999997</v>
      </c>
    </row>
    <row r="37" spans="1:11" ht="22.5" customHeight="1" x14ac:dyDescent="0.25">
      <c r="A37" s="3">
        <f t="shared" si="1"/>
        <v>44805</v>
      </c>
      <c r="B37" s="2">
        <f t="shared" si="2"/>
        <v>20.712700000000002</v>
      </c>
      <c r="C37" s="2">
        <f t="shared" si="3"/>
        <v>21.8902</v>
      </c>
      <c r="D37" s="2">
        <f t="shared" si="4"/>
        <v>12.3893</v>
      </c>
      <c r="E37" s="2">
        <f t="shared" si="5"/>
        <v>9.8795000000000002</v>
      </c>
      <c r="F37" s="2">
        <f t="shared" si="6"/>
        <v>16.142299999999999</v>
      </c>
      <c r="G37" s="2">
        <f t="shared" si="7"/>
        <v>3.8727999999999998</v>
      </c>
      <c r="H37" s="2">
        <f t="shared" si="8"/>
        <v>5.5617000000000001</v>
      </c>
      <c r="I37" s="2">
        <f t="shared" si="9"/>
        <v>5.2142999999999997</v>
      </c>
      <c r="J37" s="2">
        <f t="shared" si="10"/>
        <v>4.3369999999999997</v>
      </c>
    </row>
    <row r="38" spans="1:11" ht="22.5" customHeight="1" x14ac:dyDescent="0.25">
      <c r="A38" s="3">
        <f t="shared" si="1"/>
        <v>44835</v>
      </c>
      <c r="B38" s="2">
        <f t="shared" si="2"/>
        <v>20.712700000000002</v>
      </c>
      <c r="C38" s="2">
        <f t="shared" si="3"/>
        <v>21.8902</v>
      </c>
      <c r="D38" s="2">
        <f t="shared" si="4"/>
        <v>12.3893</v>
      </c>
      <c r="E38" s="2">
        <f t="shared" si="5"/>
        <v>9.8795000000000002</v>
      </c>
      <c r="F38" s="2">
        <f t="shared" si="6"/>
        <v>16.142299999999999</v>
      </c>
      <c r="G38" s="2">
        <f t="shared" si="7"/>
        <v>3.8727999999999998</v>
      </c>
      <c r="H38" s="2">
        <f t="shared" si="8"/>
        <v>5.5617000000000001</v>
      </c>
      <c r="I38" s="2">
        <f t="shared" si="9"/>
        <v>5.2142999999999997</v>
      </c>
      <c r="J38" s="2">
        <f t="shared" si="10"/>
        <v>4.3369999999999997</v>
      </c>
    </row>
    <row r="39" spans="1:11" ht="22.5" customHeight="1" x14ac:dyDescent="0.25">
      <c r="A39" s="3">
        <f t="shared" si="1"/>
        <v>44866</v>
      </c>
      <c r="B39" s="2">
        <f t="shared" si="2"/>
        <v>20.712700000000002</v>
      </c>
      <c r="C39" s="2">
        <f t="shared" si="3"/>
        <v>21.8902</v>
      </c>
      <c r="D39" s="2">
        <f t="shared" si="4"/>
        <v>12.3893</v>
      </c>
      <c r="E39" s="2">
        <f t="shared" si="5"/>
        <v>9.8795000000000002</v>
      </c>
      <c r="F39" s="2">
        <f t="shared" si="6"/>
        <v>16.142299999999999</v>
      </c>
      <c r="G39" s="2">
        <f t="shared" si="7"/>
        <v>3.8727999999999998</v>
      </c>
      <c r="H39" s="2">
        <f t="shared" si="8"/>
        <v>5.5617000000000001</v>
      </c>
      <c r="I39" s="2">
        <f t="shared" si="9"/>
        <v>5.2142999999999997</v>
      </c>
      <c r="J39" s="2">
        <f t="shared" si="10"/>
        <v>4.3369999999999997</v>
      </c>
    </row>
    <row r="40" spans="1:11" ht="22.5" customHeight="1" x14ac:dyDescent="0.25">
      <c r="A40" s="3">
        <f t="shared" si="1"/>
        <v>44896</v>
      </c>
      <c r="B40" s="2">
        <f t="shared" si="2"/>
        <v>20.712700000000002</v>
      </c>
      <c r="C40" s="2">
        <f t="shared" si="3"/>
        <v>21.8902</v>
      </c>
      <c r="D40" s="2">
        <f t="shared" si="4"/>
        <v>12.3893</v>
      </c>
      <c r="E40" s="2">
        <f t="shared" si="5"/>
        <v>9.8795000000000002</v>
      </c>
      <c r="F40" s="2">
        <f t="shared" si="6"/>
        <v>16.142299999999999</v>
      </c>
      <c r="G40" s="2">
        <f t="shared" si="7"/>
        <v>3.8727999999999998</v>
      </c>
      <c r="H40" s="2">
        <f t="shared" si="8"/>
        <v>5.5617000000000001</v>
      </c>
      <c r="I40" s="2">
        <f t="shared" si="9"/>
        <v>5.2142999999999997</v>
      </c>
      <c r="J40" s="2">
        <f t="shared" si="10"/>
        <v>4.3369999999999997</v>
      </c>
    </row>
    <row r="42" spans="1:11" ht="22.5" customHeight="1" x14ac:dyDescent="0.25">
      <c r="A42" s="2" t="str">
        <f t="shared" ref="A42:A53" si="11">A29</f>
        <v>data</v>
      </c>
      <c r="B42" s="2" t="s">
        <v>7</v>
      </c>
      <c r="C42" s="2" t="s">
        <v>593</v>
      </c>
      <c r="D42" s="2" t="s">
        <v>594</v>
      </c>
      <c r="E42" s="2" t="s">
        <v>602</v>
      </c>
      <c r="F42" s="2" t="s">
        <v>596</v>
      </c>
      <c r="G42" s="2" t="s">
        <v>597</v>
      </c>
      <c r="H42" s="2" t="s">
        <v>598</v>
      </c>
      <c r="I42" s="2" t="s">
        <v>599</v>
      </c>
      <c r="J42" s="2" t="s">
        <v>600</v>
      </c>
      <c r="K42" s="2" t="s">
        <v>603</v>
      </c>
    </row>
    <row r="43" spans="1:11" ht="22.5" customHeight="1" x14ac:dyDescent="0.25">
      <c r="A43" s="3">
        <f t="shared" si="11"/>
        <v>44593</v>
      </c>
      <c r="B43" s="2">
        <f t="shared" ref="B43:B53" si="12">B30*B17/100</f>
        <v>0.17751696566898578</v>
      </c>
      <c r="C43" s="2">
        <f t="shared" ref="C43:J53" si="13">C30*C17/100</f>
        <v>7.1323488503361357E-2</v>
      </c>
      <c r="D43" s="2">
        <f t="shared" si="13"/>
        <v>5.9136662815716293E-2</v>
      </c>
      <c r="E43" s="2">
        <f t="shared" si="13"/>
        <v>3.5478878589698344E-2</v>
      </c>
      <c r="F43" s="2">
        <f t="shared" si="13"/>
        <v>7.4545600154820091E-2</v>
      </c>
      <c r="G43" s="2">
        <f t="shared" si="13"/>
        <v>4.9900132486692499E-2</v>
      </c>
      <c r="H43" s="2">
        <f t="shared" si="13"/>
        <v>0.15425350490207024</v>
      </c>
      <c r="I43" s="2">
        <f t="shared" si="13"/>
        <v>3.8919791365726293E-3</v>
      </c>
      <c r="J43" s="2">
        <f t="shared" si="13"/>
        <v>3.5905734259928511E-2</v>
      </c>
      <c r="K43" s="2">
        <f t="shared" ref="K43:K53" si="14">SUM(B43:J43)</f>
        <v>0.66195294651784564</v>
      </c>
    </row>
    <row r="44" spans="1:11" ht="22.5" customHeight="1" x14ac:dyDescent="0.25">
      <c r="A44" s="3">
        <f t="shared" si="11"/>
        <v>44621</v>
      </c>
      <c r="B44" s="2">
        <f t="shared" si="12"/>
        <v>0.14587940579619199</v>
      </c>
      <c r="C44" s="2">
        <f t="shared" si="13"/>
        <v>0.13144262712164392</v>
      </c>
      <c r="D44" s="2">
        <f t="shared" si="13"/>
        <v>3.0118278019105573E-2</v>
      </c>
      <c r="E44" s="2">
        <f t="shared" si="13"/>
        <v>2.7983703370708043E-2</v>
      </c>
      <c r="F44" s="2">
        <f t="shared" si="13"/>
        <v>6.8449500008546368E-2</v>
      </c>
      <c r="G44" s="2">
        <f t="shared" si="13"/>
        <v>4.5607138264384312E-2</v>
      </c>
      <c r="H44" s="2">
        <f t="shared" si="13"/>
        <v>-1.3977282389977776E-2</v>
      </c>
      <c r="I44" s="2">
        <f t="shared" si="13"/>
        <v>3.4294002183123938E-3</v>
      </c>
      <c r="J44" s="2">
        <f t="shared" si="13"/>
        <v>5.1558212162387262E-2</v>
      </c>
      <c r="K44" s="2">
        <f t="shared" si="14"/>
        <v>0.49049098257130214</v>
      </c>
    </row>
    <row r="45" spans="1:11" ht="22.5" customHeight="1" x14ac:dyDescent="0.25">
      <c r="A45" s="3">
        <f t="shared" si="11"/>
        <v>44652</v>
      </c>
      <c r="B45" s="2">
        <f t="shared" si="12"/>
        <v>0.13711460688006707</v>
      </c>
      <c r="C45" s="2">
        <f t="shared" si="13"/>
        <v>0.16664466009470996</v>
      </c>
      <c r="D45" s="2">
        <f t="shared" si="13"/>
        <v>7.0851066821487799E-2</v>
      </c>
      <c r="E45" s="2">
        <f t="shared" si="13"/>
        <v>2.8415285594414422E-2</v>
      </c>
      <c r="F45" s="2">
        <f t="shared" si="13"/>
        <v>7.537498021487879E-2</v>
      </c>
      <c r="G45" s="2">
        <f t="shared" si="13"/>
        <v>4.026844222295918E-2</v>
      </c>
      <c r="H45" s="2">
        <f t="shared" si="13"/>
        <v>7.0165617362240643E-4</v>
      </c>
      <c r="I45" s="2">
        <f t="shared" si="13"/>
        <v>-1.8868763146670468E-3</v>
      </c>
      <c r="J45" s="2">
        <f t="shared" si="13"/>
        <v>5.3002675505607638E-2</v>
      </c>
      <c r="K45" s="2">
        <f t="shared" si="14"/>
        <v>0.57048649719308031</v>
      </c>
    </row>
    <row r="46" spans="1:11" ht="22.5" customHeight="1" x14ac:dyDescent="0.25">
      <c r="A46" s="3">
        <f t="shared" si="11"/>
        <v>44682</v>
      </c>
      <c r="B46" s="2">
        <f t="shared" si="12"/>
        <v>0.13063691348947454</v>
      </c>
      <c r="C46" s="2">
        <f t="shared" si="13"/>
        <v>0.14046066090789552</v>
      </c>
      <c r="D46" s="2">
        <f t="shared" si="13"/>
        <v>5.6047813636523697E-2</v>
      </c>
      <c r="E46" s="2">
        <f t="shared" si="13"/>
        <v>3.3050084533931011E-2</v>
      </c>
      <c r="F46" s="2">
        <f t="shared" si="13"/>
        <v>7.3306467024482569E-2</v>
      </c>
      <c r="G46" s="2">
        <f t="shared" si="13"/>
        <v>3.8650097260834328E-2</v>
      </c>
      <c r="H46" s="2">
        <f t="shared" si="13"/>
        <v>2.3074178628282628E-3</v>
      </c>
      <c r="I46" s="2">
        <f t="shared" si="13"/>
        <v>1.2344673496785421E-2</v>
      </c>
      <c r="J46" s="2">
        <f t="shared" si="13"/>
        <v>5.6526354314889796E-2</v>
      </c>
      <c r="K46" s="2">
        <f t="shared" si="14"/>
        <v>0.54333048252764515</v>
      </c>
    </row>
    <row r="47" spans="1:11" ht="22.5" customHeight="1" x14ac:dyDescent="0.25">
      <c r="A47" s="3">
        <f t="shared" si="11"/>
        <v>44713</v>
      </c>
      <c r="B47" s="2">
        <f t="shared" si="12"/>
        <v>0.12672120256337252</v>
      </c>
      <c r="C47" s="2">
        <f t="shared" si="13"/>
        <v>7.6373254841433313E-2</v>
      </c>
      <c r="D47" s="2">
        <f t="shared" si="13"/>
        <v>5.5184528941345207E-2</v>
      </c>
      <c r="E47" s="2">
        <f t="shared" si="13"/>
        <v>3.6561515720274274E-2</v>
      </c>
      <c r="F47" s="2">
        <f t="shared" si="13"/>
        <v>7.922920028339403E-2</v>
      </c>
      <c r="G47" s="2">
        <f t="shared" si="13"/>
        <v>3.3408806048113353E-2</v>
      </c>
      <c r="H47" s="2">
        <f t="shared" si="13"/>
        <v>1.8227692098891019E-3</v>
      </c>
      <c r="I47" s="2">
        <f t="shared" si="13"/>
        <v>4.6363312744770093E-3</v>
      </c>
      <c r="J47" s="2">
        <f t="shared" si="13"/>
        <v>5.106006195959175E-2</v>
      </c>
      <c r="K47" s="2">
        <f t="shared" si="14"/>
        <v>0.46499767084189053</v>
      </c>
    </row>
    <row r="48" spans="1:11" ht="22.5" customHeight="1" x14ac:dyDescent="0.25">
      <c r="A48" s="3">
        <f t="shared" si="11"/>
        <v>44743</v>
      </c>
      <c r="B48" s="2">
        <f t="shared" si="12"/>
        <v>0.12845513574038236</v>
      </c>
      <c r="C48" s="2">
        <f t="shared" si="13"/>
        <v>8.9533641682475504E-2</v>
      </c>
      <c r="D48" s="2">
        <f t="shared" si="13"/>
        <v>7.6810404408247058E-3</v>
      </c>
      <c r="E48" s="2">
        <f t="shared" si="13"/>
        <v>4.0636361051708654E-2</v>
      </c>
      <c r="F48" s="2">
        <f t="shared" si="13"/>
        <v>9.7083891579947637E-2</v>
      </c>
      <c r="G48" s="2">
        <f t="shared" si="13"/>
        <v>2.9088003155640571E-2</v>
      </c>
      <c r="H48" s="2">
        <f t="shared" si="13"/>
        <v>4.8491063685460103E-3</v>
      </c>
      <c r="I48" s="2">
        <f t="shared" si="13"/>
        <v>1.1647452936300201E-2</v>
      </c>
      <c r="J48" s="2">
        <f t="shared" si="13"/>
        <v>2.4273463440836737E-2</v>
      </c>
      <c r="K48" s="2">
        <f t="shared" si="14"/>
        <v>0.43324809639666245</v>
      </c>
    </row>
    <row r="49" spans="1:11" ht="22.5" customHeight="1" x14ac:dyDescent="0.25">
      <c r="A49" s="3">
        <f t="shared" si="11"/>
        <v>44774</v>
      </c>
      <c r="B49" s="2">
        <f t="shared" si="12"/>
        <v>0.14426682790002854</v>
      </c>
      <c r="C49" s="2">
        <f t="shared" si="13"/>
        <v>0.11515359194557119</v>
      </c>
      <c r="D49" s="2">
        <f t="shared" si="13"/>
        <v>3.5382124169305203E-2</v>
      </c>
      <c r="E49" s="2">
        <f t="shared" si="13"/>
        <v>4.6982729419015816E-2</v>
      </c>
      <c r="F49" s="2">
        <f t="shared" si="13"/>
        <v>8.7409075722103713E-2</v>
      </c>
      <c r="G49" s="2">
        <f t="shared" si="13"/>
        <v>2.8718928425593426E-2</v>
      </c>
      <c r="H49" s="2">
        <f t="shared" si="13"/>
        <v>-4.7712788290178748E-2</v>
      </c>
      <c r="I49" s="2">
        <f t="shared" si="13"/>
        <v>1.2823614511358938E-2</v>
      </c>
      <c r="J49" s="2">
        <f t="shared" si="13"/>
        <v>4.2815155228387025E-2</v>
      </c>
      <c r="K49" s="2">
        <f t="shared" si="14"/>
        <v>0.46583925903118512</v>
      </c>
    </row>
    <row r="50" spans="1:11" ht="22.5" customHeight="1" x14ac:dyDescent="0.25">
      <c r="A50" s="3">
        <f t="shared" si="11"/>
        <v>44805</v>
      </c>
      <c r="B50" s="2">
        <f t="shared" si="12"/>
        <v>0.13593960265999055</v>
      </c>
      <c r="C50" s="2">
        <f t="shared" si="13"/>
        <v>9.4146523328734549E-2</v>
      </c>
      <c r="D50" s="2">
        <f t="shared" si="13"/>
        <v>2.9490212563562795E-2</v>
      </c>
      <c r="E50" s="2">
        <f t="shared" si="13"/>
        <v>4.3742095531661397E-2</v>
      </c>
      <c r="F50" s="2">
        <f t="shared" si="13"/>
        <v>8.6394803858396679E-2</v>
      </c>
      <c r="G50" s="2">
        <f t="shared" si="13"/>
        <v>2.5415230635748461E-2</v>
      </c>
      <c r="H50" s="2">
        <f t="shared" si="13"/>
        <v>-2.8353379908129745E-3</v>
      </c>
      <c r="I50" s="2">
        <f t="shared" si="13"/>
        <v>1.2193047110988791E-2</v>
      </c>
      <c r="J50" s="2">
        <f t="shared" si="13"/>
        <v>3.9079948636428614E-2</v>
      </c>
      <c r="K50" s="2">
        <f t="shared" si="14"/>
        <v>0.4635661263346989</v>
      </c>
    </row>
    <row r="51" spans="1:11" ht="22.5" customHeight="1" x14ac:dyDescent="0.25">
      <c r="A51" s="3">
        <f t="shared" si="11"/>
        <v>44835</v>
      </c>
      <c r="B51" s="2">
        <f t="shared" si="12"/>
        <v>0.13887965632578142</v>
      </c>
      <c r="C51" s="2">
        <f t="shared" si="13"/>
        <v>0.10155774648138309</v>
      </c>
      <c r="D51" s="2">
        <f t="shared" si="13"/>
        <v>4.947506129813023E-2</v>
      </c>
      <c r="E51" s="2">
        <f t="shared" si="13"/>
        <v>4.9868268566065153E-2</v>
      </c>
      <c r="F51" s="2">
        <f t="shared" si="13"/>
        <v>8.4150737393276942E-2</v>
      </c>
      <c r="G51" s="2">
        <f t="shared" si="13"/>
        <v>2.5848364121433088E-2</v>
      </c>
      <c r="H51" s="2">
        <f t="shared" si="13"/>
        <v>1.0829459887095913E-3</v>
      </c>
      <c r="I51" s="2">
        <f t="shared" si="13"/>
        <v>3.0748615946421344E-2</v>
      </c>
      <c r="J51" s="2">
        <f t="shared" si="13"/>
        <v>7.2201950906033999E-2</v>
      </c>
      <c r="K51" s="2">
        <f t="shared" si="14"/>
        <v>0.55381334702723495</v>
      </c>
    </row>
    <row r="52" spans="1:11" ht="22.5" customHeight="1" x14ac:dyDescent="0.25">
      <c r="A52" s="3">
        <f t="shared" si="11"/>
        <v>44866</v>
      </c>
      <c r="B52" s="2">
        <f t="shared" si="12"/>
        <v>0.11308981487550307</v>
      </c>
      <c r="C52" s="2">
        <f t="shared" si="13"/>
        <v>0.11569090045214914</v>
      </c>
      <c r="D52" s="2">
        <f t="shared" si="13"/>
        <v>-4.0852276939793157E-4</v>
      </c>
      <c r="E52" s="2">
        <f t="shared" si="13"/>
        <v>4.4272999647205484E-2</v>
      </c>
      <c r="F52" s="2">
        <f t="shared" si="13"/>
        <v>8.8169603685464434E-2</v>
      </c>
      <c r="G52" s="2">
        <f t="shared" si="13"/>
        <v>2.3660677167161196E-2</v>
      </c>
      <c r="H52" s="2">
        <f t="shared" si="13"/>
        <v>-4.3896662778180619E-4</v>
      </c>
      <c r="I52" s="2">
        <f t="shared" si="13"/>
        <v>9.0543291200554099E-3</v>
      </c>
      <c r="J52" s="2">
        <f t="shared" si="13"/>
        <v>4.1058762219461122E-2</v>
      </c>
      <c r="K52" s="2">
        <f t="shared" si="14"/>
        <v>0.43414959776982009</v>
      </c>
    </row>
    <row r="53" spans="1:11" ht="22.5" customHeight="1" x14ac:dyDescent="0.25">
      <c r="A53" s="3">
        <f t="shared" si="11"/>
        <v>44896</v>
      </c>
      <c r="B53" s="2">
        <f t="shared" si="12"/>
        <v>0.13169532350927224</v>
      </c>
      <c r="C53" s="2">
        <f t="shared" si="13"/>
        <v>0.12561317575542374</v>
      </c>
      <c r="D53" s="2">
        <f t="shared" si="13"/>
        <v>6.7772524815710014E-2</v>
      </c>
      <c r="E53" s="2">
        <f t="shared" si="13"/>
        <v>4.320470253045193E-2</v>
      </c>
      <c r="F53" s="2">
        <f t="shared" si="13"/>
        <v>0.13203097430791044</v>
      </c>
      <c r="G53" s="2">
        <f t="shared" si="13"/>
        <v>2.3785693585242483E-2</v>
      </c>
      <c r="H53" s="2">
        <f t="shared" si="13"/>
        <v>8.7805915957750932E-3</v>
      </c>
      <c r="I53" s="2">
        <f t="shared" si="13"/>
        <v>1.8693927156165781E-2</v>
      </c>
      <c r="J53" s="2">
        <f t="shared" si="13"/>
        <v>6.9912491187762993E-2</v>
      </c>
      <c r="K53" s="2">
        <f t="shared" si="14"/>
        <v>0.6214894044437147</v>
      </c>
    </row>
    <row r="54" spans="1:11" ht="22.5" customHeight="1" x14ac:dyDescent="0.25">
      <c r="K54" s="2" cm="1">
        <f t="array" ref="K54">(PRODUCT(K43:K53/100+1)-1)*100</f>
        <v>5.8532325241997585</v>
      </c>
    </row>
  </sheetData>
  <mergeCells count="10">
    <mergeCell ref="Q1:S1"/>
    <mergeCell ref="T1:V1"/>
    <mergeCell ref="W1:Y1"/>
    <mergeCell ref="Z1:AB1"/>
    <mergeCell ref="B1:D1"/>
    <mergeCell ref="A1:A2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7E4C-27A3-4D65-AE4D-4F1ACC94A5A9}">
  <dimension ref="A1:F289"/>
  <sheetViews>
    <sheetView tabSelected="1" topLeftCell="A268" workbookViewId="0">
      <selection activeCell="C289" sqref="A1:C289"/>
    </sheetView>
  </sheetViews>
  <sheetFormatPr defaultColWidth="16.25" defaultRowHeight="22.5" customHeight="1" x14ac:dyDescent="0.25"/>
  <cols>
    <col min="1" max="16384" width="16.25" style="2"/>
  </cols>
  <sheetData>
    <row r="1" spans="1:6" ht="22.5" customHeight="1" x14ac:dyDescent="0.25">
      <c r="A1" s="2" t="s">
        <v>0</v>
      </c>
      <c r="B1" s="2" t="s">
        <v>603</v>
      </c>
      <c r="C1" s="2" t="s">
        <v>604</v>
      </c>
      <c r="D1" s="2" t="s">
        <v>605</v>
      </c>
      <c r="E1" s="2" t="s">
        <v>606</v>
      </c>
      <c r="F1" s="2" t="s">
        <v>607</v>
      </c>
    </row>
    <row r="2" spans="1:6" ht="22.5" customHeight="1" x14ac:dyDescent="0.25">
      <c r="A2" s="3">
        <v>36161</v>
      </c>
      <c r="B2" s="2">
        <v>1.6455502692779955</v>
      </c>
      <c r="D2" s="2">
        <v>6</v>
      </c>
      <c r="E2" s="2">
        <v>8</v>
      </c>
      <c r="F2" s="2">
        <v>10</v>
      </c>
    </row>
    <row r="3" spans="1:6" ht="22.5" customHeight="1" x14ac:dyDescent="0.25">
      <c r="A3" s="3">
        <v>36192</v>
      </c>
      <c r="B3" s="2">
        <v>2.2425129873635319</v>
      </c>
      <c r="D3" s="2">
        <v>6</v>
      </c>
      <c r="E3" s="2">
        <v>8</v>
      </c>
      <c r="F3" s="2">
        <v>10</v>
      </c>
    </row>
    <row r="4" spans="1:6" ht="22.5" customHeight="1" x14ac:dyDescent="0.25">
      <c r="A4" s="3">
        <v>36220</v>
      </c>
      <c r="B4" s="2">
        <v>3.0169230917127088</v>
      </c>
      <c r="D4" s="2">
        <v>6</v>
      </c>
      <c r="E4" s="2">
        <v>8</v>
      </c>
      <c r="F4" s="2">
        <v>10</v>
      </c>
    </row>
    <row r="5" spans="1:6" ht="22.5" customHeight="1" x14ac:dyDescent="0.25">
      <c r="A5" s="3">
        <v>36251</v>
      </c>
      <c r="B5" s="2">
        <v>3.345787969898506</v>
      </c>
      <c r="D5" s="2">
        <v>6</v>
      </c>
      <c r="E5" s="2">
        <v>8</v>
      </c>
      <c r="F5" s="2">
        <v>10</v>
      </c>
    </row>
    <row r="6" spans="1:6" ht="22.5" customHeight="1" x14ac:dyDescent="0.25">
      <c r="A6" s="3">
        <v>36281</v>
      </c>
      <c r="B6" s="2">
        <v>3.1401247102569751</v>
      </c>
      <c r="D6" s="2">
        <v>6</v>
      </c>
      <c r="E6" s="2">
        <v>8</v>
      </c>
      <c r="F6" s="2">
        <v>10</v>
      </c>
    </row>
    <row r="7" spans="1:6" ht="22.5" customHeight="1" x14ac:dyDescent="0.25">
      <c r="A7" s="3">
        <v>36312</v>
      </c>
      <c r="B7" s="2">
        <v>3.3154278616341459</v>
      </c>
      <c r="D7" s="2">
        <v>6</v>
      </c>
      <c r="E7" s="2">
        <v>8</v>
      </c>
      <c r="F7" s="2">
        <v>10</v>
      </c>
    </row>
    <row r="8" spans="1:6" ht="22.5" customHeight="1" x14ac:dyDescent="0.25">
      <c r="A8" s="3">
        <v>36342</v>
      </c>
      <c r="B8" s="2">
        <v>4.567046481103243</v>
      </c>
      <c r="D8" s="2">
        <v>6</v>
      </c>
      <c r="E8" s="2">
        <v>8</v>
      </c>
      <c r="F8" s="2">
        <v>10</v>
      </c>
    </row>
    <row r="9" spans="1:6" ht="22.5" customHeight="1" x14ac:dyDescent="0.25">
      <c r="A9" s="3">
        <v>36373</v>
      </c>
      <c r="B9" s="2">
        <v>5.6916493530982271</v>
      </c>
      <c r="D9" s="2">
        <v>6</v>
      </c>
      <c r="E9" s="2">
        <v>8</v>
      </c>
      <c r="F9" s="2">
        <v>10</v>
      </c>
    </row>
    <row r="10" spans="1:6" ht="22.5" customHeight="1" x14ac:dyDescent="0.25">
      <c r="A10" s="3">
        <v>36404</v>
      </c>
      <c r="B10" s="2">
        <v>6.253050176481123</v>
      </c>
      <c r="D10" s="2">
        <v>6</v>
      </c>
      <c r="E10" s="2">
        <v>8</v>
      </c>
      <c r="F10" s="2">
        <v>10</v>
      </c>
    </row>
    <row r="11" spans="1:6" ht="22.5" customHeight="1" x14ac:dyDescent="0.25">
      <c r="A11" s="3">
        <v>36434</v>
      </c>
      <c r="B11" s="2">
        <v>7.4959622811250348</v>
      </c>
      <c r="D11" s="2">
        <v>6</v>
      </c>
      <c r="E11" s="2">
        <v>8</v>
      </c>
      <c r="F11" s="2">
        <v>10</v>
      </c>
    </row>
    <row r="12" spans="1:6" ht="22.5" customHeight="1" x14ac:dyDescent="0.25">
      <c r="A12" s="3">
        <v>36465</v>
      </c>
      <c r="B12" s="2">
        <v>8.6475509839764939</v>
      </c>
      <c r="D12" s="2">
        <v>6</v>
      </c>
      <c r="E12" s="2">
        <v>8</v>
      </c>
      <c r="F12" s="2">
        <v>10</v>
      </c>
    </row>
    <row r="13" spans="1:6" ht="22.5" customHeight="1" x14ac:dyDescent="0.25">
      <c r="A13" s="3">
        <v>36495</v>
      </c>
      <c r="B13" s="2">
        <v>8.9399345060104949</v>
      </c>
      <c r="D13" s="2">
        <v>6</v>
      </c>
      <c r="E13" s="2">
        <v>8</v>
      </c>
      <c r="F13" s="2">
        <v>10</v>
      </c>
    </row>
    <row r="14" spans="1:6" ht="22.5" customHeight="1" x14ac:dyDescent="0.25">
      <c r="A14" s="3">
        <v>36526</v>
      </c>
      <c r="B14" s="2">
        <v>8.8533883812788048</v>
      </c>
      <c r="D14" s="2">
        <v>4</v>
      </c>
      <c r="E14" s="2">
        <v>6</v>
      </c>
      <c r="F14" s="2">
        <v>8</v>
      </c>
    </row>
    <row r="15" spans="1:6" ht="22.5" customHeight="1" x14ac:dyDescent="0.25">
      <c r="A15" s="3">
        <v>36557</v>
      </c>
      <c r="B15" s="2">
        <v>7.8623431827555379</v>
      </c>
      <c r="D15" s="2">
        <v>4</v>
      </c>
      <c r="E15" s="2">
        <v>6</v>
      </c>
      <c r="F15" s="2">
        <v>8</v>
      </c>
    </row>
    <row r="16" spans="1:6" ht="22.5" customHeight="1" x14ac:dyDescent="0.25">
      <c r="A16" s="3">
        <v>36586</v>
      </c>
      <c r="B16" s="2">
        <v>6.9234820353686111</v>
      </c>
      <c r="D16" s="2">
        <v>4</v>
      </c>
      <c r="E16" s="2">
        <v>6</v>
      </c>
      <c r="F16" s="2">
        <v>8</v>
      </c>
    </row>
    <row r="17" spans="1:6" ht="22.5" customHeight="1" x14ac:dyDescent="0.25">
      <c r="A17" s="3">
        <v>36617</v>
      </c>
      <c r="B17" s="2">
        <v>6.7746227723916919</v>
      </c>
      <c r="D17" s="2">
        <v>4</v>
      </c>
      <c r="E17" s="2">
        <v>6</v>
      </c>
      <c r="F17" s="2">
        <v>8</v>
      </c>
    </row>
    <row r="18" spans="1:6" ht="22.5" customHeight="1" x14ac:dyDescent="0.25">
      <c r="A18" s="3">
        <v>36647</v>
      </c>
      <c r="B18" s="2">
        <v>6.4659025270876747</v>
      </c>
      <c r="D18" s="2">
        <v>4</v>
      </c>
      <c r="E18" s="2">
        <v>6</v>
      </c>
      <c r="F18" s="2">
        <v>8</v>
      </c>
    </row>
    <row r="19" spans="1:6" ht="22.5" customHeight="1" x14ac:dyDescent="0.25">
      <c r="A19" s="3">
        <v>36678</v>
      </c>
      <c r="B19" s="2">
        <v>6.5084081274578542</v>
      </c>
      <c r="D19" s="2">
        <v>4</v>
      </c>
      <c r="E19" s="2">
        <v>6</v>
      </c>
      <c r="F19" s="2">
        <v>8</v>
      </c>
    </row>
    <row r="20" spans="1:6" ht="22.5" customHeight="1" x14ac:dyDescent="0.25">
      <c r="A20" s="3">
        <v>36708</v>
      </c>
      <c r="B20" s="2">
        <v>7.056280045810559</v>
      </c>
      <c r="D20" s="2">
        <v>4</v>
      </c>
      <c r="E20" s="2">
        <v>6</v>
      </c>
      <c r="F20" s="2">
        <v>8</v>
      </c>
    </row>
    <row r="21" spans="1:6" ht="22.5" customHeight="1" x14ac:dyDescent="0.25">
      <c r="A21" s="3">
        <v>36739</v>
      </c>
      <c r="B21" s="2">
        <v>7.8547308218085643</v>
      </c>
      <c r="D21" s="2">
        <v>4</v>
      </c>
      <c r="E21" s="2">
        <v>6</v>
      </c>
      <c r="F21" s="2">
        <v>8</v>
      </c>
    </row>
    <row r="22" spans="1:6" ht="22.5" customHeight="1" x14ac:dyDescent="0.25">
      <c r="A22" s="3">
        <v>36770</v>
      </c>
      <c r="B22" s="2">
        <v>7.7687136902589327</v>
      </c>
      <c r="D22" s="2">
        <v>4</v>
      </c>
      <c r="E22" s="2">
        <v>6</v>
      </c>
      <c r="F22" s="2">
        <v>8</v>
      </c>
    </row>
    <row r="23" spans="1:6" ht="22.5" customHeight="1" x14ac:dyDescent="0.25">
      <c r="A23" s="3">
        <v>36800</v>
      </c>
      <c r="B23" s="2">
        <v>6.6504495399004826</v>
      </c>
      <c r="D23" s="2">
        <v>4</v>
      </c>
      <c r="E23" s="2">
        <v>6</v>
      </c>
      <c r="F23" s="2">
        <v>8</v>
      </c>
    </row>
    <row r="24" spans="1:6" ht="22.5" customHeight="1" x14ac:dyDescent="0.25">
      <c r="A24" s="3">
        <v>36831</v>
      </c>
      <c r="B24" s="2">
        <v>5.9848746690720045</v>
      </c>
      <c r="D24" s="2">
        <v>4</v>
      </c>
      <c r="E24" s="2">
        <v>6</v>
      </c>
      <c r="F24" s="2">
        <v>8</v>
      </c>
    </row>
    <row r="25" spans="1:6" ht="22.5" customHeight="1" x14ac:dyDescent="0.25">
      <c r="A25" s="3">
        <v>36861</v>
      </c>
      <c r="B25" s="2">
        <v>5.9743393932599309</v>
      </c>
      <c r="D25" s="2">
        <v>4</v>
      </c>
      <c r="E25" s="2">
        <v>6</v>
      </c>
      <c r="F25" s="2">
        <v>8</v>
      </c>
    </row>
    <row r="26" spans="1:6" ht="22.5" customHeight="1" x14ac:dyDescent="0.25">
      <c r="A26" s="3">
        <v>36892</v>
      </c>
      <c r="B26" s="2">
        <v>5.9216787197391652</v>
      </c>
      <c r="D26" s="2">
        <v>2</v>
      </c>
      <c r="E26" s="2">
        <v>4</v>
      </c>
      <c r="F26" s="2">
        <v>6</v>
      </c>
    </row>
    <row r="27" spans="1:6" ht="22.5" customHeight="1" x14ac:dyDescent="0.25">
      <c r="A27" s="3">
        <v>36923</v>
      </c>
      <c r="B27" s="2">
        <v>6.270766445470799</v>
      </c>
      <c r="D27" s="2">
        <v>2</v>
      </c>
      <c r="E27" s="2">
        <v>4</v>
      </c>
      <c r="F27" s="2">
        <v>6</v>
      </c>
    </row>
    <row r="28" spans="1:6" ht="22.5" customHeight="1" x14ac:dyDescent="0.25">
      <c r="A28" s="3">
        <v>36951</v>
      </c>
      <c r="B28" s="2">
        <v>6.440426419839973</v>
      </c>
      <c r="D28" s="2">
        <v>2</v>
      </c>
      <c r="E28" s="2">
        <v>4</v>
      </c>
      <c r="F28" s="2">
        <v>6</v>
      </c>
    </row>
    <row r="29" spans="1:6" ht="22.5" customHeight="1" x14ac:dyDescent="0.25">
      <c r="A29" s="3">
        <v>36982</v>
      </c>
      <c r="B29" s="2">
        <v>6.6100188140560068</v>
      </c>
      <c r="D29" s="2">
        <v>2</v>
      </c>
      <c r="E29" s="2">
        <v>4</v>
      </c>
      <c r="F29" s="2">
        <v>6</v>
      </c>
    </row>
    <row r="30" spans="1:6" ht="22.5" customHeight="1" x14ac:dyDescent="0.25">
      <c r="A30" s="3">
        <v>37012</v>
      </c>
      <c r="B30" s="2">
        <v>7.0364162495686999</v>
      </c>
      <c r="D30" s="2">
        <v>2</v>
      </c>
      <c r="E30" s="2">
        <v>4</v>
      </c>
      <c r="F30" s="2">
        <v>6</v>
      </c>
    </row>
    <row r="31" spans="1:6" ht="22.5" customHeight="1" x14ac:dyDescent="0.25">
      <c r="A31" s="3">
        <v>37043</v>
      </c>
      <c r="B31" s="2">
        <v>7.3461095620736439</v>
      </c>
      <c r="D31" s="2">
        <v>2</v>
      </c>
      <c r="E31" s="2">
        <v>4</v>
      </c>
      <c r="F31" s="2">
        <v>6</v>
      </c>
    </row>
    <row r="32" spans="1:6" ht="22.5" customHeight="1" x14ac:dyDescent="0.25">
      <c r="A32" s="3">
        <v>37073</v>
      </c>
      <c r="B32" s="2">
        <v>7.0503029418849561</v>
      </c>
      <c r="D32" s="2">
        <v>2</v>
      </c>
      <c r="E32" s="2">
        <v>4</v>
      </c>
      <c r="F32" s="2">
        <v>6</v>
      </c>
    </row>
    <row r="33" spans="1:6" ht="22.5" customHeight="1" x14ac:dyDescent="0.25">
      <c r="A33" s="3">
        <v>37104</v>
      </c>
      <c r="B33" s="2">
        <v>6.4057398701787616</v>
      </c>
      <c r="D33" s="2">
        <v>2</v>
      </c>
      <c r="E33" s="2">
        <v>4</v>
      </c>
      <c r="F33" s="2">
        <v>6</v>
      </c>
    </row>
    <row r="34" spans="1:6" ht="22.5" customHeight="1" x14ac:dyDescent="0.25">
      <c r="A34" s="3">
        <v>37135</v>
      </c>
      <c r="B34" s="2">
        <v>6.4588206543103155</v>
      </c>
      <c r="D34" s="2">
        <v>2</v>
      </c>
      <c r="E34" s="2">
        <v>4</v>
      </c>
      <c r="F34" s="2">
        <v>6</v>
      </c>
    </row>
    <row r="35" spans="1:6" ht="22.5" customHeight="1" x14ac:dyDescent="0.25">
      <c r="A35" s="3">
        <v>37165</v>
      </c>
      <c r="B35" s="2">
        <v>7.1923595623538006</v>
      </c>
      <c r="D35" s="2">
        <v>2</v>
      </c>
      <c r="E35" s="2">
        <v>4</v>
      </c>
      <c r="F35" s="2">
        <v>6</v>
      </c>
    </row>
    <row r="36" spans="1:6" ht="22.5" customHeight="1" x14ac:dyDescent="0.25">
      <c r="A36" s="3">
        <v>37196</v>
      </c>
      <c r="B36" s="2">
        <v>7.6090762711787718</v>
      </c>
      <c r="D36" s="2">
        <v>2</v>
      </c>
      <c r="E36" s="2">
        <v>4</v>
      </c>
      <c r="F36" s="2">
        <v>6</v>
      </c>
    </row>
    <row r="37" spans="1:6" ht="22.5" customHeight="1" x14ac:dyDescent="0.25">
      <c r="A37" s="3">
        <v>37226</v>
      </c>
      <c r="B37" s="2">
        <v>7.673263015152032</v>
      </c>
      <c r="D37" s="2">
        <v>2</v>
      </c>
      <c r="E37" s="2">
        <v>4</v>
      </c>
      <c r="F37" s="2">
        <v>6</v>
      </c>
    </row>
    <row r="38" spans="1:6" ht="22.5" customHeight="1" x14ac:dyDescent="0.25">
      <c r="A38" s="3">
        <v>37257</v>
      </c>
      <c r="B38" s="2">
        <v>7.6197315132054966</v>
      </c>
      <c r="D38" s="2">
        <v>1.5</v>
      </c>
      <c r="E38" s="2">
        <v>3.5</v>
      </c>
      <c r="F38" s="2">
        <v>5.5</v>
      </c>
    </row>
    <row r="39" spans="1:6" ht="22.5" customHeight="1" x14ac:dyDescent="0.25">
      <c r="A39" s="3">
        <v>37288</v>
      </c>
      <c r="B39" s="2">
        <v>7.5126045656511042</v>
      </c>
      <c r="D39" s="2">
        <v>1.5</v>
      </c>
      <c r="E39" s="2">
        <v>3.5</v>
      </c>
      <c r="F39" s="2">
        <v>5.5</v>
      </c>
    </row>
    <row r="40" spans="1:6" ht="22.5" customHeight="1" x14ac:dyDescent="0.25">
      <c r="A40" s="3">
        <v>37316</v>
      </c>
      <c r="B40" s="2">
        <v>7.7482368928521561</v>
      </c>
      <c r="D40" s="2">
        <v>1.5</v>
      </c>
      <c r="E40" s="2">
        <v>3.5</v>
      </c>
      <c r="F40" s="2">
        <v>5.5</v>
      </c>
    </row>
    <row r="41" spans="1:6" ht="22.5" customHeight="1" x14ac:dyDescent="0.25">
      <c r="A41" s="3">
        <v>37347</v>
      </c>
      <c r="B41" s="2">
        <v>7.9839160747613658</v>
      </c>
      <c r="D41" s="2">
        <v>1.5</v>
      </c>
      <c r="E41" s="2">
        <v>3.5</v>
      </c>
      <c r="F41" s="2">
        <v>5.5</v>
      </c>
    </row>
    <row r="42" spans="1:6" ht="22.5" customHeight="1" x14ac:dyDescent="0.25">
      <c r="A42" s="3">
        <v>37377</v>
      </c>
      <c r="B42" s="2">
        <v>7.7688300951282985</v>
      </c>
      <c r="D42" s="2">
        <v>1.5</v>
      </c>
      <c r="E42" s="2">
        <v>3.5</v>
      </c>
      <c r="F42" s="2">
        <v>5.5</v>
      </c>
    </row>
    <row r="43" spans="1:6" ht="22.5" customHeight="1" x14ac:dyDescent="0.25">
      <c r="A43" s="3">
        <v>37408</v>
      </c>
      <c r="B43" s="2">
        <v>7.6616187639552802</v>
      </c>
      <c r="D43" s="2">
        <v>1.5</v>
      </c>
      <c r="E43" s="2">
        <v>3.5</v>
      </c>
      <c r="F43" s="2">
        <v>5.5</v>
      </c>
    </row>
    <row r="44" spans="1:6" ht="22.5" customHeight="1" x14ac:dyDescent="0.25">
      <c r="A44" s="3">
        <v>37438</v>
      </c>
      <c r="B44" s="2">
        <v>7.5128708450077353</v>
      </c>
      <c r="D44" s="2">
        <v>1.5</v>
      </c>
      <c r="E44" s="2">
        <v>3.5</v>
      </c>
      <c r="F44" s="2">
        <v>5.5</v>
      </c>
    </row>
    <row r="45" spans="1:6" ht="22.5" customHeight="1" x14ac:dyDescent="0.25">
      <c r="A45" s="3">
        <v>37469</v>
      </c>
      <c r="B45" s="2">
        <v>7.4594880888781079</v>
      </c>
      <c r="D45" s="2">
        <v>1.5</v>
      </c>
      <c r="E45" s="2">
        <v>3.5</v>
      </c>
      <c r="F45" s="2">
        <v>5.5</v>
      </c>
    </row>
    <row r="46" spans="1:6" ht="22.5" customHeight="1" x14ac:dyDescent="0.25">
      <c r="A46" s="3">
        <v>37500</v>
      </c>
      <c r="B46" s="2">
        <v>7.9309896321480444</v>
      </c>
      <c r="D46" s="2">
        <v>1.5</v>
      </c>
      <c r="E46" s="2">
        <v>3.5</v>
      </c>
      <c r="F46" s="2">
        <v>5.5</v>
      </c>
    </row>
    <row r="47" spans="1:6" ht="22.5" customHeight="1" x14ac:dyDescent="0.25">
      <c r="A47" s="3">
        <v>37530</v>
      </c>
      <c r="B47" s="2">
        <v>8.4447938077250928</v>
      </c>
      <c r="D47" s="2">
        <v>1.5</v>
      </c>
      <c r="E47" s="2">
        <v>3.5</v>
      </c>
      <c r="F47" s="2">
        <v>5.5</v>
      </c>
    </row>
    <row r="48" spans="1:6" ht="22.5" customHeight="1" x14ac:dyDescent="0.25">
      <c r="A48" s="3">
        <v>37561</v>
      </c>
      <c r="B48" s="2">
        <v>10.932207904595792</v>
      </c>
      <c r="D48" s="2">
        <v>1.5</v>
      </c>
      <c r="E48" s="2">
        <v>3.5</v>
      </c>
      <c r="F48" s="2">
        <v>5.5</v>
      </c>
    </row>
    <row r="49" spans="1:6" ht="22.5" customHeight="1" x14ac:dyDescent="0.25">
      <c r="A49" s="3">
        <v>37591</v>
      </c>
      <c r="B49" s="2">
        <v>12.530337079575006</v>
      </c>
      <c r="D49" s="2">
        <v>1.5</v>
      </c>
      <c r="E49" s="2">
        <v>3.5</v>
      </c>
      <c r="F49" s="2">
        <v>5.5</v>
      </c>
    </row>
    <row r="50" spans="1:6" ht="22.5" customHeight="1" x14ac:dyDescent="0.25">
      <c r="A50" s="3">
        <v>37622</v>
      </c>
      <c r="B50" s="2">
        <v>14.467041050403351</v>
      </c>
      <c r="D50" s="2">
        <v>2</v>
      </c>
      <c r="E50" s="2">
        <v>4</v>
      </c>
      <c r="F50" s="2">
        <v>6</v>
      </c>
    </row>
    <row r="51" spans="1:6" ht="22.5" customHeight="1" x14ac:dyDescent="0.25">
      <c r="A51" s="3">
        <v>37653</v>
      </c>
      <c r="B51" s="2">
        <v>15.847123948679442</v>
      </c>
      <c r="D51" s="2">
        <v>2</v>
      </c>
      <c r="E51" s="2">
        <v>4</v>
      </c>
      <c r="F51" s="2">
        <v>6</v>
      </c>
    </row>
    <row r="52" spans="1:6" ht="22.5" customHeight="1" x14ac:dyDescent="0.25">
      <c r="A52" s="3">
        <v>37681</v>
      </c>
      <c r="B52" s="2">
        <v>16.572607925694083</v>
      </c>
      <c r="D52" s="2">
        <v>2</v>
      </c>
      <c r="E52" s="2">
        <v>4</v>
      </c>
      <c r="F52" s="2">
        <v>6</v>
      </c>
    </row>
    <row r="53" spans="1:6" ht="22.5" customHeight="1" x14ac:dyDescent="0.25">
      <c r="A53" s="3">
        <v>37712</v>
      </c>
      <c r="B53" s="2">
        <v>16.769208554140192</v>
      </c>
      <c r="D53" s="2">
        <v>2</v>
      </c>
      <c r="E53" s="2">
        <v>4</v>
      </c>
      <c r="F53" s="2">
        <v>6</v>
      </c>
    </row>
    <row r="54" spans="1:6" ht="22.5" customHeight="1" x14ac:dyDescent="0.25">
      <c r="A54" s="3">
        <v>37742</v>
      </c>
      <c r="B54" s="2">
        <v>17.235306582497145</v>
      </c>
      <c r="D54" s="2">
        <v>2</v>
      </c>
      <c r="E54" s="2">
        <v>4</v>
      </c>
      <c r="F54" s="2">
        <v>6</v>
      </c>
    </row>
    <row r="55" spans="1:6" ht="22.5" customHeight="1" x14ac:dyDescent="0.25">
      <c r="A55" s="3">
        <v>37773</v>
      </c>
      <c r="B55" s="2">
        <v>16.569860209742515</v>
      </c>
      <c r="D55" s="2">
        <v>2</v>
      </c>
      <c r="E55" s="2">
        <v>4</v>
      </c>
      <c r="F55" s="2">
        <v>6</v>
      </c>
    </row>
    <row r="56" spans="1:6" ht="22.5" customHeight="1" x14ac:dyDescent="0.25">
      <c r="A56" s="3">
        <v>37803</v>
      </c>
      <c r="B56" s="2">
        <v>15.429390186937454</v>
      </c>
      <c r="D56" s="2">
        <v>2</v>
      </c>
      <c r="E56" s="2">
        <v>4</v>
      </c>
      <c r="F56" s="2">
        <v>6</v>
      </c>
    </row>
    <row r="57" spans="1:6" ht="22.5" customHeight="1" x14ac:dyDescent="0.25">
      <c r="A57" s="3">
        <v>37834</v>
      </c>
      <c r="B57" s="2">
        <v>15.073869958840591</v>
      </c>
      <c r="D57" s="2">
        <v>2</v>
      </c>
      <c r="E57" s="2">
        <v>4</v>
      </c>
      <c r="F57" s="2">
        <v>6</v>
      </c>
    </row>
    <row r="58" spans="1:6" ht="22.5" customHeight="1" x14ac:dyDescent="0.25">
      <c r="A58" s="3">
        <v>37865</v>
      </c>
      <c r="B58" s="2">
        <v>15.142420715368864</v>
      </c>
      <c r="D58" s="2">
        <v>2</v>
      </c>
      <c r="E58" s="2">
        <v>4</v>
      </c>
      <c r="F58" s="2">
        <v>6</v>
      </c>
    </row>
    <row r="59" spans="1:6" ht="22.5" customHeight="1" x14ac:dyDescent="0.25">
      <c r="A59" s="3">
        <v>37895</v>
      </c>
      <c r="B59" s="2">
        <v>13.983154412637822</v>
      </c>
      <c r="D59" s="2">
        <v>2</v>
      </c>
      <c r="E59" s="2">
        <v>4</v>
      </c>
      <c r="F59" s="2">
        <v>6</v>
      </c>
    </row>
    <row r="60" spans="1:6" ht="22.5" customHeight="1" x14ac:dyDescent="0.25">
      <c r="A60" s="3">
        <v>37926</v>
      </c>
      <c r="B60" s="2">
        <v>11.017954899670745</v>
      </c>
      <c r="D60" s="2">
        <v>2</v>
      </c>
      <c r="E60" s="2">
        <v>4</v>
      </c>
      <c r="F60" s="2">
        <v>6</v>
      </c>
    </row>
    <row r="61" spans="1:6" ht="22.5" customHeight="1" x14ac:dyDescent="0.25">
      <c r="A61" s="3">
        <v>37956</v>
      </c>
      <c r="B61" s="2">
        <v>9.2999493292351243</v>
      </c>
      <c r="D61" s="2">
        <v>2</v>
      </c>
      <c r="E61" s="2">
        <v>4</v>
      </c>
      <c r="F61" s="2">
        <v>6</v>
      </c>
    </row>
    <row r="62" spans="1:6" ht="22.5" customHeight="1" x14ac:dyDescent="0.25">
      <c r="A62" s="3">
        <v>37987</v>
      </c>
      <c r="B62" s="2">
        <v>7.7072165712834817</v>
      </c>
      <c r="D62" s="2">
        <v>3.5</v>
      </c>
      <c r="E62" s="2">
        <v>5.5</v>
      </c>
      <c r="F62" s="2">
        <v>7.5</v>
      </c>
    </row>
    <row r="63" spans="1:6" ht="22.5" customHeight="1" x14ac:dyDescent="0.25">
      <c r="A63" s="3">
        <v>38018</v>
      </c>
      <c r="B63" s="2">
        <v>6.6892099954399153</v>
      </c>
      <c r="D63" s="2">
        <v>3.5</v>
      </c>
      <c r="E63" s="2">
        <v>5.5</v>
      </c>
      <c r="F63" s="2">
        <v>7.5</v>
      </c>
    </row>
    <row r="64" spans="1:6" ht="22.5" customHeight="1" x14ac:dyDescent="0.25">
      <c r="A64" s="3">
        <v>38047</v>
      </c>
      <c r="B64" s="2">
        <v>5.8882241256726919</v>
      </c>
      <c r="D64" s="2">
        <v>3.5</v>
      </c>
      <c r="E64" s="2">
        <v>5.5</v>
      </c>
      <c r="F64" s="2">
        <v>7.5</v>
      </c>
    </row>
    <row r="65" spans="1:6" ht="22.5" customHeight="1" x14ac:dyDescent="0.25">
      <c r="A65" s="3">
        <v>38078</v>
      </c>
      <c r="B65" s="2">
        <v>5.2589982717021977</v>
      </c>
      <c r="D65" s="2">
        <v>3.5</v>
      </c>
      <c r="E65" s="2">
        <v>5.5</v>
      </c>
      <c r="F65" s="2">
        <v>7.5</v>
      </c>
    </row>
    <row r="66" spans="1:6" ht="22.5" customHeight="1" x14ac:dyDescent="0.25">
      <c r="A66" s="3">
        <v>38108</v>
      </c>
      <c r="B66" s="2">
        <v>5.1543774603795223</v>
      </c>
      <c r="D66" s="2">
        <v>3.5</v>
      </c>
      <c r="E66" s="2">
        <v>5.5</v>
      </c>
      <c r="F66" s="2">
        <v>7.5</v>
      </c>
    </row>
    <row r="67" spans="1:6" ht="22.5" customHeight="1" x14ac:dyDescent="0.25">
      <c r="A67" s="3">
        <v>38139</v>
      </c>
      <c r="B67" s="2">
        <v>6.0600636358019155</v>
      </c>
      <c r="D67" s="2">
        <v>3.5</v>
      </c>
      <c r="E67" s="2">
        <v>5.5</v>
      </c>
      <c r="F67" s="2">
        <v>7.5</v>
      </c>
    </row>
    <row r="68" spans="1:6" ht="22.5" customHeight="1" x14ac:dyDescent="0.25">
      <c r="A68" s="3">
        <v>38169</v>
      </c>
      <c r="B68" s="2">
        <v>6.8115870408060886</v>
      </c>
      <c r="D68" s="2">
        <v>3.5</v>
      </c>
      <c r="E68" s="2">
        <v>5.5</v>
      </c>
      <c r="F68" s="2">
        <v>7.5</v>
      </c>
    </row>
    <row r="69" spans="1:6" ht="22.5" customHeight="1" x14ac:dyDescent="0.25">
      <c r="A69" s="3">
        <v>38200</v>
      </c>
      <c r="B69" s="2">
        <v>7.1841608445162963</v>
      </c>
      <c r="D69" s="2">
        <v>3.5</v>
      </c>
      <c r="E69" s="2">
        <v>5.5</v>
      </c>
      <c r="F69" s="2">
        <v>7.5</v>
      </c>
    </row>
    <row r="70" spans="1:6" ht="22.5" customHeight="1" x14ac:dyDescent="0.25">
      <c r="A70" s="3">
        <v>38231</v>
      </c>
      <c r="B70" s="2">
        <v>6.7055651670006267</v>
      </c>
      <c r="D70" s="2">
        <v>3.5</v>
      </c>
      <c r="E70" s="2">
        <v>5.5</v>
      </c>
      <c r="F70" s="2">
        <v>7.5</v>
      </c>
    </row>
    <row r="71" spans="1:6" ht="22.5" customHeight="1" x14ac:dyDescent="0.25">
      <c r="A71" s="3">
        <v>38261</v>
      </c>
      <c r="B71" s="2">
        <v>6.8651606877409677</v>
      </c>
      <c r="D71" s="2">
        <v>3.5</v>
      </c>
      <c r="E71" s="2">
        <v>5.5</v>
      </c>
      <c r="F71" s="2">
        <v>7.5</v>
      </c>
    </row>
    <row r="72" spans="1:6" ht="22.5" customHeight="1" x14ac:dyDescent="0.25">
      <c r="A72" s="3">
        <v>38292</v>
      </c>
      <c r="B72" s="2">
        <v>7.2379213638492867</v>
      </c>
      <c r="D72" s="2">
        <v>3.5</v>
      </c>
      <c r="E72" s="2">
        <v>5.5</v>
      </c>
      <c r="F72" s="2">
        <v>7.5</v>
      </c>
    </row>
    <row r="73" spans="1:6" ht="22.5" customHeight="1" x14ac:dyDescent="0.25">
      <c r="A73" s="3">
        <v>38322</v>
      </c>
      <c r="B73" s="2">
        <v>7.6006441380604084</v>
      </c>
      <c r="D73" s="2">
        <v>3.5</v>
      </c>
      <c r="E73" s="2">
        <v>5.5</v>
      </c>
      <c r="F73" s="2">
        <v>7.5</v>
      </c>
    </row>
    <row r="74" spans="1:6" ht="22.5" customHeight="1" x14ac:dyDescent="0.25">
      <c r="A74" s="3">
        <v>38353</v>
      </c>
      <c r="B74" s="2">
        <v>7.4084238527800883</v>
      </c>
      <c r="D74" s="2">
        <v>2.5</v>
      </c>
      <c r="E74" s="2">
        <v>4.5</v>
      </c>
      <c r="F74" s="2">
        <v>6.5</v>
      </c>
    </row>
    <row r="75" spans="1:6" ht="22.5" customHeight="1" x14ac:dyDescent="0.25">
      <c r="A75" s="3">
        <v>38384</v>
      </c>
      <c r="B75" s="2">
        <v>7.3870724117994779</v>
      </c>
      <c r="D75" s="2">
        <v>2.5</v>
      </c>
      <c r="E75" s="2">
        <v>4.5</v>
      </c>
      <c r="F75" s="2">
        <v>6.5</v>
      </c>
    </row>
    <row r="76" spans="1:6" ht="22.5" customHeight="1" x14ac:dyDescent="0.25">
      <c r="A76" s="3">
        <v>38412</v>
      </c>
      <c r="B76" s="2">
        <v>7.5367110117561698</v>
      </c>
      <c r="D76" s="2">
        <v>2.5</v>
      </c>
      <c r="E76" s="2">
        <v>4.5</v>
      </c>
      <c r="F76" s="2">
        <v>6.5</v>
      </c>
    </row>
    <row r="77" spans="1:6" ht="22.5" customHeight="1" x14ac:dyDescent="0.25">
      <c r="A77" s="3">
        <v>38443</v>
      </c>
      <c r="B77" s="2">
        <v>8.0724124714142818</v>
      </c>
      <c r="D77" s="2">
        <v>2.5</v>
      </c>
      <c r="E77" s="2">
        <v>4.5</v>
      </c>
      <c r="F77" s="2">
        <v>6.5</v>
      </c>
    </row>
    <row r="78" spans="1:6" ht="22.5" customHeight="1" x14ac:dyDescent="0.25">
      <c r="A78" s="3">
        <v>38473</v>
      </c>
      <c r="B78" s="2">
        <v>8.0509076634406096</v>
      </c>
      <c r="D78" s="2">
        <v>2.5</v>
      </c>
      <c r="E78" s="2">
        <v>4.5</v>
      </c>
      <c r="F78" s="2">
        <v>6.5</v>
      </c>
    </row>
    <row r="79" spans="1:6" ht="22.5" customHeight="1" x14ac:dyDescent="0.25">
      <c r="A79" s="3">
        <v>38504</v>
      </c>
      <c r="B79" s="2">
        <v>7.2676968343838411</v>
      </c>
      <c r="D79" s="2">
        <v>2.5</v>
      </c>
      <c r="E79" s="2">
        <v>4.5</v>
      </c>
      <c r="F79" s="2">
        <v>6.5</v>
      </c>
    </row>
    <row r="80" spans="1:6" ht="22.5" customHeight="1" x14ac:dyDescent="0.25">
      <c r="A80" s="3">
        <v>38534</v>
      </c>
      <c r="B80" s="2">
        <v>6.5661144351102152</v>
      </c>
      <c r="D80" s="2">
        <v>2.5</v>
      </c>
      <c r="E80" s="2">
        <v>4.5</v>
      </c>
      <c r="F80" s="2">
        <v>6.5</v>
      </c>
    </row>
    <row r="81" spans="1:6" ht="22.5" customHeight="1" x14ac:dyDescent="0.25">
      <c r="A81" s="3">
        <v>38565</v>
      </c>
      <c r="B81" s="2">
        <v>6.0157680302412864</v>
      </c>
      <c r="D81" s="2">
        <v>2.5</v>
      </c>
      <c r="E81" s="2">
        <v>4.5</v>
      </c>
      <c r="F81" s="2">
        <v>6.5</v>
      </c>
    </row>
    <row r="82" spans="1:6" ht="22.5" customHeight="1" x14ac:dyDescent="0.25">
      <c r="A82" s="3">
        <v>38596</v>
      </c>
      <c r="B82" s="2">
        <v>6.036901443583309</v>
      </c>
      <c r="D82" s="2">
        <v>2.5</v>
      </c>
      <c r="E82" s="2">
        <v>4.5</v>
      </c>
      <c r="F82" s="2">
        <v>6.5</v>
      </c>
    </row>
    <row r="83" spans="1:6" ht="22.5" customHeight="1" x14ac:dyDescent="0.25">
      <c r="A83" s="3">
        <v>38626</v>
      </c>
      <c r="B83" s="2">
        <v>6.364175830754859</v>
      </c>
      <c r="D83" s="2">
        <v>2.5</v>
      </c>
      <c r="E83" s="2">
        <v>4.5</v>
      </c>
      <c r="F83" s="2">
        <v>6.5</v>
      </c>
    </row>
    <row r="84" spans="1:6" ht="22.5" customHeight="1" x14ac:dyDescent="0.25">
      <c r="A84" s="3">
        <v>38657</v>
      </c>
      <c r="B84" s="2">
        <v>6.2162864215155711</v>
      </c>
      <c r="D84" s="2">
        <v>2.5</v>
      </c>
      <c r="E84" s="2">
        <v>4.5</v>
      </c>
      <c r="F84" s="2">
        <v>6.5</v>
      </c>
    </row>
    <row r="85" spans="1:6" ht="22.5" customHeight="1" x14ac:dyDescent="0.25">
      <c r="A85" s="3">
        <v>38687</v>
      </c>
      <c r="B85" s="2">
        <v>5.6897333458586496</v>
      </c>
      <c r="D85" s="2">
        <v>2.5</v>
      </c>
      <c r="E85" s="2">
        <v>4.5</v>
      </c>
      <c r="F85" s="2">
        <v>6.5</v>
      </c>
    </row>
    <row r="86" spans="1:6" ht="22.5" customHeight="1" x14ac:dyDescent="0.25">
      <c r="A86" s="3">
        <v>38718</v>
      </c>
      <c r="B86" s="2">
        <v>5.7002413726379153</v>
      </c>
      <c r="D86" s="2">
        <v>2.5</v>
      </c>
      <c r="E86" s="2">
        <v>4.5</v>
      </c>
      <c r="F86" s="2">
        <v>6.5</v>
      </c>
    </row>
    <row r="87" spans="1:6" ht="22.5" customHeight="1" x14ac:dyDescent="0.25">
      <c r="A87" s="3">
        <v>38749</v>
      </c>
      <c r="B87" s="2">
        <v>5.5110968906111557</v>
      </c>
      <c r="D87" s="2">
        <v>2.5</v>
      </c>
      <c r="E87" s="2">
        <v>4.5</v>
      </c>
      <c r="F87" s="2">
        <v>6.5</v>
      </c>
    </row>
    <row r="88" spans="1:6" ht="22.5" customHeight="1" x14ac:dyDescent="0.25">
      <c r="A88" s="3">
        <v>38777</v>
      </c>
      <c r="B88" s="2">
        <v>5.3223284039765284</v>
      </c>
      <c r="D88" s="2">
        <v>2.5</v>
      </c>
      <c r="E88" s="2">
        <v>4.5</v>
      </c>
      <c r="F88" s="2">
        <v>6.5</v>
      </c>
    </row>
    <row r="89" spans="1:6" ht="22.5" customHeight="1" x14ac:dyDescent="0.25">
      <c r="A89" s="3">
        <v>38808</v>
      </c>
      <c r="B89" s="2">
        <v>4.6331964842122098</v>
      </c>
      <c r="D89" s="2">
        <v>2.5</v>
      </c>
      <c r="E89" s="2">
        <v>4.5</v>
      </c>
      <c r="F89" s="2">
        <v>6.5</v>
      </c>
    </row>
    <row r="90" spans="1:6" ht="22.5" customHeight="1" x14ac:dyDescent="0.25">
      <c r="A90" s="3">
        <v>38838</v>
      </c>
      <c r="B90" s="2">
        <v>4.2271168083355626</v>
      </c>
      <c r="D90" s="2">
        <v>2.5</v>
      </c>
      <c r="E90" s="2">
        <v>4.5</v>
      </c>
      <c r="F90" s="2">
        <v>6.5</v>
      </c>
    </row>
    <row r="91" spans="1:6" ht="22.5" customHeight="1" x14ac:dyDescent="0.25">
      <c r="A91" s="3">
        <v>38869</v>
      </c>
      <c r="B91" s="2">
        <v>4.0290456721725043</v>
      </c>
      <c r="D91" s="2">
        <v>2.5</v>
      </c>
      <c r="E91" s="2">
        <v>4.5</v>
      </c>
      <c r="F91" s="2">
        <v>6.5</v>
      </c>
    </row>
    <row r="92" spans="1:6" ht="22.5" customHeight="1" x14ac:dyDescent="0.25">
      <c r="A92" s="3">
        <v>38899</v>
      </c>
      <c r="B92" s="2">
        <v>3.9667838992016646</v>
      </c>
      <c r="D92" s="2">
        <v>2.5</v>
      </c>
      <c r="E92" s="2">
        <v>4.5</v>
      </c>
      <c r="F92" s="2">
        <v>6.5</v>
      </c>
    </row>
    <row r="93" spans="1:6" ht="22.5" customHeight="1" x14ac:dyDescent="0.25">
      <c r="A93" s="3">
        <v>38930</v>
      </c>
      <c r="B93" s="2">
        <v>3.8422354908168144</v>
      </c>
      <c r="D93" s="2">
        <v>2.5</v>
      </c>
      <c r="E93" s="2">
        <v>4.5</v>
      </c>
      <c r="F93" s="2">
        <v>6.5</v>
      </c>
    </row>
    <row r="94" spans="1:6" ht="22.5" customHeight="1" x14ac:dyDescent="0.25">
      <c r="A94" s="3">
        <v>38961</v>
      </c>
      <c r="B94" s="2">
        <v>3.6973634134006339</v>
      </c>
      <c r="D94" s="2">
        <v>2.5</v>
      </c>
      <c r="E94" s="2">
        <v>4.5</v>
      </c>
      <c r="F94" s="2">
        <v>6.5</v>
      </c>
    </row>
    <row r="95" spans="1:6" ht="22.5" customHeight="1" x14ac:dyDescent="0.25">
      <c r="A95" s="3">
        <v>38991</v>
      </c>
      <c r="B95" s="2">
        <v>3.2650766378807372</v>
      </c>
      <c r="D95" s="2">
        <v>2.5</v>
      </c>
      <c r="E95" s="2">
        <v>4.5</v>
      </c>
      <c r="F95" s="2">
        <v>6.5</v>
      </c>
    </row>
    <row r="96" spans="1:6" ht="22.5" customHeight="1" x14ac:dyDescent="0.25">
      <c r="A96" s="3">
        <v>39022</v>
      </c>
      <c r="B96" s="2">
        <v>3.0185960969250969</v>
      </c>
      <c r="D96" s="2">
        <v>2.5</v>
      </c>
      <c r="E96" s="2">
        <v>4.5</v>
      </c>
      <c r="F96" s="2">
        <v>6.5</v>
      </c>
    </row>
    <row r="97" spans="1:6" ht="22.5" customHeight="1" x14ac:dyDescent="0.25">
      <c r="A97" s="3">
        <v>39052</v>
      </c>
      <c r="B97" s="2">
        <v>3.1417749683044116</v>
      </c>
      <c r="D97" s="2">
        <v>2.5</v>
      </c>
      <c r="E97" s="2">
        <v>4.5</v>
      </c>
      <c r="F97" s="2">
        <v>6.5</v>
      </c>
    </row>
    <row r="98" spans="1:6" ht="22.5" customHeight="1" x14ac:dyDescent="0.25">
      <c r="A98" s="3">
        <v>39083</v>
      </c>
      <c r="B98" s="2">
        <v>2.9879697566010499</v>
      </c>
      <c r="D98" s="2">
        <v>2.5</v>
      </c>
      <c r="E98" s="2">
        <v>4.5</v>
      </c>
      <c r="F98" s="2">
        <v>6.5</v>
      </c>
    </row>
    <row r="99" spans="1:6" ht="22.5" customHeight="1" x14ac:dyDescent="0.25">
      <c r="A99" s="3">
        <v>39114</v>
      </c>
      <c r="B99" s="2">
        <v>3.0187399895728051</v>
      </c>
      <c r="D99" s="2">
        <v>2.5</v>
      </c>
      <c r="E99" s="2">
        <v>4.5</v>
      </c>
      <c r="F99" s="2">
        <v>6.5</v>
      </c>
    </row>
    <row r="100" spans="1:6" ht="22.5" customHeight="1" x14ac:dyDescent="0.25">
      <c r="A100" s="3">
        <v>39142</v>
      </c>
      <c r="B100" s="2">
        <v>2.9571933959317231</v>
      </c>
      <c r="D100" s="2">
        <v>2.5</v>
      </c>
      <c r="E100" s="2">
        <v>4.5</v>
      </c>
      <c r="F100" s="2">
        <v>6.5</v>
      </c>
    </row>
    <row r="101" spans="1:6" ht="22.5" customHeight="1" x14ac:dyDescent="0.25">
      <c r="A101" s="3">
        <v>39173</v>
      </c>
      <c r="B101" s="2">
        <v>2.9982899704835475</v>
      </c>
      <c r="D101" s="2">
        <v>2.5</v>
      </c>
      <c r="E101" s="2">
        <v>4.5</v>
      </c>
      <c r="F101" s="2">
        <v>6.5</v>
      </c>
    </row>
    <row r="102" spans="1:6" ht="22.5" customHeight="1" x14ac:dyDescent="0.25">
      <c r="A102" s="3">
        <v>39203</v>
      </c>
      <c r="B102" s="2">
        <v>3.1835016807201688</v>
      </c>
      <c r="D102" s="2">
        <v>2.5</v>
      </c>
      <c r="E102" s="2">
        <v>4.5</v>
      </c>
      <c r="F102" s="2">
        <v>6.5</v>
      </c>
    </row>
    <row r="103" spans="1:6" ht="22.5" customHeight="1" x14ac:dyDescent="0.25">
      <c r="A103" s="3">
        <v>39234</v>
      </c>
      <c r="B103" s="2">
        <v>3.6901648315724955</v>
      </c>
      <c r="D103" s="2">
        <v>2.5</v>
      </c>
      <c r="E103" s="2">
        <v>4.5</v>
      </c>
      <c r="F103" s="2">
        <v>6.5</v>
      </c>
    </row>
    <row r="104" spans="1:6" ht="22.5" customHeight="1" x14ac:dyDescent="0.25">
      <c r="A104" s="3">
        <v>39264</v>
      </c>
      <c r="B104" s="2">
        <v>3.7419115951375481</v>
      </c>
      <c r="D104" s="2">
        <v>2.5</v>
      </c>
      <c r="E104" s="2">
        <v>4.5</v>
      </c>
      <c r="F104" s="2">
        <v>6.5</v>
      </c>
    </row>
    <row r="105" spans="1:6" ht="22.5" customHeight="1" x14ac:dyDescent="0.25">
      <c r="A105" s="3">
        <v>39295</v>
      </c>
      <c r="B105" s="2">
        <v>4.1774098746973021</v>
      </c>
      <c r="D105" s="2">
        <v>2.5</v>
      </c>
      <c r="E105" s="2">
        <v>4.5</v>
      </c>
      <c r="F105" s="2">
        <v>6.5</v>
      </c>
    </row>
    <row r="106" spans="1:6" ht="22.5" customHeight="1" x14ac:dyDescent="0.25">
      <c r="A106" s="3">
        <v>39326</v>
      </c>
      <c r="B106" s="2">
        <v>4.1462221459652282</v>
      </c>
      <c r="D106" s="2">
        <v>2.5</v>
      </c>
      <c r="E106" s="2">
        <v>4.5</v>
      </c>
      <c r="F106" s="2">
        <v>6.5</v>
      </c>
    </row>
    <row r="107" spans="1:6" ht="22.5" customHeight="1" x14ac:dyDescent="0.25">
      <c r="A107" s="3">
        <v>39356</v>
      </c>
      <c r="B107" s="2">
        <v>4.115081044954727</v>
      </c>
      <c r="D107" s="2">
        <v>2.5</v>
      </c>
      <c r="E107" s="2">
        <v>4.5</v>
      </c>
      <c r="F107" s="2">
        <v>6.5</v>
      </c>
    </row>
    <row r="108" spans="1:6" ht="22.5" customHeight="1" x14ac:dyDescent="0.25">
      <c r="A108" s="3">
        <v>39387</v>
      </c>
      <c r="B108" s="2">
        <v>4.1877363701779968</v>
      </c>
      <c r="D108" s="2">
        <v>2.5</v>
      </c>
      <c r="E108" s="2">
        <v>4.5</v>
      </c>
      <c r="F108" s="2">
        <v>6.5</v>
      </c>
    </row>
    <row r="109" spans="1:6" ht="22.5" customHeight="1" x14ac:dyDescent="0.25">
      <c r="A109" s="3">
        <v>39417</v>
      </c>
      <c r="B109" s="2">
        <v>4.4573304332378161</v>
      </c>
      <c r="D109" s="2">
        <v>2.5</v>
      </c>
      <c r="E109" s="2">
        <v>4.5</v>
      </c>
      <c r="F109" s="2">
        <v>6.5</v>
      </c>
    </row>
    <row r="110" spans="1:6" ht="22.5" customHeight="1" x14ac:dyDescent="0.25">
      <c r="A110" s="3">
        <v>39448</v>
      </c>
      <c r="B110" s="2">
        <v>4.5613301648519844</v>
      </c>
      <c r="D110" s="2">
        <v>2.5</v>
      </c>
      <c r="E110" s="2">
        <v>4.5</v>
      </c>
      <c r="F110" s="2">
        <v>6.5</v>
      </c>
    </row>
    <row r="111" spans="1:6" ht="22.5" customHeight="1" x14ac:dyDescent="0.25">
      <c r="A111" s="3">
        <v>39479</v>
      </c>
      <c r="B111" s="2">
        <v>4.6133818027277451</v>
      </c>
      <c r="D111" s="2">
        <v>2.5</v>
      </c>
      <c r="E111" s="2">
        <v>4.5</v>
      </c>
      <c r="F111" s="2">
        <v>6.5</v>
      </c>
    </row>
    <row r="112" spans="1:6" ht="22.5" customHeight="1" x14ac:dyDescent="0.25">
      <c r="A112" s="3">
        <v>39508</v>
      </c>
      <c r="B112" s="2">
        <v>4.7280323158122917</v>
      </c>
      <c r="D112" s="2">
        <v>2.5</v>
      </c>
      <c r="E112" s="2">
        <v>4.5</v>
      </c>
      <c r="F112" s="2">
        <v>6.5</v>
      </c>
    </row>
    <row r="113" spans="1:6" ht="22.5" customHeight="1" x14ac:dyDescent="0.25">
      <c r="A113" s="3">
        <v>39539</v>
      </c>
      <c r="B113" s="2">
        <v>5.0414329112711043</v>
      </c>
      <c r="D113" s="2">
        <v>2.5</v>
      </c>
      <c r="E113" s="2">
        <v>4.5</v>
      </c>
      <c r="F113" s="2">
        <v>6.5</v>
      </c>
    </row>
    <row r="114" spans="1:6" ht="22.5" customHeight="1" x14ac:dyDescent="0.25">
      <c r="A114" s="3">
        <v>39569</v>
      </c>
      <c r="B114" s="2">
        <v>5.5756484157062136</v>
      </c>
      <c r="D114" s="2">
        <v>2.5</v>
      </c>
      <c r="E114" s="2">
        <v>4.5</v>
      </c>
      <c r="F114" s="2">
        <v>6.5</v>
      </c>
    </row>
    <row r="115" spans="1:6" ht="22.5" customHeight="1" x14ac:dyDescent="0.25">
      <c r="A115" s="3">
        <v>39600</v>
      </c>
      <c r="B115" s="2">
        <v>6.0599403809158403</v>
      </c>
      <c r="D115" s="2">
        <v>2.5</v>
      </c>
      <c r="E115" s="2">
        <v>4.5</v>
      </c>
      <c r="F115" s="2">
        <v>6.5</v>
      </c>
    </row>
    <row r="116" spans="1:6" ht="22.5" customHeight="1" x14ac:dyDescent="0.25">
      <c r="A116" s="3">
        <v>39630</v>
      </c>
      <c r="B116" s="2">
        <v>6.3667777982189921</v>
      </c>
      <c r="D116" s="2">
        <v>2.5</v>
      </c>
      <c r="E116" s="2">
        <v>4.5</v>
      </c>
      <c r="F116" s="2">
        <v>6.5</v>
      </c>
    </row>
    <row r="117" spans="1:6" ht="22.5" customHeight="1" x14ac:dyDescent="0.25">
      <c r="A117" s="3">
        <v>39661</v>
      </c>
      <c r="B117" s="2">
        <v>6.1656263322922511</v>
      </c>
      <c r="D117" s="2">
        <v>2.5</v>
      </c>
      <c r="E117" s="2">
        <v>4.5</v>
      </c>
      <c r="F117" s="2">
        <v>6.5</v>
      </c>
    </row>
    <row r="118" spans="1:6" ht="22.5" customHeight="1" x14ac:dyDescent="0.25">
      <c r="A118" s="3">
        <v>39692</v>
      </c>
      <c r="B118" s="2">
        <v>6.2504062295430485</v>
      </c>
      <c r="D118" s="2">
        <v>2.5</v>
      </c>
      <c r="E118" s="2">
        <v>4.5</v>
      </c>
      <c r="F118" s="2">
        <v>6.5</v>
      </c>
    </row>
    <row r="119" spans="1:6" ht="22.5" customHeight="1" x14ac:dyDescent="0.25">
      <c r="A119" s="3">
        <v>39722</v>
      </c>
      <c r="B119" s="2">
        <v>6.4093051421495018</v>
      </c>
      <c r="D119" s="2">
        <v>2.5</v>
      </c>
      <c r="E119" s="2">
        <v>4.5</v>
      </c>
      <c r="F119" s="2">
        <v>6.5</v>
      </c>
    </row>
    <row r="120" spans="1:6" ht="22.5" customHeight="1" x14ac:dyDescent="0.25">
      <c r="A120" s="3">
        <v>39753</v>
      </c>
      <c r="B120" s="2">
        <v>6.3881038460462669</v>
      </c>
      <c r="D120" s="2">
        <v>2.5</v>
      </c>
      <c r="E120" s="2">
        <v>4.5</v>
      </c>
      <c r="F120" s="2">
        <v>6.5</v>
      </c>
    </row>
    <row r="121" spans="1:6" ht="22.5" customHeight="1" x14ac:dyDescent="0.25">
      <c r="A121" s="3">
        <v>39783</v>
      </c>
      <c r="B121" s="2">
        <v>5.9023134175254732</v>
      </c>
      <c r="D121" s="2">
        <v>2.5</v>
      </c>
      <c r="E121" s="2">
        <v>4.5</v>
      </c>
      <c r="F121" s="2">
        <v>6.5</v>
      </c>
    </row>
    <row r="122" spans="1:6" ht="22.5" customHeight="1" x14ac:dyDescent="0.25">
      <c r="A122" s="3">
        <v>39814</v>
      </c>
      <c r="B122" s="2">
        <v>5.8391133100553327</v>
      </c>
      <c r="D122" s="2">
        <v>2.5</v>
      </c>
      <c r="E122" s="2">
        <v>4.5</v>
      </c>
      <c r="F122" s="2">
        <v>6.5</v>
      </c>
    </row>
    <row r="123" spans="1:6" ht="22.5" customHeight="1" x14ac:dyDescent="0.25">
      <c r="A123" s="3">
        <v>39845</v>
      </c>
      <c r="B123" s="2">
        <v>5.9023071283317963</v>
      </c>
      <c r="D123" s="2">
        <v>2.5</v>
      </c>
      <c r="E123" s="2">
        <v>4.5</v>
      </c>
      <c r="F123" s="2">
        <v>6.5</v>
      </c>
    </row>
    <row r="124" spans="1:6" ht="22.5" customHeight="1" x14ac:dyDescent="0.25">
      <c r="A124" s="3">
        <v>39873</v>
      </c>
      <c r="B124" s="2">
        <v>5.6071971960474087</v>
      </c>
      <c r="D124" s="2">
        <v>2.5</v>
      </c>
      <c r="E124" s="2">
        <v>4.5</v>
      </c>
      <c r="F124" s="2">
        <v>6.5</v>
      </c>
    </row>
    <row r="125" spans="1:6" ht="22.5" customHeight="1" x14ac:dyDescent="0.25">
      <c r="A125" s="3">
        <v>39904</v>
      </c>
      <c r="B125" s="2">
        <v>5.5336765217190331</v>
      </c>
      <c r="D125" s="2">
        <v>2.5</v>
      </c>
      <c r="E125" s="2">
        <v>4.5</v>
      </c>
      <c r="F125" s="2">
        <v>6.5</v>
      </c>
    </row>
    <row r="126" spans="1:6" ht="22.5" customHeight="1" x14ac:dyDescent="0.25">
      <c r="A126" s="3">
        <v>39934</v>
      </c>
      <c r="B126" s="2">
        <v>5.1986157370483621</v>
      </c>
      <c r="D126" s="2">
        <v>2.5</v>
      </c>
      <c r="E126" s="2">
        <v>4.5</v>
      </c>
      <c r="F126" s="2">
        <v>6.5</v>
      </c>
    </row>
    <row r="127" spans="1:6" ht="22.5" customHeight="1" x14ac:dyDescent="0.25">
      <c r="A127" s="3">
        <v>39965</v>
      </c>
      <c r="B127" s="2">
        <v>4.8017974525528695</v>
      </c>
      <c r="D127" s="2">
        <v>2.5</v>
      </c>
      <c r="E127" s="2">
        <v>4.5</v>
      </c>
      <c r="F127" s="2">
        <v>6.5</v>
      </c>
    </row>
    <row r="128" spans="1:6" ht="22.5" customHeight="1" x14ac:dyDescent="0.25">
      <c r="A128" s="3">
        <v>39995</v>
      </c>
      <c r="B128" s="2">
        <v>4.4994745513169843</v>
      </c>
      <c r="D128" s="2">
        <v>2.5</v>
      </c>
      <c r="E128" s="2">
        <v>4.5</v>
      </c>
      <c r="F128" s="2">
        <v>6.5</v>
      </c>
    </row>
    <row r="129" spans="1:6" ht="22.5" customHeight="1" x14ac:dyDescent="0.25">
      <c r="A129" s="3">
        <v>40026</v>
      </c>
      <c r="B129" s="2">
        <v>4.364004550402889</v>
      </c>
      <c r="D129" s="2">
        <v>2.5</v>
      </c>
      <c r="E129" s="2">
        <v>4.5</v>
      </c>
      <c r="F129" s="2">
        <v>6.5</v>
      </c>
    </row>
    <row r="130" spans="1:6" ht="22.5" customHeight="1" x14ac:dyDescent="0.25">
      <c r="A130" s="3">
        <v>40057</v>
      </c>
      <c r="B130" s="2">
        <v>4.3431858780409227</v>
      </c>
      <c r="D130" s="2">
        <v>2.5</v>
      </c>
      <c r="E130" s="2">
        <v>4.5</v>
      </c>
      <c r="F130" s="2">
        <v>6.5</v>
      </c>
    </row>
    <row r="131" spans="1:6" ht="22.5" customHeight="1" x14ac:dyDescent="0.25">
      <c r="A131" s="3">
        <v>40087</v>
      </c>
      <c r="B131" s="2">
        <v>4.1665971114977163</v>
      </c>
      <c r="D131" s="2">
        <v>2.5</v>
      </c>
      <c r="E131" s="2">
        <v>4.5</v>
      </c>
      <c r="F131" s="2">
        <v>6.5</v>
      </c>
    </row>
    <row r="132" spans="1:6" ht="22.5" customHeight="1" x14ac:dyDescent="0.25">
      <c r="A132" s="3">
        <v>40118</v>
      </c>
      <c r="B132" s="2">
        <v>4.218493582756877</v>
      </c>
      <c r="D132" s="2">
        <v>2.5</v>
      </c>
      <c r="E132" s="2">
        <v>4.5</v>
      </c>
      <c r="F132" s="2">
        <v>6.5</v>
      </c>
    </row>
    <row r="133" spans="1:6" ht="22.5" customHeight="1" x14ac:dyDescent="0.25">
      <c r="A133" s="3">
        <v>40148</v>
      </c>
      <c r="B133" s="2">
        <v>4.3120283296899764</v>
      </c>
      <c r="D133" s="2">
        <v>2.5</v>
      </c>
      <c r="E133" s="2">
        <v>4.5</v>
      </c>
      <c r="F133" s="2">
        <v>6.5</v>
      </c>
    </row>
    <row r="134" spans="1:6" ht="22.5" customHeight="1" x14ac:dyDescent="0.25">
      <c r="A134" s="3">
        <v>40179</v>
      </c>
      <c r="B134" s="2">
        <v>4.5923253803370701</v>
      </c>
      <c r="D134" s="2">
        <v>2.5</v>
      </c>
      <c r="E134" s="2">
        <v>4.5</v>
      </c>
      <c r="F134" s="2">
        <v>6.5</v>
      </c>
    </row>
    <row r="135" spans="1:6" ht="22.5" customHeight="1" x14ac:dyDescent="0.25">
      <c r="A135" s="3">
        <v>40210</v>
      </c>
      <c r="B135" s="2">
        <v>4.831571873002205</v>
      </c>
      <c r="D135" s="2">
        <v>2.5</v>
      </c>
      <c r="E135" s="2">
        <v>4.5</v>
      </c>
      <c r="F135" s="2">
        <v>6.5</v>
      </c>
    </row>
    <row r="136" spans="1:6" ht="22.5" customHeight="1" x14ac:dyDescent="0.25">
      <c r="A136" s="3">
        <v>40238</v>
      </c>
      <c r="B136" s="2">
        <v>5.1663633201016079</v>
      </c>
      <c r="D136" s="2">
        <v>2.5</v>
      </c>
      <c r="E136" s="2">
        <v>4.5</v>
      </c>
      <c r="F136" s="2">
        <v>6.5</v>
      </c>
    </row>
    <row r="137" spans="1:6" ht="22.5" customHeight="1" x14ac:dyDescent="0.25">
      <c r="A137" s="3">
        <v>40269</v>
      </c>
      <c r="B137" s="2">
        <v>5.2605608987123853</v>
      </c>
      <c r="D137" s="2">
        <v>2.5</v>
      </c>
      <c r="E137" s="2">
        <v>4.5</v>
      </c>
      <c r="F137" s="2">
        <v>6.5</v>
      </c>
    </row>
    <row r="138" spans="1:6" ht="22.5" customHeight="1" x14ac:dyDescent="0.25">
      <c r="A138" s="3">
        <v>40299</v>
      </c>
      <c r="B138" s="2">
        <v>5.2186536384759563</v>
      </c>
      <c r="D138" s="2">
        <v>2.5</v>
      </c>
      <c r="E138" s="2">
        <v>4.5</v>
      </c>
      <c r="F138" s="2">
        <v>6.5</v>
      </c>
    </row>
    <row r="139" spans="1:6" ht="22.5" customHeight="1" x14ac:dyDescent="0.25">
      <c r="A139" s="3">
        <v>40330</v>
      </c>
      <c r="B139" s="2">
        <v>4.8412252276564427</v>
      </c>
      <c r="D139" s="2">
        <v>2.5</v>
      </c>
      <c r="E139" s="2">
        <v>4.5</v>
      </c>
      <c r="F139" s="2">
        <v>6.5</v>
      </c>
    </row>
    <row r="140" spans="1:6" ht="22.5" customHeight="1" x14ac:dyDescent="0.25">
      <c r="A140" s="3">
        <v>40360</v>
      </c>
      <c r="B140" s="2">
        <v>4.6006677475849855</v>
      </c>
      <c r="D140" s="2">
        <v>2.5</v>
      </c>
      <c r="E140" s="2">
        <v>4.5</v>
      </c>
      <c r="F140" s="2">
        <v>6.5</v>
      </c>
    </row>
    <row r="141" spans="1:6" ht="22.5" customHeight="1" x14ac:dyDescent="0.25">
      <c r="A141" s="3">
        <v>40391</v>
      </c>
      <c r="B141" s="2">
        <v>4.4857793456655193</v>
      </c>
      <c r="D141" s="2">
        <v>2.5</v>
      </c>
      <c r="E141" s="2">
        <v>4.5</v>
      </c>
      <c r="F141" s="2">
        <v>6.5</v>
      </c>
    </row>
    <row r="142" spans="1:6" ht="22.5" customHeight="1" x14ac:dyDescent="0.25">
      <c r="A142" s="3">
        <v>40422</v>
      </c>
      <c r="B142" s="2">
        <v>4.704674134797493</v>
      </c>
      <c r="D142" s="2">
        <v>2.5</v>
      </c>
      <c r="E142" s="2">
        <v>4.5</v>
      </c>
      <c r="F142" s="2">
        <v>6.5</v>
      </c>
    </row>
    <row r="143" spans="1:6" ht="22.5" customHeight="1" x14ac:dyDescent="0.25">
      <c r="A143" s="3">
        <v>40452</v>
      </c>
      <c r="B143" s="2">
        <v>5.1954120371045853</v>
      </c>
      <c r="D143" s="2">
        <v>2.5</v>
      </c>
      <c r="E143" s="2">
        <v>4.5</v>
      </c>
      <c r="F143" s="2">
        <v>6.5</v>
      </c>
    </row>
    <row r="144" spans="1:6" ht="22.5" customHeight="1" x14ac:dyDescent="0.25">
      <c r="A144" s="3">
        <v>40483</v>
      </c>
      <c r="B144" s="2">
        <v>5.6354286993452574</v>
      </c>
      <c r="D144" s="2">
        <v>2.5</v>
      </c>
      <c r="E144" s="2">
        <v>4.5</v>
      </c>
      <c r="F144" s="2">
        <v>6.5</v>
      </c>
    </row>
    <row r="145" spans="1:6" ht="22.5" customHeight="1" x14ac:dyDescent="0.25">
      <c r="A145" s="3">
        <v>40513</v>
      </c>
      <c r="B145" s="2">
        <v>5.9090683472662109</v>
      </c>
      <c r="D145" s="2">
        <v>2.5</v>
      </c>
      <c r="E145" s="2">
        <v>4.5</v>
      </c>
      <c r="F145" s="2">
        <v>6.5</v>
      </c>
    </row>
    <row r="146" spans="1:6" ht="22.5" customHeight="1" x14ac:dyDescent="0.25">
      <c r="A146" s="3">
        <v>40544</v>
      </c>
      <c r="B146" s="2">
        <v>5.9931648779638191</v>
      </c>
      <c r="D146" s="2">
        <v>2.5</v>
      </c>
      <c r="E146" s="2">
        <v>4.5</v>
      </c>
      <c r="F146" s="2">
        <v>6.5</v>
      </c>
    </row>
    <row r="147" spans="1:6" ht="22.5" customHeight="1" x14ac:dyDescent="0.25">
      <c r="A147" s="3">
        <v>40575</v>
      </c>
      <c r="B147" s="2">
        <v>6.014199441345025</v>
      </c>
      <c r="D147" s="2">
        <v>2.5</v>
      </c>
      <c r="E147" s="2">
        <v>4.5</v>
      </c>
      <c r="F147" s="2">
        <v>6.5</v>
      </c>
    </row>
    <row r="148" spans="1:6" ht="22.5" customHeight="1" x14ac:dyDescent="0.25">
      <c r="A148" s="3">
        <v>40603</v>
      </c>
      <c r="B148" s="2">
        <v>6.2989570403219952</v>
      </c>
      <c r="D148" s="2">
        <v>2.5</v>
      </c>
      <c r="E148" s="2">
        <v>4.5</v>
      </c>
      <c r="F148" s="2">
        <v>6.5</v>
      </c>
    </row>
    <row r="149" spans="1:6" ht="22.5" customHeight="1" x14ac:dyDescent="0.25">
      <c r="A149" s="3">
        <v>40634</v>
      </c>
      <c r="B149" s="2">
        <v>6.5103500144501059</v>
      </c>
      <c r="D149" s="2">
        <v>2.5</v>
      </c>
      <c r="E149" s="2">
        <v>4.5</v>
      </c>
      <c r="F149" s="2">
        <v>6.5</v>
      </c>
    </row>
    <row r="150" spans="1:6" ht="22.5" customHeight="1" x14ac:dyDescent="0.25">
      <c r="A150" s="3">
        <v>40664</v>
      </c>
      <c r="B150" s="2">
        <v>6.5527717410316155</v>
      </c>
      <c r="D150" s="2">
        <v>2.5</v>
      </c>
      <c r="E150" s="2">
        <v>4.5</v>
      </c>
      <c r="F150" s="2">
        <v>6.5</v>
      </c>
    </row>
    <row r="151" spans="1:6" ht="22.5" customHeight="1" x14ac:dyDescent="0.25">
      <c r="A151" s="3">
        <v>40695</v>
      </c>
      <c r="B151" s="2">
        <v>6.7126008986431618</v>
      </c>
      <c r="D151" s="2">
        <v>2.5</v>
      </c>
      <c r="E151" s="2">
        <v>4.5</v>
      </c>
      <c r="F151" s="2">
        <v>6.5</v>
      </c>
    </row>
    <row r="152" spans="1:6" ht="22.5" customHeight="1" x14ac:dyDescent="0.25">
      <c r="A152" s="3">
        <v>40725</v>
      </c>
      <c r="B152" s="2">
        <v>6.8726537947014554</v>
      </c>
      <c r="D152" s="2">
        <v>2.5</v>
      </c>
      <c r="E152" s="2">
        <v>4.5</v>
      </c>
      <c r="F152" s="2">
        <v>6.5</v>
      </c>
    </row>
    <row r="153" spans="1:6" ht="22.5" customHeight="1" x14ac:dyDescent="0.25">
      <c r="A153" s="3">
        <v>40756</v>
      </c>
      <c r="B153" s="2">
        <v>7.2251925367271985</v>
      </c>
      <c r="D153" s="2">
        <v>2.5</v>
      </c>
      <c r="E153" s="2">
        <v>4.5</v>
      </c>
      <c r="F153" s="2">
        <v>6.5</v>
      </c>
    </row>
    <row r="154" spans="1:6" ht="22.5" customHeight="1" x14ac:dyDescent="0.25">
      <c r="A154" s="3">
        <v>40787</v>
      </c>
      <c r="B154" s="2">
        <v>7.3105884093298767</v>
      </c>
      <c r="D154" s="2">
        <v>2.5</v>
      </c>
      <c r="E154" s="2">
        <v>4.5</v>
      </c>
      <c r="F154" s="2">
        <v>6.5</v>
      </c>
    </row>
    <row r="155" spans="1:6" ht="22.5" customHeight="1" x14ac:dyDescent="0.25">
      <c r="A155" s="3">
        <v>40817</v>
      </c>
      <c r="B155" s="2">
        <v>6.9697508084267445</v>
      </c>
      <c r="D155" s="2">
        <v>2.5</v>
      </c>
      <c r="E155" s="2">
        <v>4.5</v>
      </c>
      <c r="F155" s="2">
        <v>6.5</v>
      </c>
    </row>
    <row r="156" spans="1:6" ht="22.5" customHeight="1" x14ac:dyDescent="0.25">
      <c r="A156" s="3">
        <v>40848</v>
      </c>
      <c r="B156" s="2">
        <v>6.6408742563032863</v>
      </c>
      <c r="D156" s="2">
        <v>2.5</v>
      </c>
      <c r="E156" s="2">
        <v>4.5</v>
      </c>
      <c r="F156" s="2">
        <v>6.5</v>
      </c>
    </row>
    <row r="157" spans="1:6" ht="22.5" customHeight="1" x14ac:dyDescent="0.25">
      <c r="A157" s="3">
        <v>40878</v>
      </c>
      <c r="B157" s="2">
        <v>6.5031090406288294</v>
      </c>
      <c r="D157" s="2">
        <v>2.5</v>
      </c>
      <c r="E157" s="2">
        <v>4.5</v>
      </c>
      <c r="F157" s="2">
        <v>6.5</v>
      </c>
    </row>
    <row r="158" spans="1:6" ht="22.5" customHeight="1" x14ac:dyDescent="0.25">
      <c r="A158" s="3">
        <v>40909</v>
      </c>
      <c r="B158" s="2">
        <v>6.2179177340636604</v>
      </c>
      <c r="D158" s="2">
        <v>2.5</v>
      </c>
      <c r="E158" s="2">
        <v>4.5</v>
      </c>
      <c r="F158" s="2">
        <v>6.5</v>
      </c>
    </row>
    <row r="159" spans="1:6" ht="22.5" customHeight="1" x14ac:dyDescent="0.25">
      <c r="A159" s="3">
        <v>40940</v>
      </c>
      <c r="B159" s="2">
        <v>5.8491055197092745</v>
      </c>
      <c r="D159" s="2">
        <v>2.5</v>
      </c>
      <c r="E159" s="2">
        <v>4.5</v>
      </c>
      <c r="F159" s="2">
        <v>6.5</v>
      </c>
    </row>
    <row r="160" spans="1:6" ht="22.5" customHeight="1" x14ac:dyDescent="0.25">
      <c r="A160" s="3">
        <v>40969</v>
      </c>
      <c r="B160" s="2">
        <v>5.2399926989787238</v>
      </c>
      <c r="D160" s="2">
        <v>2.5</v>
      </c>
      <c r="E160" s="2">
        <v>4.5</v>
      </c>
      <c r="F160" s="2">
        <v>6.5</v>
      </c>
    </row>
    <row r="161" spans="1:6" ht="22.5" customHeight="1" x14ac:dyDescent="0.25">
      <c r="A161" s="3">
        <v>41000</v>
      </c>
      <c r="B161" s="2">
        <v>5.1042261111959197</v>
      </c>
      <c r="D161" s="2">
        <v>2.5</v>
      </c>
      <c r="E161" s="2">
        <v>4.5</v>
      </c>
      <c r="F161" s="2">
        <v>6.5</v>
      </c>
    </row>
    <row r="162" spans="1:6" ht="22.5" customHeight="1" x14ac:dyDescent="0.25">
      <c r="A162" s="3">
        <v>41030</v>
      </c>
      <c r="B162" s="2">
        <v>4.9891523093423595</v>
      </c>
      <c r="D162" s="2">
        <v>2.5</v>
      </c>
      <c r="E162" s="2">
        <v>4.5</v>
      </c>
      <c r="F162" s="2">
        <v>6.5</v>
      </c>
    </row>
    <row r="163" spans="1:6" ht="22.5" customHeight="1" x14ac:dyDescent="0.25">
      <c r="A163" s="3">
        <v>41061</v>
      </c>
      <c r="B163" s="2">
        <v>4.9157699762254481</v>
      </c>
      <c r="D163" s="2">
        <v>2.5</v>
      </c>
      <c r="E163" s="2">
        <v>4.5</v>
      </c>
      <c r="F163" s="2">
        <v>6.5</v>
      </c>
    </row>
    <row r="164" spans="1:6" ht="22.5" customHeight="1" x14ac:dyDescent="0.25">
      <c r="A164" s="3">
        <v>41091</v>
      </c>
      <c r="B164" s="2">
        <v>5.1985900430543408</v>
      </c>
      <c r="D164" s="2">
        <v>2.5</v>
      </c>
      <c r="E164" s="2">
        <v>4.5</v>
      </c>
      <c r="F164" s="2">
        <v>6.5</v>
      </c>
    </row>
    <row r="165" spans="1:6" ht="22.5" customHeight="1" x14ac:dyDescent="0.25">
      <c r="A165" s="3">
        <v>41122</v>
      </c>
      <c r="B165" s="2">
        <v>5.2405143591022219</v>
      </c>
      <c r="D165" s="2">
        <v>2.5</v>
      </c>
      <c r="E165" s="2">
        <v>4.5</v>
      </c>
      <c r="F165" s="2">
        <v>6.5</v>
      </c>
    </row>
    <row r="166" spans="1:6" ht="22.5" customHeight="1" x14ac:dyDescent="0.25">
      <c r="A166" s="3">
        <v>41153</v>
      </c>
      <c r="B166" s="2">
        <v>5.282388631203716</v>
      </c>
      <c r="D166" s="2">
        <v>2.5</v>
      </c>
      <c r="E166" s="2">
        <v>4.5</v>
      </c>
      <c r="F166" s="2">
        <v>6.5</v>
      </c>
    </row>
    <row r="167" spans="1:6" ht="22.5" customHeight="1" x14ac:dyDescent="0.25">
      <c r="A167" s="3">
        <v>41183</v>
      </c>
      <c r="B167" s="2">
        <v>5.4501192115182784</v>
      </c>
      <c r="D167" s="2">
        <v>2.5</v>
      </c>
      <c r="E167" s="2">
        <v>4.5</v>
      </c>
      <c r="F167" s="2">
        <v>6.5</v>
      </c>
    </row>
    <row r="168" spans="1:6" ht="22.5" customHeight="1" x14ac:dyDescent="0.25">
      <c r="A168" s="3">
        <v>41214</v>
      </c>
      <c r="B168" s="2">
        <v>5.5340429036881744</v>
      </c>
      <c r="D168" s="2">
        <v>2.5</v>
      </c>
      <c r="E168" s="2">
        <v>4.5</v>
      </c>
      <c r="F168" s="2">
        <v>6.5</v>
      </c>
    </row>
    <row r="169" spans="1:6" ht="22.5" customHeight="1" x14ac:dyDescent="0.25">
      <c r="A169" s="3">
        <v>41244</v>
      </c>
      <c r="B169" s="2">
        <v>5.8385689976391708</v>
      </c>
      <c r="D169" s="2">
        <v>2.5</v>
      </c>
      <c r="E169" s="2">
        <v>4.5</v>
      </c>
      <c r="F169" s="2">
        <v>6.5</v>
      </c>
    </row>
    <row r="170" spans="1:6" ht="22.5" customHeight="1" x14ac:dyDescent="0.25">
      <c r="A170" s="3">
        <v>41275</v>
      </c>
      <c r="B170" s="2">
        <v>6.1543165185151905</v>
      </c>
      <c r="D170" s="2">
        <v>2.5</v>
      </c>
      <c r="E170" s="2">
        <v>4.5</v>
      </c>
      <c r="F170" s="2">
        <v>6.5</v>
      </c>
    </row>
    <row r="171" spans="1:6" ht="22.5" customHeight="1" x14ac:dyDescent="0.25">
      <c r="A171" s="3">
        <v>41306</v>
      </c>
      <c r="B171" s="2">
        <v>6.3128346616488473</v>
      </c>
      <c r="D171" s="2">
        <v>2.5</v>
      </c>
      <c r="E171" s="2">
        <v>4.5</v>
      </c>
      <c r="F171" s="2">
        <v>6.5</v>
      </c>
    </row>
    <row r="172" spans="1:6" ht="22.5" customHeight="1" x14ac:dyDescent="0.25">
      <c r="A172" s="3">
        <v>41334</v>
      </c>
      <c r="B172" s="2">
        <v>6.5886687801203214</v>
      </c>
      <c r="D172" s="2">
        <v>2.5</v>
      </c>
      <c r="E172" s="2">
        <v>4.5</v>
      </c>
      <c r="F172" s="2">
        <v>6.5</v>
      </c>
    </row>
    <row r="173" spans="1:6" ht="22.5" customHeight="1" x14ac:dyDescent="0.25">
      <c r="A173" s="3">
        <v>41365</v>
      </c>
      <c r="B173" s="2">
        <v>6.4933490246532166</v>
      </c>
      <c r="D173" s="2">
        <v>2.5</v>
      </c>
      <c r="E173" s="2">
        <v>4.5</v>
      </c>
      <c r="F173" s="2">
        <v>6.5</v>
      </c>
    </row>
    <row r="174" spans="1:6" ht="22.5" customHeight="1" x14ac:dyDescent="0.25">
      <c r="A174" s="3">
        <v>41395</v>
      </c>
      <c r="B174" s="2">
        <v>6.5039601594703234</v>
      </c>
      <c r="D174" s="2">
        <v>2.5</v>
      </c>
      <c r="E174" s="2">
        <v>4.5</v>
      </c>
      <c r="F174" s="2">
        <v>6.5</v>
      </c>
    </row>
    <row r="175" spans="1:6" ht="22.5" customHeight="1" x14ac:dyDescent="0.25">
      <c r="A175" s="3">
        <v>41426</v>
      </c>
      <c r="B175" s="2">
        <v>6.6955140446492534</v>
      </c>
      <c r="D175" s="2">
        <v>2.5</v>
      </c>
      <c r="E175" s="2">
        <v>4.5</v>
      </c>
      <c r="F175" s="2">
        <v>6.5</v>
      </c>
    </row>
    <row r="176" spans="1:6" ht="22.5" customHeight="1" x14ac:dyDescent="0.25">
      <c r="A176" s="3">
        <v>41456</v>
      </c>
      <c r="B176" s="2">
        <v>6.2705592938988808</v>
      </c>
      <c r="D176" s="2">
        <v>2.5</v>
      </c>
      <c r="E176" s="2">
        <v>4.5</v>
      </c>
      <c r="F176" s="2">
        <v>6.5</v>
      </c>
    </row>
    <row r="177" spans="1:6" ht="22.5" customHeight="1" x14ac:dyDescent="0.25">
      <c r="A177" s="3">
        <v>41487</v>
      </c>
      <c r="B177" s="2">
        <v>6.0906370244041774</v>
      </c>
      <c r="D177" s="2">
        <v>2.5</v>
      </c>
      <c r="E177" s="2">
        <v>4.5</v>
      </c>
      <c r="F177" s="2">
        <v>6.5</v>
      </c>
    </row>
    <row r="178" spans="1:6" ht="22.5" customHeight="1" x14ac:dyDescent="0.25">
      <c r="A178" s="3">
        <v>41518</v>
      </c>
      <c r="B178" s="2">
        <v>5.8585604593711871</v>
      </c>
      <c r="D178" s="2">
        <v>2.5</v>
      </c>
      <c r="E178" s="2">
        <v>4.5</v>
      </c>
      <c r="F178" s="2">
        <v>6.5</v>
      </c>
    </row>
    <row r="179" spans="1:6" ht="22.5" customHeight="1" x14ac:dyDescent="0.25">
      <c r="A179" s="3">
        <v>41548</v>
      </c>
      <c r="B179" s="2">
        <v>5.8375129277160598</v>
      </c>
      <c r="D179" s="2">
        <v>2.5</v>
      </c>
      <c r="E179" s="2">
        <v>4.5</v>
      </c>
      <c r="F179" s="2">
        <v>6.5</v>
      </c>
    </row>
    <row r="180" spans="1:6" ht="22.5" customHeight="1" x14ac:dyDescent="0.25">
      <c r="A180" s="3">
        <v>41579</v>
      </c>
      <c r="B180" s="2">
        <v>5.774389162550464</v>
      </c>
      <c r="D180" s="2">
        <v>2.5</v>
      </c>
      <c r="E180" s="2">
        <v>4.5</v>
      </c>
      <c r="F180" s="2">
        <v>6.5</v>
      </c>
    </row>
    <row r="181" spans="1:6" ht="22.5" customHeight="1" x14ac:dyDescent="0.25">
      <c r="A181" s="3">
        <v>41609</v>
      </c>
      <c r="B181" s="2">
        <v>5.9108180800137466</v>
      </c>
      <c r="D181" s="2">
        <v>2.5</v>
      </c>
      <c r="E181" s="2">
        <v>4.5</v>
      </c>
      <c r="F181" s="2">
        <v>6.5</v>
      </c>
    </row>
    <row r="182" spans="1:6" ht="22.5" customHeight="1" x14ac:dyDescent="0.25">
      <c r="A182" s="3">
        <v>41640</v>
      </c>
      <c r="B182" s="2">
        <v>5.5852940506185389</v>
      </c>
      <c r="D182" s="2">
        <v>2.5</v>
      </c>
      <c r="E182" s="2">
        <v>4.5</v>
      </c>
      <c r="F182" s="2">
        <v>6.5</v>
      </c>
    </row>
    <row r="183" spans="1:6" ht="22.5" customHeight="1" x14ac:dyDescent="0.25">
      <c r="A183" s="3">
        <v>41671</v>
      </c>
      <c r="B183" s="2">
        <v>5.6797540552364412</v>
      </c>
      <c r="D183" s="2">
        <v>2.5</v>
      </c>
      <c r="E183" s="2">
        <v>4.5</v>
      </c>
      <c r="F183" s="2">
        <v>6.5</v>
      </c>
    </row>
    <row r="184" spans="1:6" ht="22.5" customHeight="1" x14ac:dyDescent="0.25">
      <c r="A184" s="3">
        <v>41699</v>
      </c>
      <c r="B184" s="2">
        <v>6.1530882776396734</v>
      </c>
      <c r="D184" s="2">
        <v>2.5</v>
      </c>
      <c r="E184" s="2">
        <v>4.5</v>
      </c>
      <c r="F184" s="2">
        <v>6.5</v>
      </c>
    </row>
    <row r="185" spans="1:6" ht="22.5" customHeight="1" x14ac:dyDescent="0.25">
      <c r="A185" s="3">
        <v>41730</v>
      </c>
      <c r="B185" s="2">
        <v>6.279775205469762</v>
      </c>
      <c r="D185" s="2">
        <v>2.5</v>
      </c>
      <c r="E185" s="2">
        <v>4.5</v>
      </c>
      <c r="F185" s="2">
        <v>6.5</v>
      </c>
    </row>
    <row r="186" spans="1:6" ht="22.5" customHeight="1" x14ac:dyDescent="0.25">
      <c r="A186" s="3">
        <v>41760</v>
      </c>
      <c r="B186" s="2">
        <v>6.3750743961491496</v>
      </c>
      <c r="D186" s="2">
        <v>2.5</v>
      </c>
      <c r="E186" s="2">
        <v>4.5</v>
      </c>
      <c r="F186" s="2">
        <v>6.5</v>
      </c>
    </row>
    <row r="187" spans="1:6" ht="22.5" customHeight="1" x14ac:dyDescent="0.25">
      <c r="A187" s="3">
        <v>41791</v>
      </c>
      <c r="B187" s="2">
        <v>6.5236132991559836</v>
      </c>
      <c r="D187" s="2">
        <v>2.5</v>
      </c>
      <c r="E187" s="2">
        <v>4.5</v>
      </c>
      <c r="F187" s="2">
        <v>6.5</v>
      </c>
    </row>
    <row r="188" spans="1:6" ht="22.5" customHeight="1" x14ac:dyDescent="0.25">
      <c r="A188" s="3">
        <v>41821</v>
      </c>
      <c r="B188" s="2">
        <v>6.5023149659961144</v>
      </c>
      <c r="D188" s="2">
        <v>2.5</v>
      </c>
      <c r="E188" s="2">
        <v>4.5</v>
      </c>
      <c r="F188" s="2">
        <v>6.5</v>
      </c>
    </row>
    <row r="189" spans="1:6" ht="22.5" customHeight="1" x14ac:dyDescent="0.25">
      <c r="A189" s="3">
        <v>41852</v>
      </c>
      <c r="B189" s="2">
        <v>6.5129396981355558</v>
      </c>
      <c r="D189" s="2">
        <v>2.5</v>
      </c>
      <c r="E189" s="2">
        <v>4.5</v>
      </c>
      <c r="F189" s="2">
        <v>6.5</v>
      </c>
    </row>
    <row r="190" spans="1:6" ht="22.5" customHeight="1" x14ac:dyDescent="0.25">
      <c r="A190" s="3">
        <v>41883</v>
      </c>
      <c r="B190" s="2">
        <v>6.7464508763476649</v>
      </c>
      <c r="D190" s="2">
        <v>2.5</v>
      </c>
      <c r="E190" s="2">
        <v>4.5</v>
      </c>
      <c r="F190" s="2">
        <v>6.5</v>
      </c>
    </row>
    <row r="191" spans="1:6" ht="22.5" customHeight="1" x14ac:dyDescent="0.25">
      <c r="A191" s="3">
        <v>41913</v>
      </c>
      <c r="B191" s="2">
        <v>6.5872387093848683</v>
      </c>
      <c r="D191" s="2">
        <v>2.5</v>
      </c>
      <c r="E191" s="2">
        <v>4.5</v>
      </c>
      <c r="F191" s="2">
        <v>6.5</v>
      </c>
    </row>
    <row r="192" spans="1:6" ht="22.5" customHeight="1" x14ac:dyDescent="0.25">
      <c r="A192" s="3">
        <v>41944</v>
      </c>
      <c r="B192" s="2">
        <v>6.5554342816816602</v>
      </c>
      <c r="D192" s="2">
        <v>2.5</v>
      </c>
      <c r="E192" s="2">
        <v>4.5</v>
      </c>
      <c r="F192" s="2">
        <v>6.5</v>
      </c>
    </row>
    <row r="193" spans="1:6" ht="22.5" customHeight="1" x14ac:dyDescent="0.25">
      <c r="A193" s="3">
        <v>41974</v>
      </c>
      <c r="B193" s="2">
        <v>6.407616596391974</v>
      </c>
      <c r="D193" s="2">
        <v>2.5</v>
      </c>
      <c r="E193" s="2">
        <v>4.5</v>
      </c>
      <c r="F193" s="2">
        <v>6.5</v>
      </c>
    </row>
    <row r="194" spans="1:6" ht="22.5" customHeight="1" x14ac:dyDescent="0.25">
      <c r="A194" s="3">
        <v>42005</v>
      </c>
      <c r="B194" s="2">
        <v>7.1378130703005471</v>
      </c>
      <c r="D194" s="2">
        <v>2.5</v>
      </c>
      <c r="E194" s="2">
        <v>4.5</v>
      </c>
      <c r="F194" s="2">
        <v>6.5</v>
      </c>
    </row>
    <row r="195" spans="1:6" ht="22.5" customHeight="1" x14ac:dyDescent="0.25">
      <c r="A195" s="3">
        <v>42036</v>
      </c>
      <c r="B195" s="2">
        <v>7.7017522988958254</v>
      </c>
      <c r="D195" s="2">
        <v>2.5</v>
      </c>
      <c r="E195" s="2">
        <v>4.5</v>
      </c>
      <c r="F195" s="2">
        <v>6.5</v>
      </c>
    </row>
    <row r="196" spans="1:6" ht="22.5" customHeight="1" x14ac:dyDescent="0.25">
      <c r="A196" s="3">
        <v>42064</v>
      </c>
      <c r="B196" s="2">
        <v>8.1286320147059712</v>
      </c>
      <c r="D196" s="2">
        <v>2.5</v>
      </c>
      <c r="E196" s="2">
        <v>4.5</v>
      </c>
      <c r="F196" s="2">
        <v>6.5</v>
      </c>
    </row>
    <row r="197" spans="1:6" ht="22.5" customHeight="1" x14ac:dyDescent="0.25">
      <c r="A197" s="3">
        <v>42095</v>
      </c>
      <c r="B197" s="2">
        <v>8.171595611413963</v>
      </c>
      <c r="D197" s="2">
        <v>2.5</v>
      </c>
      <c r="E197" s="2">
        <v>4.5</v>
      </c>
      <c r="F197" s="2">
        <v>6.5</v>
      </c>
    </row>
    <row r="198" spans="1:6" ht="22.5" customHeight="1" x14ac:dyDescent="0.25">
      <c r="A198" s="3">
        <v>42125</v>
      </c>
      <c r="B198" s="2">
        <v>8.4730892085789655</v>
      </c>
      <c r="D198" s="2">
        <v>2.5</v>
      </c>
      <c r="E198" s="2">
        <v>4.5</v>
      </c>
      <c r="F198" s="2">
        <v>6.5</v>
      </c>
    </row>
    <row r="199" spans="1:6" ht="22.5" customHeight="1" x14ac:dyDescent="0.25">
      <c r="A199" s="3">
        <v>42156</v>
      </c>
      <c r="B199" s="2">
        <v>8.8944488180545243</v>
      </c>
      <c r="D199" s="2">
        <v>2.5</v>
      </c>
      <c r="E199" s="2">
        <v>4.5</v>
      </c>
      <c r="F199" s="2">
        <v>6.5</v>
      </c>
    </row>
    <row r="200" spans="1:6" ht="22.5" customHeight="1" x14ac:dyDescent="0.25">
      <c r="A200" s="3">
        <v>42186</v>
      </c>
      <c r="B200" s="2">
        <v>9.5586385368727544</v>
      </c>
      <c r="D200" s="2">
        <v>2.5</v>
      </c>
      <c r="E200" s="2">
        <v>4.5</v>
      </c>
      <c r="F200" s="2">
        <v>6.5</v>
      </c>
    </row>
    <row r="201" spans="1:6" ht="22.5" customHeight="1" x14ac:dyDescent="0.25">
      <c r="A201" s="3">
        <v>42217</v>
      </c>
      <c r="B201" s="2">
        <v>9.5258529093804398</v>
      </c>
      <c r="D201" s="2">
        <v>2.5</v>
      </c>
      <c r="E201" s="2">
        <v>4.5</v>
      </c>
      <c r="F201" s="2">
        <v>6.5</v>
      </c>
    </row>
    <row r="202" spans="1:6" ht="22.5" customHeight="1" x14ac:dyDescent="0.25">
      <c r="A202" s="3">
        <v>42248</v>
      </c>
      <c r="B202" s="2">
        <v>9.4931813812181289</v>
      </c>
      <c r="D202" s="2">
        <v>2.5</v>
      </c>
      <c r="E202" s="2">
        <v>4.5</v>
      </c>
      <c r="F202" s="2">
        <v>6.5</v>
      </c>
    </row>
    <row r="203" spans="1:6" ht="22.5" customHeight="1" x14ac:dyDescent="0.25">
      <c r="A203" s="3">
        <v>42278</v>
      </c>
      <c r="B203" s="2">
        <v>9.9293223148219312</v>
      </c>
      <c r="D203" s="2">
        <v>2.5</v>
      </c>
      <c r="E203" s="2">
        <v>4.5</v>
      </c>
      <c r="F203" s="2">
        <v>6.5</v>
      </c>
    </row>
    <row r="204" spans="1:6" ht="22.5" customHeight="1" x14ac:dyDescent="0.25">
      <c r="A204" s="3">
        <v>42309</v>
      </c>
      <c r="B204" s="2">
        <v>10.476179952444099</v>
      </c>
      <c r="D204" s="2">
        <v>2.5</v>
      </c>
      <c r="E204" s="2">
        <v>4.5</v>
      </c>
      <c r="F204" s="2">
        <v>6.5</v>
      </c>
    </row>
    <row r="205" spans="1:6" ht="22.5" customHeight="1" x14ac:dyDescent="0.25">
      <c r="A205" s="3">
        <v>42339</v>
      </c>
      <c r="B205" s="2">
        <v>10.673497995621716</v>
      </c>
      <c r="D205" s="2">
        <v>2.5</v>
      </c>
      <c r="E205" s="2">
        <v>4.5</v>
      </c>
      <c r="F205" s="2">
        <v>6.5</v>
      </c>
    </row>
    <row r="206" spans="1:6" ht="22.5" customHeight="1" x14ac:dyDescent="0.25">
      <c r="A206" s="3">
        <v>42370</v>
      </c>
      <c r="B206" s="2">
        <v>10.706293382226528</v>
      </c>
      <c r="D206" s="2">
        <v>2.5</v>
      </c>
      <c r="E206" s="2">
        <v>4.5</v>
      </c>
      <c r="F206" s="2">
        <v>6.5</v>
      </c>
    </row>
    <row r="207" spans="1:6" ht="22.5" customHeight="1" x14ac:dyDescent="0.25">
      <c r="A207" s="3">
        <v>42401</v>
      </c>
      <c r="B207" s="2">
        <v>10.35630312454705</v>
      </c>
      <c r="D207" s="2">
        <v>2.5</v>
      </c>
      <c r="E207" s="2">
        <v>4.5</v>
      </c>
      <c r="F207" s="2">
        <v>6.5</v>
      </c>
    </row>
    <row r="208" spans="1:6" ht="22.5" customHeight="1" x14ac:dyDescent="0.25">
      <c r="A208" s="3">
        <v>42430</v>
      </c>
      <c r="B208" s="2">
        <v>9.3869277812698382</v>
      </c>
      <c r="D208" s="2">
        <v>2.5</v>
      </c>
      <c r="E208" s="2">
        <v>4.5</v>
      </c>
      <c r="F208" s="2">
        <v>6.5</v>
      </c>
    </row>
    <row r="209" spans="1:6" ht="22.5" customHeight="1" x14ac:dyDescent="0.25">
      <c r="A209" s="3">
        <v>42461</v>
      </c>
      <c r="B209" s="2">
        <v>9.2783120253555396</v>
      </c>
      <c r="D209" s="2">
        <v>2.5</v>
      </c>
      <c r="E209" s="2">
        <v>4.5</v>
      </c>
      <c r="F209" s="2">
        <v>6.5</v>
      </c>
    </row>
    <row r="210" spans="1:6" ht="22.5" customHeight="1" x14ac:dyDescent="0.25">
      <c r="A210" s="3">
        <v>42491</v>
      </c>
      <c r="B210" s="2">
        <v>9.3217022624114456</v>
      </c>
      <c r="D210" s="2">
        <v>2.5</v>
      </c>
      <c r="E210" s="2">
        <v>4.5</v>
      </c>
      <c r="F210" s="2">
        <v>6.5</v>
      </c>
    </row>
    <row r="211" spans="1:6" ht="22.5" customHeight="1" x14ac:dyDescent="0.25">
      <c r="A211" s="3">
        <v>42522</v>
      </c>
      <c r="B211" s="2">
        <v>8.8444570099512898</v>
      </c>
      <c r="D211" s="2">
        <v>2.5</v>
      </c>
      <c r="E211" s="2">
        <v>4.5</v>
      </c>
      <c r="F211" s="2">
        <v>6.5</v>
      </c>
    </row>
    <row r="212" spans="1:6" ht="22.5" customHeight="1" x14ac:dyDescent="0.25">
      <c r="A212" s="3">
        <v>42552</v>
      </c>
      <c r="B212" s="2">
        <v>8.7362832303747204</v>
      </c>
      <c r="D212" s="2">
        <v>2.5</v>
      </c>
      <c r="E212" s="2">
        <v>4.5</v>
      </c>
      <c r="F212" s="2">
        <v>6.5</v>
      </c>
    </row>
    <row r="213" spans="1:6" ht="22.5" customHeight="1" x14ac:dyDescent="0.25">
      <c r="A213" s="3">
        <v>42583</v>
      </c>
      <c r="B213" s="2">
        <v>8.9749779251530484</v>
      </c>
      <c r="D213" s="2">
        <v>2.5</v>
      </c>
      <c r="E213" s="2">
        <v>4.5</v>
      </c>
      <c r="F213" s="2">
        <v>6.5</v>
      </c>
    </row>
    <row r="214" spans="1:6" ht="22.5" customHeight="1" x14ac:dyDescent="0.25">
      <c r="A214" s="3">
        <v>42614</v>
      </c>
      <c r="B214" s="2">
        <v>8.4763854261917118</v>
      </c>
      <c r="D214" s="2">
        <v>2.5</v>
      </c>
      <c r="E214" s="2">
        <v>4.5</v>
      </c>
      <c r="F214" s="2">
        <v>6.5</v>
      </c>
    </row>
    <row r="215" spans="1:6" ht="22.5" customHeight="1" x14ac:dyDescent="0.25">
      <c r="A215" s="3">
        <v>42644</v>
      </c>
      <c r="B215" s="2">
        <v>7.8738583895058722</v>
      </c>
      <c r="D215" s="2">
        <v>2.5</v>
      </c>
      <c r="E215" s="2">
        <v>4.5</v>
      </c>
      <c r="F215" s="2">
        <v>6.5</v>
      </c>
    </row>
    <row r="216" spans="1:6" ht="22.5" customHeight="1" x14ac:dyDescent="0.25">
      <c r="A216" s="3">
        <v>42675</v>
      </c>
      <c r="B216" s="2">
        <v>6.9874580087189164</v>
      </c>
      <c r="D216" s="2">
        <v>2.5</v>
      </c>
      <c r="E216" s="2">
        <v>4.5</v>
      </c>
      <c r="F216" s="2">
        <v>6.5</v>
      </c>
    </row>
    <row r="217" spans="1:6" ht="22.5" customHeight="1" x14ac:dyDescent="0.25">
      <c r="A217" s="3">
        <v>42705</v>
      </c>
      <c r="B217" s="2">
        <v>6.2880550542244729</v>
      </c>
      <c r="D217" s="2">
        <v>2.5</v>
      </c>
      <c r="E217" s="2">
        <v>4.5</v>
      </c>
      <c r="F217" s="2">
        <v>6.5</v>
      </c>
    </row>
    <row r="218" spans="1:6" ht="22.5" customHeight="1" x14ac:dyDescent="0.25">
      <c r="A218" s="3">
        <v>42736</v>
      </c>
      <c r="B218" s="2">
        <v>5.3539544420169616</v>
      </c>
      <c r="D218" s="2">
        <v>3</v>
      </c>
      <c r="E218" s="2">
        <v>4.5</v>
      </c>
      <c r="F218" s="2">
        <v>6</v>
      </c>
    </row>
    <row r="219" spans="1:6" ht="22.5" customHeight="1" x14ac:dyDescent="0.25">
      <c r="A219" s="3">
        <v>42767</v>
      </c>
      <c r="B219" s="2">
        <v>4.7587933515120362</v>
      </c>
      <c r="D219" s="2">
        <v>3</v>
      </c>
      <c r="E219" s="2">
        <v>4.5</v>
      </c>
      <c r="F219" s="2">
        <v>6</v>
      </c>
    </row>
    <row r="220" spans="1:6" ht="22.5" customHeight="1" x14ac:dyDescent="0.25">
      <c r="A220" s="3">
        <v>42795</v>
      </c>
      <c r="B220" s="2">
        <v>4.5710348848857718</v>
      </c>
      <c r="D220" s="2">
        <v>3</v>
      </c>
      <c r="E220" s="2">
        <v>4.5</v>
      </c>
      <c r="F220" s="2">
        <v>6</v>
      </c>
    </row>
    <row r="221" spans="1:6" ht="22.5" customHeight="1" x14ac:dyDescent="0.25">
      <c r="A221" s="3">
        <v>42826</v>
      </c>
      <c r="B221" s="2">
        <v>4.0825308952635142</v>
      </c>
      <c r="D221" s="2">
        <v>3</v>
      </c>
      <c r="E221" s="2">
        <v>4.5</v>
      </c>
      <c r="F221" s="2">
        <v>6</v>
      </c>
    </row>
    <row r="222" spans="1:6" ht="22.5" customHeight="1" x14ac:dyDescent="0.25">
      <c r="A222" s="3">
        <v>42856</v>
      </c>
      <c r="B222" s="2">
        <v>3.5971291337952405</v>
      </c>
      <c r="D222" s="2">
        <v>3</v>
      </c>
      <c r="E222" s="2">
        <v>4.5</v>
      </c>
      <c r="F222" s="2">
        <v>6</v>
      </c>
    </row>
    <row r="223" spans="1:6" ht="22.5" customHeight="1" x14ac:dyDescent="0.25">
      <c r="A223" s="3">
        <v>42887</v>
      </c>
      <c r="B223" s="2">
        <v>2.9983614716367901</v>
      </c>
      <c r="D223" s="2">
        <v>3</v>
      </c>
      <c r="E223" s="2">
        <v>4.5</v>
      </c>
      <c r="F223" s="2">
        <v>6</v>
      </c>
    </row>
    <row r="224" spans="1:6" ht="22.5" customHeight="1" x14ac:dyDescent="0.25">
      <c r="A224" s="3">
        <v>42917</v>
      </c>
      <c r="B224" s="2">
        <v>2.7114579577881992</v>
      </c>
      <c r="D224" s="2">
        <v>3</v>
      </c>
      <c r="E224" s="2">
        <v>4.5</v>
      </c>
      <c r="F224" s="2">
        <v>6</v>
      </c>
    </row>
    <row r="225" spans="1:6" ht="22.5" customHeight="1" x14ac:dyDescent="0.25">
      <c r="A225" s="3">
        <v>42948</v>
      </c>
      <c r="B225" s="2">
        <v>2.4558041894743088</v>
      </c>
      <c r="D225" s="2">
        <v>3</v>
      </c>
      <c r="E225" s="2">
        <v>4.5</v>
      </c>
      <c r="F225" s="2">
        <v>6</v>
      </c>
    </row>
    <row r="226" spans="1:6" ht="22.5" customHeight="1" x14ac:dyDescent="0.25">
      <c r="A226" s="3">
        <v>42979</v>
      </c>
      <c r="B226" s="2">
        <v>2.5377033135266736</v>
      </c>
      <c r="D226" s="2">
        <v>3</v>
      </c>
      <c r="E226" s="2">
        <v>4.5</v>
      </c>
      <c r="F226" s="2">
        <v>6</v>
      </c>
    </row>
    <row r="227" spans="1:6" ht="22.5" customHeight="1" x14ac:dyDescent="0.25">
      <c r="A227" s="3">
        <v>43009</v>
      </c>
      <c r="B227" s="2">
        <v>2.701338188154323</v>
      </c>
      <c r="D227" s="2">
        <v>3</v>
      </c>
      <c r="E227" s="2">
        <v>4.5</v>
      </c>
      <c r="F227" s="2">
        <v>6</v>
      </c>
    </row>
    <row r="228" spans="1:6" ht="22.5" customHeight="1" x14ac:dyDescent="0.25">
      <c r="A228" s="3">
        <v>43040</v>
      </c>
      <c r="B228" s="2">
        <v>2.8038549960881287</v>
      </c>
      <c r="D228" s="2">
        <v>3</v>
      </c>
      <c r="E228" s="2">
        <v>4.5</v>
      </c>
      <c r="F228" s="2">
        <v>6</v>
      </c>
    </row>
    <row r="229" spans="1:6" ht="22.5" customHeight="1" x14ac:dyDescent="0.25">
      <c r="A229" s="3">
        <v>43070</v>
      </c>
      <c r="B229" s="2">
        <v>2.9473499083459087</v>
      </c>
      <c r="D229" s="2">
        <v>3</v>
      </c>
      <c r="E229" s="2">
        <v>4.5</v>
      </c>
      <c r="F229" s="2">
        <v>6</v>
      </c>
    </row>
    <row r="230" spans="1:6" ht="22.5" customHeight="1" x14ac:dyDescent="0.25">
      <c r="A230" s="3">
        <v>43101</v>
      </c>
      <c r="B230" s="2">
        <v>2.8550480405260981</v>
      </c>
      <c r="D230" s="2">
        <v>3</v>
      </c>
      <c r="E230" s="2">
        <v>4.5</v>
      </c>
      <c r="F230" s="2">
        <v>6</v>
      </c>
    </row>
    <row r="231" spans="1:6" ht="22.5" customHeight="1" x14ac:dyDescent="0.25">
      <c r="A231" s="3">
        <v>43132</v>
      </c>
      <c r="B231" s="2">
        <v>2.8447963662471265</v>
      </c>
      <c r="D231" s="2">
        <v>3</v>
      </c>
      <c r="E231" s="2">
        <v>4.5</v>
      </c>
      <c r="F231" s="2">
        <v>6</v>
      </c>
    </row>
    <row r="232" spans="1:6" ht="22.5" customHeight="1" x14ac:dyDescent="0.25">
      <c r="A232" s="3">
        <v>43160</v>
      </c>
      <c r="B232" s="2">
        <v>2.6806550453633449</v>
      </c>
      <c r="D232" s="2">
        <v>3</v>
      </c>
      <c r="E232" s="2">
        <v>4.5</v>
      </c>
      <c r="F232" s="2">
        <v>6</v>
      </c>
    </row>
    <row r="233" spans="1:6" ht="22.5" customHeight="1" x14ac:dyDescent="0.25">
      <c r="A233" s="3">
        <v>43191</v>
      </c>
      <c r="B233" s="2">
        <v>2.7626847278442002</v>
      </c>
      <c r="D233" s="2">
        <v>3</v>
      </c>
      <c r="E233" s="2">
        <v>4.5</v>
      </c>
      <c r="F233" s="2">
        <v>6</v>
      </c>
    </row>
    <row r="234" spans="1:6" ht="22.5" customHeight="1" x14ac:dyDescent="0.25">
      <c r="A234" s="3">
        <v>43221</v>
      </c>
      <c r="B234" s="2">
        <v>2.8548853222565285</v>
      </c>
      <c r="D234" s="2">
        <v>3</v>
      </c>
      <c r="E234" s="2">
        <v>4.5</v>
      </c>
      <c r="F234" s="2">
        <v>6</v>
      </c>
    </row>
    <row r="235" spans="1:6" ht="22.5" customHeight="1" x14ac:dyDescent="0.25">
      <c r="A235" s="3">
        <v>43252</v>
      </c>
      <c r="B235" s="2">
        <v>4.3909560762924515</v>
      </c>
      <c r="D235" s="2">
        <v>3</v>
      </c>
      <c r="E235" s="2">
        <v>4.5</v>
      </c>
      <c r="F235" s="2">
        <v>6</v>
      </c>
    </row>
    <row r="236" spans="1:6" ht="22.5" customHeight="1" x14ac:dyDescent="0.25">
      <c r="A236" s="3">
        <v>43282</v>
      </c>
      <c r="B236" s="2">
        <v>4.4846829921629805</v>
      </c>
      <c r="D236" s="2">
        <v>3</v>
      </c>
      <c r="E236" s="2">
        <v>4.5</v>
      </c>
      <c r="F236" s="2">
        <v>6</v>
      </c>
    </row>
    <row r="237" spans="1:6" ht="22.5" customHeight="1" x14ac:dyDescent="0.25">
      <c r="A237" s="3">
        <v>43313</v>
      </c>
      <c r="B237" s="2">
        <v>4.1926806841701358</v>
      </c>
      <c r="D237" s="2">
        <v>3</v>
      </c>
      <c r="E237" s="2">
        <v>4.5</v>
      </c>
      <c r="F237" s="2">
        <v>6</v>
      </c>
    </row>
    <row r="238" spans="1:6" ht="22.5" customHeight="1" x14ac:dyDescent="0.25">
      <c r="A238" s="3">
        <v>43344</v>
      </c>
      <c r="B238" s="2">
        <v>4.5255646480173439</v>
      </c>
      <c r="D238" s="2">
        <v>3</v>
      </c>
      <c r="E238" s="2">
        <v>4.5</v>
      </c>
      <c r="F238" s="2">
        <v>6</v>
      </c>
    </row>
    <row r="239" spans="1:6" ht="22.5" customHeight="1" x14ac:dyDescent="0.25">
      <c r="A239" s="3">
        <v>43374</v>
      </c>
      <c r="B239" s="2">
        <v>4.5567911660360449</v>
      </c>
      <c r="D239" s="2">
        <v>3</v>
      </c>
      <c r="E239" s="2">
        <v>4.5</v>
      </c>
      <c r="F239" s="2">
        <v>6</v>
      </c>
    </row>
    <row r="240" spans="1:6" ht="22.5" customHeight="1" x14ac:dyDescent="0.25">
      <c r="A240" s="3">
        <v>43405</v>
      </c>
      <c r="B240" s="2">
        <v>4.0458934030587868</v>
      </c>
      <c r="D240" s="2">
        <v>3</v>
      </c>
      <c r="E240" s="2">
        <v>4.5</v>
      </c>
      <c r="F240" s="2">
        <v>6</v>
      </c>
    </row>
    <row r="241" spans="1:6" ht="22.5" customHeight="1" x14ac:dyDescent="0.25">
      <c r="A241" s="3">
        <v>43435</v>
      </c>
      <c r="B241" s="2">
        <v>3.7454821218273482</v>
      </c>
      <c r="D241" s="2">
        <v>3</v>
      </c>
      <c r="E241" s="2">
        <v>4.5</v>
      </c>
      <c r="F241" s="2">
        <v>6</v>
      </c>
    </row>
    <row r="242" spans="1:6" ht="22.5" customHeight="1" x14ac:dyDescent="0.25">
      <c r="A242" s="3">
        <v>43466</v>
      </c>
      <c r="B242" s="2">
        <v>3.7765157688874673</v>
      </c>
      <c r="D242" s="2">
        <v>2.75</v>
      </c>
      <c r="E242" s="2">
        <v>4.25</v>
      </c>
      <c r="F242" s="2">
        <v>5.75</v>
      </c>
    </row>
    <row r="243" spans="1:6" ht="22.5" customHeight="1" x14ac:dyDescent="0.25">
      <c r="A243" s="3">
        <v>43497</v>
      </c>
      <c r="B243" s="2">
        <v>3.8903058081077413</v>
      </c>
      <c r="D243" s="2">
        <v>2.75</v>
      </c>
      <c r="E243" s="2">
        <v>4.25</v>
      </c>
      <c r="F243" s="2">
        <v>5.75</v>
      </c>
    </row>
    <row r="244" spans="1:6" ht="22.5" customHeight="1" x14ac:dyDescent="0.25">
      <c r="A244" s="3">
        <v>43525</v>
      </c>
      <c r="B244" s="2">
        <v>4.5753652729229488</v>
      </c>
      <c r="D244" s="2">
        <v>2.75</v>
      </c>
      <c r="E244" s="2">
        <v>4.25</v>
      </c>
      <c r="F244" s="2">
        <v>5.75</v>
      </c>
    </row>
    <row r="245" spans="1:6" ht="22.5" customHeight="1" x14ac:dyDescent="0.25">
      <c r="A245" s="3">
        <v>43556</v>
      </c>
      <c r="B245" s="2">
        <v>4.9405755886834823</v>
      </c>
      <c r="D245" s="2">
        <v>2.75</v>
      </c>
      <c r="E245" s="2">
        <v>4.25</v>
      </c>
      <c r="F245" s="2">
        <v>5.75</v>
      </c>
    </row>
    <row r="246" spans="1:6" ht="22.5" customHeight="1" x14ac:dyDescent="0.25">
      <c r="A246" s="3">
        <v>43586</v>
      </c>
      <c r="B246" s="2">
        <v>4.6583648774390252</v>
      </c>
      <c r="D246" s="2">
        <v>2.75</v>
      </c>
      <c r="E246" s="2">
        <v>4.25</v>
      </c>
      <c r="F246" s="2">
        <v>5.75</v>
      </c>
    </row>
    <row r="247" spans="1:6" ht="22.5" customHeight="1" x14ac:dyDescent="0.25">
      <c r="A247" s="3">
        <v>43617</v>
      </c>
      <c r="B247" s="2">
        <v>3.366413898801901</v>
      </c>
      <c r="D247" s="2">
        <v>2.75</v>
      </c>
      <c r="E247" s="2">
        <v>4.25</v>
      </c>
      <c r="F247" s="2">
        <v>5.75</v>
      </c>
    </row>
    <row r="248" spans="1:6" ht="22.5" customHeight="1" x14ac:dyDescent="0.25">
      <c r="A248" s="3">
        <v>43647</v>
      </c>
      <c r="B248" s="2">
        <v>3.2221769014348478</v>
      </c>
      <c r="D248" s="2">
        <v>2.75</v>
      </c>
      <c r="E248" s="2">
        <v>4.25</v>
      </c>
      <c r="F248" s="2">
        <v>5.75</v>
      </c>
    </row>
    <row r="249" spans="1:6" ht="22.5" customHeight="1" x14ac:dyDescent="0.25">
      <c r="A249" s="3">
        <v>43678</v>
      </c>
      <c r="B249" s="2">
        <v>3.4288072225266975</v>
      </c>
      <c r="D249" s="2">
        <v>2.75</v>
      </c>
      <c r="E249" s="2">
        <v>4.25</v>
      </c>
      <c r="F249" s="2">
        <v>5.75</v>
      </c>
    </row>
    <row r="250" spans="1:6" ht="22.5" customHeight="1" x14ac:dyDescent="0.25">
      <c r="A250" s="3">
        <v>43709</v>
      </c>
      <c r="B250" s="2">
        <v>2.8935466755948713</v>
      </c>
      <c r="D250" s="2">
        <v>2.75</v>
      </c>
      <c r="E250" s="2">
        <v>4.25</v>
      </c>
      <c r="F250" s="2">
        <v>5.75</v>
      </c>
    </row>
    <row r="251" spans="1:6" ht="22.5" customHeight="1" x14ac:dyDescent="0.25">
      <c r="A251" s="3">
        <v>43739</v>
      </c>
      <c r="B251" s="2">
        <v>2.5350325756799297</v>
      </c>
      <c r="D251" s="2">
        <v>2.75</v>
      </c>
      <c r="E251" s="2">
        <v>4.25</v>
      </c>
      <c r="F251" s="2">
        <v>5.75</v>
      </c>
    </row>
    <row r="252" spans="1:6" ht="22.5" customHeight="1" x14ac:dyDescent="0.25">
      <c r="A252" s="3">
        <v>43770</v>
      </c>
      <c r="B252" s="2">
        <v>3.2748384024610333</v>
      </c>
      <c r="D252" s="2">
        <v>2.75</v>
      </c>
      <c r="E252" s="2">
        <v>4.25</v>
      </c>
      <c r="F252" s="2">
        <v>5.75</v>
      </c>
    </row>
    <row r="253" spans="1:6" ht="22.5" customHeight="1" x14ac:dyDescent="0.25">
      <c r="A253" s="3">
        <v>43800</v>
      </c>
      <c r="B253" s="2">
        <v>4.3060399841131858</v>
      </c>
      <c r="D253" s="2">
        <v>2.75</v>
      </c>
      <c r="E253" s="2">
        <v>4.25</v>
      </c>
      <c r="F253" s="2">
        <v>5.75</v>
      </c>
    </row>
    <row r="254" spans="1:6" ht="22.5" customHeight="1" x14ac:dyDescent="0.25">
      <c r="A254" s="3">
        <v>43831</v>
      </c>
      <c r="B254" s="2">
        <v>4.1916693262358695</v>
      </c>
      <c r="D254" s="2">
        <v>2.5</v>
      </c>
      <c r="E254" s="2">
        <v>4</v>
      </c>
      <c r="F254" s="2">
        <v>5.5</v>
      </c>
    </row>
    <row r="255" spans="1:6" ht="22.5" customHeight="1" x14ac:dyDescent="0.25">
      <c r="A255" s="3">
        <v>43862</v>
      </c>
      <c r="B255" s="2">
        <v>4.004927312109352</v>
      </c>
      <c r="D255" s="2">
        <v>2.5</v>
      </c>
      <c r="E255" s="2">
        <v>4</v>
      </c>
      <c r="F255" s="2">
        <v>5.5</v>
      </c>
    </row>
    <row r="256" spans="1:6" ht="22.5" customHeight="1" x14ac:dyDescent="0.25">
      <c r="A256" s="3">
        <v>43891</v>
      </c>
      <c r="B256" s="2">
        <v>3.302958571938297</v>
      </c>
      <c r="D256" s="2">
        <v>2.5</v>
      </c>
      <c r="E256" s="2">
        <v>4</v>
      </c>
      <c r="F256" s="2">
        <v>5.5</v>
      </c>
    </row>
    <row r="257" spans="1:6" ht="22.5" customHeight="1" x14ac:dyDescent="0.25">
      <c r="A257" s="3">
        <v>43922</v>
      </c>
      <c r="B257" s="2">
        <v>2.39904484475022</v>
      </c>
      <c r="D257" s="2">
        <v>2.5</v>
      </c>
      <c r="E257" s="2">
        <v>4</v>
      </c>
      <c r="F257" s="2">
        <v>5.5</v>
      </c>
    </row>
    <row r="258" spans="1:6" ht="22.5" customHeight="1" x14ac:dyDescent="0.25">
      <c r="A258" s="3">
        <v>43952</v>
      </c>
      <c r="B258" s="2">
        <v>1.8774877402777834</v>
      </c>
      <c r="D258" s="2">
        <v>2.5</v>
      </c>
      <c r="E258" s="2">
        <v>4</v>
      </c>
      <c r="F258" s="2">
        <v>5.5</v>
      </c>
    </row>
    <row r="259" spans="1:6" ht="22.5" customHeight="1" x14ac:dyDescent="0.25">
      <c r="A259" s="3">
        <v>43983</v>
      </c>
      <c r="B259" s="2">
        <v>2.1321559928031864</v>
      </c>
      <c r="D259" s="2">
        <v>2.5</v>
      </c>
      <c r="E259" s="2">
        <v>4</v>
      </c>
      <c r="F259" s="2">
        <v>5.5</v>
      </c>
    </row>
    <row r="260" spans="1:6" ht="22.5" customHeight="1" x14ac:dyDescent="0.25">
      <c r="A260" s="3">
        <v>44013</v>
      </c>
      <c r="B260" s="2">
        <v>2.3054513967235568</v>
      </c>
      <c r="D260" s="2">
        <v>2.5</v>
      </c>
      <c r="E260" s="2">
        <v>4</v>
      </c>
      <c r="F260" s="2">
        <v>5.5</v>
      </c>
    </row>
    <row r="261" spans="1:6" ht="22.5" customHeight="1" x14ac:dyDescent="0.25">
      <c r="A261" s="3">
        <v>44044</v>
      </c>
      <c r="B261" s="2">
        <v>2.438302347493404</v>
      </c>
      <c r="D261" s="2">
        <v>2.5</v>
      </c>
      <c r="E261" s="2">
        <v>4</v>
      </c>
      <c r="F261" s="2">
        <v>5.5</v>
      </c>
    </row>
    <row r="262" spans="1:6" ht="22.5" customHeight="1" x14ac:dyDescent="0.25">
      <c r="A262" s="3">
        <v>44075</v>
      </c>
      <c r="B262" s="2">
        <v>3.1351615471362448</v>
      </c>
      <c r="D262" s="2">
        <v>2.5</v>
      </c>
      <c r="E262" s="2">
        <v>4</v>
      </c>
      <c r="F262" s="2">
        <v>5.5</v>
      </c>
    </row>
    <row r="263" spans="1:6" ht="22.5" customHeight="1" x14ac:dyDescent="0.25">
      <c r="A263" s="3">
        <v>44105</v>
      </c>
      <c r="B263" s="2">
        <v>3.9182057307108664</v>
      </c>
      <c r="D263" s="2">
        <v>2.5</v>
      </c>
      <c r="E263" s="2">
        <v>4</v>
      </c>
      <c r="F263" s="2">
        <v>5.5</v>
      </c>
    </row>
    <row r="264" spans="1:6" ht="22.5" customHeight="1" x14ac:dyDescent="0.25">
      <c r="A264" s="3">
        <v>44136</v>
      </c>
      <c r="B264" s="2">
        <v>4.3110911966114607</v>
      </c>
      <c r="D264" s="2">
        <v>2.5</v>
      </c>
      <c r="E264" s="2">
        <v>4</v>
      </c>
      <c r="F264" s="2">
        <v>5.5</v>
      </c>
    </row>
    <row r="265" spans="1:6" ht="22.5" customHeight="1" x14ac:dyDescent="0.25">
      <c r="A265" s="3">
        <v>44166</v>
      </c>
      <c r="B265" s="2">
        <v>4.517341500509886</v>
      </c>
      <c r="D265" s="2">
        <v>2.5</v>
      </c>
      <c r="E265" s="2">
        <v>4</v>
      </c>
      <c r="F265" s="2">
        <v>5.5</v>
      </c>
    </row>
    <row r="266" spans="1:6" ht="22.5" customHeight="1" x14ac:dyDescent="0.25">
      <c r="A266" s="3">
        <v>44197</v>
      </c>
      <c r="B266" s="2">
        <v>4.5590608265254406</v>
      </c>
      <c r="D266" s="2">
        <v>2.25</v>
      </c>
      <c r="E266" s="2">
        <v>3.75</v>
      </c>
      <c r="F266" s="2">
        <v>5.25</v>
      </c>
    </row>
    <row r="267" spans="1:6" ht="22.5" customHeight="1" x14ac:dyDescent="0.25">
      <c r="A267" s="3">
        <v>44228</v>
      </c>
      <c r="B267" s="2">
        <v>5.1952805482628817</v>
      </c>
      <c r="D267" s="2">
        <v>2.25</v>
      </c>
      <c r="E267" s="2">
        <v>3.75</v>
      </c>
      <c r="F267" s="2">
        <v>5.25</v>
      </c>
    </row>
    <row r="268" spans="1:6" ht="22.5" customHeight="1" x14ac:dyDescent="0.25">
      <c r="A268" s="3">
        <v>44256</v>
      </c>
      <c r="B268" s="2">
        <v>6.0993271283718897</v>
      </c>
      <c r="D268" s="2">
        <v>2.25</v>
      </c>
      <c r="E268" s="2">
        <v>3.75</v>
      </c>
      <c r="F268" s="2">
        <v>5.25</v>
      </c>
    </row>
    <row r="269" spans="1:6" ht="22.5" customHeight="1" x14ac:dyDescent="0.25">
      <c r="A269" s="3">
        <v>44287</v>
      </c>
      <c r="B269" s="2">
        <v>6.7591885269032925</v>
      </c>
      <c r="D269" s="2">
        <v>2.25</v>
      </c>
      <c r="E269" s="2">
        <v>3.75</v>
      </c>
      <c r="F269" s="2">
        <v>5.25</v>
      </c>
    </row>
    <row r="270" spans="1:6" ht="22.5" customHeight="1" x14ac:dyDescent="0.25">
      <c r="A270" s="3">
        <v>44317</v>
      </c>
      <c r="B270" s="2">
        <v>8.0559022201129658</v>
      </c>
      <c r="D270" s="2">
        <v>2.25</v>
      </c>
      <c r="E270" s="2">
        <v>3.75</v>
      </c>
      <c r="F270" s="2">
        <v>5.25</v>
      </c>
    </row>
    <row r="271" spans="1:6" ht="22.5" customHeight="1" x14ac:dyDescent="0.25">
      <c r="A271" s="3">
        <v>44348</v>
      </c>
      <c r="B271" s="2">
        <v>8.3468965707955256</v>
      </c>
      <c r="D271" s="2">
        <v>2.25</v>
      </c>
      <c r="E271" s="2">
        <v>3.75</v>
      </c>
      <c r="F271" s="2">
        <v>5.25</v>
      </c>
    </row>
    <row r="272" spans="1:6" ht="22.5" customHeight="1" x14ac:dyDescent="0.25">
      <c r="A272" s="3">
        <v>44378</v>
      </c>
      <c r="B272" s="2">
        <v>8.9946460520876634</v>
      </c>
      <c r="D272" s="2">
        <v>2.25</v>
      </c>
      <c r="E272" s="2">
        <v>3.75</v>
      </c>
      <c r="F272" s="2">
        <v>5.25</v>
      </c>
    </row>
    <row r="273" spans="1:6" ht="22.5" customHeight="1" x14ac:dyDescent="0.25">
      <c r="A273" s="3">
        <v>44409</v>
      </c>
      <c r="B273" s="2">
        <v>9.679668268895437</v>
      </c>
      <c r="D273" s="2">
        <v>2.25</v>
      </c>
      <c r="E273" s="2">
        <v>3.75</v>
      </c>
      <c r="F273" s="2">
        <v>5.25</v>
      </c>
    </row>
    <row r="274" spans="1:6" ht="22.5" customHeight="1" x14ac:dyDescent="0.25">
      <c r="A274" s="3">
        <v>44440</v>
      </c>
      <c r="B274" s="2">
        <v>10.246375616866722</v>
      </c>
      <c r="D274" s="2">
        <v>2.25</v>
      </c>
      <c r="E274" s="2">
        <v>3.75</v>
      </c>
      <c r="F274" s="2">
        <v>5.25</v>
      </c>
    </row>
    <row r="275" spans="1:6" ht="22.5" customHeight="1" x14ac:dyDescent="0.25">
      <c r="A275" s="3">
        <v>44470</v>
      </c>
      <c r="B275" s="2">
        <v>10.672670347092584</v>
      </c>
      <c r="D275" s="2">
        <v>2.25</v>
      </c>
      <c r="E275" s="2">
        <v>3.75</v>
      </c>
      <c r="F275" s="2">
        <v>5.25</v>
      </c>
    </row>
    <row r="276" spans="1:6" ht="22.5" customHeight="1" x14ac:dyDescent="0.25">
      <c r="A276" s="3">
        <v>44501</v>
      </c>
      <c r="B276" s="2">
        <v>10.738488170671022</v>
      </c>
      <c r="D276" s="2">
        <v>2.25</v>
      </c>
      <c r="E276" s="2">
        <v>3.75</v>
      </c>
      <c r="F276" s="2">
        <v>5.25</v>
      </c>
    </row>
    <row r="277" spans="1:6" ht="22.5" customHeight="1" x14ac:dyDescent="0.25">
      <c r="A277" s="3">
        <v>44531</v>
      </c>
      <c r="B277" s="2">
        <v>10.061054893257904</v>
      </c>
      <c r="D277" s="2">
        <v>2.25</v>
      </c>
      <c r="E277" s="2">
        <v>3.75</v>
      </c>
      <c r="F277" s="2">
        <v>5.25</v>
      </c>
    </row>
    <row r="278" spans="1:6" ht="22.5" customHeight="1" x14ac:dyDescent="0.25">
      <c r="A278" s="3">
        <v>44562</v>
      </c>
      <c r="B278" s="2">
        <v>10.379435999682297</v>
      </c>
      <c r="C278" s="2">
        <f>B278</f>
        <v>10.379435999682297</v>
      </c>
      <c r="D278" s="2">
        <v>2</v>
      </c>
      <c r="E278" s="2">
        <v>3.5</v>
      </c>
      <c r="F278" s="2">
        <v>5</v>
      </c>
    </row>
    <row r="279" spans="1:6" ht="22.5" customHeight="1" x14ac:dyDescent="0.25">
      <c r="A279" s="3">
        <v>44593</v>
      </c>
      <c r="C279" s="2">
        <v>10.162696736696407</v>
      </c>
      <c r="D279" s="2">
        <v>2</v>
      </c>
      <c r="E279" s="2">
        <v>3.5</v>
      </c>
      <c r="F279" s="2">
        <v>5</v>
      </c>
    </row>
    <row r="280" spans="1:6" ht="22.5" customHeight="1" x14ac:dyDescent="0.25">
      <c r="A280" s="3">
        <v>44621</v>
      </c>
      <c r="C280" s="2">
        <v>9.6829830876322696</v>
      </c>
      <c r="D280" s="2">
        <v>2</v>
      </c>
      <c r="E280" s="2">
        <v>3.5</v>
      </c>
      <c r="F280" s="2">
        <v>5</v>
      </c>
    </row>
    <row r="281" spans="1:6" ht="22.5" customHeight="1" x14ac:dyDescent="0.25">
      <c r="A281" s="3">
        <v>44652</v>
      </c>
      <c r="C281" s="2">
        <v>9.9678094864577673</v>
      </c>
      <c r="D281" s="2">
        <v>2</v>
      </c>
      <c r="E281" s="2">
        <v>3.5</v>
      </c>
      <c r="F281" s="2">
        <v>5</v>
      </c>
    </row>
    <row r="282" spans="1:6" ht="22.5" customHeight="1" x14ac:dyDescent="0.25">
      <c r="A282" s="3">
        <v>44682</v>
      </c>
      <c r="C282" s="2">
        <v>9.6551602859918937</v>
      </c>
      <c r="D282" s="2">
        <v>2</v>
      </c>
      <c r="E282" s="2">
        <v>3.5</v>
      </c>
      <c r="F282" s="2">
        <v>5</v>
      </c>
    </row>
    <row r="283" spans="1:6" ht="22.5" customHeight="1" x14ac:dyDescent="0.25">
      <c r="A283" s="3">
        <v>44713</v>
      </c>
      <c r="C283" s="2">
        <v>9.5842576616728117</v>
      </c>
      <c r="D283" s="2">
        <v>2</v>
      </c>
      <c r="E283" s="2">
        <v>3.5</v>
      </c>
      <c r="F283" s="2">
        <v>5</v>
      </c>
    </row>
    <row r="284" spans="1:6" ht="22.5" customHeight="1" x14ac:dyDescent="0.25">
      <c r="A284" s="3">
        <v>44743</v>
      </c>
      <c r="C284" s="2">
        <v>9.0125092828272635</v>
      </c>
      <c r="D284" s="2">
        <v>2</v>
      </c>
      <c r="E284" s="2">
        <v>3.5</v>
      </c>
      <c r="F284" s="2">
        <v>5</v>
      </c>
    </row>
    <row r="285" spans="1:6" ht="22.5" customHeight="1" x14ac:dyDescent="0.25">
      <c r="A285" s="3">
        <v>44774</v>
      </c>
      <c r="C285" s="2">
        <v>8.575723553407034</v>
      </c>
      <c r="D285" s="2">
        <v>2</v>
      </c>
      <c r="E285" s="2">
        <v>3.5</v>
      </c>
      <c r="F285" s="2">
        <v>5</v>
      </c>
    </row>
    <row r="286" spans="1:6" ht="22.5" customHeight="1" x14ac:dyDescent="0.25">
      <c r="A286" s="3">
        <v>44805</v>
      </c>
      <c r="C286" s="2">
        <v>7.8282362882793999</v>
      </c>
      <c r="D286" s="2">
        <v>2</v>
      </c>
      <c r="E286" s="2">
        <v>3.5</v>
      </c>
      <c r="F286" s="2">
        <v>5</v>
      </c>
    </row>
    <row r="287" spans="1:6" ht="22.5" customHeight="1" x14ac:dyDescent="0.25">
      <c r="A287" s="3">
        <v>44835</v>
      </c>
      <c r="C287" s="2">
        <v>7.0868182248968292</v>
      </c>
      <c r="D287" s="2">
        <v>2</v>
      </c>
      <c r="E287" s="2">
        <v>3.5</v>
      </c>
      <c r="F287" s="2">
        <v>5</v>
      </c>
    </row>
    <row r="288" spans="1:6" ht="22.5" customHeight="1" x14ac:dyDescent="0.25">
      <c r="A288" s="3">
        <v>44866</v>
      </c>
      <c r="C288" s="2">
        <v>6.539608930643559</v>
      </c>
      <c r="D288" s="2">
        <v>2</v>
      </c>
      <c r="E288" s="2">
        <v>3.5</v>
      </c>
      <c r="F288" s="2">
        <v>5</v>
      </c>
    </row>
    <row r="289" spans="1:6" ht="22.5" customHeight="1" x14ac:dyDescent="0.25">
      <c r="A289" s="3">
        <v>44896</v>
      </c>
      <c r="C289" s="2">
        <v>6.4248399798304545</v>
      </c>
      <c r="D289" s="2">
        <v>2</v>
      </c>
      <c r="E289" s="2">
        <v>3.5</v>
      </c>
      <c r="F289" s="2">
        <v>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16DC-71D4-4D2D-BD60-D286856F8191}">
  <dimension ref="A1:D23"/>
  <sheetViews>
    <sheetView workbookViewId="0"/>
  </sheetViews>
  <sheetFormatPr defaultColWidth="16.25" defaultRowHeight="22.5" customHeight="1" x14ac:dyDescent="0.25"/>
  <cols>
    <col min="1" max="16384" width="16.25" style="2"/>
  </cols>
  <sheetData>
    <row r="1" spans="1:4" ht="22.5" customHeight="1" x14ac:dyDescent="0.25">
      <c r="A1" s="2" t="s">
        <v>0</v>
      </c>
      <c r="B1" s="2" t="s">
        <v>608</v>
      </c>
      <c r="C1" s="2" t="s">
        <v>609</v>
      </c>
      <c r="D1" s="2" t="s">
        <v>415</v>
      </c>
    </row>
    <row r="2" spans="1:4" ht="22.5" customHeight="1" x14ac:dyDescent="0.25">
      <c r="A2" s="3">
        <v>36526</v>
      </c>
      <c r="B2" s="2">
        <v>1.2247754645733133</v>
      </c>
      <c r="C2" s="2">
        <v>3.1631739790754843</v>
      </c>
      <c r="D2" s="1">
        <v>4.3879494436487976</v>
      </c>
    </row>
    <row r="3" spans="1:4" ht="22.5" customHeight="1" x14ac:dyDescent="0.25">
      <c r="A3" s="3">
        <v>36892</v>
      </c>
      <c r="B3" s="2">
        <v>1.8872215147896332</v>
      </c>
      <c r="C3" s="5">
        <v>-0.49732511033146465</v>
      </c>
      <c r="D3" s="2">
        <v>1.3898964044581685</v>
      </c>
    </row>
    <row r="4" spans="1:4" ht="22.5" customHeight="1" x14ac:dyDescent="0.25">
      <c r="A4" s="3">
        <v>37257</v>
      </c>
      <c r="B4" s="2">
        <v>-0.55175640865843534</v>
      </c>
      <c r="C4" s="5">
        <v>3.6052182654947167</v>
      </c>
      <c r="D4" s="2">
        <v>3.0534618568362815</v>
      </c>
    </row>
    <row r="5" spans="1:4" ht="22.5" customHeight="1" x14ac:dyDescent="0.25">
      <c r="A5" s="3">
        <v>37622</v>
      </c>
      <c r="B5" s="2">
        <v>1.5393752020557205</v>
      </c>
      <c r="C5" s="5">
        <v>-0.39854620328483858</v>
      </c>
      <c r="D5" s="2">
        <v>1.140828998770882</v>
      </c>
    </row>
    <row r="6" spans="1:4" ht="22.5" customHeight="1" x14ac:dyDescent="0.25">
      <c r="A6" s="3">
        <v>37987</v>
      </c>
      <c r="B6" s="2">
        <v>1.0252600172568349</v>
      </c>
      <c r="C6" s="5">
        <v>4.7347046196031801</v>
      </c>
      <c r="D6" s="2">
        <v>5.7599646368600155</v>
      </c>
    </row>
    <row r="7" spans="1:4" ht="22.5" customHeight="1" x14ac:dyDescent="0.25">
      <c r="A7" s="3">
        <v>38353</v>
      </c>
      <c r="B7" s="2">
        <v>1.9076871779724058</v>
      </c>
      <c r="C7" s="5">
        <v>1.2944480698025451</v>
      </c>
      <c r="D7" s="2">
        <v>3.202135247774951</v>
      </c>
    </row>
    <row r="8" spans="1:4" ht="22.5" customHeight="1" x14ac:dyDescent="0.25">
      <c r="A8" s="3">
        <v>38718</v>
      </c>
      <c r="B8" s="2">
        <v>0.90047718297498469</v>
      </c>
      <c r="C8" s="5">
        <v>3.0615115157390846</v>
      </c>
      <c r="D8" s="2">
        <v>3.9619886987140696</v>
      </c>
    </row>
    <row r="9" spans="1:4" ht="22.5" customHeight="1" x14ac:dyDescent="0.25">
      <c r="A9" s="3">
        <v>39083</v>
      </c>
      <c r="B9" s="2">
        <v>1.7946862876679792</v>
      </c>
      <c r="C9" s="5">
        <v>4.2751843172093125</v>
      </c>
      <c r="D9" s="2">
        <v>6.0698706048772921</v>
      </c>
    </row>
    <row r="10" spans="1:4" ht="22.5" customHeight="1" x14ac:dyDescent="0.25">
      <c r="A10" s="3">
        <v>39448</v>
      </c>
      <c r="B10" s="2">
        <v>2.0721597758781405</v>
      </c>
      <c r="C10" s="5">
        <v>3.0220356811034801</v>
      </c>
      <c r="D10" s="2">
        <v>5.0941954569816206</v>
      </c>
    </row>
    <row r="11" spans="1:4" ht="22.5" customHeight="1" x14ac:dyDescent="0.25">
      <c r="A11" s="3">
        <v>39814</v>
      </c>
      <c r="B11" s="2">
        <v>-1.5591035914101659</v>
      </c>
      <c r="C11" s="5">
        <v>1.4332915975442562</v>
      </c>
      <c r="D11" s="2">
        <v>-0.12581199386590969</v>
      </c>
    </row>
    <row r="12" spans="1:4" ht="22.5" customHeight="1" x14ac:dyDescent="0.25">
      <c r="A12" s="3">
        <v>40179</v>
      </c>
      <c r="B12" s="2">
        <v>3.5649960092251796</v>
      </c>
      <c r="C12" s="5">
        <v>3.9632298125679313</v>
      </c>
      <c r="D12" s="2">
        <v>7.5282258217931108</v>
      </c>
    </row>
    <row r="13" spans="1:4" ht="22.5" customHeight="1" x14ac:dyDescent="0.25">
      <c r="A13" s="3">
        <v>40544</v>
      </c>
      <c r="B13" s="2">
        <v>1.7687957878432026</v>
      </c>
      <c r="C13" s="5">
        <v>2.2056272775719976</v>
      </c>
      <c r="D13" s="2">
        <v>3.9744230654152002</v>
      </c>
    </row>
    <row r="14" spans="1:4" ht="22.5" customHeight="1" x14ac:dyDescent="0.25">
      <c r="A14" s="3">
        <v>40909</v>
      </c>
      <c r="B14" s="2">
        <v>0.7550448759048034</v>
      </c>
      <c r="C14" s="5">
        <v>1.166131117112218</v>
      </c>
      <c r="D14" s="2">
        <v>1.9211759930170214</v>
      </c>
    </row>
    <row r="15" spans="1:4" ht="22.5" customHeight="1" x14ac:dyDescent="0.25">
      <c r="A15" s="3">
        <v>41275</v>
      </c>
      <c r="B15" s="2">
        <v>1.2925822457574121</v>
      </c>
      <c r="C15" s="5">
        <v>1.7122404186698414</v>
      </c>
      <c r="D15" s="2">
        <v>3.0048226644272535</v>
      </c>
    </row>
    <row r="16" spans="1:4" ht="22.5" customHeight="1" x14ac:dyDescent="0.25">
      <c r="A16" s="3">
        <v>41640</v>
      </c>
      <c r="B16" s="2">
        <v>0.66705371295557869</v>
      </c>
      <c r="C16" s="5">
        <v>-0.1630979587662007</v>
      </c>
      <c r="D16" s="2">
        <v>0.50395575418937799</v>
      </c>
    </row>
    <row r="17" spans="1:4" ht="22.5" customHeight="1" x14ac:dyDescent="0.25">
      <c r="A17" s="3">
        <v>42005</v>
      </c>
      <c r="B17" s="2">
        <v>-2.4443372045998557E-2</v>
      </c>
      <c r="C17" s="5">
        <v>-3.5213200334746202</v>
      </c>
      <c r="D17" s="2">
        <v>-3.5457634055206189</v>
      </c>
    </row>
    <row r="18" spans="1:4" ht="22.5" customHeight="1" x14ac:dyDescent="0.25">
      <c r="A18" s="3">
        <v>42370</v>
      </c>
      <c r="B18" s="2">
        <v>-1.9612860862630228</v>
      </c>
      <c r="C18" s="5">
        <v>-1.3146308152618551</v>
      </c>
      <c r="D18" s="2">
        <v>-3.2759169015248779</v>
      </c>
    </row>
    <row r="19" spans="1:4" ht="22.5" customHeight="1" x14ac:dyDescent="0.25">
      <c r="A19" s="3">
        <v>42736</v>
      </c>
      <c r="B19" s="2">
        <v>-0.32080484305165302</v>
      </c>
      <c r="C19" s="5">
        <v>1.6436738985369181</v>
      </c>
      <c r="D19" s="2">
        <v>1.3228690554852651</v>
      </c>
    </row>
    <row r="20" spans="1:4" ht="22.5" customHeight="1" x14ac:dyDescent="0.25">
      <c r="A20" s="3">
        <v>43101</v>
      </c>
      <c r="B20" s="2">
        <v>0.66620112379500718</v>
      </c>
      <c r="C20" s="5">
        <v>1.1174656310703801</v>
      </c>
      <c r="D20" s="2">
        <v>1.7836667548653873</v>
      </c>
    </row>
    <row r="21" spans="1:4" ht="22.5" customHeight="1" x14ac:dyDescent="0.25">
      <c r="A21" s="3">
        <v>43466</v>
      </c>
      <c r="B21" s="2">
        <v>0.19436680237198689</v>
      </c>
      <c r="C21" s="5">
        <v>1.0264110287477701</v>
      </c>
      <c r="D21" s="2">
        <v>1.220777831119757</v>
      </c>
    </row>
    <row r="22" spans="1:4" ht="22.5" customHeight="1" x14ac:dyDescent="0.25">
      <c r="A22" s="3">
        <v>43831</v>
      </c>
      <c r="B22" s="2">
        <v>0.3525806231253148</v>
      </c>
      <c r="C22" s="5">
        <v>-4.2312569573830503</v>
      </c>
      <c r="D22" s="2">
        <v>-3.8786763342577357</v>
      </c>
    </row>
    <row r="23" spans="1:4" ht="22.5" customHeight="1" x14ac:dyDescent="0.25">
      <c r="A23" s="3">
        <v>44197</v>
      </c>
      <c r="B23" s="2">
        <v>3.7956602116022307</v>
      </c>
      <c r="C23" s="5">
        <v>0.82376140903989725</v>
      </c>
      <c r="D23" s="2">
        <v>4.6194216206421279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2C63-358A-436E-B607-2E4063407282}">
  <dimension ref="A1:D64"/>
  <sheetViews>
    <sheetView topLeftCell="A22" workbookViewId="0">
      <selection activeCell="E22" sqref="E1:E1048576"/>
    </sheetView>
  </sheetViews>
  <sheetFormatPr defaultColWidth="16.25" defaultRowHeight="22.5" customHeight="1" x14ac:dyDescent="0.25"/>
  <cols>
    <col min="1" max="16384" width="16.25" style="2"/>
  </cols>
  <sheetData>
    <row r="1" spans="1:4" ht="22.5" customHeight="1" x14ac:dyDescent="0.25">
      <c r="A1" s="2" t="s">
        <v>0</v>
      </c>
      <c r="B1" s="2" t="s">
        <v>610</v>
      </c>
      <c r="C1" s="2" t="s">
        <v>373</v>
      </c>
      <c r="D1" s="2" t="s">
        <v>611</v>
      </c>
    </row>
    <row r="2" spans="1:4" ht="22.5" customHeight="1" x14ac:dyDescent="0.25">
      <c r="A2" s="3">
        <v>44561</v>
      </c>
      <c r="B2" s="7">
        <v>1</v>
      </c>
      <c r="C2" s="6">
        <v>0.06</v>
      </c>
      <c r="D2" s="1" t="s">
        <v>612</v>
      </c>
    </row>
    <row r="3" spans="1:4" ht="22.5" customHeight="1" x14ac:dyDescent="0.25">
      <c r="A3" s="3">
        <v>44561</v>
      </c>
      <c r="B3" s="7">
        <v>3</v>
      </c>
      <c r="C3" s="6">
        <v>0.06</v>
      </c>
      <c r="D3" s="2" t="s">
        <v>612</v>
      </c>
    </row>
    <row r="4" spans="1:4" ht="22.5" customHeight="1" x14ac:dyDescent="0.25">
      <c r="A4" s="3">
        <v>44561</v>
      </c>
      <c r="B4" s="7">
        <v>6</v>
      </c>
      <c r="C4" s="6">
        <v>0.19</v>
      </c>
      <c r="D4" s="2" t="s">
        <v>612</v>
      </c>
    </row>
    <row r="5" spans="1:4" ht="22.5" customHeight="1" x14ac:dyDescent="0.25">
      <c r="A5" s="3">
        <v>44561</v>
      </c>
      <c r="B5" s="7">
        <v>12</v>
      </c>
      <c r="C5" s="6">
        <v>0.39</v>
      </c>
      <c r="D5" s="2" t="s">
        <v>612</v>
      </c>
    </row>
    <row r="6" spans="1:4" ht="22.5" customHeight="1" x14ac:dyDescent="0.25">
      <c r="A6" s="3">
        <v>44561</v>
      </c>
      <c r="B6" s="7">
        <v>24</v>
      </c>
      <c r="C6" s="6">
        <v>0.73</v>
      </c>
      <c r="D6" s="2" t="s">
        <v>612</v>
      </c>
    </row>
    <row r="7" spans="1:4" ht="22.5" customHeight="1" x14ac:dyDescent="0.25">
      <c r="A7" s="3">
        <v>44561</v>
      </c>
      <c r="B7" s="7">
        <v>36</v>
      </c>
      <c r="C7" s="6">
        <v>0.97</v>
      </c>
      <c r="D7" s="2" t="s">
        <v>612</v>
      </c>
    </row>
    <row r="8" spans="1:4" ht="22.5" customHeight="1" x14ac:dyDescent="0.25">
      <c r="A8" s="3">
        <v>44561</v>
      </c>
      <c r="B8" s="7">
        <v>60</v>
      </c>
      <c r="C8" s="6">
        <v>1.26</v>
      </c>
      <c r="D8" s="2" t="s">
        <v>612</v>
      </c>
    </row>
    <row r="9" spans="1:4" ht="22.5" customHeight="1" x14ac:dyDescent="0.25">
      <c r="A9" s="3">
        <v>44561</v>
      </c>
      <c r="B9" s="7">
        <v>84</v>
      </c>
      <c r="C9" s="6">
        <v>1.44</v>
      </c>
      <c r="D9" s="2" t="s">
        <v>612</v>
      </c>
    </row>
    <row r="10" spans="1:4" ht="22.5" customHeight="1" x14ac:dyDescent="0.25">
      <c r="A10" s="3">
        <v>44561</v>
      </c>
      <c r="B10" s="7">
        <v>120</v>
      </c>
      <c r="C10" s="6">
        <v>1.52</v>
      </c>
      <c r="D10" s="2" t="s">
        <v>612</v>
      </c>
    </row>
    <row r="11" spans="1:4" ht="22.5" customHeight="1" x14ac:dyDescent="0.25">
      <c r="A11" s="3">
        <v>44561</v>
      </c>
      <c r="B11" s="7">
        <v>240</v>
      </c>
      <c r="C11" s="6">
        <v>1.94</v>
      </c>
      <c r="D11" s="2" t="s">
        <v>612</v>
      </c>
    </row>
    <row r="12" spans="1:4" ht="22.5" customHeight="1" x14ac:dyDescent="0.25">
      <c r="A12" s="3">
        <v>44561</v>
      </c>
      <c r="B12" s="7">
        <v>360</v>
      </c>
      <c r="C12" s="6">
        <v>1.9</v>
      </c>
      <c r="D12" s="2" t="s">
        <v>612</v>
      </c>
    </row>
    <row r="13" spans="1:4" ht="22.5" customHeight="1" x14ac:dyDescent="0.25">
      <c r="A13" s="3">
        <v>44561</v>
      </c>
      <c r="B13" s="7">
        <v>60</v>
      </c>
      <c r="C13" s="6">
        <v>-1.61</v>
      </c>
      <c r="D13" s="2" t="s">
        <v>613</v>
      </c>
    </row>
    <row r="14" spans="1:4" ht="22.5" customHeight="1" x14ac:dyDescent="0.25">
      <c r="A14" s="3">
        <v>44561</v>
      </c>
      <c r="B14" s="7">
        <v>84</v>
      </c>
      <c r="C14" s="6">
        <v>-1.31</v>
      </c>
      <c r="D14" s="2" t="s">
        <v>613</v>
      </c>
    </row>
    <row r="15" spans="1:4" ht="22.5" customHeight="1" x14ac:dyDescent="0.25">
      <c r="A15" s="3">
        <v>44561</v>
      </c>
      <c r="B15" s="7">
        <v>120</v>
      </c>
      <c r="C15" s="6">
        <v>-1.04</v>
      </c>
      <c r="D15" s="2" t="s">
        <v>613</v>
      </c>
    </row>
    <row r="16" spans="1:4" ht="22.5" customHeight="1" x14ac:dyDescent="0.25">
      <c r="A16" s="3">
        <v>44561</v>
      </c>
      <c r="B16" s="7">
        <v>240</v>
      </c>
      <c r="C16" s="6">
        <v>-0.63</v>
      </c>
      <c r="D16" s="2" t="s">
        <v>613</v>
      </c>
    </row>
    <row r="17" spans="1:4" ht="22.5" customHeight="1" x14ac:dyDescent="0.25">
      <c r="A17" s="3">
        <v>44561</v>
      </c>
      <c r="B17" s="7">
        <v>360</v>
      </c>
      <c r="C17" s="6">
        <v>-0.44</v>
      </c>
      <c r="D17" s="2" t="s">
        <v>613</v>
      </c>
    </row>
    <row r="18" spans="1:4" ht="22.5" customHeight="1" x14ac:dyDescent="0.25">
      <c r="A18" s="3">
        <v>44561</v>
      </c>
      <c r="B18" s="7">
        <v>60</v>
      </c>
      <c r="C18" s="6">
        <v>2.91696310600671</v>
      </c>
      <c r="D18" s="2" t="s">
        <v>614</v>
      </c>
    </row>
    <row r="19" spans="1:4" ht="22.5" customHeight="1" x14ac:dyDescent="0.25">
      <c r="A19" s="3">
        <v>44561</v>
      </c>
      <c r="B19" s="7">
        <v>84</v>
      </c>
      <c r="C19" s="6">
        <v>2.7865031918127499</v>
      </c>
      <c r="D19" s="2" t="s">
        <v>614</v>
      </c>
    </row>
    <row r="20" spans="1:4" ht="22.5" customHeight="1" x14ac:dyDescent="0.25">
      <c r="A20" s="3">
        <v>44561</v>
      </c>
      <c r="B20" s="7">
        <v>120</v>
      </c>
      <c r="C20" s="6">
        <v>2.58690379951496</v>
      </c>
      <c r="D20" s="2" t="s">
        <v>614</v>
      </c>
    </row>
    <row r="21" spans="1:4" ht="22.5" customHeight="1" x14ac:dyDescent="0.25">
      <c r="A21" s="3">
        <v>44561</v>
      </c>
      <c r="B21" s="7">
        <v>240</v>
      </c>
      <c r="C21" s="6">
        <v>2.58629364999496</v>
      </c>
      <c r="D21" s="2" t="s">
        <v>614</v>
      </c>
    </row>
    <row r="22" spans="1:4" ht="22.5" customHeight="1" x14ac:dyDescent="0.25">
      <c r="A22" s="3">
        <v>44561</v>
      </c>
      <c r="B22" s="7">
        <v>360</v>
      </c>
      <c r="C22" s="6">
        <v>2.35034150261149</v>
      </c>
      <c r="D22" s="2" t="s">
        <v>614</v>
      </c>
    </row>
    <row r="23" spans="1:4" ht="22.5" customHeight="1" x14ac:dyDescent="0.25">
      <c r="A23" s="3">
        <v>44615</v>
      </c>
      <c r="B23" s="7">
        <v>1</v>
      </c>
      <c r="C23" s="6">
        <v>0.02</v>
      </c>
      <c r="D23" s="2" t="s">
        <v>612</v>
      </c>
    </row>
    <row r="24" spans="1:4" ht="22.5" customHeight="1" x14ac:dyDescent="0.25">
      <c r="A24" s="3">
        <v>44615</v>
      </c>
      <c r="B24" s="7">
        <v>3</v>
      </c>
      <c r="C24" s="6">
        <v>0.34</v>
      </c>
      <c r="D24" s="2" t="s">
        <v>612</v>
      </c>
    </row>
    <row r="25" spans="1:4" ht="22.5" customHeight="1" x14ac:dyDescent="0.25">
      <c r="A25" s="3">
        <v>44615</v>
      </c>
      <c r="B25" s="7">
        <v>6</v>
      </c>
      <c r="C25" s="6">
        <v>0.74</v>
      </c>
      <c r="D25" s="2" t="s">
        <v>612</v>
      </c>
    </row>
    <row r="26" spans="1:4" ht="22.5" customHeight="1" x14ac:dyDescent="0.25">
      <c r="A26" s="3">
        <v>44615</v>
      </c>
      <c r="B26" s="7">
        <v>12</v>
      </c>
      <c r="C26" s="6">
        <v>1.1599999999999999</v>
      </c>
      <c r="D26" s="2" t="s">
        <v>612</v>
      </c>
    </row>
    <row r="27" spans="1:4" ht="22.5" customHeight="1" x14ac:dyDescent="0.25">
      <c r="A27" s="3">
        <v>44615</v>
      </c>
      <c r="B27" s="7">
        <v>24</v>
      </c>
      <c r="C27" s="6">
        <v>1.58</v>
      </c>
      <c r="D27" s="2" t="s">
        <v>612</v>
      </c>
    </row>
    <row r="28" spans="1:4" ht="22.5" customHeight="1" x14ac:dyDescent="0.25">
      <c r="A28" s="3">
        <v>44615</v>
      </c>
      <c r="B28" s="7">
        <v>36</v>
      </c>
      <c r="C28" s="6">
        <v>1.78</v>
      </c>
      <c r="D28" s="2" t="s">
        <v>612</v>
      </c>
    </row>
    <row r="29" spans="1:4" ht="22.5" customHeight="1" x14ac:dyDescent="0.25">
      <c r="A29" s="3">
        <v>44615</v>
      </c>
      <c r="B29" s="7">
        <v>60</v>
      </c>
      <c r="C29" s="6">
        <v>1.89</v>
      </c>
      <c r="D29" s="2" t="s">
        <v>612</v>
      </c>
    </row>
    <row r="30" spans="1:4" ht="22.5" customHeight="1" x14ac:dyDescent="0.25">
      <c r="A30" s="3">
        <v>44615</v>
      </c>
      <c r="B30" s="7">
        <v>84</v>
      </c>
      <c r="C30" s="6">
        <v>1.98</v>
      </c>
      <c r="D30" s="2" t="s">
        <v>612</v>
      </c>
    </row>
    <row r="31" spans="1:4" ht="22.5" customHeight="1" x14ac:dyDescent="0.25">
      <c r="A31" s="3">
        <v>44615</v>
      </c>
      <c r="B31" s="7">
        <v>120</v>
      </c>
      <c r="C31" s="6">
        <v>1.99</v>
      </c>
      <c r="D31" s="2" t="s">
        <v>612</v>
      </c>
    </row>
    <row r="32" spans="1:4" ht="22.5" customHeight="1" x14ac:dyDescent="0.25">
      <c r="A32" s="3">
        <v>44615</v>
      </c>
      <c r="B32" s="7">
        <v>240</v>
      </c>
      <c r="C32" s="6">
        <v>2.36</v>
      </c>
      <c r="D32" s="2" t="s">
        <v>612</v>
      </c>
    </row>
    <row r="33" spans="1:4" ht="22.5" customHeight="1" x14ac:dyDescent="0.25">
      <c r="A33" s="3">
        <v>44615</v>
      </c>
      <c r="B33" s="7">
        <v>360</v>
      </c>
      <c r="C33" s="6">
        <v>2.29</v>
      </c>
      <c r="D33" s="2" t="s">
        <v>612</v>
      </c>
    </row>
    <row r="34" spans="1:4" ht="22.5" customHeight="1" x14ac:dyDescent="0.25">
      <c r="A34" s="3">
        <v>44621</v>
      </c>
      <c r="B34" s="7">
        <v>1</v>
      </c>
      <c r="C34" s="6">
        <v>0.11</v>
      </c>
      <c r="D34" s="2" t="s">
        <v>612</v>
      </c>
    </row>
    <row r="35" spans="1:4" ht="22.5" customHeight="1" x14ac:dyDescent="0.25">
      <c r="A35" s="3">
        <v>44621</v>
      </c>
      <c r="B35" s="7">
        <v>3</v>
      </c>
      <c r="C35" s="6">
        <v>0.32</v>
      </c>
      <c r="D35" s="2" t="s">
        <v>612</v>
      </c>
    </row>
    <row r="36" spans="1:4" ht="22.5" customHeight="1" x14ac:dyDescent="0.25">
      <c r="A36" s="3">
        <v>44621</v>
      </c>
      <c r="B36" s="7">
        <v>6</v>
      </c>
      <c r="C36" s="6">
        <v>0.6</v>
      </c>
      <c r="D36" s="2" t="s">
        <v>612</v>
      </c>
    </row>
    <row r="37" spans="1:4" ht="22.5" customHeight="1" x14ac:dyDescent="0.25">
      <c r="A37" s="3">
        <v>44621</v>
      </c>
      <c r="B37" s="7">
        <v>12</v>
      </c>
      <c r="C37" s="6">
        <v>0.91</v>
      </c>
      <c r="D37" s="2" t="s">
        <v>612</v>
      </c>
    </row>
    <row r="38" spans="1:4" ht="22.5" customHeight="1" x14ac:dyDescent="0.25">
      <c r="A38" s="3">
        <v>44621</v>
      </c>
      <c r="B38" s="7">
        <v>24</v>
      </c>
      <c r="C38" s="6">
        <v>1.31</v>
      </c>
      <c r="D38" s="2" t="s">
        <v>612</v>
      </c>
    </row>
    <row r="39" spans="1:4" ht="22.5" customHeight="1" x14ac:dyDescent="0.25">
      <c r="A39" s="3">
        <v>44621</v>
      </c>
      <c r="B39" s="7">
        <v>36</v>
      </c>
      <c r="C39" s="6">
        <v>1.47</v>
      </c>
      <c r="D39" s="2" t="s">
        <v>612</v>
      </c>
    </row>
    <row r="40" spans="1:4" ht="22.5" customHeight="1" x14ac:dyDescent="0.25">
      <c r="A40" s="3">
        <v>44621</v>
      </c>
      <c r="B40" s="7">
        <v>60</v>
      </c>
      <c r="C40" s="6">
        <v>1.56</v>
      </c>
      <c r="D40" s="2" t="s">
        <v>612</v>
      </c>
    </row>
    <row r="41" spans="1:4" ht="22.5" customHeight="1" x14ac:dyDescent="0.25">
      <c r="A41" s="3">
        <v>44621</v>
      </c>
      <c r="B41" s="7">
        <v>84</v>
      </c>
      <c r="C41" s="6">
        <v>1.67</v>
      </c>
      <c r="D41" s="2" t="s">
        <v>612</v>
      </c>
    </row>
    <row r="42" spans="1:4" ht="22.5" customHeight="1" x14ac:dyDescent="0.25">
      <c r="A42" s="3">
        <v>44621</v>
      </c>
      <c r="B42" s="7">
        <v>120</v>
      </c>
      <c r="C42" s="6">
        <v>1.72</v>
      </c>
      <c r="D42" s="2" t="s">
        <v>612</v>
      </c>
    </row>
    <row r="43" spans="1:4" ht="22.5" customHeight="1" x14ac:dyDescent="0.25">
      <c r="A43" s="3">
        <v>44621</v>
      </c>
      <c r="B43" s="7">
        <v>240</v>
      </c>
      <c r="C43" s="6">
        <v>2.19</v>
      </c>
      <c r="D43" s="2" t="s">
        <v>612</v>
      </c>
    </row>
    <row r="44" spans="1:4" ht="22.5" customHeight="1" x14ac:dyDescent="0.25">
      <c r="A44" s="3">
        <v>44621</v>
      </c>
      <c r="B44" s="7">
        <v>360</v>
      </c>
      <c r="C44" s="6">
        <v>2.11</v>
      </c>
      <c r="D44" s="2" t="s">
        <v>612</v>
      </c>
    </row>
    <row r="45" spans="1:4" ht="22.5" customHeight="1" x14ac:dyDescent="0.25">
      <c r="A45" s="3">
        <v>44615</v>
      </c>
      <c r="B45" s="7">
        <v>60</v>
      </c>
      <c r="C45" s="6">
        <v>-1.1200000000000001</v>
      </c>
      <c r="D45" s="2" t="s">
        <v>613</v>
      </c>
    </row>
    <row r="46" spans="1:4" ht="22.5" customHeight="1" x14ac:dyDescent="0.25">
      <c r="A46" s="3">
        <v>44615</v>
      </c>
      <c r="B46" s="7">
        <v>84</v>
      </c>
      <c r="C46" s="6">
        <v>-0.81</v>
      </c>
      <c r="D46" s="2" t="s">
        <v>613</v>
      </c>
    </row>
    <row r="47" spans="1:4" ht="22.5" customHeight="1" x14ac:dyDescent="0.25">
      <c r="A47" s="3">
        <v>44615</v>
      </c>
      <c r="B47" s="7">
        <v>120</v>
      </c>
      <c r="C47" s="6">
        <v>-0.54</v>
      </c>
      <c r="D47" s="2" t="s">
        <v>613</v>
      </c>
    </row>
    <row r="48" spans="1:4" ht="22.5" customHeight="1" x14ac:dyDescent="0.25">
      <c r="A48" s="3">
        <v>44615</v>
      </c>
      <c r="B48" s="7">
        <v>240</v>
      </c>
      <c r="C48" s="6">
        <v>-0.11</v>
      </c>
      <c r="D48" s="2" t="s">
        <v>613</v>
      </c>
    </row>
    <row r="49" spans="1:4" ht="22.5" customHeight="1" x14ac:dyDescent="0.25">
      <c r="A49" s="3">
        <v>44615</v>
      </c>
      <c r="B49" s="7">
        <v>360</v>
      </c>
      <c r="C49" s="6">
        <v>0.12</v>
      </c>
      <c r="D49" s="2" t="s">
        <v>613</v>
      </c>
    </row>
    <row r="50" spans="1:4" ht="22.5" customHeight="1" x14ac:dyDescent="0.25">
      <c r="A50" s="3">
        <v>44621</v>
      </c>
      <c r="B50" s="7">
        <v>60</v>
      </c>
      <c r="C50" s="6">
        <v>-1.58</v>
      </c>
      <c r="D50" s="2" t="s">
        <v>613</v>
      </c>
    </row>
    <row r="51" spans="1:4" ht="22.5" customHeight="1" x14ac:dyDescent="0.25">
      <c r="A51" s="3">
        <v>44621</v>
      </c>
      <c r="B51" s="7">
        <v>84</v>
      </c>
      <c r="C51" s="6">
        <v>-1.21</v>
      </c>
      <c r="D51" s="2" t="s">
        <v>613</v>
      </c>
    </row>
    <row r="52" spans="1:4" ht="22.5" customHeight="1" x14ac:dyDescent="0.25">
      <c r="A52" s="3">
        <v>44621</v>
      </c>
      <c r="B52" s="7">
        <v>120</v>
      </c>
      <c r="C52" s="6">
        <v>-0.9</v>
      </c>
      <c r="D52" s="2" t="s">
        <v>613</v>
      </c>
    </row>
    <row r="53" spans="1:4" ht="22.5" customHeight="1" x14ac:dyDescent="0.25">
      <c r="A53" s="3">
        <v>44621</v>
      </c>
      <c r="B53" s="7">
        <v>240</v>
      </c>
      <c r="C53" s="6">
        <v>-0.41</v>
      </c>
      <c r="D53" s="2" t="s">
        <v>613</v>
      </c>
    </row>
    <row r="54" spans="1:4" ht="22.5" customHeight="1" x14ac:dyDescent="0.25">
      <c r="A54" s="3">
        <v>44621</v>
      </c>
      <c r="B54" s="7">
        <v>360</v>
      </c>
      <c r="C54" s="6">
        <v>-0.16</v>
      </c>
      <c r="D54" s="2" t="s">
        <v>613</v>
      </c>
    </row>
    <row r="55" spans="1:4" ht="22.5" customHeight="1" x14ac:dyDescent="0.25">
      <c r="A55" s="3">
        <v>44615</v>
      </c>
      <c r="B55" s="7">
        <v>60</v>
      </c>
      <c r="C55" s="6">
        <v>3.0440938511326698</v>
      </c>
      <c r="D55" s="2" t="s">
        <v>614</v>
      </c>
    </row>
    <row r="56" spans="1:4" ht="22.5" customHeight="1" x14ac:dyDescent="0.25">
      <c r="A56" s="3">
        <v>44615</v>
      </c>
      <c r="B56" s="7">
        <v>84</v>
      </c>
      <c r="C56" s="6">
        <v>2.8127835467285101</v>
      </c>
      <c r="D56" s="2" t="s">
        <v>614</v>
      </c>
    </row>
    <row r="57" spans="1:4" ht="22.5" customHeight="1" x14ac:dyDescent="0.25">
      <c r="A57" s="3">
        <v>44615</v>
      </c>
      <c r="B57" s="7">
        <v>120</v>
      </c>
      <c r="C57" s="6">
        <v>2.5437361753468699</v>
      </c>
      <c r="D57" s="2" t="s">
        <v>614</v>
      </c>
    </row>
    <row r="58" spans="1:4" ht="22.5" customHeight="1" x14ac:dyDescent="0.25">
      <c r="A58" s="3">
        <v>44615</v>
      </c>
      <c r="B58" s="7">
        <v>240</v>
      </c>
      <c r="C58" s="6">
        <v>2.4727199919911902</v>
      </c>
      <c r="D58" s="2" t="s">
        <v>614</v>
      </c>
    </row>
    <row r="59" spans="1:4" ht="22.5" customHeight="1" x14ac:dyDescent="0.25">
      <c r="A59" s="3">
        <v>44615</v>
      </c>
      <c r="B59" s="7">
        <v>360</v>
      </c>
      <c r="C59" s="6">
        <v>2.1673991210547201</v>
      </c>
      <c r="D59" s="2" t="s">
        <v>614</v>
      </c>
    </row>
    <row r="60" spans="1:4" ht="22.5" customHeight="1" x14ac:dyDescent="0.25">
      <c r="A60" s="3">
        <v>44621</v>
      </c>
      <c r="B60" s="7">
        <v>60</v>
      </c>
      <c r="C60" s="6">
        <v>3.1904084535663499</v>
      </c>
      <c r="D60" s="2" t="s">
        <v>614</v>
      </c>
    </row>
    <row r="61" spans="1:4" ht="22.5" customHeight="1" x14ac:dyDescent="0.25">
      <c r="A61" s="3">
        <v>44621</v>
      </c>
      <c r="B61" s="7">
        <v>84</v>
      </c>
      <c r="C61" s="6">
        <v>2.9152748253871801</v>
      </c>
      <c r="D61" s="2" t="s">
        <v>614</v>
      </c>
    </row>
    <row r="62" spans="1:4" ht="22.5" customHeight="1" x14ac:dyDescent="0.25">
      <c r="A62" s="3">
        <v>44621</v>
      </c>
      <c r="B62" s="7">
        <v>120</v>
      </c>
      <c r="C62" s="6">
        <v>2.6437941473259401</v>
      </c>
      <c r="D62" s="2" t="s">
        <v>614</v>
      </c>
    </row>
    <row r="63" spans="1:4" ht="22.5" customHeight="1" x14ac:dyDescent="0.25">
      <c r="A63" s="3">
        <v>44621</v>
      </c>
      <c r="B63" s="7">
        <v>240</v>
      </c>
      <c r="C63" s="6">
        <v>2.6107038859323199</v>
      </c>
      <c r="D63" s="2" t="s">
        <v>614</v>
      </c>
    </row>
    <row r="64" spans="1:4" ht="22.5" customHeight="1" x14ac:dyDescent="0.25">
      <c r="A64" s="3">
        <v>44621</v>
      </c>
      <c r="B64" s="7">
        <v>360</v>
      </c>
      <c r="C64" s="6">
        <v>2.2736378205128198</v>
      </c>
      <c r="D64" s="2" t="s">
        <v>614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5994-5303-4B1D-AAB1-E2AFB8D5A9EC}">
  <dimension ref="A1:E1048537"/>
  <sheetViews>
    <sheetView workbookViewId="0">
      <selection activeCell="F1" sqref="F1:H1048576"/>
    </sheetView>
  </sheetViews>
  <sheetFormatPr defaultColWidth="16.25" defaultRowHeight="22.5" customHeight="1" x14ac:dyDescent="0.25"/>
  <cols>
    <col min="1" max="16384" width="16.25" style="2"/>
  </cols>
  <sheetData>
    <row r="1" spans="1:5" ht="22.5" customHeight="1" x14ac:dyDescent="0.25">
      <c r="A1" s="2" t="s">
        <v>0</v>
      </c>
      <c r="B1" s="7">
        <v>1</v>
      </c>
      <c r="C1" s="7">
        <v>5</v>
      </c>
      <c r="D1" s="7">
        <v>10</v>
      </c>
      <c r="E1" s="2" t="s">
        <v>615</v>
      </c>
    </row>
    <row r="2" spans="1:5" ht="22.5" customHeight="1" x14ac:dyDescent="0.25">
      <c r="A2" s="3">
        <v>44561</v>
      </c>
      <c r="B2" s="2">
        <v>5.09</v>
      </c>
      <c r="C2" s="2">
        <v>7.87</v>
      </c>
      <c r="D2" s="1">
        <v>9.3350000000000009</v>
      </c>
      <c r="E2" s="2" t="s">
        <v>616</v>
      </c>
    </row>
    <row r="3" spans="1:5" ht="22.5" customHeight="1" x14ac:dyDescent="0.25">
      <c r="A3" s="3">
        <v>44615</v>
      </c>
      <c r="B3" s="2">
        <v>5.3</v>
      </c>
      <c r="C3" s="2">
        <v>7.76</v>
      </c>
      <c r="D3" s="2">
        <v>9.2650000000000006</v>
      </c>
      <c r="E3" s="8" t="s">
        <v>616</v>
      </c>
    </row>
    <row r="4" spans="1:5" ht="22.5" customHeight="1" x14ac:dyDescent="0.25">
      <c r="A4" s="3">
        <v>44621</v>
      </c>
      <c r="B4" s="2">
        <v>5.43</v>
      </c>
      <c r="C4" s="2">
        <v>7.95</v>
      </c>
      <c r="D4" s="2">
        <v>9.6750000000000007</v>
      </c>
      <c r="E4" s="8" t="s">
        <v>616</v>
      </c>
    </row>
    <row r="5" spans="1:5" ht="22.5" customHeight="1" x14ac:dyDescent="0.25">
      <c r="A5" s="3">
        <v>44561</v>
      </c>
      <c r="B5" s="8">
        <v>11.97</v>
      </c>
      <c r="C5" s="8">
        <v>10.92</v>
      </c>
      <c r="D5" s="1">
        <v>11.045</v>
      </c>
      <c r="E5" s="8" t="s">
        <v>583</v>
      </c>
    </row>
    <row r="6" spans="1:5" ht="22.5" customHeight="1" x14ac:dyDescent="0.25">
      <c r="A6" s="3">
        <v>44615</v>
      </c>
      <c r="B6" s="8">
        <v>12.53</v>
      </c>
      <c r="C6" s="8">
        <v>11.06</v>
      </c>
      <c r="D6" s="8">
        <v>11.17</v>
      </c>
      <c r="E6" s="8" t="s">
        <v>583</v>
      </c>
    </row>
    <row r="7" spans="1:5" ht="22.5" customHeight="1" x14ac:dyDescent="0.25">
      <c r="A7" s="3">
        <v>44621</v>
      </c>
      <c r="B7" s="8">
        <v>13.01</v>
      </c>
      <c r="C7" s="8">
        <v>11.525</v>
      </c>
      <c r="D7" s="8">
        <v>11.42</v>
      </c>
      <c r="E7" s="8" t="s">
        <v>583</v>
      </c>
    </row>
    <row r="8" spans="1:5" ht="22.5" customHeight="1" x14ac:dyDescent="0.25">
      <c r="A8" s="3">
        <v>44561</v>
      </c>
      <c r="B8" s="8">
        <v>4.1399999999999997</v>
      </c>
      <c r="C8" s="8">
        <v>5.72</v>
      </c>
      <c r="D8" s="1">
        <v>5.75</v>
      </c>
      <c r="E8" s="8" t="s">
        <v>439</v>
      </c>
    </row>
    <row r="9" spans="1:5" ht="22.5" customHeight="1" x14ac:dyDescent="0.25">
      <c r="A9" s="3">
        <v>44615</v>
      </c>
      <c r="B9" s="8">
        <v>7.47</v>
      </c>
      <c r="C9" s="8">
        <v>5.98</v>
      </c>
      <c r="D9" s="8">
        <v>5.96</v>
      </c>
      <c r="E9" s="8" t="s">
        <v>439</v>
      </c>
    </row>
    <row r="10" spans="1:5" ht="22.5" customHeight="1" x14ac:dyDescent="0.25">
      <c r="A10" s="3">
        <v>44621</v>
      </c>
      <c r="B10" s="8">
        <v>7.45</v>
      </c>
      <c r="C10" s="8">
        <v>5.88</v>
      </c>
      <c r="D10" s="8">
        <v>5.91</v>
      </c>
      <c r="E10" s="8" t="s">
        <v>439</v>
      </c>
    </row>
    <row r="11" spans="1:5" ht="22.5" customHeight="1" x14ac:dyDescent="0.25">
      <c r="A11" s="3">
        <v>44561</v>
      </c>
      <c r="B11" s="8">
        <v>3.2519999999999998</v>
      </c>
      <c r="C11" s="8">
        <v>7.75</v>
      </c>
      <c r="D11" s="1">
        <v>8.2140000000000004</v>
      </c>
      <c r="E11" s="8" t="s">
        <v>584</v>
      </c>
    </row>
    <row r="12" spans="1:5" ht="22.5" customHeight="1" x14ac:dyDescent="0.25">
      <c r="A12" s="3">
        <v>44615</v>
      </c>
      <c r="B12" s="8">
        <v>8.2379999999999995</v>
      </c>
      <c r="C12" s="8">
        <v>8.9589999999999996</v>
      </c>
      <c r="D12" s="8">
        <v>9.25</v>
      </c>
      <c r="E12" s="8" t="s">
        <v>584</v>
      </c>
    </row>
    <row r="13" spans="1:5" ht="22.5" customHeight="1" x14ac:dyDescent="0.25">
      <c r="A13" s="3">
        <v>44621</v>
      </c>
      <c r="B13" s="8">
        <v>8.32</v>
      </c>
      <c r="C13" s="8">
        <v>9</v>
      </c>
      <c r="D13" s="8">
        <v>9.44</v>
      </c>
      <c r="E13" s="8" t="s">
        <v>584</v>
      </c>
    </row>
    <row r="14" spans="1:5" ht="22.5" customHeight="1" x14ac:dyDescent="0.25">
      <c r="A14" s="3">
        <v>44561</v>
      </c>
      <c r="B14" s="8">
        <v>6.94</v>
      </c>
      <c r="C14" s="8">
        <v>7.6529999999999996</v>
      </c>
      <c r="D14" s="1">
        <v>7.819</v>
      </c>
      <c r="E14" s="8" t="s">
        <v>585</v>
      </c>
    </row>
    <row r="15" spans="1:5" ht="22.5" customHeight="1" x14ac:dyDescent="0.25">
      <c r="A15" s="3">
        <v>44615</v>
      </c>
      <c r="B15" s="8">
        <v>7.31</v>
      </c>
      <c r="C15" s="8">
        <v>7.77</v>
      </c>
      <c r="D15" s="8">
        <v>7.85</v>
      </c>
      <c r="E15" s="8" t="s">
        <v>585</v>
      </c>
    </row>
    <row r="16" spans="1:5" ht="22.5" customHeight="1" x14ac:dyDescent="0.25">
      <c r="A16" s="3">
        <v>44621</v>
      </c>
      <c r="B16" s="8">
        <v>7.54</v>
      </c>
      <c r="C16" s="8">
        <v>8.1869999999999994</v>
      </c>
      <c r="D16" s="8">
        <v>8.07</v>
      </c>
      <c r="E16" s="8" t="s">
        <v>585</v>
      </c>
    </row>
    <row r="17" spans="1:5" ht="22.5" customHeight="1" x14ac:dyDescent="0.25">
      <c r="A17" s="3">
        <v>44561</v>
      </c>
      <c r="B17" s="8">
        <v>3.589</v>
      </c>
      <c r="C17" s="8">
        <v>4.7050000000000001</v>
      </c>
      <c r="D17" s="1">
        <v>5.8650000000000002</v>
      </c>
      <c r="E17" s="8" t="s">
        <v>453</v>
      </c>
    </row>
    <row r="18" spans="1:5" ht="22.5" customHeight="1" x14ac:dyDescent="0.25">
      <c r="A18" s="3">
        <v>44615</v>
      </c>
      <c r="B18" s="8">
        <v>3.65</v>
      </c>
      <c r="C18" s="8">
        <v>4.8</v>
      </c>
      <c r="D18" s="8">
        <v>5.992</v>
      </c>
      <c r="E18" s="8" t="s">
        <v>453</v>
      </c>
    </row>
    <row r="19" spans="1:5" ht="22.5" customHeight="1" x14ac:dyDescent="0.25">
      <c r="A19" s="3">
        <v>44621</v>
      </c>
      <c r="B19" s="8">
        <v>3.6</v>
      </c>
      <c r="C19" s="8">
        <v>5.29</v>
      </c>
      <c r="D19" s="8">
        <v>6.3529999999999998</v>
      </c>
      <c r="E19" s="8" t="s">
        <v>453</v>
      </c>
    </row>
    <row r="1048537" spans="5:5" ht="22.5" customHeight="1" x14ac:dyDescent="0.25">
      <c r="E1048537" s="8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7CC3-4350-4F4A-870C-3E44F397B79D}">
  <dimension ref="A1:F105"/>
  <sheetViews>
    <sheetView workbookViewId="0"/>
  </sheetViews>
  <sheetFormatPr defaultColWidth="16.25" defaultRowHeight="22.5" customHeight="1" x14ac:dyDescent="0.25"/>
  <cols>
    <col min="1" max="16384" width="16.25" style="2"/>
  </cols>
  <sheetData>
    <row r="1" spans="1:6" ht="22.5" customHeight="1" x14ac:dyDescent="0.25">
      <c r="A1" s="2" t="s">
        <v>0</v>
      </c>
      <c r="B1" s="2" t="s">
        <v>617</v>
      </c>
      <c r="C1" s="9" t="s">
        <v>618</v>
      </c>
      <c r="D1" s="2" t="s">
        <v>619</v>
      </c>
      <c r="E1" s="2" t="s">
        <v>620</v>
      </c>
      <c r="F1" s="2" t="s">
        <v>558</v>
      </c>
    </row>
    <row r="2" spans="1:6" ht="22.5" customHeight="1" x14ac:dyDescent="0.25">
      <c r="A2" s="3">
        <v>35125</v>
      </c>
      <c r="B2" s="2">
        <v>1.6531615744099093</v>
      </c>
      <c r="C2" s="2">
        <v>-3.0989032432654447E-2</v>
      </c>
      <c r="D2" s="1">
        <v>-1.4732197381007921</v>
      </c>
      <c r="E2" s="2">
        <v>0.88043093712273035</v>
      </c>
      <c r="F2" s="2">
        <v>2.5196866036296672</v>
      </c>
    </row>
    <row r="3" spans="1:6" ht="22.5" customHeight="1" x14ac:dyDescent="0.25">
      <c r="A3" s="3">
        <v>35217</v>
      </c>
      <c r="B3" s="2">
        <v>1.6752442486269081</v>
      </c>
      <c r="C3" s="2">
        <v>-0.13273183583560064</v>
      </c>
      <c r="D3" s="2">
        <v>-1.7206482288639287</v>
      </c>
      <c r="E3" s="2">
        <v>1.109975384783797</v>
      </c>
      <c r="F3" s="2">
        <v>2.1356122458933591</v>
      </c>
    </row>
    <row r="4" spans="1:6" ht="22.5" customHeight="1" x14ac:dyDescent="0.25">
      <c r="A4" s="3">
        <v>35309</v>
      </c>
      <c r="B4" s="2">
        <v>2.1465659955783472</v>
      </c>
      <c r="C4" s="2">
        <v>-0.144509911136849</v>
      </c>
      <c r="D4" s="2">
        <v>-0.84051785259752487</v>
      </c>
      <c r="E4" s="2">
        <v>0.30845309428055462</v>
      </c>
      <c r="F4" s="2">
        <v>2.309147008293766</v>
      </c>
    </row>
    <row r="5" spans="1:6" ht="22.5" customHeight="1" x14ac:dyDescent="0.25">
      <c r="A5" s="3">
        <v>35400</v>
      </c>
      <c r="B5" s="2">
        <v>2.1109707371753608</v>
      </c>
      <c r="C5" s="2">
        <v>-0.39917600762891631</v>
      </c>
      <c r="D5" s="2">
        <v>0.19367613015974031</v>
      </c>
      <c r="E5" s="2">
        <v>-0.56292867565965832</v>
      </c>
      <c r="F5" s="2">
        <v>2.2088640505145696</v>
      </c>
    </row>
    <row r="6" spans="1:6" ht="22.5" customHeight="1" x14ac:dyDescent="0.25">
      <c r="A6" s="3">
        <v>35490</v>
      </c>
      <c r="B6" s="2">
        <v>3.6777241173328776</v>
      </c>
      <c r="C6" s="2">
        <v>-0.13964502274171314</v>
      </c>
      <c r="D6" s="2">
        <v>1.1981606942206802</v>
      </c>
      <c r="E6" s="2">
        <v>-1.4930520007403794</v>
      </c>
      <c r="F6" s="2">
        <v>3.1778325489870474</v>
      </c>
    </row>
    <row r="7" spans="1:6" ht="22.5" customHeight="1" x14ac:dyDescent="0.25">
      <c r="A7" s="3">
        <v>35582</v>
      </c>
      <c r="B7" s="2">
        <v>4.2929100008762795</v>
      </c>
      <c r="C7" s="2">
        <v>-0.16946064554107035</v>
      </c>
      <c r="D7" s="2">
        <v>1.8773041961619565</v>
      </c>
      <c r="E7" s="2">
        <v>-2.2691180785329821</v>
      </c>
      <c r="F7" s="2">
        <v>4.0228432836898476</v>
      </c>
    </row>
    <row r="8" spans="1:6" ht="22.5" customHeight="1" x14ac:dyDescent="0.25">
      <c r="A8" s="3">
        <v>35674</v>
      </c>
      <c r="B8" s="2">
        <v>3.5852799514991927</v>
      </c>
      <c r="C8" s="2">
        <v>-0.57185257633400444</v>
      </c>
      <c r="D8" s="2">
        <v>2.2070631122806783</v>
      </c>
      <c r="E8" s="2">
        <v>-1.9646481138029337</v>
      </c>
      <c r="F8" s="2">
        <v>3.025558834045583</v>
      </c>
    </row>
    <row r="9" spans="1:6" ht="22.5" customHeight="1" x14ac:dyDescent="0.25">
      <c r="A9" s="3">
        <v>35765</v>
      </c>
      <c r="B9" s="2">
        <v>1.9345931184387504</v>
      </c>
      <c r="C9" s="2">
        <v>0.2579216177263538</v>
      </c>
      <c r="D9" s="2">
        <v>1.533987842389565</v>
      </c>
      <c r="E9" s="2">
        <v>-0.63917743560154161</v>
      </c>
      <c r="F9" s="2">
        <v>3.3948459853159418</v>
      </c>
    </row>
    <row r="10" spans="1:6" ht="22.5" customHeight="1" x14ac:dyDescent="0.25">
      <c r="A10" s="3">
        <v>35855</v>
      </c>
      <c r="B10" s="2">
        <v>0.7007823890322884</v>
      </c>
      <c r="C10" s="2">
        <v>0.24794430063934889</v>
      </c>
      <c r="D10" s="2">
        <v>1.0350907007961319</v>
      </c>
      <c r="E10" s="2">
        <v>-4.7651341821623561E-2</v>
      </c>
      <c r="F10" s="2">
        <v>2.8134774283856023</v>
      </c>
    </row>
    <row r="11" spans="1:6" ht="22.5" customHeight="1" x14ac:dyDescent="0.25">
      <c r="A11" s="3">
        <v>35947</v>
      </c>
      <c r="B11" s="2">
        <v>-0.39957228073327011</v>
      </c>
      <c r="C11" s="2">
        <v>0.39500483347839138</v>
      </c>
      <c r="D11" s="2">
        <v>0.83247296195392917</v>
      </c>
      <c r="E11" s="2">
        <v>0.40303694922360078</v>
      </c>
      <c r="F11" s="2">
        <v>2.0194317963698083</v>
      </c>
    </row>
    <row r="12" spans="1:6" ht="22.5" customHeight="1" x14ac:dyDescent="0.25">
      <c r="A12" s="3">
        <v>36039</v>
      </c>
      <c r="B12" s="2">
        <v>-0.71199311437755242</v>
      </c>
      <c r="C12" s="2">
        <v>0.96087215845515206</v>
      </c>
      <c r="D12" s="2">
        <v>0.38701794639833176</v>
      </c>
      <c r="E12" s="2">
        <v>0.43725240882347449</v>
      </c>
      <c r="F12" s="2">
        <v>1.6430603042161485</v>
      </c>
    </row>
    <row r="13" spans="1:6" ht="22.5" customHeight="1" x14ac:dyDescent="0.25">
      <c r="A13" s="3">
        <v>36130</v>
      </c>
      <c r="B13" s="2">
        <v>-0.45777156279620462</v>
      </c>
      <c r="C13" s="2">
        <v>0.69083336803375628</v>
      </c>
      <c r="D13" s="2">
        <v>-2.9357988500134068E-2</v>
      </c>
      <c r="E13" s="2">
        <v>0.32626596820931264</v>
      </c>
      <c r="F13" s="2">
        <v>0.3380979019523167</v>
      </c>
    </row>
    <row r="14" spans="1:6" ht="22.5" customHeight="1" x14ac:dyDescent="0.25">
      <c r="A14" s="3">
        <v>36220</v>
      </c>
      <c r="B14" s="2">
        <v>-0.5432392068982006</v>
      </c>
      <c r="C14" s="2">
        <v>0.60210326111324941</v>
      </c>
      <c r="D14" s="2">
        <v>-0.48731313523964803</v>
      </c>
      <c r="E14" s="2">
        <v>0.82987346763141567</v>
      </c>
      <c r="F14" s="2">
        <v>0.28242671386755624</v>
      </c>
    </row>
    <row r="15" spans="1:6" ht="22.5" customHeight="1" x14ac:dyDescent="0.25">
      <c r="A15" s="3">
        <v>36312</v>
      </c>
      <c r="B15" s="2">
        <v>-0.4489285073129185</v>
      </c>
      <c r="C15" s="2">
        <v>0.53202941215125443</v>
      </c>
      <c r="D15" s="2">
        <v>-1.1778430926607921</v>
      </c>
      <c r="E15" s="2">
        <v>1.0586527752936719</v>
      </c>
      <c r="F15" s="2">
        <v>-0.19121231489300783</v>
      </c>
    </row>
    <row r="16" spans="1:6" ht="22.5" customHeight="1" x14ac:dyDescent="0.25">
      <c r="A16" s="3">
        <v>36404</v>
      </c>
      <c r="B16" s="2">
        <v>-0.48705895896401991</v>
      </c>
      <c r="C16" s="2">
        <v>0.33370326908414205</v>
      </c>
      <c r="D16" s="2">
        <v>-1.4996400077416985</v>
      </c>
      <c r="E16" s="2">
        <v>1.8126580434601081</v>
      </c>
      <c r="F16" s="2">
        <v>-0.44155507422727341</v>
      </c>
    </row>
    <row r="17" spans="1:6" ht="22.5" customHeight="1" x14ac:dyDescent="0.25">
      <c r="A17" s="3">
        <v>36495</v>
      </c>
      <c r="B17" s="2">
        <v>0.24373454638701247</v>
      </c>
      <c r="C17" s="2">
        <v>0.3478605898936839</v>
      </c>
      <c r="D17" s="2">
        <v>-1.5344714761158216</v>
      </c>
      <c r="E17" s="2">
        <v>2.4382234376608438</v>
      </c>
      <c r="F17" s="2">
        <v>0.46793756667951042</v>
      </c>
    </row>
    <row r="18" spans="1:6" ht="22.5" customHeight="1" x14ac:dyDescent="0.25">
      <c r="A18" s="3">
        <v>36586</v>
      </c>
      <c r="B18" s="2">
        <v>0.85110316335197556</v>
      </c>
      <c r="C18" s="2">
        <v>0.42182860561211444</v>
      </c>
      <c r="D18" s="2">
        <v>-1.433022754653249</v>
      </c>
      <c r="E18" s="2">
        <v>2.1793959137182704</v>
      </c>
      <c r="F18" s="2">
        <v>1.3398776018223257</v>
      </c>
    </row>
    <row r="19" spans="1:6" ht="22.5" customHeight="1" x14ac:dyDescent="0.25">
      <c r="A19" s="3">
        <v>36678</v>
      </c>
      <c r="B19" s="2">
        <v>1.6481125533859144</v>
      </c>
      <c r="C19" s="2">
        <v>0.44108599276437999</v>
      </c>
      <c r="D19" s="2">
        <v>-0.642007878739694</v>
      </c>
      <c r="E19" s="2">
        <v>2.0544385534105039</v>
      </c>
      <c r="F19" s="2">
        <v>2.435509946447878</v>
      </c>
    </row>
    <row r="20" spans="1:6" ht="22.5" customHeight="1" x14ac:dyDescent="0.25">
      <c r="A20" s="3">
        <v>36770</v>
      </c>
      <c r="B20" s="2">
        <v>2.4452637722290924</v>
      </c>
      <c r="C20" s="2">
        <v>0.27852550819947069</v>
      </c>
      <c r="D20" s="2">
        <v>0.25751069976856444</v>
      </c>
      <c r="E20" s="2">
        <v>1.3578627858368875</v>
      </c>
      <c r="F20" s="2">
        <v>3.7752778726457992</v>
      </c>
    </row>
    <row r="21" spans="1:6" ht="22.5" customHeight="1" x14ac:dyDescent="0.25">
      <c r="A21" s="3">
        <v>36861</v>
      </c>
      <c r="B21" s="2">
        <v>2.623485129825442</v>
      </c>
      <c r="C21" s="2">
        <v>-3.2352591959136159E-2</v>
      </c>
      <c r="D21" s="2">
        <v>0.82227361325729931</v>
      </c>
      <c r="E21" s="2">
        <v>-0.17664512539004318</v>
      </c>
      <c r="F21" s="2">
        <v>4.3879494436487976</v>
      </c>
    </row>
    <row r="22" spans="1:6" ht="22.5" customHeight="1" x14ac:dyDescent="0.25">
      <c r="A22" s="3">
        <v>36951</v>
      </c>
      <c r="B22" s="2">
        <v>2.7818042584755833</v>
      </c>
      <c r="C22" s="2">
        <v>-0.12779990044584255</v>
      </c>
      <c r="D22" s="2">
        <v>1.4977057189573622</v>
      </c>
      <c r="E22" s="2">
        <v>-0.95407541364688697</v>
      </c>
      <c r="F22" s="2">
        <v>4.1593659933644167</v>
      </c>
    </row>
    <row r="23" spans="1:6" ht="22.5" customHeight="1" x14ac:dyDescent="0.25">
      <c r="A23" s="3">
        <v>37043</v>
      </c>
      <c r="B23" s="2">
        <v>2.5884963418725904</v>
      </c>
      <c r="C23" s="2">
        <v>-8.8447276987149992E-2</v>
      </c>
      <c r="D23" s="2">
        <v>1.3267776835938101</v>
      </c>
      <c r="E23" s="2">
        <v>-1.0512037961521257</v>
      </c>
      <c r="F23" s="2">
        <v>3.7386464333157177</v>
      </c>
    </row>
    <row r="24" spans="1:6" ht="22.5" customHeight="1" x14ac:dyDescent="0.25">
      <c r="A24" s="3">
        <v>37135</v>
      </c>
      <c r="B24" s="2">
        <v>1.468535422437165</v>
      </c>
      <c r="C24" s="2">
        <v>0.1717712239193917</v>
      </c>
      <c r="D24" s="2">
        <v>1.0882495504130052</v>
      </c>
      <c r="E24" s="2">
        <v>-0.56196648514432623</v>
      </c>
      <c r="F24" s="2">
        <v>2.6826837334938953</v>
      </c>
    </row>
    <row r="25" spans="1:6" ht="22.5" customHeight="1" x14ac:dyDescent="0.25">
      <c r="A25" s="3">
        <v>37226</v>
      </c>
      <c r="B25" s="2">
        <v>0.48531924133673526</v>
      </c>
      <c r="C25" s="2">
        <v>0.60789489369464034</v>
      </c>
      <c r="D25" s="2">
        <v>0.20296444166975522</v>
      </c>
      <c r="E25" s="2">
        <v>0.66800445316699064</v>
      </c>
      <c r="F25" s="2">
        <v>1.3898964044581685</v>
      </c>
    </row>
    <row r="26" spans="1:6" ht="22.5" customHeight="1" x14ac:dyDescent="0.25">
      <c r="A26" s="3">
        <v>37316</v>
      </c>
      <c r="B26" s="2">
        <v>-8.1056308772671809E-2</v>
      </c>
      <c r="C26" s="2">
        <v>0.65328641266655907</v>
      </c>
      <c r="D26" s="2">
        <v>-0.57651561975938237</v>
      </c>
      <c r="E26" s="2">
        <v>1.2706804858077669</v>
      </c>
      <c r="F26" s="2">
        <v>0.6711154007138953</v>
      </c>
    </row>
    <row r="27" spans="1:6" ht="22.5" customHeight="1" x14ac:dyDescent="0.25">
      <c r="A27" s="3">
        <v>37408</v>
      </c>
      <c r="B27" s="2">
        <v>-0.4308673721570439</v>
      </c>
      <c r="C27" s="2">
        <v>0.7537569015476635</v>
      </c>
      <c r="D27" s="2">
        <v>-0.92346750024160085</v>
      </c>
      <c r="E27" s="2">
        <v>1.404650396816995</v>
      </c>
      <c r="F27" s="2">
        <v>0.67355813561924549</v>
      </c>
    </row>
    <row r="28" spans="1:6" ht="22.5" customHeight="1" x14ac:dyDescent="0.25">
      <c r="A28" s="3">
        <v>37500</v>
      </c>
      <c r="B28" s="2">
        <v>0.2582214980099341</v>
      </c>
      <c r="C28" s="2">
        <v>0.73129570037682901</v>
      </c>
      <c r="D28" s="2">
        <v>-0.89395174885362028</v>
      </c>
      <c r="E28" s="2">
        <v>2.7066613904185561</v>
      </c>
      <c r="F28" s="2">
        <v>1.6165552577042996</v>
      </c>
    </row>
    <row r="29" spans="1:6" ht="22.5" customHeight="1" x14ac:dyDescent="0.25">
      <c r="A29" s="3">
        <v>37591</v>
      </c>
      <c r="B29" s="2">
        <v>0.81301199008259362</v>
      </c>
      <c r="C29" s="2">
        <v>0.8501379460691979</v>
      </c>
      <c r="D29" s="2">
        <v>-0.19558677229137073</v>
      </c>
      <c r="E29" s="2">
        <v>3.2432211062718102</v>
      </c>
      <c r="F29" s="2">
        <v>3.0534618568362815</v>
      </c>
    </row>
    <row r="30" spans="1:6" ht="22.5" customHeight="1" x14ac:dyDescent="0.25">
      <c r="A30" s="3">
        <v>37681</v>
      </c>
      <c r="B30" s="2">
        <v>0.81342877472317598</v>
      </c>
      <c r="C30" s="2">
        <v>0.45285779686727223</v>
      </c>
      <c r="D30" s="2">
        <v>0.21586345605707083</v>
      </c>
      <c r="E30" s="2">
        <v>3.1904392933344563</v>
      </c>
      <c r="F30" s="2">
        <v>3.5870420394645386</v>
      </c>
    </row>
    <row r="31" spans="1:6" ht="22.5" customHeight="1" x14ac:dyDescent="0.25">
      <c r="A31" s="3">
        <v>37773</v>
      </c>
      <c r="B31" s="2">
        <v>0.35016553844937287</v>
      </c>
      <c r="C31" s="2">
        <v>0.29975946381955337</v>
      </c>
      <c r="D31" s="2">
        <v>0.12524272228850841</v>
      </c>
      <c r="E31" s="2">
        <v>3.9305532256899092</v>
      </c>
      <c r="F31" s="2">
        <v>3.1941640197062249</v>
      </c>
    </row>
    <row r="32" spans="1:6" ht="22.5" customHeight="1" x14ac:dyDescent="0.25">
      <c r="A32" s="3">
        <v>37865</v>
      </c>
      <c r="B32" s="2">
        <v>-0.17529973932898485</v>
      </c>
      <c r="C32" s="2">
        <v>0.20243753993795718</v>
      </c>
      <c r="D32" s="2">
        <v>-0.16497180960479774</v>
      </c>
      <c r="E32" s="2">
        <v>2.9534377466302675</v>
      </c>
      <c r="F32" s="2">
        <v>2.2803673871021779</v>
      </c>
    </row>
    <row r="33" spans="1:6" ht="22.5" customHeight="1" x14ac:dyDescent="0.25">
      <c r="A33" s="3">
        <v>37956</v>
      </c>
      <c r="B33" s="2">
        <v>-0.32745802199675322</v>
      </c>
      <c r="C33" s="2">
        <v>0.33297589878393197</v>
      </c>
      <c r="D33" s="2">
        <v>-0.66820803589388789</v>
      </c>
      <c r="E33" s="2">
        <v>1.7007939531763423</v>
      </c>
      <c r="F33" s="2">
        <v>1.140828998770882</v>
      </c>
    </row>
    <row r="34" spans="1:6" ht="22.5" customHeight="1" x14ac:dyDescent="0.25">
      <c r="A34" s="3">
        <v>38047</v>
      </c>
      <c r="B34" s="2">
        <v>-0.19782994567896028</v>
      </c>
      <c r="C34" s="2">
        <v>0.45937709094318135</v>
      </c>
      <c r="D34" s="2">
        <v>-0.82796769420798322</v>
      </c>
      <c r="E34" s="2">
        <v>1.4118962823601975</v>
      </c>
      <c r="F34" s="2">
        <v>1.4445290056554148</v>
      </c>
    </row>
    <row r="35" spans="1:6" ht="22.5" customHeight="1" x14ac:dyDescent="0.25">
      <c r="A35" s="3">
        <v>38139</v>
      </c>
      <c r="B35" s="2">
        <v>0.56397956021404649</v>
      </c>
      <c r="C35" s="2">
        <v>0.74208368719528695</v>
      </c>
      <c r="D35" s="2">
        <v>-6.3196256507749163E-3</v>
      </c>
      <c r="E35" s="2">
        <v>0.63841632812150728</v>
      </c>
      <c r="F35" s="2">
        <v>2.8150418471834193</v>
      </c>
    </row>
    <row r="36" spans="1:6" ht="22.5" customHeight="1" x14ac:dyDescent="0.25">
      <c r="A36" s="3">
        <v>38231</v>
      </c>
      <c r="B36" s="2">
        <v>1.4124895008661971</v>
      </c>
      <c r="C36" s="2">
        <v>0.85751064370867336</v>
      </c>
      <c r="D36" s="2">
        <v>0.9626608935711316</v>
      </c>
      <c r="E36" s="2">
        <v>0.63304205417170256</v>
      </c>
      <c r="F36" s="2">
        <v>4.3314099994919752</v>
      </c>
    </row>
    <row r="37" spans="1:6" ht="22.5" customHeight="1" x14ac:dyDescent="0.25">
      <c r="A37" s="3">
        <v>38322</v>
      </c>
      <c r="B37" s="2">
        <v>2.3710244634352113</v>
      </c>
      <c r="C37" s="2">
        <v>0.8095216684416916</v>
      </c>
      <c r="D37" s="2">
        <v>1.3475480181018946</v>
      </c>
      <c r="E37" s="2">
        <v>0.94967042956541281</v>
      </c>
      <c r="F37" s="2">
        <v>5.7599646368600155</v>
      </c>
    </row>
    <row r="38" spans="1:6" ht="22.5" customHeight="1" x14ac:dyDescent="0.25">
      <c r="A38" s="3">
        <v>38412</v>
      </c>
      <c r="B38" s="2">
        <v>3.0902303255219929</v>
      </c>
      <c r="C38" s="2">
        <v>0.69694993046991915</v>
      </c>
      <c r="D38" s="2">
        <v>1.4805130083556162</v>
      </c>
      <c r="E38" s="2">
        <v>0.70274300057370431</v>
      </c>
      <c r="F38" s="2">
        <v>5.8186424591671004</v>
      </c>
    </row>
    <row r="39" spans="1:6" ht="22.5" customHeight="1" x14ac:dyDescent="0.25">
      <c r="A39" s="3">
        <v>38504</v>
      </c>
      <c r="B39" s="2">
        <v>3.2521601370591964</v>
      </c>
      <c r="C39" s="2">
        <v>0.43507823161366715</v>
      </c>
      <c r="D39" s="2">
        <v>1.186047583092944</v>
      </c>
      <c r="E39" s="2">
        <v>0.76679844679618192</v>
      </c>
      <c r="F39" s="2">
        <v>5.3556239625505819</v>
      </c>
    </row>
    <row r="40" spans="1:6" ht="22.5" customHeight="1" x14ac:dyDescent="0.25">
      <c r="A40" s="3">
        <v>38596</v>
      </c>
      <c r="B40" s="2">
        <v>3.1781882882927341</v>
      </c>
      <c r="C40" s="2">
        <v>0.3220457889992514</v>
      </c>
      <c r="D40" s="2">
        <v>0.54297557910812289</v>
      </c>
      <c r="E40" s="2">
        <v>0.87869021963587435</v>
      </c>
      <c r="F40" s="2">
        <v>4.2122479557245684</v>
      </c>
    </row>
    <row r="41" spans="1:6" ht="22.5" customHeight="1" x14ac:dyDescent="0.25">
      <c r="A41" s="3">
        <v>38687</v>
      </c>
      <c r="B41" s="2">
        <v>2.6579042183467596</v>
      </c>
      <c r="C41" s="2">
        <v>0.43170576707344394</v>
      </c>
      <c r="D41" s="2">
        <v>0.29786603520488369</v>
      </c>
      <c r="E41" s="2">
        <v>0.54970210109903372</v>
      </c>
      <c r="F41" s="2">
        <v>3.202135247774951</v>
      </c>
    </row>
    <row r="42" spans="1:6" ht="22.5" customHeight="1" x14ac:dyDescent="0.25">
      <c r="A42" s="3">
        <v>38777</v>
      </c>
      <c r="B42" s="2">
        <v>2.6992086012494498</v>
      </c>
      <c r="C42" s="2">
        <v>0.33604071310230954</v>
      </c>
      <c r="D42" s="2">
        <v>0.64031612755731837</v>
      </c>
      <c r="E42" s="2">
        <v>0.26703639131251689</v>
      </c>
      <c r="F42" s="2">
        <v>3.2349931931429321</v>
      </c>
    </row>
    <row r="43" spans="1:6" ht="22.5" customHeight="1" x14ac:dyDescent="0.25">
      <c r="A43" s="3">
        <v>38869</v>
      </c>
      <c r="B43" s="2">
        <v>2.8077996848568723</v>
      </c>
      <c r="C43" s="2">
        <v>0.41649027395935073</v>
      </c>
      <c r="D43" s="2">
        <v>0.71451954828244968</v>
      </c>
      <c r="E43" s="2">
        <v>-0.33713081084972851</v>
      </c>
      <c r="F43" s="2">
        <v>2.6907608413058393</v>
      </c>
    </row>
    <row r="44" spans="1:6" ht="22.5" customHeight="1" x14ac:dyDescent="0.25">
      <c r="A44" s="3">
        <v>38961</v>
      </c>
      <c r="B44" s="2">
        <v>2.8769290242113543</v>
      </c>
      <c r="C44" s="2">
        <v>0.45368432856983082</v>
      </c>
      <c r="D44" s="2">
        <v>0.9591996983185479</v>
      </c>
      <c r="E44" s="2">
        <v>-0.82532668630926398</v>
      </c>
      <c r="F44" s="2">
        <v>3.2973500718797455</v>
      </c>
    </row>
    <row r="45" spans="1:6" ht="22.5" customHeight="1" x14ac:dyDescent="0.25">
      <c r="A45" s="3">
        <v>39052</v>
      </c>
      <c r="B45" s="2">
        <v>3.1179998501352024</v>
      </c>
      <c r="C45" s="2">
        <v>0.76142190880659966</v>
      </c>
      <c r="D45" s="2">
        <v>1.1350145005555523</v>
      </c>
      <c r="E45" s="2">
        <v>-1.3557694511422289</v>
      </c>
      <c r="F45" s="2">
        <v>3.9619886987140696</v>
      </c>
    </row>
    <row r="46" spans="1:6" ht="22.5" customHeight="1" x14ac:dyDescent="0.25">
      <c r="A46" s="3">
        <v>39142</v>
      </c>
      <c r="B46" s="2">
        <v>3.4364041022350618</v>
      </c>
      <c r="C46" s="2">
        <v>0.70639986492111451</v>
      </c>
      <c r="D46" s="2">
        <v>1.2262047324710414</v>
      </c>
      <c r="E46" s="2">
        <v>-1.7006442065288843</v>
      </c>
      <c r="F46" s="2">
        <v>4.1916188730805715</v>
      </c>
    </row>
    <row r="47" spans="1:6" ht="22.5" customHeight="1" x14ac:dyDescent="0.25">
      <c r="A47" s="3">
        <v>39234</v>
      </c>
      <c r="B47" s="2">
        <v>3.4260194358322504</v>
      </c>
      <c r="C47" s="2">
        <v>0.91199202245322453</v>
      </c>
      <c r="D47" s="2">
        <v>1.7041664499554949</v>
      </c>
      <c r="E47" s="2">
        <v>-1.2594261318239541</v>
      </c>
      <c r="F47" s="2">
        <v>5.259092903881557</v>
      </c>
    </row>
    <row r="48" spans="1:6" ht="22.5" customHeight="1" x14ac:dyDescent="0.25">
      <c r="A48" s="3">
        <v>39326</v>
      </c>
      <c r="B48" s="2">
        <v>3.4733003297079881</v>
      </c>
      <c r="C48" s="2">
        <v>0.99741302149093347</v>
      </c>
      <c r="D48" s="2">
        <v>2.2670743184370372</v>
      </c>
      <c r="E48" s="2">
        <v>-1.6152565196938011</v>
      </c>
      <c r="F48" s="2">
        <v>5.6078025040121826</v>
      </c>
    </row>
    <row r="49" spans="1:6" ht="22.5" customHeight="1" x14ac:dyDescent="0.25">
      <c r="A49" s="3">
        <v>39417</v>
      </c>
      <c r="B49" s="2">
        <v>3.7980936080530392</v>
      </c>
      <c r="C49" s="2">
        <v>0.8516775391769591</v>
      </c>
      <c r="D49" s="2">
        <v>2.2321097973618791</v>
      </c>
      <c r="E49" s="2">
        <v>-1.5343638489833347</v>
      </c>
      <c r="F49" s="2">
        <v>6.0698706048772921</v>
      </c>
    </row>
    <row r="50" spans="1:6" ht="22.5" customHeight="1" x14ac:dyDescent="0.25">
      <c r="A50" s="3">
        <v>39508</v>
      </c>
      <c r="B50" s="2">
        <v>4.0063429630654488</v>
      </c>
      <c r="C50" s="2">
        <v>0.67309000844869471</v>
      </c>
      <c r="D50" s="2">
        <v>2.8665699832447178</v>
      </c>
      <c r="E50" s="2">
        <v>-1.7510123918553235</v>
      </c>
      <c r="F50" s="2">
        <v>6.2994368441516624</v>
      </c>
    </row>
    <row r="51" spans="1:6" ht="22.5" customHeight="1" x14ac:dyDescent="0.25">
      <c r="A51" s="3">
        <v>39600</v>
      </c>
      <c r="B51" s="2">
        <v>4.0274158356065337</v>
      </c>
      <c r="C51" s="2">
        <v>0.40176829729016561</v>
      </c>
      <c r="D51" s="2">
        <v>3.0215925774725836</v>
      </c>
      <c r="E51" s="2">
        <v>-2.2015838525679019</v>
      </c>
      <c r="F51" s="2">
        <v>6.2515794177514969</v>
      </c>
    </row>
    <row r="52" spans="1:6" ht="22.5" customHeight="1" x14ac:dyDescent="0.25">
      <c r="A52" s="3">
        <v>39692</v>
      </c>
      <c r="B52" s="2">
        <v>4.3935930141443835</v>
      </c>
      <c r="C52" s="2">
        <v>0.35762580050276299</v>
      </c>
      <c r="D52" s="2">
        <v>3.3065702306356735</v>
      </c>
      <c r="E52" s="2">
        <v>-2.4032750018817177</v>
      </c>
      <c r="F52" s="2">
        <v>6.5348292382660933</v>
      </c>
    </row>
    <row r="53" spans="1:6" ht="22.5" customHeight="1" x14ac:dyDescent="0.25">
      <c r="A53" s="3">
        <v>39783</v>
      </c>
      <c r="B53" s="2">
        <v>3.8582986494302292</v>
      </c>
      <c r="C53" s="2">
        <v>0.43348703780122649</v>
      </c>
      <c r="D53" s="2">
        <v>2.3593414050891122</v>
      </c>
      <c r="E53" s="2">
        <v>-2.5936419936327666</v>
      </c>
      <c r="F53" s="2">
        <v>5.0941954569816206</v>
      </c>
    </row>
    <row r="54" spans="1:6" ht="22.5" customHeight="1" x14ac:dyDescent="0.25">
      <c r="A54" s="3">
        <v>39873</v>
      </c>
      <c r="B54" s="2">
        <v>3.2907355166141912</v>
      </c>
      <c r="C54" s="2">
        <v>0.41857492306928828</v>
      </c>
      <c r="D54" s="2">
        <v>1.2527135039255028</v>
      </c>
      <c r="E54" s="2">
        <v>-1.4885801518601556</v>
      </c>
      <c r="F54" s="2">
        <v>2.9694427322787931</v>
      </c>
    </row>
    <row r="55" spans="1:6" ht="22.5" customHeight="1" x14ac:dyDescent="0.25">
      <c r="A55" s="3">
        <v>39965</v>
      </c>
      <c r="B55" s="2">
        <v>2.821713740626401</v>
      </c>
      <c r="C55" s="2">
        <v>0.47454913635473306</v>
      </c>
      <c r="D55" s="2">
        <v>0.23599721347606351</v>
      </c>
      <c r="E55" s="2">
        <v>-0.84371755702963991</v>
      </c>
      <c r="F55" s="2">
        <v>0.82847375785397592</v>
      </c>
    </row>
    <row r="56" spans="1:6" ht="22.5" customHeight="1" x14ac:dyDescent="0.25">
      <c r="A56" s="3">
        <v>40057</v>
      </c>
      <c r="B56" s="2">
        <v>2.2383653570721447</v>
      </c>
      <c r="C56" s="2">
        <v>0.29758581657866956</v>
      </c>
      <c r="D56" s="2">
        <v>-0.78341342887890653</v>
      </c>
      <c r="E56" s="2">
        <v>-0.22478694169472013</v>
      </c>
      <c r="F56" s="2">
        <v>-1.1928859998620256</v>
      </c>
    </row>
    <row r="57" spans="1:6" ht="22.5" customHeight="1" x14ac:dyDescent="0.25">
      <c r="A57" s="3">
        <v>40148</v>
      </c>
      <c r="B57" s="2">
        <v>2.6731479823748518</v>
      </c>
      <c r="C57" s="2">
        <v>0.62736249576617309</v>
      </c>
      <c r="D57" s="2">
        <v>-0.42048970997485585</v>
      </c>
      <c r="E57" s="2">
        <v>-8.0942214087053599E-2</v>
      </c>
      <c r="F57" s="2">
        <v>-0.12581199386590969</v>
      </c>
    </row>
    <row r="58" spans="1:6" ht="22.5" customHeight="1" x14ac:dyDescent="0.25">
      <c r="A58" s="3">
        <v>40238</v>
      </c>
      <c r="B58" s="2">
        <v>3.5218544241089655</v>
      </c>
      <c r="C58" s="2">
        <v>0.53450984046103456</v>
      </c>
      <c r="D58" s="2">
        <v>1.3367114688460975</v>
      </c>
      <c r="E58" s="2">
        <v>-0.65169089841517813</v>
      </c>
      <c r="F58" s="2">
        <v>2.6367020264155938</v>
      </c>
    </row>
    <row r="59" spans="1:6" ht="22.5" customHeight="1" x14ac:dyDescent="0.25">
      <c r="A59" s="3">
        <v>40330</v>
      </c>
      <c r="B59" s="2">
        <v>3.6482269362803339</v>
      </c>
      <c r="C59" s="2">
        <v>0.66511895238696317</v>
      </c>
      <c r="D59" s="2">
        <v>3.0853124610936078</v>
      </c>
      <c r="E59" s="2">
        <v>-1.58918332366179</v>
      </c>
      <c r="F59" s="2">
        <v>5.3337136972621435</v>
      </c>
    </row>
    <row r="60" spans="1:6" ht="22.5" customHeight="1" x14ac:dyDescent="0.25">
      <c r="A60" s="3">
        <v>40422</v>
      </c>
      <c r="B60" s="2">
        <v>3.7378216645884588</v>
      </c>
      <c r="C60" s="2">
        <v>0.86133094234589402</v>
      </c>
      <c r="D60" s="2">
        <v>4.5760800398742321</v>
      </c>
      <c r="E60" s="2">
        <v>-2.8370015085116989</v>
      </c>
      <c r="F60" s="2">
        <v>7.4612633463596145</v>
      </c>
    </row>
    <row r="61" spans="1:6" ht="22.5" customHeight="1" x14ac:dyDescent="0.25">
      <c r="A61" s="3">
        <v>40513</v>
      </c>
      <c r="B61" s="2">
        <v>3.7025905666887069</v>
      </c>
      <c r="C61" s="2">
        <v>0.82500793777603709</v>
      </c>
      <c r="D61" s="2">
        <v>3.6111758953553084</v>
      </c>
      <c r="E61" s="2">
        <v>-2.6400125363773772</v>
      </c>
      <c r="F61" s="2">
        <v>7.5282258217931108</v>
      </c>
    </row>
    <row r="62" spans="1:6" ht="22.5" customHeight="1" x14ac:dyDescent="0.25">
      <c r="A62" s="3">
        <v>40603</v>
      </c>
      <c r="B62" s="2">
        <v>3.6738269836433255</v>
      </c>
      <c r="C62" s="2">
        <v>0.66787533551340017</v>
      </c>
      <c r="D62" s="2">
        <v>2.9440688231535845</v>
      </c>
      <c r="E62" s="2">
        <v>-2.1171201823086321</v>
      </c>
      <c r="F62" s="2">
        <v>6.5547598267485121</v>
      </c>
    </row>
    <row r="63" spans="1:6" ht="22.5" customHeight="1" x14ac:dyDescent="0.25">
      <c r="A63" s="3">
        <v>40695</v>
      </c>
      <c r="B63" s="2">
        <v>3.7545174421010254</v>
      </c>
      <c r="C63" s="2">
        <v>0.61635458469759219</v>
      </c>
      <c r="D63" s="2">
        <v>2.2106723816223521</v>
      </c>
      <c r="E63" s="2">
        <v>-1.5382329209590631</v>
      </c>
      <c r="F63" s="2">
        <v>5.6149201586360498</v>
      </c>
    </row>
    <row r="64" spans="1:6" ht="22.5" customHeight="1" x14ac:dyDescent="0.25">
      <c r="A64" s="3">
        <v>40787</v>
      </c>
      <c r="B64" s="2">
        <v>3.5686827460692609</v>
      </c>
      <c r="C64" s="2">
        <v>0.46626020410512303</v>
      </c>
      <c r="D64" s="2">
        <v>1.6645329767185937</v>
      </c>
      <c r="E64" s="2">
        <v>-0.85370377531297592</v>
      </c>
      <c r="F64" s="2">
        <v>4.7610568942161757</v>
      </c>
    </row>
    <row r="65" spans="1:6" ht="22.5" customHeight="1" x14ac:dyDescent="0.25">
      <c r="A65" s="3">
        <v>40878</v>
      </c>
      <c r="B65" s="2">
        <v>2.8930900850053405</v>
      </c>
      <c r="C65" s="2">
        <v>0.45803265655007003</v>
      </c>
      <c r="D65" s="2">
        <v>1.3730549098102447</v>
      </c>
      <c r="E65" s="2">
        <v>-0.64245865814043268</v>
      </c>
      <c r="F65" s="2">
        <v>3.9744230654152002</v>
      </c>
    </row>
    <row r="66" spans="1:6" ht="22.5" customHeight="1" x14ac:dyDescent="0.25">
      <c r="A66" s="3">
        <v>40969</v>
      </c>
      <c r="B66" s="2">
        <v>2.451748263002913</v>
      </c>
      <c r="C66" s="2">
        <v>0.35894978532097066</v>
      </c>
      <c r="D66" s="2">
        <v>1.2813147916920509</v>
      </c>
      <c r="E66" s="2">
        <v>-0.46633430267009657</v>
      </c>
      <c r="F66" s="2">
        <v>3.1237227715153804</v>
      </c>
    </row>
    <row r="67" spans="1:6" ht="22.5" customHeight="1" x14ac:dyDescent="0.25">
      <c r="A67" s="3">
        <v>41061</v>
      </c>
      <c r="B67" s="2">
        <v>1.7702244494214781</v>
      </c>
      <c r="C67" s="2">
        <v>0.3274700131893169</v>
      </c>
      <c r="D67" s="2">
        <v>0.86452186910586237</v>
      </c>
      <c r="E67" s="2">
        <v>-0.35510452841251156</v>
      </c>
      <c r="F67" s="2">
        <v>2.1970867118315418</v>
      </c>
    </row>
    <row r="68" spans="1:6" ht="22.5" customHeight="1" x14ac:dyDescent="0.25">
      <c r="A68" s="3">
        <v>41153</v>
      </c>
      <c r="B68" s="2">
        <v>1.7870172450295518</v>
      </c>
      <c r="C68" s="2">
        <v>0.32255106170289777</v>
      </c>
      <c r="D68" s="2">
        <v>0.43422743704725952</v>
      </c>
      <c r="E68" s="2">
        <v>-0.20127274097855896</v>
      </c>
      <c r="F68" s="2">
        <v>1.9387233619535538</v>
      </c>
    </row>
    <row r="69" spans="1:6" ht="22.5" customHeight="1" x14ac:dyDescent="0.25">
      <c r="A69" s="3">
        <v>41244</v>
      </c>
      <c r="B69" s="2">
        <v>2.1751504039305285</v>
      </c>
      <c r="C69" s="2">
        <v>0.47730880205282433</v>
      </c>
      <c r="D69" s="2">
        <v>0.14585512784659571</v>
      </c>
      <c r="E69" s="2">
        <v>-7.1823481822653371E-2</v>
      </c>
      <c r="F69" s="2">
        <v>1.9211759930170214</v>
      </c>
    </row>
    <row r="70" spans="1:6" ht="22.5" customHeight="1" x14ac:dyDescent="0.25">
      <c r="A70" s="3">
        <v>41334</v>
      </c>
      <c r="B70" s="2">
        <v>2.3226199569170713</v>
      </c>
      <c r="C70" s="2">
        <v>0.29920521914748099</v>
      </c>
      <c r="D70" s="2">
        <v>0.17440195985484475</v>
      </c>
      <c r="E70" s="2">
        <v>-0.32633519853266724</v>
      </c>
      <c r="F70" s="2">
        <v>2.1684859951921931</v>
      </c>
    </row>
    <row r="71" spans="1:6" ht="22.5" customHeight="1" x14ac:dyDescent="0.25">
      <c r="A71" s="3">
        <v>41426</v>
      </c>
      <c r="B71" s="2">
        <v>2.5438678167837687</v>
      </c>
      <c r="C71" s="2">
        <v>0.27895227929223099</v>
      </c>
      <c r="D71" s="2">
        <v>0.5723321920966572</v>
      </c>
      <c r="E71" s="2">
        <v>-0.29770147290279314</v>
      </c>
      <c r="F71" s="2">
        <v>2.9284718587484493</v>
      </c>
    </row>
    <row r="72" spans="1:6" ht="22.5" customHeight="1" x14ac:dyDescent="0.25">
      <c r="A72" s="3">
        <v>41518</v>
      </c>
      <c r="B72" s="2">
        <v>2.496070295365965</v>
      </c>
      <c r="C72" s="2">
        <v>0.29435585973755551</v>
      </c>
      <c r="D72" s="2">
        <v>1.1073125291707746</v>
      </c>
      <c r="E72" s="2">
        <v>-0.75341101993027104</v>
      </c>
      <c r="F72" s="2">
        <v>2.9963131901505462</v>
      </c>
    </row>
    <row r="73" spans="1:6" ht="22.5" customHeight="1" x14ac:dyDescent="0.25">
      <c r="A73" s="3">
        <v>41609</v>
      </c>
      <c r="B73" s="2">
        <v>2.1455115556948852</v>
      </c>
      <c r="C73" s="2">
        <v>0.32203772728483943</v>
      </c>
      <c r="D73" s="2">
        <v>1.0925753722897245</v>
      </c>
      <c r="E73" s="2">
        <v>-0.72378632371980822</v>
      </c>
      <c r="F73" s="2">
        <v>3.0048226644272535</v>
      </c>
    </row>
    <row r="74" spans="1:6" ht="22.5" customHeight="1" x14ac:dyDescent="0.25">
      <c r="A74" s="3">
        <v>41699</v>
      </c>
      <c r="B74" s="2">
        <v>2.1485404394382388</v>
      </c>
      <c r="C74" s="2">
        <v>0.35854544315832304</v>
      </c>
      <c r="D74" s="2">
        <v>1.3833707999020286</v>
      </c>
      <c r="E74" s="2">
        <v>-0.31753710797940904</v>
      </c>
      <c r="F74" s="2">
        <v>3.1870866472613502</v>
      </c>
    </row>
    <row r="75" spans="1:6" ht="22.5" customHeight="1" x14ac:dyDescent="0.25">
      <c r="A75" s="3">
        <v>41791</v>
      </c>
      <c r="B75" s="2">
        <v>1.7294979107098103</v>
      </c>
      <c r="C75" s="2">
        <v>0.38738053413215368</v>
      </c>
      <c r="D75" s="2">
        <v>0.46731671765414312</v>
      </c>
      <c r="E75" s="2">
        <v>-9.0245113328925375E-2</v>
      </c>
      <c r="F75" s="2">
        <v>2.0631422388015963</v>
      </c>
    </row>
    <row r="76" spans="1:6" ht="22.5" customHeight="1" x14ac:dyDescent="0.25">
      <c r="A76" s="3">
        <v>41883</v>
      </c>
      <c r="B76" s="2">
        <v>1.356038401087877</v>
      </c>
      <c r="C76" s="2">
        <v>0.31426312485680286</v>
      </c>
      <c r="D76" s="2">
        <v>-0.32488438472074094</v>
      </c>
      <c r="E76" s="2">
        <v>0.30136433104606525</v>
      </c>
      <c r="F76" s="2">
        <v>1.1927982488047828</v>
      </c>
    </row>
    <row r="77" spans="1:6" ht="22.5" customHeight="1" x14ac:dyDescent="0.25">
      <c r="A77" s="3">
        <v>41974</v>
      </c>
      <c r="B77" s="2">
        <v>1.4382263613351929</v>
      </c>
      <c r="C77" s="2">
        <v>0.17266787777191867</v>
      </c>
      <c r="D77" s="2">
        <v>-0.7593998737957286</v>
      </c>
      <c r="E77" s="2">
        <v>0.14465049453247131</v>
      </c>
      <c r="F77" s="2">
        <v>0.50395575418937799</v>
      </c>
    </row>
    <row r="78" spans="1:6" ht="22.5" customHeight="1" x14ac:dyDescent="0.25">
      <c r="A78" s="3">
        <v>42064</v>
      </c>
      <c r="B78" s="2">
        <v>0.78445898420086646</v>
      </c>
      <c r="C78" s="2">
        <v>4.3001264163551607E-2</v>
      </c>
      <c r="D78" s="2">
        <v>-1.5418774858092732</v>
      </c>
      <c r="E78" s="2">
        <v>0.36201878046960106</v>
      </c>
      <c r="F78" s="2">
        <v>-0.72714553327105635</v>
      </c>
    </row>
    <row r="79" spans="1:6" ht="22.5" customHeight="1" x14ac:dyDescent="0.25">
      <c r="A79" s="3">
        <v>42156</v>
      </c>
      <c r="B79" s="2">
        <v>0.19242124570663705</v>
      </c>
      <c r="C79" s="2">
        <v>-9.4556346960848914E-2</v>
      </c>
      <c r="D79" s="2">
        <v>-1.5918664284414035</v>
      </c>
      <c r="E79" s="2">
        <v>0.88563677598946899</v>
      </c>
      <c r="F79" s="2">
        <v>-1.2985014781889626</v>
      </c>
    </row>
    <row r="80" spans="1:6" ht="22.5" customHeight="1" x14ac:dyDescent="0.25">
      <c r="A80" s="3">
        <v>42248</v>
      </c>
      <c r="B80" s="2">
        <v>-0.60743309202485163</v>
      </c>
      <c r="C80" s="2">
        <v>-0.22665106066548094</v>
      </c>
      <c r="D80" s="2">
        <v>-1.9046521704777573</v>
      </c>
      <c r="E80" s="2">
        <v>1.6493927632604133</v>
      </c>
      <c r="F80" s="2">
        <v>-2.2161400336847104</v>
      </c>
    </row>
    <row r="81" spans="1:6" ht="22.5" customHeight="1" x14ac:dyDescent="0.25">
      <c r="A81" s="3">
        <v>42339</v>
      </c>
      <c r="B81" s="2">
        <v>-2.0748029164888289</v>
      </c>
      <c r="C81" s="2">
        <v>-0.31619492499435653</v>
      </c>
      <c r="D81" s="2">
        <v>-1.8678295650056791</v>
      </c>
      <c r="E81" s="2">
        <v>2.9352979878318504</v>
      </c>
      <c r="F81" s="2">
        <v>-3.5457634055206189</v>
      </c>
    </row>
    <row r="82" spans="1:6" ht="22.5" customHeight="1" x14ac:dyDescent="0.25">
      <c r="A82" s="3">
        <v>42430</v>
      </c>
      <c r="B82" s="2">
        <v>-2.8810260415067557</v>
      </c>
      <c r="C82" s="2">
        <v>-0.26198736182699173</v>
      </c>
      <c r="D82" s="2">
        <v>-2.616152715826896</v>
      </c>
      <c r="E82" s="2">
        <v>3.4834344175925587</v>
      </c>
      <c r="F82" s="2">
        <v>-4.4146835485075364</v>
      </c>
    </row>
    <row r="83" spans="1:6" ht="22.5" customHeight="1" x14ac:dyDescent="0.25">
      <c r="A83" s="3">
        <v>42522</v>
      </c>
      <c r="B83" s="2">
        <v>-3.166870346087153</v>
      </c>
      <c r="C83" s="2">
        <v>-0.16864192142220577</v>
      </c>
      <c r="D83" s="2">
        <v>-2.5170776459572939</v>
      </c>
      <c r="E83" s="2">
        <v>3.173154452828661</v>
      </c>
      <c r="F83" s="2">
        <v>-4.5434413825256925</v>
      </c>
    </row>
    <row r="84" spans="1:6" ht="22.5" customHeight="1" x14ac:dyDescent="0.25">
      <c r="A84" s="3">
        <v>42614</v>
      </c>
      <c r="B84" s="2">
        <v>-3.0652017243358136</v>
      </c>
      <c r="C84" s="2">
        <v>-7.7421510843041233E-2</v>
      </c>
      <c r="D84" s="2">
        <v>-2.3826886301410122</v>
      </c>
      <c r="E84" s="2">
        <v>2.5036623092878405</v>
      </c>
      <c r="F84" s="2">
        <v>-4.0986317037817077</v>
      </c>
    </row>
    <row r="85" spans="1:6" ht="22.5" customHeight="1" x14ac:dyDescent="0.25">
      <c r="A85" s="3">
        <v>42705</v>
      </c>
      <c r="B85" s="2">
        <v>-2.4692988648838092</v>
      </c>
      <c r="C85" s="2">
        <v>4.8782439768557062E-2</v>
      </c>
      <c r="D85" s="2">
        <v>-1.5062721006532243</v>
      </c>
      <c r="E85" s="2">
        <v>1.2595852404904817</v>
      </c>
      <c r="F85" s="2">
        <v>-3.2759169015248779</v>
      </c>
    </row>
    <row r="86" spans="1:6" ht="22.5" customHeight="1" x14ac:dyDescent="0.25">
      <c r="A86" s="3">
        <v>42795</v>
      </c>
      <c r="B86" s="2">
        <v>-1.6616817474655132</v>
      </c>
      <c r="C86" s="2">
        <v>-2.6142243754432904E-2</v>
      </c>
      <c r="D86" s="2">
        <v>-1.4090451819690195</v>
      </c>
      <c r="E86" s="2">
        <v>0.10912661737665447</v>
      </c>
      <c r="F86" s="2">
        <v>-1.9333740205883521</v>
      </c>
    </row>
    <row r="87" spans="1:6" ht="22.5" customHeight="1" x14ac:dyDescent="0.25">
      <c r="A87" s="3">
        <v>42887</v>
      </c>
      <c r="B87" s="2">
        <v>-0.7005292659700304</v>
      </c>
      <c r="C87" s="2">
        <v>-0.1025528757726985</v>
      </c>
      <c r="D87" s="2">
        <v>-1.1136644623117993</v>
      </c>
      <c r="E87" s="2">
        <v>-0.22256270335695458</v>
      </c>
      <c r="F87" s="2">
        <v>-0.92896473424473047</v>
      </c>
    </row>
    <row r="88" spans="1:6" ht="22.5" customHeight="1" x14ac:dyDescent="0.25">
      <c r="A88" s="3">
        <v>42979</v>
      </c>
      <c r="B88" s="2">
        <v>0.25614821977643781</v>
      </c>
      <c r="C88" s="2">
        <v>-0.13076082886386856</v>
      </c>
      <c r="D88" s="2">
        <v>-0.83248164053953899</v>
      </c>
      <c r="E88" s="2">
        <v>-0.41146598176004523</v>
      </c>
      <c r="F88" s="2">
        <v>0.11184318514569913</v>
      </c>
    </row>
    <row r="89" spans="1:6" ht="22.5" customHeight="1" x14ac:dyDescent="0.25">
      <c r="A89" s="3">
        <v>43070</v>
      </c>
      <c r="B89" s="2">
        <v>1.2917350666851168</v>
      </c>
      <c r="C89" s="2">
        <v>-0.14702790227831217</v>
      </c>
      <c r="D89" s="2">
        <v>-0.33014814685517652</v>
      </c>
      <c r="E89" s="2">
        <v>-0.22509068870294358</v>
      </c>
      <c r="F89" s="2">
        <v>1.3228690554852651</v>
      </c>
    </row>
    <row r="90" spans="1:6" ht="22.5" customHeight="1" x14ac:dyDescent="0.25">
      <c r="A90" s="3">
        <v>43160</v>
      </c>
      <c r="B90" s="2">
        <v>1.9442509494706519</v>
      </c>
      <c r="C90" s="2">
        <v>-1.0599086267221754E-2</v>
      </c>
      <c r="D90" s="2">
        <v>-7.5379250045061894E-2</v>
      </c>
      <c r="E90" s="2">
        <v>-8.2836957675254119E-3</v>
      </c>
      <c r="F90" s="2">
        <v>1.7142724513727894</v>
      </c>
    </row>
    <row r="91" spans="1:6" ht="22.5" customHeight="1" x14ac:dyDescent="0.25">
      <c r="A91" s="3">
        <v>43252</v>
      </c>
      <c r="B91" s="2">
        <v>1.9889509840750472</v>
      </c>
      <c r="C91" s="2">
        <v>9.5226797413726486E-2</v>
      </c>
      <c r="D91" s="2">
        <v>0.39326824943739097</v>
      </c>
      <c r="E91" s="2">
        <v>-0.34171373410955952</v>
      </c>
      <c r="F91" s="2">
        <v>1.9123902853233732</v>
      </c>
    </row>
    <row r="92" spans="1:6" ht="22.5" customHeight="1" x14ac:dyDescent="0.25">
      <c r="A92" s="3">
        <v>43344</v>
      </c>
      <c r="B92" s="2">
        <v>1.8361933028721904</v>
      </c>
      <c r="C92" s="2">
        <v>0.20606211074256683</v>
      </c>
      <c r="D92" s="2">
        <v>0.84678332576208315</v>
      </c>
      <c r="E92" s="2">
        <v>-0.96550609806902887</v>
      </c>
      <c r="F92" s="2">
        <v>2.0184088697315472</v>
      </c>
    </row>
    <row r="93" spans="1:6" ht="22.5" customHeight="1" x14ac:dyDescent="0.25">
      <c r="A93" s="3">
        <v>43435</v>
      </c>
      <c r="B93" s="2">
        <v>1.5525573990377146</v>
      </c>
      <c r="C93" s="2">
        <v>0.17157511211914422</v>
      </c>
      <c r="D93" s="2">
        <v>0.6368030673707582</v>
      </c>
      <c r="E93" s="2">
        <v>-0.5277160697382689</v>
      </c>
      <c r="F93" s="2">
        <v>1.7836667548653873</v>
      </c>
    </row>
    <row r="94" spans="1:6" ht="22.5" customHeight="1" x14ac:dyDescent="0.25">
      <c r="A94" s="3">
        <v>43525</v>
      </c>
      <c r="B94" s="2">
        <v>1.3767493216671272</v>
      </c>
      <c r="C94" s="2">
        <v>9.2244308282960291E-2</v>
      </c>
      <c r="D94" s="2">
        <v>0.82566196579937101</v>
      </c>
      <c r="E94" s="2">
        <v>-0.4138432382377577</v>
      </c>
      <c r="F94" s="2">
        <v>1.5787181033263264</v>
      </c>
    </row>
    <row r="95" spans="1:6" ht="22.5" customHeight="1" x14ac:dyDescent="0.25">
      <c r="A95" s="3">
        <v>43617</v>
      </c>
      <c r="B95" s="2">
        <v>1.4240056435505972</v>
      </c>
      <c r="C95" s="2">
        <v>1.8381045071599204E-2</v>
      </c>
      <c r="D95" s="2">
        <v>0.92309947950533522</v>
      </c>
      <c r="E95" s="2">
        <v>-0.26094876123835509</v>
      </c>
      <c r="F95" s="2">
        <v>1.5047040412533574</v>
      </c>
    </row>
    <row r="96" spans="1:6" ht="22.5" customHeight="1" x14ac:dyDescent="0.25">
      <c r="A96" s="3">
        <v>43709</v>
      </c>
      <c r="B96" s="2">
        <v>1.5385264701356072</v>
      </c>
      <c r="C96" s="2">
        <v>-0.11395748405535346</v>
      </c>
      <c r="D96" s="2">
        <v>0.84690981694956591</v>
      </c>
      <c r="E96" s="2">
        <v>-0.14277136490038853</v>
      </c>
      <c r="F96" s="2">
        <v>1.2623090762169609</v>
      </c>
    </row>
    <row r="97" spans="1:6" ht="22.5" customHeight="1" x14ac:dyDescent="0.25">
      <c r="A97" s="3">
        <v>43800</v>
      </c>
      <c r="B97" s="2">
        <v>1.7107292700231624</v>
      </c>
      <c r="C97" s="2">
        <v>-0.10648688888941533</v>
      </c>
      <c r="D97" s="2">
        <v>0.51941195479858915</v>
      </c>
      <c r="E97" s="2">
        <v>-0.55871439126558142</v>
      </c>
      <c r="F97" s="2">
        <v>1.220777831119757</v>
      </c>
    </row>
    <row r="98" spans="1:6" ht="22.5" customHeight="1" x14ac:dyDescent="0.25">
      <c r="A98" s="3">
        <v>43891</v>
      </c>
      <c r="B98" s="2">
        <v>1.1995979198343065</v>
      </c>
      <c r="C98" s="2">
        <v>-0.10846166890065689</v>
      </c>
      <c r="D98" s="2">
        <v>0.94133932316479341</v>
      </c>
      <c r="E98" s="2">
        <v>-0.91902108216608036</v>
      </c>
      <c r="F98" s="2">
        <v>0.93110380065122289</v>
      </c>
    </row>
    <row r="99" spans="1:6" ht="22.5" customHeight="1" x14ac:dyDescent="0.25">
      <c r="A99" s="3">
        <v>43983</v>
      </c>
      <c r="B99" s="2">
        <v>-1.0918199502708541</v>
      </c>
      <c r="C99" s="2">
        <v>-0.58733638745299821</v>
      </c>
      <c r="D99" s="2">
        <v>-3.7279015551015197E-2</v>
      </c>
      <c r="E99" s="2">
        <v>-0.30122004978839317</v>
      </c>
      <c r="F99" s="2">
        <v>-2.0810463396154555</v>
      </c>
    </row>
    <row r="100" spans="1:6" ht="22.5" customHeight="1" x14ac:dyDescent="0.25">
      <c r="A100" s="3">
        <v>44075</v>
      </c>
      <c r="B100" s="2">
        <v>-2.4662101363737206</v>
      </c>
      <c r="C100" s="2">
        <v>-0.71879588711900366</v>
      </c>
      <c r="D100" s="2">
        <v>-0.56039591471563899</v>
      </c>
      <c r="E100" s="2">
        <v>0.95338098887909251</v>
      </c>
      <c r="F100" s="2">
        <v>-3.2998536817589907</v>
      </c>
    </row>
    <row r="101" spans="1:6" ht="22.5" customHeight="1" x14ac:dyDescent="0.25">
      <c r="A101" s="3">
        <v>44166</v>
      </c>
      <c r="B101" s="2">
        <v>-3.477251286347073</v>
      </c>
      <c r="C101" s="2">
        <v>-0.98013139466673138</v>
      </c>
      <c r="D101" s="2">
        <v>-7.8534276979515968E-2</v>
      </c>
      <c r="E101" s="2">
        <v>1.402943873835969</v>
      </c>
      <c r="F101" s="2">
        <v>-3.8786763342577357</v>
      </c>
    </row>
    <row r="102" spans="1:6" ht="22.5" customHeight="1" x14ac:dyDescent="0.25">
      <c r="A102" s="3">
        <v>44256</v>
      </c>
      <c r="B102" s="2">
        <v>-3.4550346296007506</v>
      </c>
      <c r="C102" s="2">
        <v>-0.91674242270199213</v>
      </c>
      <c r="D102" s="2">
        <v>0.54071876379027717</v>
      </c>
      <c r="E102" s="2">
        <v>1.6061844315947871</v>
      </c>
      <c r="F102" s="2">
        <v>-3.5342910068532181</v>
      </c>
    </row>
    <row r="103" spans="1:6" ht="22.5" customHeight="1" x14ac:dyDescent="0.25">
      <c r="A103" s="3">
        <v>44348</v>
      </c>
      <c r="B103" s="2">
        <v>-0.30680262077320347</v>
      </c>
      <c r="C103" s="2">
        <v>-0.34531042481749813</v>
      </c>
      <c r="D103" s="2">
        <v>2.2772654453038754</v>
      </c>
      <c r="E103" s="2">
        <v>0.89450127345976349</v>
      </c>
      <c r="F103" s="2">
        <v>1.9240116026979726</v>
      </c>
    </row>
    <row r="104" spans="1:6" ht="22.5" customHeight="1" x14ac:dyDescent="0.25">
      <c r="A104" s="3">
        <v>44440</v>
      </c>
      <c r="B104" s="2">
        <v>1.2891414432530235</v>
      </c>
      <c r="C104" s="2">
        <v>7.5018672844697237E-2</v>
      </c>
      <c r="D104" s="2">
        <v>3.8329162350044714</v>
      </c>
      <c r="E104" s="2">
        <v>-1.1016810726931636</v>
      </c>
      <c r="F104" s="2">
        <v>3.9400880865863686</v>
      </c>
    </row>
    <row r="105" spans="1:6" ht="22.5" customHeight="1" x14ac:dyDescent="0.25">
      <c r="A105" s="3">
        <v>44531</v>
      </c>
      <c r="B105" s="2">
        <v>2.3014811431645241</v>
      </c>
      <c r="C105" s="2">
        <v>0.42972448339953007</v>
      </c>
      <c r="D105" s="2">
        <v>2.6293470003450041</v>
      </c>
      <c r="E105" s="2">
        <v>-1.4078373848892678</v>
      </c>
      <c r="F105" s="2">
        <v>4.6194216206421279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85ED-F677-41F2-89E2-B3F0D483905C}">
  <dimension ref="D2"/>
  <sheetViews>
    <sheetView workbookViewId="0"/>
  </sheetViews>
  <sheetFormatPr defaultColWidth="16.25" defaultRowHeight="22.5" customHeight="1" x14ac:dyDescent="0.25"/>
  <cols>
    <col min="1" max="16384" width="16.25" style="2"/>
  </cols>
  <sheetData>
    <row r="2" spans="4:4" ht="22.5" customHeight="1" x14ac:dyDescent="0.25">
      <c r="D2" s="1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63FD-F641-48AF-A362-45AD8C9E11DB}">
  <dimension ref="D2"/>
  <sheetViews>
    <sheetView workbookViewId="0"/>
  </sheetViews>
  <sheetFormatPr defaultColWidth="16.25" defaultRowHeight="22.5" customHeight="1" x14ac:dyDescent="0.25"/>
  <cols>
    <col min="1" max="16384" width="16.25" style="2"/>
  </cols>
  <sheetData>
    <row r="2" spans="4:4" ht="22.5" customHeight="1" x14ac:dyDescent="0.25">
      <c r="D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Variação do IPCA-15</vt:lpstr>
      <vt:lpstr>Subitens do IPCA-15</vt:lpstr>
      <vt:lpstr>Variação Desagregada do IPCA-15</vt:lpstr>
      <vt:lpstr>Investimento em Carteira</vt:lpstr>
      <vt:lpstr>Investimento Direto</vt:lpstr>
      <vt:lpstr>Desempenho Cambial</vt:lpstr>
      <vt:lpstr>Fluxo Global Total</vt:lpstr>
      <vt:lpstr>Fluxo Global de Investimentos</vt:lpstr>
      <vt:lpstr>Desempenho Cambial Global</vt:lpstr>
      <vt:lpstr>Expectativas IPCA - Rascunho</vt:lpstr>
      <vt:lpstr>Expectativas de IPCA</vt:lpstr>
      <vt:lpstr>Crescimento do PIB</vt:lpstr>
      <vt:lpstr>Juros Globais - Avançados</vt:lpstr>
      <vt:lpstr>Juros Globais - Emergentes</vt:lpstr>
      <vt:lpstr>Crescimento do PIB - Demanda</vt:lpstr>
      <vt:lpstr>Planilha14</vt:lpstr>
      <vt:lpstr>Planilha15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Micota Stipp</dc:creator>
  <cp:lastModifiedBy>Guilherme Micota Stipp</cp:lastModifiedBy>
  <dcterms:created xsi:type="dcterms:W3CDTF">2021-11-20T16:40:37Z</dcterms:created>
  <dcterms:modified xsi:type="dcterms:W3CDTF">2022-03-08T01:16:26Z</dcterms:modified>
</cp:coreProperties>
</file>