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8a6ee1e82349c3/Área de Trabalho/"/>
    </mc:Choice>
  </mc:AlternateContent>
  <xr:revisionPtr revIDLastSave="0" documentId="8_{7303BB5E-33C2-4D61-AA97-B22494431CC6}" xr6:coauthVersionLast="47" xr6:coauthVersionMax="47" xr10:uidLastSave="{00000000-0000-0000-0000-000000000000}"/>
  <bookViews>
    <workbookView xWindow="-120" yWindow="-120" windowWidth="29040" windowHeight="15720" activeTab="1" xr2:uid="{9598A535-9684-44E9-8F35-ACB81D6C20DF}"/>
  </bookViews>
  <sheets>
    <sheet name="Gráfico1" sheetId="4" r:id="rId1"/>
    <sheet name="Gráfico2" sheetId="5" r:id="rId2"/>
    <sheet name="Retorno" sheetId="1" r:id="rId3"/>
    <sheet name="Imput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2" i="1"/>
  <c r="E150" i="1" a="1"/>
  <c r="E150" i="1" s="1"/>
  <c r="E151" i="1" a="1"/>
  <c r="E151" i="1" s="1"/>
  <c r="E152" i="1" a="1"/>
  <c r="E152" i="1"/>
  <c r="E153" i="1" a="1"/>
  <c r="E153" i="1"/>
  <c r="E154" i="1" a="1"/>
  <c r="E154" i="1" s="1"/>
  <c r="E155" i="1" a="1"/>
  <c r="E155" i="1" s="1"/>
  <c r="E156" i="1" a="1"/>
  <c r="E156" i="1" s="1"/>
  <c r="E157" i="1" a="1"/>
  <c r="E157" i="1" s="1"/>
  <c r="E149" i="1" a="1"/>
  <c r="E149" i="1" s="1"/>
  <c r="E25" i="2"/>
  <c r="E24" i="2"/>
  <c r="E23" i="2"/>
  <c r="E22" i="2"/>
  <c r="E21" i="2"/>
  <c r="E20" i="2"/>
  <c r="E19" i="2"/>
  <c r="E18" i="2"/>
  <c r="E17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2" i="1"/>
  <c r="D19" i="2"/>
  <c r="D20" i="2" s="1"/>
  <c r="B19" i="2"/>
  <c r="B18" i="2"/>
  <c r="B17" i="2"/>
  <c r="B150" i="1" s="1" a="1"/>
  <c r="B150" i="1" s="1"/>
  <c r="D150" i="1" s="1"/>
  <c r="D21" i="2" l="1"/>
  <c r="B20" i="2"/>
  <c r="B152" i="1" a="1"/>
  <c r="B152" i="1" s="1"/>
  <c r="D152" i="1" s="1"/>
  <c r="B149" i="1" a="1"/>
  <c r="B149" i="1" s="1"/>
  <c r="D149" i="1" s="1"/>
  <c r="B151" i="1" a="1"/>
  <c r="B151" i="1" s="1"/>
  <c r="D151" i="1" s="1"/>
  <c r="B21" i="2" l="1"/>
  <c r="D22" i="2"/>
  <c r="B22" i="2" l="1"/>
  <c r="D23" i="2"/>
  <c r="B154" i="1" a="1"/>
  <c r="B154" i="1" s="1"/>
  <c r="D154" i="1" s="1"/>
  <c r="B153" i="1" a="1"/>
  <c r="B153" i="1" s="1"/>
  <c r="D153" i="1" s="1"/>
  <c r="D24" i="2" l="1"/>
  <c r="B23" i="2"/>
  <c r="B155" i="1" l="1" a="1"/>
  <c r="B155" i="1" s="1"/>
  <c r="D155" i="1" s="1"/>
  <c r="D25" i="2"/>
  <c r="B25" i="2" s="1"/>
  <c r="B24" i="2"/>
  <c r="B157" i="1" s="1" a="1"/>
  <c r="B157" i="1" s="1"/>
  <c r="D157" i="1" s="1"/>
  <c r="B156" i="1" l="1" a="1"/>
  <c r="B156" i="1" s="1"/>
  <c r="D1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<sst xmlns="http://schemas.openxmlformats.org/spreadsheetml/2006/main" count="41" uniqueCount="11">
  <si>
    <t>data</t>
  </si>
  <si>
    <t>IPCA</t>
  </si>
  <si>
    <t>IDA-DI Real</t>
  </si>
  <si>
    <t>IDA-DI Nominal</t>
  </si>
  <si>
    <t>IDA DI Mensal</t>
  </si>
  <si>
    <t>Selic</t>
  </si>
  <si>
    <t>-</t>
  </si>
  <si>
    <t>Spread AA 5Y</t>
  </si>
  <si>
    <t>CDI Mensal</t>
  </si>
  <si>
    <t>CDI Nominal</t>
  </si>
  <si>
    <t>CDI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</si>
</sst>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Garamond"/>
      <family val="2"/>
    </font>
    <font>
      <sz val="12"/>
      <color rgb="FFFF0000"/>
      <name val="Garamon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2D050"/>
      <color rgb="FFFFD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r>
              <a:rPr lang="en-US"/>
              <a:t>Desempenho do Mercado de Crédito (%, anual)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Retorno!$B$1</c:f>
              <c:strCache>
                <c:ptCount val="1"/>
                <c:pt idx="0">
                  <c:v>IDA-DI Nominal</c:v>
                </c:pt>
              </c:strCache>
            </c:strRef>
          </c:tx>
          <c:spPr>
            <a:ln w="28575" cap="rnd">
              <a:solidFill>
                <a:srgbClr val="70AD47">
                  <a:lumMod val="5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Retorno!$A$2:$A$157</c:f>
              <c:numCache>
                <c:formatCode>m/d/yyyy</c:formatCode>
                <c:ptCount val="156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</c:numCache>
            </c:numRef>
          </c:cat>
          <c:val>
            <c:numRef>
              <c:f>Retorno!$B$2:$B$157</c:f>
              <c:numCache>
                <c:formatCode>#,##0.00</c:formatCode>
                <c:ptCount val="156"/>
                <c:pt idx="0">
                  <c:v>13.159263216562422</c:v>
                </c:pt>
                <c:pt idx="1">
                  <c:v>12.795907786408666</c:v>
                </c:pt>
                <c:pt idx="2">
                  <c:v>12.382936150661571</c:v>
                </c:pt>
                <c:pt idx="3">
                  <c:v>12.060660491836583</c:v>
                </c:pt>
                <c:pt idx="4">
                  <c:v>11.908158053976026</c:v>
                </c:pt>
                <c:pt idx="5">
                  <c:v>11.810075017196731</c:v>
                </c:pt>
                <c:pt idx="6">
                  <c:v>11.247913174662671</c:v>
                </c:pt>
                <c:pt idx="7">
                  <c:v>11.39542165682672</c:v>
                </c:pt>
                <c:pt idx="8">
                  <c:v>11.468718000923616</c:v>
                </c:pt>
                <c:pt idx="9">
                  <c:v>11.367233091248563</c:v>
                </c:pt>
                <c:pt idx="10">
                  <c:v>11.410027869947159</c:v>
                </c:pt>
                <c:pt idx="11">
                  <c:v>11.410768850463748</c:v>
                </c:pt>
                <c:pt idx="12">
                  <c:v>11.563312757659094</c:v>
                </c:pt>
                <c:pt idx="13">
                  <c:v>11.810430768591452</c:v>
                </c:pt>
                <c:pt idx="14">
                  <c:v>11.925929950981118</c:v>
                </c:pt>
                <c:pt idx="15">
                  <c:v>12.159823956654336</c:v>
                </c:pt>
                <c:pt idx="16">
                  <c:v>12.386438869833306</c:v>
                </c:pt>
                <c:pt idx="17">
                  <c:v>12.568260159553347</c:v>
                </c:pt>
                <c:pt idx="18">
                  <c:v>12.683883072030898</c:v>
                </c:pt>
                <c:pt idx="19">
                  <c:v>12.888307348610862</c:v>
                </c:pt>
                <c:pt idx="20">
                  <c:v>12.934848662416698</c:v>
                </c:pt>
                <c:pt idx="21">
                  <c:v>13.008508886376324</c:v>
                </c:pt>
                <c:pt idx="22">
                  <c:v>13.104137505763092</c:v>
                </c:pt>
                <c:pt idx="23">
                  <c:v>13.073937505799215</c:v>
                </c:pt>
                <c:pt idx="24">
                  <c:v>13.05753284446638</c:v>
                </c:pt>
                <c:pt idx="25">
                  <c:v>12.938027052660139</c:v>
                </c:pt>
                <c:pt idx="26">
                  <c:v>12.812489427152563</c:v>
                </c:pt>
                <c:pt idx="27">
                  <c:v>12.699594828487992</c:v>
                </c:pt>
                <c:pt idx="28">
                  <c:v>12.411293260393741</c:v>
                </c:pt>
                <c:pt idx="29">
                  <c:v>12.05125346556799</c:v>
                </c:pt>
                <c:pt idx="30">
                  <c:v>11.68294991157557</c:v>
                </c:pt>
                <c:pt idx="31">
                  <c:v>11.252304409686186</c:v>
                </c:pt>
                <c:pt idx="32">
                  <c:v>10.806992012635352</c:v>
                </c:pt>
                <c:pt idx="33">
                  <c:v>10.507476612472022</c:v>
                </c:pt>
                <c:pt idx="34">
                  <c:v>10.136560882999612</c:v>
                </c:pt>
                <c:pt idx="35">
                  <c:v>9.7236635564202913</c:v>
                </c:pt>
                <c:pt idx="36">
                  <c:v>9.4433716466477691</c:v>
                </c:pt>
                <c:pt idx="37">
                  <c:v>9.1212944184277269</c:v>
                </c:pt>
                <c:pt idx="38">
                  <c:v>8.789856704527077</c:v>
                </c:pt>
                <c:pt idx="39">
                  <c:v>8.6588234642033477</c:v>
                </c:pt>
                <c:pt idx="40">
                  <c:v>8.4794784463219983</c:v>
                </c:pt>
                <c:pt idx="41">
                  <c:v>8.3823281063301955</c:v>
                </c:pt>
                <c:pt idx="42">
                  <c:v>8.3474898015427392</c:v>
                </c:pt>
                <c:pt idx="43">
                  <c:v>8.2900040048461641</c:v>
                </c:pt>
                <c:pt idx="44">
                  <c:v>8.4426917066298124</c:v>
                </c:pt>
                <c:pt idx="45">
                  <c:v>8.6409530287369094</c:v>
                </c:pt>
                <c:pt idx="46">
                  <c:v>8.8220817282061539</c:v>
                </c:pt>
                <c:pt idx="47">
                  <c:v>9.0631873548447484</c:v>
                </c:pt>
                <c:pt idx="48">
                  <c:v>9.3211993691321169</c:v>
                </c:pt>
                <c:pt idx="49">
                  <c:v>9.6442763650592909</c:v>
                </c:pt>
                <c:pt idx="50">
                  <c:v>9.8860642366644491</c:v>
                </c:pt>
                <c:pt idx="51">
                  <c:v>10.113161510787737</c:v>
                </c:pt>
                <c:pt idx="52">
                  <c:v>10.429309136046294</c:v>
                </c:pt>
                <c:pt idx="53">
                  <c:v>10.719840833481653</c:v>
                </c:pt>
                <c:pt idx="54">
                  <c:v>11.030842917014727</c:v>
                </c:pt>
                <c:pt idx="55">
                  <c:v>11.241346615968917</c:v>
                </c:pt>
                <c:pt idx="56">
                  <c:v>11.507175434886484</c:v>
                </c:pt>
                <c:pt idx="57">
                  <c:v>11.68012656680235</c:v>
                </c:pt>
                <c:pt idx="58">
                  <c:v>11.810810074741095</c:v>
                </c:pt>
                <c:pt idx="59">
                  <c:v>12.024313980171385</c:v>
                </c:pt>
                <c:pt idx="60">
                  <c:v>12.11748861971067</c:v>
                </c:pt>
                <c:pt idx="61">
                  <c:v>12.16392725917248</c:v>
                </c:pt>
                <c:pt idx="62">
                  <c:v>12.438063620970684</c:v>
                </c:pt>
                <c:pt idx="63">
                  <c:v>12.544142657485846</c:v>
                </c:pt>
                <c:pt idx="64">
                  <c:v>12.673950962130931</c:v>
                </c:pt>
                <c:pt idx="65">
                  <c:v>12.96125658018128</c:v>
                </c:pt>
                <c:pt idx="66">
                  <c:v>13.25214555440879</c:v>
                </c:pt>
                <c:pt idx="67">
                  <c:v>13.519252618718426</c:v>
                </c:pt>
                <c:pt idx="68">
                  <c:v>13.720070590954281</c:v>
                </c:pt>
                <c:pt idx="69">
                  <c:v>13.857050017716489</c:v>
                </c:pt>
                <c:pt idx="70">
                  <c:v>13.942275355002254</c:v>
                </c:pt>
                <c:pt idx="71">
                  <c:v>14.113721474310314</c:v>
                </c:pt>
                <c:pt idx="72">
                  <c:v>13.768888335689432</c:v>
                </c:pt>
                <c:pt idx="73">
                  <c:v>13.577127654036136</c:v>
                </c:pt>
                <c:pt idx="74">
                  <c:v>13.854206800840728</c:v>
                </c:pt>
                <c:pt idx="75">
                  <c:v>14.167782763874115</c:v>
                </c:pt>
                <c:pt idx="76">
                  <c:v>14.497956499569087</c:v>
                </c:pt>
                <c:pt idx="77">
                  <c:v>14.78125734143747</c:v>
                </c:pt>
                <c:pt idx="78">
                  <c:v>14.804533426883593</c:v>
                </c:pt>
                <c:pt idx="79">
                  <c:v>15.157024123550734</c:v>
                </c:pt>
                <c:pt idx="80">
                  <c:v>15.290061835196166</c:v>
                </c:pt>
                <c:pt idx="81">
                  <c:v>15.397949730048754</c:v>
                </c:pt>
                <c:pt idx="82">
                  <c:v>15.65250010628516</c:v>
                </c:pt>
                <c:pt idx="83">
                  <c:v>15.751134673678457</c:v>
                </c:pt>
                <c:pt idx="84">
                  <c:v>16.504774427013501</c:v>
                </c:pt>
                <c:pt idx="85">
                  <c:v>16.876474169615886</c:v>
                </c:pt>
                <c:pt idx="86">
                  <c:v>16.813143016746366</c:v>
                </c:pt>
                <c:pt idx="87">
                  <c:v>16.362270981296902</c:v>
                </c:pt>
                <c:pt idx="88">
                  <c:v>16.029816606154213</c:v>
                </c:pt>
                <c:pt idx="89">
                  <c:v>15.428436329161798</c:v>
                </c:pt>
                <c:pt idx="90">
                  <c:v>15.006530227438098</c:v>
                </c:pt>
                <c:pt idx="91">
                  <c:v>14.331201518509529</c:v>
                </c:pt>
                <c:pt idx="92">
                  <c:v>13.663587296955203</c:v>
                </c:pt>
                <c:pt idx="93">
                  <c:v>13.035359297227833</c:v>
                </c:pt>
                <c:pt idx="94">
                  <c:v>12.35867402070383</c:v>
                </c:pt>
                <c:pt idx="95">
                  <c:v>11.564307425219722</c:v>
                </c:pt>
                <c:pt idx="96">
                  <c:v>10.851980435087793</c:v>
                </c:pt>
                <c:pt idx="97">
                  <c:v>10.301311940832125</c:v>
                </c:pt>
                <c:pt idx="98">
                  <c:v>9.5888217494134675</c:v>
                </c:pt>
                <c:pt idx="99">
                  <c:v>9.2913478717862485</c:v>
                </c:pt>
                <c:pt idx="100">
                  <c:v>8.7787876371514528</c:v>
                </c:pt>
                <c:pt idx="101">
                  <c:v>8.1952681150680551</c:v>
                </c:pt>
                <c:pt idx="102">
                  <c:v>7.9190419593288208</c:v>
                </c:pt>
                <c:pt idx="103">
                  <c:v>7.6430819812068673</c:v>
                </c:pt>
                <c:pt idx="104">
                  <c:v>7.465760159304291</c:v>
                </c:pt>
                <c:pt idx="105">
                  <c:v>7.3944936508533177</c:v>
                </c:pt>
                <c:pt idx="106">
                  <c:v>7.352160330647628</c:v>
                </c:pt>
                <c:pt idx="107">
                  <c:v>7.3882481239858633</c:v>
                </c:pt>
                <c:pt idx="108">
                  <c:v>7.3353067192454047</c:v>
                </c:pt>
                <c:pt idx="109">
                  <c:v>7.391709650956968</c:v>
                </c:pt>
                <c:pt idx="110">
                  <c:v>7.2827604257737821</c:v>
                </c:pt>
                <c:pt idx="111">
                  <c:v>7.2738295440488265</c:v>
                </c:pt>
                <c:pt idx="112">
                  <c:v>7.2457174331758134</c:v>
                </c:pt>
                <c:pt idx="113">
                  <c:v>7.3964760378594674</c:v>
                </c:pt>
                <c:pt idx="114">
                  <c:v>7.3094317564323052</c:v>
                </c:pt>
                <c:pt idx="115">
                  <c:v>7.1528932369811393</c:v>
                </c:pt>
                <c:pt idx="116">
                  <c:v>7.0661670239130059</c:v>
                </c:pt>
                <c:pt idx="117">
                  <c:v>6.4496947430514151</c:v>
                </c:pt>
                <c:pt idx="118">
                  <c:v>5.7725490722243977</c:v>
                </c:pt>
                <c:pt idx="119">
                  <c:v>5.5930046454227833</c:v>
                </c:pt>
                <c:pt idx="120">
                  <c:v>5.4336523252950242</c:v>
                </c:pt>
                <c:pt idx="121">
                  <c:v>5.1396721475579055</c:v>
                </c:pt>
                <c:pt idx="122">
                  <c:v>-0.50474289827967533</c:v>
                </c:pt>
                <c:pt idx="123">
                  <c:v>-0.62299150737997744</c:v>
                </c:pt>
                <c:pt idx="124">
                  <c:v>-0.42381769087381782</c:v>
                </c:pt>
                <c:pt idx="125">
                  <c:v>0.10016217867583332</c:v>
                </c:pt>
                <c:pt idx="126">
                  <c:v>0.95665306450525289</c:v>
                </c:pt>
                <c:pt idx="127">
                  <c:v>1.3015013726174418</c:v>
                </c:pt>
                <c:pt idx="128">
                  <c:v>1.3592277978398792</c:v>
                </c:pt>
                <c:pt idx="129">
                  <c:v>1.611004024845597</c:v>
                </c:pt>
                <c:pt idx="130">
                  <c:v>2.0970193124078218</c:v>
                </c:pt>
                <c:pt idx="131">
                  <c:v>2.1441512311715538</c:v>
                </c:pt>
                <c:pt idx="132">
                  <c:v>2.0128780184298423</c:v>
                </c:pt>
                <c:pt idx="133">
                  <c:v>2.2175078194189402</c:v>
                </c:pt>
                <c:pt idx="134">
                  <c:v>8.1252795690128554</c:v>
                </c:pt>
                <c:pt idx="135">
                  <c:v>8.1991830164676482</c:v>
                </c:pt>
                <c:pt idx="136">
                  <c:v>7.8374956116283423</c:v>
                </c:pt>
                <c:pt idx="137">
                  <c:v>7.3356847329936414</c:v>
                </c:pt>
                <c:pt idx="138">
                  <c:v>6.4799218082216559</c:v>
                </c:pt>
                <c:pt idx="139">
                  <c:v>6.3467733433202111</c:v>
                </c:pt>
                <c:pt idx="140">
                  <c:v>6.5611585069840439</c:v>
                </c:pt>
                <c:pt idx="141">
                  <c:v>6.9560762516387653</c:v>
                </c:pt>
                <c:pt idx="142">
                  <c:v>7.2086551430174284</c:v>
                </c:pt>
                <c:pt idx="143">
                  <c:v>7.5814468245712918</c:v>
                </c:pt>
                <c:pt idx="144">
                  <c:v>8.1026800093694682</c:v>
                </c:pt>
                <c:pt idx="145">
                  <c:v>8.5633672240126302</c:v>
                </c:pt>
                <c:pt idx="146">
                  <c:v>9.0916586468726024</c:v>
                </c:pt>
                <c:pt idx="147">
                  <c:v>9.6445249610989556</c:v>
                </c:pt>
                <c:pt idx="148">
                  <c:v>10.408805995150328</c:v>
                </c:pt>
                <c:pt idx="149">
                  <c:v>11.1038323694578</c:v>
                </c:pt>
                <c:pt idx="150">
                  <c:v>11.67969434474343</c:v>
                </c:pt>
                <c:pt idx="151">
                  <c:v>12.220649267948636</c:v>
                </c:pt>
                <c:pt idx="152">
                  <c:v>12.763630775599388</c:v>
                </c:pt>
                <c:pt idx="153">
                  <c:v>13.360618522815582</c:v>
                </c:pt>
                <c:pt idx="154">
                  <c:v>14.002077194337947</c:v>
                </c:pt>
                <c:pt idx="155">
                  <c:v>14.440166255691778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A8-481B-B28C-4955A18C223A}"/>
            </c:ext>
          </c:extLst>
        </c:ser>
        <c:ser>
          <c:idx val="1"/>
          <c:order val="1"/>
          <c:tx>
            <c:strRef>
              <c:f>Retorno!$C$1</c:f>
              <c:strCache>
                <c:ptCount val="1"/>
                <c:pt idx="0">
                  <c:v>IPCA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Retorno!$A$2:$A$157</c:f>
              <c:numCache>
                <c:formatCode>m/d/yyyy</c:formatCode>
                <c:ptCount val="156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</c:numCache>
            </c:numRef>
          </c:cat>
          <c:val>
            <c:numRef>
              <c:f>Retorno!$C$2:$C$157</c:f>
              <c:numCache>
                <c:formatCode>#,##0.00</c:formatCode>
                <c:ptCount val="156"/>
                <c:pt idx="0">
                  <c:v>4.5920859794829738</c:v>
                </c:pt>
                <c:pt idx="1">
                  <c:v>4.831099691043228</c:v>
                </c:pt>
                <c:pt idx="2">
                  <c:v>5.166002520002233</c:v>
                </c:pt>
                <c:pt idx="3">
                  <c:v>5.2602603793211244</c:v>
                </c:pt>
                <c:pt idx="4">
                  <c:v>5.218403090182866</c:v>
                </c:pt>
                <c:pt idx="5">
                  <c:v>4.8410906272122745</c:v>
                </c:pt>
                <c:pt idx="6">
                  <c:v>4.6005339214995278</c:v>
                </c:pt>
                <c:pt idx="7">
                  <c:v>4.4855439322120327</c:v>
                </c:pt>
                <c:pt idx="8">
                  <c:v>4.704219597231285</c:v>
                </c:pt>
                <c:pt idx="9">
                  <c:v>5.1950611016671422</c:v>
                </c:pt>
                <c:pt idx="10">
                  <c:v>5.6348475121988484</c:v>
                </c:pt>
                <c:pt idx="11">
                  <c:v>5.9086887217944417</c:v>
                </c:pt>
                <c:pt idx="12">
                  <c:v>5.9929873495994768</c:v>
                </c:pt>
                <c:pt idx="13">
                  <c:v>6.014171342034369</c:v>
                </c:pt>
                <c:pt idx="14">
                  <c:v>6.2989876163197067</c:v>
                </c:pt>
                <c:pt idx="15">
                  <c:v>6.5102569235035324</c:v>
                </c:pt>
                <c:pt idx="16">
                  <c:v>6.5527816532393146</c:v>
                </c:pt>
                <c:pt idx="17">
                  <c:v>6.7125507114056848</c:v>
                </c:pt>
                <c:pt idx="18">
                  <c:v>6.8725992831992766</c:v>
                </c:pt>
                <c:pt idx="19">
                  <c:v>7.225226440979915</c:v>
                </c:pt>
                <c:pt idx="20">
                  <c:v>7.3109020596289209</c:v>
                </c:pt>
                <c:pt idx="21">
                  <c:v>6.9700991192913397</c:v>
                </c:pt>
                <c:pt idx="22">
                  <c:v>6.6413088655732144</c:v>
                </c:pt>
                <c:pt idx="23">
                  <c:v>6.5033527436791916</c:v>
                </c:pt>
                <c:pt idx="24">
                  <c:v>6.2179976539360915</c:v>
                </c:pt>
                <c:pt idx="25">
                  <c:v>5.8490856474345154</c:v>
                </c:pt>
                <c:pt idx="26">
                  <c:v>5.2399919361236114</c:v>
                </c:pt>
                <c:pt idx="27">
                  <c:v>5.1041657194297096</c:v>
                </c:pt>
                <c:pt idx="28">
                  <c:v>4.9888673678109674</c:v>
                </c:pt>
                <c:pt idx="29">
                  <c:v>4.9154252835467815</c:v>
                </c:pt>
                <c:pt idx="30">
                  <c:v>5.1984143693264651</c:v>
                </c:pt>
                <c:pt idx="31">
                  <c:v>5.2403840391227696</c:v>
                </c:pt>
                <c:pt idx="32">
                  <c:v>5.2822033772001564</c:v>
                </c:pt>
                <c:pt idx="33">
                  <c:v>5.4498290435939012</c:v>
                </c:pt>
                <c:pt idx="34">
                  <c:v>5.5338372505020939</c:v>
                </c:pt>
                <c:pt idx="35">
                  <c:v>5.8385947181476272</c:v>
                </c:pt>
                <c:pt idx="36">
                  <c:v>6.1543360825530469</c:v>
                </c:pt>
                <c:pt idx="37">
                  <c:v>6.3129146440426886</c:v>
                </c:pt>
                <c:pt idx="38">
                  <c:v>6.58876592335913</c:v>
                </c:pt>
                <c:pt idx="39">
                  <c:v>6.4935139843000922</c:v>
                </c:pt>
                <c:pt idx="40">
                  <c:v>6.5041351287669968</c:v>
                </c:pt>
                <c:pt idx="41">
                  <c:v>6.695915835898969</c:v>
                </c:pt>
                <c:pt idx="42">
                  <c:v>6.2706921691404016</c:v>
                </c:pt>
                <c:pt idx="43">
                  <c:v>6.0907620642139282</c:v>
                </c:pt>
                <c:pt idx="44">
                  <c:v>5.8586207482323127</c:v>
                </c:pt>
                <c:pt idx="45">
                  <c:v>5.8374848715138317</c:v>
                </c:pt>
                <c:pt idx="46">
                  <c:v>5.7744067237049501</c:v>
                </c:pt>
                <c:pt idx="47">
                  <c:v>5.9106832553312172</c:v>
                </c:pt>
                <c:pt idx="48">
                  <c:v>5.5850653925756166</c:v>
                </c:pt>
                <c:pt idx="49">
                  <c:v>5.679517624014041</c:v>
                </c:pt>
                <c:pt idx="50">
                  <c:v>6.1528910091986466</c:v>
                </c:pt>
                <c:pt idx="51">
                  <c:v>6.2795521878774574</c:v>
                </c:pt>
                <c:pt idx="52">
                  <c:v>6.374855650409339</c:v>
                </c:pt>
                <c:pt idx="53">
                  <c:v>6.52328360136889</c:v>
                </c:pt>
                <c:pt idx="54">
                  <c:v>6.5022343107260294</c:v>
                </c:pt>
                <c:pt idx="55">
                  <c:v>6.5129698466159569</c:v>
                </c:pt>
                <c:pt idx="56">
                  <c:v>6.7464743152561235</c:v>
                </c:pt>
                <c:pt idx="57">
                  <c:v>6.5872403797569534</c:v>
                </c:pt>
                <c:pt idx="58">
                  <c:v>6.5552913418737369</c:v>
                </c:pt>
                <c:pt idx="59">
                  <c:v>6.4074707959088428</c:v>
                </c:pt>
                <c:pt idx="60">
                  <c:v>7.1377369753185205</c:v>
                </c:pt>
                <c:pt idx="61">
                  <c:v>7.7015874330807588</c:v>
                </c:pt>
                <c:pt idx="62">
                  <c:v>8.1285046609104192</c:v>
                </c:pt>
                <c:pt idx="63">
                  <c:v>8.1714868136068439</c:v>
                </c:pt>
                <c:pt idx="64">
                  <c:v>8.4729426386479076</c:v>
                </c:pt>
                <c:pt idx="65">
                  <c:v>8.8944299601855228</c:v>
                </c:pt>
                <c:pt idx="66">
                  <c:v>9.5583926117539306</c:v>
                </c:pt>
                <c:pt idx="67">
                  <c:v>9.5254773699682271</c:v>
                </c:pt>
                <c:pt idx="68">
                  <c:v>9.4927892083666254</c:v>
                </c:pt>
                <c:pt idx="69">
                  <c:v>9.9288922155691175</c:v>
                </c:pt>
                <c:pt idx="70">
                  <c:v>10.475767294536077</c:v>
                </c:pt>
                <c:pt idx="71">
                  <c:v>10.673028133975038</c:v>
                </c:pt>
                <c:pt idx="72">
                  <c:v>10.705805070312868</c:v>
                </c:pt>
                <c:pt idx="73">
                  <c:v>10.35588437483479</c:v>
                </c:pt>
                <c:pt idx="74">
                  <c:v>9.3863723708625955</c:v>
                </c:pt>
                <c:pt idx="75">
                  <c:v>9.2777943978958444</c:v>
                </c:pt>
                <c:pt idx="76">
                  <c:v>9.3211897301603628</c:v>
                </c:pt>
                <c:pt idx="77">
                  <c:v>8.8437473175290826</c:v>
                </c:pt>
                <c:pt idx="78">
                  <c:v>8.735771054919649</c:v>
                </c:pt>
                <c:pt idx="79">
                  <c:v>8.974497601601449</c:v>
                </c:pt>
                <c:pt idx="80">
                  <c:v>8.4759686232874554</c:v>
                </c:pt>
                <c:pt idx="81">
                  <c:v>7.8736708314896209</c:v>
                </c:pt>
                <c:pt idx="82">
                  <c:v>6.9873832983181394</c:v>
                </c:pt>
                <c:pt idx="83">
                  <c:v>6.2879882132213405</c:v>
                </c:pt>
                <c:pt idx="84">
                  <c:v>5.3540150717656276</c:v>
                </c:pt>
                <c:pt idx="85">
                  <c:v>4.7589072961636614</c:v>
                </c:pt>
                <c:pt idx="86">
                  <c:v>4.5711051156820615</c:v>
                </c:pt>
                <c:pt idx="87">
                  <c:v>4.082516894622934</c:v>
                </c:pt>
                <c:pt idx="88">
                  <c:v>3.5972561777709355</c:v>
                </c:pt>
                <c:pt idx="89">
                  <c:v>2.9985569924055433</c:v>
                </c:pt>
                <c:pt idx="90">
                  <c:v>2.7116257668060806</c:v>
                </c:pt>
                <c:pt idx="91">
                  <c:v>2.4559084940275255</c:v>
                </c:pt>
                <c:pt idx="92">
                  <c:v>2.5376909332925024</c:v>
                </c:pt>
                <c:pt idx="93">
                  <c:v>2.7013208888962748</c:v>
                </c:pt>
                <c:pt idx="94">
                  <c:v>2.8037854253561756</c:v>
                </c:pt>
                <c:pt idx="95">
                  <c:v>2.947421320434862</c:v>
                </c:pt>
                <c:pt idx="96">
                  <c:v>2.8551164512867766</c:v>
                </c:pt>
                <c:pt idx="97">
                  <c:v>2.8448937245174166</c:v>
                </c:pt>
                <c:pt idx="98">
                  <c:v>2.6808027890633079</c:v>
                </c:pt>
                <c:pt idx="99">
                  <c:v>2.762797093884739</c:v>
                </c:pt>
                <c:pt idx="100">
                  <c:v>2.8550133067399175</c:v>
                </c:pt>
                <c:pt idx="101">
                  <c:v>4.3911039739082502</c:v>
                </c:pt>
                <c:pt idx="102">
                  <c:v>4.4848437303225408</c:v>
                </c:pt>
                <c:pt idx="103">
                  <c:v>4.1930159672121325</c:v>
                </c:pt>
                <c:pt idx="104">
                  <c:v>4.5259760164414242</c:v>
                </c:pt>
                <c:pt idx="105">
                  <c:v>4.5570294494238661</c:v>
                </c:pt>
                <c:pt idx="106">
                  <c:v>4.0460773822658114</c:v>
                </c:pt>
                <c:pt idx="107">
                  <c:v>3.7456159386326071</c:v>
                </c:pt>
                <c:pt idx="108">
                  <c:v>3.7766019333182133</c:v>
                </c:pt>
                <c:pt idx="109">
                  <c:v>3.8903564462539286</c:v>
                </c:pt>
                <c:pt idx="110">
                  <c:v>4.5754553212223659</c:v>
                </c:pt>
                <c:pt idx="111">
                  <c:v>4.9407101540126952</c:v>
                </c:pt>
                <c:pt idx="112">
                  <c:v>4.658443618097019</c:v>
                </c:pt>
                <c:pt idx="113">
                  <c:v>3.3664772007379051</c:v>
                </c:pt>
                <c:pt idx="114">
                  <c:v>3.2221731780653462</c:v>
                </c:pt>
                <c:pt idx="115">
                  <c:v>3.4287012402545614</c:v>
                </c:pt>
                <c:pt idx="116">
                  <c:v>2.8934713757403419</c:v>
                </c:pt>
                <c:pt idx="117">
                  <c:v>2.5350325756800851</c:v>
                </c:pt>
                <c:pt idx="118">
                  <c:v>3.2748384024611221</c:v>
                </c:pt>
                <c:pt idx="119">
                  <c:v>4.3060399841131192</c:v>
                </c:pt>
                <c:pt idx="120">
                  <c:v>4.1916693262356697</c:v>
                </c:pt>
                <c:pt idx="121">
                  <c:v>4.0049273121089524</c:v>
                </c:pt>
                <c:pt idx="122">
                  <c:v>3.3029585719380306</c:v>
                </c:pt>
                <c:pt idx="123">
                  <c:v>2.399044844749687</c:v>
                </c:pt>
                <c:pt idx="124">
                  <c:v>1.8774877402774726</c:v>
                </c:pt>
                <c:pt idx="125">
                  <c:v>2.1321559928031864</c:v>
                </c:pt>
                <c:pt idx="126">
                  <c:v>2.305451396723579</c:v>
                </c:pt>
                <c:pt idx="127">
                  <c:v>2.4383023474932708</c:v>
                </c:pt>
                <c:pt idx="128">
                  <c:v>3.1351615471361338</c:v>
                </c:pt>
                <c:pt idx="129">
                  <c:v>3.9182057307108664</c:v>
                </c:pt>
                <c:pt idx="130">
                  <c:v>4.3110911966114829</c:v>
                </c:pt>
                <c:pt idx="131">
                  <c:v>4.5173415005102413</c:v>
                </c:pt>
                <c:pt idx="132">
                  <c:v>4.5590608265257959</c:v>
                </c:pt>
                <c:pt idx="133">
                  <c:v>5.195280548263348</c:v>
                </c:pt>
                <c:pt idx="134">
                  <c:v>6.0993271283719341</c:v>
                </c:pt>
                <c:pt idx="135">
                  <c:v>6.7591885269034924</c:v>
                </c:pt>
                <c:pt idx="136">
                  <c:v>8.0559022201131434</c:v>
                </c:pt>
                <c:pt idx="137">
                  <c:v>8.3468965707953924</c:v>
                </c:pt>
                <c:pt idx="138">
                  <c:v>8.9946460520873082</c:v>
                </c:pt>
                <c:pt idx="139">
                  <c:v>9.6796682688947477</c:v>
                </c:pt>
                <c:pt idx="140">
                  <c:v>10.246375616865834</c:v>
                </c:pt>
                <c:pt idx="141">
                  <c:v>10.672670347091739</c:v>
                </c:pt>
                <c:pt idx="142">
                  <c:v>10.738488170670069</c:v>
                </c:pt>
                <c:pt idx="143">
                  <c:v>10.061054893256593</c:v>
                </c:pt>
                <c:pt idx="144">
                  <c:v>10.379435999680876</c:v>
                </c:pt>
                <c:pt idx="145">
                  <c:v>10.543593400037299</c:v>
                </c:pt>
                <c:pt idx="146">
                  <c:v>11.299315974556002</c:v>
                </c:pt>
                <c:pt idx="147">
                  <c:v>12.020786655594451</c:v>
                </c:pt>
                <c:pt idx="148">
                  <c:v>11.783609786961335</c:v>
                </c:pt>
                <c:pt idx="149">
                  <c:v>11.771014494611066</c:v>
                </c:pt>
                <c:pt idx="150">
                  <c:v>11.332448321358601</c:v>
                </c:pt>
                <c:pt idx="151">
                  <c:v>10.840322711061612</c:v>
                </c:pt>
                <c:pt idx="152">
                  <c:v>10.28075348979025</c:v>
                </c:pt>
                <c:pt idx="153">
                  <c:v>9.706434342565462</c:v>
                </c:pt>
                <c:pt idx="154">
                  <c:v>9.2974739661530581</c:v>
                </c:pt>
                <c:pt idx="155">
                  <c:v>9.2976281526416127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A8-481B-B28C-4955A18C223A}"/>
            </c:ext>
          </c:extLst>
        </c:ser>
        <c:ser>
          <c:idx val="2"/>
          <c:order val="2"/>
          <c:tx>
            <c:strRef>
              <c:f>Retorno!$D$1</c:f>
              <c:strCache>
                <c:ptCount val="1"/>
                <c:pt idx="0">
                  <c:v>IDA-DI Real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Retorno!$A$2:$A$157</c:f>
              <c:numCache>
                <c:formatCode>m/d/yyyy</c:formatCode>
                <c:ptCount val="156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</c:numCache>
            </c:numRef>
          </c:cat>
          <c:val>
            <c:numRef>
              <c:f>Retorno!$D$2:$D$157</c:f>
              <c:numCache>
                <c:formatCode>#,##0.00</c:formatCode>
                <c:ptCount val="156"/>
                <c:pt idx="0">
                  <c:v>8.1910377413832336</c:v>
                </c:pt>
                <c:pt idx="1">
                  <c:v>7.5977530702618035</c:v>
                </c:pt>
                <c:pt idx="2">
                  <c:v>6.8624207992375785</c:v>
                </c:pt>
                <c:pt idx="3">
                  <c:v>6.4605579427688964</c:v>
                </c:pt>
                <c:pt idx="4">
                  <c:v>6.3579704379844726</c:v>
                </c:pt>
                <c:pt idx="5">
                  <c:v>6.6471879949860035</c:v>
                </c:pt>
                <c:pt idx="6">
                  <c:v>6.3550146485407577</c:v>
                </c:pt>
                <c:pt idx="7">
                  <c:v>6.6132380275472968</c:v>
                </c:pt>
                <c:pt idx="8">
                  <c:v>6.4605785991371789</c:v>
                </c:pt>
                <c:pt idx="9">
                  <c:v>5.8673590993176372</c:v>
                </c:pt>
                <c:pt idx="10">
                  <c:v>5.4671166700755558</c:v>
                </c:pt>
                <c:pt idx="11">
                  <c:v>5.195116845533243</c:v>
                </c:pt>
                <c:pt idx="12">
                  <c:v>5.2553716499063041</c:v>
                </c:pt>
                <c:pt idx="13">
                  <c:v>5.4674383180872699</c:v>
                </c:pt>
                <c:pt idx="14">
                  <c:v>5.2935051037094949</c:v>
                </c:pt>
                <c:pt idx="15">
                  <c:v>5.3042469301415318</c:v>
                </c:pt>
                <c:pt idx="16">
                  <c:v>5.4748990369662964</c:v>
                </c:pt>
                <c:pt idx="17">
                  <c:v>5.4873671457670303</c:v>
                </c:pt>
                <c:pt idx="18">
                  <c:v>5.4375806594096465</c:v>
                </c:pt>
                <c:pt idx="19">
                  <c:v>5.2814818822024989</c:v>
                </c:pt>
                <c:pt idx="20">
                  <c:v>5.2407970624110067</c:v>
                </c:pt>
                <c:pt idx="21">
                  <c:v>5.6449510814709614</c:v>
                </c:pt>
                <c:pt idx="22">
                  <c:v>6.0603425716919901</c:v>
                </c:pt>
                <c:pt idx="23">
                  <c:v>6.1693689380215133</c:v>
                </c:pt>
                <c:pt idx="24">
                  <c:v>6.4391490534531304</c:v>
                </c:pt>
                <c:pt idx="25">
                  <c:v>6.6972155327233551</c:v>
                </c:pt>
                <c:pt idx="26">
                  <c:v>7.1954561680555251</c:v>
                </c:pt>
                <c:pt idx="27">
                  <c:v>7.2265728547181496</c:v>
                </c:pt>
                <c:pt idx="28">
                  <c:v>7.0697266088027622</c:v>
                </c:pt>
                <c:pt idx="29">
                  <c:v>6.8015052722092628</c:v>
                </c:pt>
                <c:pt idx="30">
                  <c:v>6.1641000780519928</c:v>
                </c:pt>
                <c:pt idx="31">
                  <c:v>5.7125602737524206</c:v>
                </c:pt>
                <c:pt idx="32">
                  <c:v>5.2475997445088129</c:v>
                </c:pt>
                <c:pt idx="33">
                  <c:v>4.796259619147647</c:v>
                </c:pt>
                <c:pt idx="34">
                  <c:v>4.3613723829374118</c:v>
                </c:pt>
                <c:pt idx="35">
                  <c:v>3.6707486986375493</c:v>
                </c:pt>
                <c:pt idx="36">
                  <c:v>3.0983525360065656</c:v>
                </c:pt>
                <c:pt idx="37">
                  <c:v>2.64161676291923</c:v>
                </c:pt>
                <c:pt idx="38">
                  <c:v>2.0650307394970646</c:v>
                </c:pt>
                <c:pt idx="39">
                  <c:v>2.0332782710339226</c:v>
                </c:pt>
                <c:pt idx="40">
                  <c:v>1.8547104440280515</c:v>
                </c:pt>
                <c:pt idx="41">
                  <c:v>1.5805780916909429</c:v>
                </c:pt>
                <c:pt idx="42">
                  <c:v>1.9542524754585289</c:v>
                </c:pt>
                <c:pt idx="43">
                  <c:v>2.07298156582294</c:v>
                </c:pt>
                <c:pt idx="44">
                  <c:v>2.4410585931808892</c:v>
                </c:pt>
                <c:pt idx="45">
                  <c:v>2.6488423837985886</c:v>
                </c:pt>
                <c:pt idx="46">
                  <c:v>2.8812971860594727</c:v>
                </c:pt>
                <c:pt idx="47">
                  <c:v>2.9765685600511294</c:v>
                </c:pt>
                <c:pt idx="48">
                  <c:v>3.5385060971124815</c:v>
                </c:pt>
                <c:pt idx="49">
                  <c:v>3.7516813382429071</c:v>
                </c:pt>
                <c:pt idx="50">
                  <c:v>3.5167890313437589</c:v>
                </c:pt>
                <c:pt idx="51">
                  <c:v>3.6070996198152461</c:v>
                </c:pt>
                <c:pt idx="52">
                  <c:v>3.811477309037703</c:v>
                </c:pt>
                <c:pt idx="53">
                  <c:v>3.9395680364276986</c:v>
                </c:pt>
                <c:pt idx="54">
                  <c:v>4.2521254465669012</c:v>
                </c:pt>
                <c:pt idx="55">
                  <c:v>4.4392497703914069</c:v>
                </c:pt>
                <c:pt idx="56">
                  <c:v>4.4598204766655769</c:v>
                </c:pt>
                <c:pt idx="57">
                  <c:v>4.7781387048769552</c:v>
                </c:pt>
                <c:pt idx="58">
                  <c:v>4.93219873615236</c:v>
                </c:pt>
                <c:pt idx="59">
                  <c:v>5.2786173209921738</c:v>
                </c:pt>
                <c:pt idx="60">
                  <c:v>4.6479903206648299</c:v>
                </c:pt>
                <c:pt idx="61">
                  <c:v>4.1432442477826514</c:v>
                </c:pt>
                <c:pt idx="62">
                  <c:v>3.9855900842936665</c:v>
                </c:pt>
                <c:pt idx="63">
                  <c:v>4.0423368233938106</c:v>
                </c:pt>
                <c:pt idx="64">
                  <c:v>3.8728628737193072</c:v>
                </c:pt>
                <c:pt idx="65">
                  <c:v>3.7346507268394502</c:v>
                </c:pt>
                <c:pt idx="66">
                  <c:v>3.3714924567618931</c:v>
                </c:pt>
                <c:pt idx="67">
                  <c:v>3.6464349160145959</c:v>
                </c:pt>
                <c:pt idx="68">
                  <c:v>3.8607851833448725</c:v>
                </c:pt>
                <c:pt idx="69">
                  <c:v>3.5733624918591111</c:v>
                </c:pt>
                <c:pt idx="70">
                  <c:v>3.1377994879403959</c:v>
                </c:pt>
                <c:pt idx="71">
                  <c:v>3.108881539023356</c:v>
                </c:pt>
                <c:pt idx="72">
                  <c:v>2.7668677929139296</c:v>
                </c:pt>
                <c:pt idx="73">
                  <c:v>2.918959235793972</c:v>
                </c:pt>
                <c:pt idx="74">
                  <c:v>4.0844525082433636</c:v>
                </c:pt>
                <c:pt idx="75">
                  <c:v>4.4748234469055292</c:v>
                </c:pt>
                <c:pt idx="76">
                  <c:v>4.7353736107214273</c:v>
                </c:pt>
                <c:pt idx="77">
                  <c:v>5.4550768144604023</c:v>
                </c:pt>
                <c:pt idx="78">
                  <c:v>5.581201395903812</c:v>
                </c:pt>
                <c:pt idx="79">
                  <c:v>5.6733700618211591</c:v>
                </c:pt>
                <c:pt idx="80">
                  <c:v>6.2816615499166728</c:v>
                </c:pt>
                <c:pt idx="81">
                  <c:v>6.9750837628515194</c:v>
                </c:pt>
                <c:pt idx="82">
                  <c:v>8.099195008635407</c:v>
                </c:pt>
                <c:pt idx="83">
                  <c:v>8.9033075322428434</c:v>
                </c:pt>
                <c:pt idx="84">
                  <c:v>10.584085805986732</c:v>
                </c:pt>
                <c:pt idx="85">
                  <c:v>11.567099339051602</c:v>
                </c:pt>
                <c:pt idx="86">
                  <c:v>11.706903056558037</c:v>
                </c:pt>
                <c:pt idx="87">
                  <c:v>11.798094870348352</c:v>
                </c:pt>
                <c:pt idx="88">
                  <c:v>12.00085879402948</c:v>
                </c:pt>
                <c:pt idx="89">
                  <c:v>12.068013086506401</c:v>
                </c:pt>
                <c:pt idx="90">
                  <c:v>11.9703143328157</c:v>
                </c:pt>
                <c:pt idx="91">
                  <c:v>11.590637571843153</c:v>
                </c:pt>
                <c:pt idx="92">
                  <c:v>10.850543114824806</c:v>
                </c:pt>
                <c:pt idx="93">
                  <c:v>10.062225411405423</c:v>
                </c:pt>
                <c:pt idx="94">
                  <c:v>9.2942964656542504</c:v>
                </c:pt>
                <c:pt idx="95">
                  <c:v>8.3701815880981467</c:v>
                </c:pt>
                <c:pt idx="96">
                  <c:v>7.7748820473976243</c:v>
                </c:pt>
                <c:pt idx="97">
                  <c:v>7.2501589007302858</c:v>
                </c:pt>
                <c:pt idx="98">
                  <c:v>6.7276635677861574</c:v>
                </c:pt>
                <c:pt idx="99">
                  <c:v>6.3530294644831287</c:v>
                </c:pt>
                <c:pt idx="100">
                  <c:v>5.759344284702328</c:v>
                </c:pt>
                <c:pt idx="101">
                  <c:v>3.6441459054888714</c:v>
                </c:pt>
                <c:pt idx="102">
                  <c:v>3.2867907979744926</c:v>
                </c:pt>
                <c:pt idx="103">
                  <c:v>3.3112257879937212</c:v>
                </c:pt>
                <c:pt idx="104">
                  <c:v>2.81249145418212</c:v>
                </c:pt>
                <c:pt idx="105">
                  <c:v>2.713795730780566</c:v>
                </c:pt>
                <c:pt idx="106">
                  <c:v>3.1775181069395364</c:v>
                </c:pt>
                <c:pt idx="107">
                  <c:v>3.5111191469603398</c:v>
                </c:pt>
                <c:pt idx="108">
                  <c:v>3.4291976415009584</c:v>
                </c:pt>
                <c:pt idx="109">
                  <c:v>3.370238898462552</c:v>
                </c:pt>
                <c:pt idx="110">
                  <c:v>2.5888532794195784</c:v>
                </c:pt>
                <c:pt idx="111">
                  <c:v>2.2232738720864509</c:v>
                </c:pt>
                <c:pt idx="112">
                  <c:v>2.4721118771074524</c:v>
                </c:pt>
                <c:pt idx="113">
                  <c:v>3.8987483623876384</c:v>
                </c:pt>
                <c:pt idx="114">
                  <c:v>3.9596711176736799</c:v>
                </c:pt>
                <c:pt idx="115">
                  <c:v>3.6007335991541156</c:v>
                </c:pt>
                <c:pt idx="116">
                  <c:v>4.0553551089116846</c:v>
                </c:pt>
                <c:pt idx="117">
                  <c:v>3.8178777233839112</c:v>
                </c:pt>
                <c:pt idx="118">
                  <c:v>2.4185084270281987</c:v>
                </c:pt>
                <c:pt idx="119">
                  <c:v>1.2338352232581062</c:v>
                </c:pt>
                <c:pt idx="120">
                  <c:v>1.1920175644470898</c:v>
                </c:pt>
                <c:pt idx="121">
                  <c:v>1.0910491115903476</c:v>
                </c:pt>
                <c:pt idx="122">
                  <c:v>-3.685955874696567</c:v>
                </c:pt>
                <c:pt idx="123">
                  <c:v>-2.9512349033249952</c:v>
                </c:pt>
                <c:pt idx="124">
                  <c:v>-2.258894955299795</c:v>
                </c:pt>
                <c:pt idx="125">
                  <c:v>-1.9895730138806966</c:v>
                </c:pt>
                <c:pt idx="126">
                  <c:v>-1.3184031875172586</c:v>
                </c:pt>
                <c:pt idx="127">
                  <c:v>-1.1097421070290214</c:v>
                </c:pt>
                <c:pt idx="128">
                  <c:v>-1.7219479008471761</c:v>
                </c:pt>
                <c:pt idx="129">
                  <c:v>-2.2202093364121933</c:v>
                </c:pt>
                <c:pt idx="130">
                  <c:v>-2.1225661229355319</c:v>
                </c:pt>
                <c:pt idx="131">
                  <c:v>-2.2706186698473352</c:v>
                </c:pt>
                <c:pt idx="132">
                  <c:v>-2.4351622785904081</c:v>
                </c:pt>
                <c:pt idx="133">
                  <c:v>-2.8307094323287707</c:v>
                </c:pt>
                <c:pt idx="134">
                  <c:v>1.9094866060646032</c:v>
                </c:pt>
                <c:pt idx="135">
                  <c:v>1.3488248734686348</c:v>
                </c:pt>
                <c:pt idx="136">
                  <c:v>-0.20212371929475559</c:v>
                </c:pt>
                <c:pt idx="137">
                  <c:v>-0.93330946229827072</c:v>
                </c:pt>
                <c:pt idx="138">
                  <c:v>-2.3071997891198182</c:v>
                </c:pt>
                <c:pt idx="139">
                  <c:v>-3.0387536525032899</c:v>
                </c:pt>
                <c:pt idx="140">
                  <c:v>-3.3427104421907328</c:v>
                </c:pt>
                <c:pt idx="141">
                  <c:v>-3.3581859765351219</c:v>
                </c:pt>
                <c:pt idx="142">
                  <c:v>-3.1875394778845711</c:v>
                </c:pt>
                <c:pt idx="143">
                  <c:v>-2.2529386721671596</c:v>
                </c:pt>
                <c:pt idx="144">
                  <c:v>-2.0626631851226263</c:v>
                </c:pt>
                <c:pt idx="145">
                  <c:v>-1.791353180331845</c:v>
                </c:pt>
                <c:pt idx="146">
                  <c:v>-1.9835318019277737</c:v>
                </c:pt>
                <c:pt idx="147">
                  <c:v>-2.1212685300999179</c:v>
                </c:pt>
                <c:pt idx="148">
                  <c:v>-1.2298795811220731</c:v>
                </c:pt>
                <c:pt idx="149">
                  <c:v>-0.59691873440536058</c:v>
                </c:pt>
                <c:pt idx="150">
                  <c:v>0.31190010515398381</c:v>
                </c:pt>
                <c:pt idx="151">
                  <c:v>1.2453288867493306</c:v>
                </c:pt>
                <c:pt idx="152">
                  <c:v>2.2514148727130312</c:v>
                </c:pt>
                <c:pt idx="153">
                  <c:v>3.3308749866390652</c:v>
                </c:pt>
                <c:pt idx="154">
                  <c:v>4.3044025241075534</c:v>
                </c:pt>
                <c:pt idx="155">
                  <c:v>4.7050774934184858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A8-481B-B28C-4955A18C2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416056"/>
        <c:axId val="448419256"/>
      </c:lineChart>
      <c:dateAx>
        <c:axId val="448416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448419256"/>
        <c:crosses val="autoZero"/>
        <c:auto val="1"/>
        <c:lblOffset val="100"/>
        <c:baseTimeUnit val="months"/>
        <c:majorUnit val="1"/>
        <c:majorTimeUnit val="years"/>
      </c:dateAx>
      <c:valAx>
        <c:axId val="44841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cross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44841605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95000"/>
      </a:schemeClr>
    </a:solidFill>
    <a:ln w="12700" cap="flat" cmpd="sng" algn="ctr">
      <a:solidFill>
        <a:sysClr val="window" lastClr="FFFFFF">
          <a:lumMod val="85000"/>
        </a:sys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Montserrat" panose="00000500000000000000" pitchFamily="2" charset="0"/>
        </a:defRPr>
      </a:pPr>
      <a:endParaRPr lang="pt-BR"/>
    </a:p>
  </c:txPr>
  <c:userShapes r:id="rId4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r>
              <a:rPr lang="en-US"/>
              <a:t>Desempenho do Mercado de Juros (%, anual)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Retorno!$E$1</c:f>
              <c:strCache>
                <c:ptCount val="1"/>
                <c:pt idx="0">
                  <c:v>CDI Nominal</c:v>
                </c:pt>
              </c:strCache>
            </c:strRef>
          </c:tx>
          <c:spPr>
            <a:ln w="28575" cap="rnd">
              <a:solidFill>
                <a:srgbClr val="70AD47">
                  <a:lumMod val="5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Retorno!$A$2:$A$157</c:f>
              <c:numCache>
                <c:formatCode>m/d/yyyy</c:formatCode>
                <c:ptCount val="156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</c:numCache>
            </c:numRef>
          </c:cat>
          <c:val>
            <c:numRef>
              <c:f>Retorno!$E$2:$E$157</c:f>
              <c:numCache>
                <c:formatCode>#,##0.00</c:formatCode>
                <c:ptCount val="156"/>
                <c:pt idx="0">
                  <c:v>9.4741956921702055</c:v>
                </c:pt>
                <c:pt idx="1">
                  <c:v>9.1917435575181514</c:v>
                </c:pt>
                <c:pt idx="2">
                  <c:v>8.9592216124239066</c:v>
                </c:pt>
                <c:pt idx="3">
                  <c:v>8.7669525790678993</c:v>
                </c:pt>
                <c:pt idx="4">
                  <c:v>8.7488605630637437</c:v>
                </c:pt>
                <c:pt idx="5">
                  <c:v>8.7842921980670887</c:v>
                </c:pt>
                <c:pt idx="6">
                  <c:v>8.8620018263291023</c:v>
                </c:pt>
                <c:pt idx="7">
                  <c:v>9.0726922181897152</c:v>
                </c:pt>
                <c:pt idx="8">
                  <c:v>9.2384579199274555</c:v>
                </c:pt>
                <c:pt idx="9">
                  <c:v>9.3625974163719086</c:v>
                </c:pt>
                <c:pt idx="10">
                  <c:v>9.5218866649791281</c:v>
                </c:pt>
                <c:pt idx="11">
                  <c:v>9.7426328239615714</c:v>
                </c:pt>
                <c:pt idx="12">
                  <c:v>9.9616369867637555</c:v>
                </c:pt>
                <c:pt idx="13">
                  <c:v>10.234759995833254</c:v>
                </c:pt>
                <c:pt idx="14">
                  <c:v>10.409861556673539</c:v>
                </c:pt>
                <c:pt idx="15">
                  <c:v>10.603746911573598</c:v>
                </c:pt>
                <c:pt idx="16">
                  <c:v>10.862116340627992</c:v>
                </c:pt>
                <c:pt idx="17">
                  <c:v>11.041956506364947</c:v>
                </c:pt>
                <c:pt idx="18">
                  <c:v>11.161238695438414</c:v>
                </c:pt>
                <c:pt idx="19">
                  <c:v>11.366313629573344</c:v>
                </c:pt>
                <c:pt idx="20">
                  <c:v>11.473406992078639</c:v>
                </c:pt>
                <c:pt idx="21">
                  <c:v>11.558491820230676</c:v>
                </c:pt>
                <c:pt idx="22">
                  <c:v>11.617250029424442</c:v>
                </c:pt>
                <c:pt idx="23">
                  <c:v>11.594336584662557</c:v>
                </c:pt>
                <c:pt idx="24">
                  <c:v>11.625914426849949</c:v>
                </c:pt>
                <c:pt idx="25">
                  <c:v>11.514494400123443</c:v>
                </c:pt>
                <c:pt idx="26">
                  <c:v>11.39737197547046</c:v>
                </c:pt>
                <c:pt idx="27">
                  <c:v>11.248242241174577</c:v>
                </c:pt>
                <c:pt idx="28">
                  <c:v>10.971034555625314</c:v>
                </c:pt>
                <c:pt idx="29">
                  <c:v>10.626756378077662</c:v>
                </c:pt>
                <c:pt idx="30">
                  <c:v>10.310915916292295</c:v>
                </c:pt>
                <c:pt idx="31">
                  <c:v>9.8916053215926105</c:v>
                </c:pt>
                <c:pt idx="32">
                  <c:v>9.4513982779636621</c:v>
                </c:pt>
                <c:pt idx="33">
                  <c:v>9.153899816442145</c:v>
                </c:pt>
                <c:pt idx="34">
                  <c:v>8.8139464219093568</c:v>
                </c:pt>
                <c:pt idx="35">
                  <c:v>8.413229860485183</c:v>
                </c:pt>
                <c:pt idx="36">
                  <c:v>8.0899054343208867</c:v>
                </c:pt>
                <c:pt idx="37">
                  <c:v>7.8106480635732556</c:v>
                </c:pt>
                <c:pt idx="38">
                  <c:v>7.518235266731077</c:v>
                </c:pt>
                <c:pt idx="39">
                  <c:v>7.4083815851912815</c:v>
                </c:pt>
                <c:pt idx="40">
                  <c:v>7.247581605946829</c:v>
                </c:pt>
                <c:pt idx="41">
                  <c:v>7.1980752911866341</c:v>
                </c:pt>
                <c:pt idx="42">
                  <c:v>7.2294812075145432</c:v>
                </c:pt>
                <c:pt idx="43">
                  <c:v>7.2355727135273051</c:v>
                </c:pt>
                <c:pt idx="44">
                  <c:v>7.4082866816415516</c:v>
                </c:pt>
                <c:pt idx="45">
                  <c:v>7.6141595352148483</c:v>
                </c:pt>
                <c:pt idx="46">
                  <c:v>7.7899832854610551</c:v>
                </c:pt>
                <c:pt idx="47">
                  <c:v>8.0532482477467138</c:v>
                </c:pt>
                <c:pt idx="48">
                  <c:v>8.3234270706653355</c:v>
                </c:pt>
                <c:pt idx="49">
                  <c:v>8.6468941856844737</c:v>
                </c:pt>
                <c:pt idx="50">
                  <c:v>8.8873351273552892</c:v>
                </c:pt>
                <c:pt idx="51">
                  <c:v>9.1195379845008482</c:v>
                </c:pt>
                <c:pt idx="52">
                  <c:v>9.4181616041598915</c:v>
                </c:pt>
                <c:pt idx="53">
                  <c:v>9.6634072664668391</c:v>
                </c:pt>
                <c:pt idx="54">
                  <c:v>9.9176557554401246</c:v>
                </c:pt>
                <c:pt idx="55">
                  <c:v>10.098365626563655</c:v>
                </c:pt>
                <c:pt idx="56">
                  <c:v>10.31856572500487</c:v>
                </c:pt>
                <c:pt idx="57">
                  <c:v>10.474811015375129</c:v>
                </c:pt>
                <c:pt idx="58">
                  <c:v>10.61629600826539</c:v>
                </c:pt>
                <c:pt idx="59">
                  <c:v>10.806866691201012</c:v>
                </c:pt>
                <c:pt idx="60">
                  <c:v>10.905283924103992</c:v>
                </c:pt>
                <c:pt idx="61">
                  <c:v>10.945973082598792</c:v>
                </c:pt>
                <c:pt idx="62">
                  <c:v>11.247905397018588</c:v>
                </c:pt>
                <c:pt idx="63">
                  <c:v>11.393470182025212</c:v>
                </c:pt>
                <c:pt idx="64">
                  <c:v>11.532049476905204</c:v>
                </c:pt>
                <c:pt idx="65">
                  <c:v>11.804878552516707</c:v>
                </c:pt>
                <c:pt idx="66">
                  <c:v>12.065351711763018</c:v>
                </c:pt>
                <c:pt idx="67">
                  <c:v>12.340899691942408</c:v>
                </c:pt>
                <c:pt idx="68">
                  <c:v>12.571262338403756</c:v>
                </c:pt>
                <c:pt idx="69">
                  <c:v>12.753932880652474</c:v>
                </c:pt>
                <c:pt idx="70">
                  <c:v>12.996933838773206</c:v>
                </c:pt>
                <c:pt idx="71">
                  <c:v>13.228960685056146</c:v>
                </c:pt>
                <c:pt idx="72">
                  <c:v>13.37193963667116</c:v>
                </c:pt>
                <c:pt idx="73">
                  <c:v>13.577723003801712</c:v>
                </c:pt>
                <c:pt idx="74">
                  <c:v>13.719619619130729</c:v>
                </c:pt>
                <c:pt idx="75">
                  <c:v>13.841294560429862</c:v>
                </c:pt>
                <c:pt idx="76">
                  <c:v>13.980759865110116</c:v>
                </c:pt>
                <c:pt idx="77">
                  <c:v>14.089597491252025</c:v>
                </c:pt>
                <c:pt idx="78">
                  <c:v>14.012803521330497</c:v>
                </c:pt>
                <c:pt idx="79">
                  <c:v>14.132460236194833</c:v>
                </c:pt>
                <c:pt idx="80">
                  <c:v>14.132460236194833</c:v>
                </c:pt>
                <c:pt idx="81">
                  <c:v>14.065429884793911</c:v>
                </c:pt>
                <c:pt idx="82">
                  <c:v>14.044786791011532</c:v>
                </c:pt>
                <c:pt idx="83">
                  <c:v>14.001203358869763</c:v>
                </c:pt>
                <c:pt idx="84">
                  <c:v>14.0375932017742</c:v>
                </c:pt>
                <c:pt idx="85">
                  <c:v>13.885162865056056</c:v>
                </c:pt>
                <c:pt idx="86">
                  <c:v>13.761197469323982</c:v>
                </c:pt>
                <c:pt idx="87">
                  <c:v>13.462206707294833</c:v>
                </c:pt>
                <c:pt idx="88">
                  <c:v>13.258043284197107</c:v>
                </c:pt>
                <c:pt idx="89">
                  <c:v>12.867473425533849</c:v>
                </c:pt>
                <c:pt idx="90">
                  <c:v>12.525116286967686</c:v>
                </c:pt>
                <c:pt idx="91">
                  <c:v>12.066907386624726</c:v>
                </c:pt>
                <c:pt idx="92">
                  <c:v>11.550293390234788</c:v>
                </c:pt>
                <c:pt idx="93">
                  <c:v>11.106085027414746</c:v>
                </c:pt>
                <c:pt idx="94">
                  <c:v>10.58986698415525</c:v>
                </c:pt>
                <c:pt idx="95">
                  <c:v>9.9521504261002711</c:v>
                </c:pt>
                <c:pt idx="96">
                  <c:v>9.4041303320954164</c:v>
                </c:pt>
                <c:pt idx="97">
                  <c:v>8.9696003619486486</c:v>
                </c:pt>
                <c:pt idx="98">
                  <c:v>8.4110894116694368</c:v>
                </c:pt>
                <c:pt idx="99">
                  <c:v>8.1192017650703274</c:v>
                </c:pt>
                <c:pt idx="100">
                  <c:v>7.6820756404053725</c:v>
                </c:pt>
                <c:pt idx="101">
                  <c:v>7.3678627185625123</c:v>
                </c:pt>
                <c:pt idx="102">
                  <c:v>7.0924381535331982</c:v>
                </c:pt>
                <c:pt idx="103">
                  <c:v>6.8432892667447787</c:v>
                </c:pt>
                <c:pt idx="104">
                  <c:v>6.6593266391077766</c:v>
                </c:pt>
                <c:pt idx="105">
                  <c:v>6.5502585246377087</c:v>
                </c:pt>
                <c:pt idx="106">
                  <c:v>6.4719687094181966</c:v>
                </c:pt>
                <c:pt idx="107">
                  <c:v>6.4232951818638417</c:v>
                </c:pt>
                <c:pt idx="108">
                  <c:v>6.3806148205465041</c:v>
                </c:pt>
                <c:pt idx="109">
                  <c:v>6.4099433739970735</c:v>
                </c:pt>
                <c:pt idx="110">
                  <c:v>6.3425504702057545</c:v>
                </c:pt>
                <c:pt idx="111">
                  <c:v>6.3433833959933628</c:v>
                </c:pt>
                <c:pt idx="112">
                  <c:v>6.370398539060651</c:v>
                </c:pt>
                <c:pt idx="113">
                  <c:v>6.3188732959020388</c:v>
                </c:pt>
                <c:pt idx="114">
                  <c:v>6.3459218767270231</c:v>
                </c:pt>
                <c:pt idx="115">
                  <c:v>6.2789322057208663</c:v>
                </c:pt>
                <c:pt idx="116">
                  <c:v>6.276322269374135</c:v>
                </c:pt>
                <c:pt idx="117">
                  <c:v>6.2109494416316302</c:v>
                </c:pt>
                <c:pt idx="118">
                  <c:v>6.0913351330933452</c:v>
                </c:pt>
                <c:pt idx="119">
                  <c:v>5.9678620048612796</c:v>
                </c:pt>
                <c:pt idx="120">
                  <c:v>5.7924581852246249</c:v>
                </c:pt>
                <c:pt idx="121">
                  <c:v>5.5830949134524799</c:v>
                </c:pt>
                <c:pt idx="122">
                  <c:v>5.4480151492571016</c:v>
                </c:pt>
                <c:pt idx="123">
                  <c:v>5.203195857208387</c:v>
                </c:pt>
                <c:pt idx="124">
                  <c:v>4.8847375257238701</c:v>
                </c:pt>
                <c:pt idx="125">
                  <c:v>4.6200058076379058</c:v>
                </c:pt>
                <c:pt idx="126">
                  <c:v>4.2314948597340418</c:v>
                </c:pt>
                <c:pt idx="127">
                  <c:v>3.8760593010774835</c:v>
                </c:pt>
                <c:pt idx="128">
                  <c:v>3.5569086029658026</c:v>
                </c:pt>
                <c:pt idx="129">
                  <c:v>3.2227916636892617</c:v>
                </c:pt>
                <c:pt idx="130">
                  <c:v>2.9853612859426892</c:v>
                </c:pt>
                <c:pt idx="131">
                  <c:v>2.7676994315493086</c:v>
                </c:pt>
                <c:pt idx="132">
                  <c:v>2.5351558857394485</c:v>
                </c:pt>
                <c:pt idx="133">
                  <c:v>2.3714281907606161</c:v>
                </c:pt>
                <c:pt idx="134">
                  <c:v>2.2264374245203333</c:v>
                </c:pt>
                <c:pt idx="135">
                  <c:v>2.1478125829681227</c:v>
                </c:pt>
                <c:pt idx="136">
                  <c:v>2.1770882473294728</c:v>
                </c:pt>
                <c:pt idx="137">
                  <c:v>2.2685050852242705</c:v>
                </c:pt>
                <c:pt idx="138">
                  <c:v>2.4331210963272953</c:v>
                </c:pt>
                <c:pt idx="139">
                  <c:v>2.7023647079740698</c:v>
                </c:pt>
                <c:pt idx="140">
                  <c:v>2.9907600050973926</c:v>
                </c:pt>
                <c:pt idx="141">
                  <c:v>3.3233328112402649</c:v>
                </c:pt>
                <c:pt idx="142">
                  <c:v>3.7744542228259848</c:v>
                </c:pt>
                <c:pt idx="143">
                  <c:v>4.3951501329143161</c:v>
                </c:pt>
                <c:pt idx="144">
                  <c:v>5.0026412324037484</c:v>
                </c:pt>
                <c:pt idx="145">
                  <c:v>5.6475871898900909</c:v>
                </c:pt>
                <c:pt idx="146">
                  <c:v>6.4123085961941051</c:v>
                </c:pt>
                <c:pt idx="147">
                  <c:v>7.1793178509243383</c:v>
                </c:pt>
                <c:pt idx="148">
                  <c:v>7.9677804624092241</c:v>
                </c:pt>
                <c:pt idx="149">
                  <c:v>8.7615066449233439</c:v>
                </c:pt>
                <c:pt idx="150">
                  <c:v>9.5056977247024008</c:v>
                </c:pt>
                <c:pt idx="151">
                  <c:v>10.220207005463266</c:v>
                </c:pt>
                <c:pt idx="152">
                  <c:v>10.923825197310478</c:v>
                </c:pt>
                <c:pt idx="153">
                  <c:v>11.585080084864675</c:v>
                </c:pt>
                <c:pt idx="154">
                  <c:v>12.13158220667756</c:v>
                </c:pt>
                <c:pt idx="155">
                  <c:v>12.483049756164078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DF-4C3A-A032-BB16D8D10547}"/>
            </c:ext>
          </c:extLst>
        </c:ser>
        <c:ser>
          <c:idx val="1"/>
          <c:order val="1"/>
          <c:tx>
            <c:strRef>
              <c:f>Retorno!$C$1</c:f>
              <c:strCache>
                <c:ptCount val="1"/>
                <c:pt idx="0">
                  <c:v>IPCA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Retorno!$A$2:$A$157</c:f>
              <c:numCache>
                <c:formatCode>m/d/yyyy</c:formatCode>
                <c:ptCount val="156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</c:numCache>
            </c:numRef>
          </c:cat>
          <c:val>
            <c:numRef>
              <c:f>Retorno!$C$2:$C$157</c:f>
              <c:numCache>
                <c:formatCode>#,##0.00</c:formatCode>
                <c:ptCount val="156"/>
                <c:pt idx="0">
                  <c:v>4.5920859794829738</c:v>
                </c:pt>
                <c:pt idx="1">
                  <c:v>4.831099691043228</c:v>
                </c:pt>
                <c:pt idx="2">
                  <c:v>5.166002520002233</c:v>
                </c:pt>
                <c:pt idx="3">
                  <c:v>5.2602603793211244</c:v>
                </c:pt>
                <c:pt idx="4">
                  <c:v>5.218403090182866</c:v>
                </c:pt>
                <c:pt idx="5">
                  <c:v>4.8410906272122745</c:v>
                </c:pt>
                <c:pt idx="6">
                  <c:v>4.6005339214995278</c:v>
                </c:pt>
                <c:pt idx="7">
                  <c:v>4.4855439322120327</c:v>
                </c:pt>
                <c:pt idx="8">
                  <c:v>4.704219597231285</c:v>
                </c:pt>
                <c:pt idx="9">
                  <c:v>5.1950611016671422</c:v>
                </c:pt>
                <c:pt idx="10">
                  <c:v>5.6348475121988484</c:v>
                </c:pt>
                <c:pt idx="11">
                  <c:v>5.9086887217944417</c:v>
                </c:pt>
                <c:pt idx="12">
                  <c:v>5.9929873495994768</c:v>
                </c:pt>
                <c:pt idx="13">
                  <c:v>6.014171342034369</c:v>
                </c:pt>
                <c:pt idx="14">
                  <c:v>6.2989876163197067</c:v>
                </c:pt>
                <c:pt idx="15">
                  <c:v>6.5102569235035324</c:v>
                </c:pt>
                <c:pt idx="16">
                  <c:v>6.5527816532393146</c:v>
                </c:pt>
                <c:pt idx="17">
                  <c:v>6.7125507114056848</c:v>
                </c:pt>
                <c:pt idx="18">
                  <c:v>6.8725992831992766</c:v>
                </c:pt>
                <c:pt idx="19">
                  <c:v>7.225226440979915</c:v>
                </c:pt>
                <c:pt idx="20">
                  <c:v>7.3109020596289209</c:v>
                </c:pt>
                <c:pt idx="21">
                  <c:v>6.9700991192913397</c:v>
                </c:pt>
                <c:pt idx="22">
                  <c:v>6.6413088655732144</c:v>
                </c:pt>
                <c:pt idx="23">
                  <c:v>6.5033527436791916</c:v>
                </c:pt>
                <c:pt idx="24">
                  <c:v>6.2179976539360915</c:v>
                </c:pt>
                <c:pt idx="25">
                  <c:v>5.8490856474345154</c:v>
                </c:pt>
                <c:pt idx="26">
                  <c:v>5.2399919361236114</c:v>
                </c:pt>
                <c:pt idx="27">
                  <c:v>5.1041657194297096</c:v>
                </c:pt>
                <c:pt idx="28">
                  <c:v>4.9888673678109674</c:v>
                </c:pt>
                <c:pt idx="29">
                  <c:v>4.9154252835467815</c:v>
                </c:pt>
                <c:pt idx="30">
                  <c:v>5.1984143693264651</c:v>
                </c:pt>
                <c:pt idx="31">
                  <c:v>5.2403840391227696</c:v>
                </c:pt>
                <c:pt idx="32">
                  <c:v>5.2822033772001564</c:v>
                </c:pt>
                <c:pt idx="33">
                  <c:v>5.4498290435939012</c:v>
                </c:pt>
                <c:pt idx="34">
                  <c:v>5.5338372505020939</c:v>
                </c:pt>
                <c:pt idx="35">
                  <c:v>5.8385947181476272</c:v>
                </c:pt>
                <c:pt idx="36">
                  <c:v>6.1543360825530469</c:v>
                </c:pt>
                <c:pt idx="37">
                  <c:v>6.3129146440426886</c:v>
                </c:pt>
                <c:pt idx="38">
                  <c:v>6.58876592335913</c:v>
                </c:pt>
                <c:pt idx="39">
                  <c:v>6.4935139843000922</c:v>
                </c:pt>
                <c:pt idx="40">
                  <c:v>6.5041351287669968</c:v>
                </c:pt>
                <c:pt idx="41">
                  <c:v>6.695915835898969</c:v>
                </c:pt>
                <c:pt idx="42">
                  <c:v>6.2706921691404016</c:v>
                </c:pt>
                <c:pt idx="43">
                  <c:v>6.0907620642139282</c:v>
                </c:pt>
                <c:pt idx="44">
                  <c:v>5.8586207482323127</c:v>
                </c:pt>
                <c:pt idx="45">
                  <c:v>5.8374848715138317</c:v>
                </c:pt>
                <c:pt idx="46">
                  <c:v>5.7744067237049501</c:v>
                </c:pt>
                <c:pt idx="47">
                  <c:v>5.9106832553312172</c:v>
                </c:pt>
                <c:pt idx="48">
                  <c:v>5.5850653925756166</c:v>
                </c:pt>
                <c:pt idx="49">
                  <c:v>5.679517624014041</c:v>
                </c:pt>
                <c:pt idx="50">
                  <c:v>6.1528910091986466</c:v>
                </c:pt>
                <c:pt idx="51">
                  <c:v>6.2795521878774574</c:v>
                </c:pt>
                <c:pt idx="52">
                  <c:v>6.374855650409339</c:v>
                </c:pt>
                <c:pt idx="53">
                  <c:v>6.52328360136889</c:v>
                </c:pt>
                <c:pt idx="54">
                  <c:v>6.5022343107260294</c:v>
                </c:pt>
                <c:pt idx="55">
                  <c:v>6.5129698466159569</c:v>
                </c:pt>
                <c:pt idx="56">
                  <c:v>6.7464743152561235</c:v>
                </c:pt>
                <c:pt idx="57">
                  <c:v>6.5872403797569534</c:v>
                </c:pt>
                <c:pt idx="58">
                  <c:v>6.5552913418737369</c:v>
                </c:pt>
                <c:pt idx="59">
                  <c:v>6.4074707959088428</c:v>
                </c:pt>
                <c:pt idx="60">
                  <c:v>7.1377369753185205</c:v>
                </c:pt>
                <c:pt idx="61">
                  <c:v>7.7015874330807588</c:v>
                </c:pt>
                <c:pt idx="62">
                  <c:v>8.1285046609104192</c:v>
                </c:pt>
                <c:pt idx="63">
                  <c:v>8.1714868136068439</c:v>
                </c:pt>
                <c:pt idx="64">
                  <c:v>8.4729426386479076</c:v>
                </c:pt>
                <c:pt idx="65">
                  <c:v>8.8944299601855228</c:v>
                </c:pt>
                <c:pt idx="66">
                  <c:v>9.5583926117539306</c:v>
                </c:pt>
                <c:pt idx="67">
                  <c:v>9.5254773699682271</c:v>
                </c:pt>
                <c:pt idx="68">
                  <c:v>9.4927892083666254</c:v>
                </c:pt>
                <c:pt idx="69">
                  <c:v>9.9288922155691175</c:v>
                </c:pt>
                <c:pt idx="70">
                  <c:v>10.475767294536077</c:v>
                </c:pt>
                <c:pt idx="71">
                  <c:v>10.673028133975038</c:v>
                </c:pt>
                <c:pt idx="72">
                  <c:v>10.705805070312868</c:v>
                </c:pt>
                <c:pt idx="73">
                  <c:v>10.35588437483479</c:v>
                </c:pt>
                <c:pt idx="74">
                  <c:v>9.3863723708625955</c:v>
                </c:pt>
                <c:pt idx="75">
                  <c:v>9.2777943978958444</c:v>
                </c:pt>
                <c:pt idx="76">
                  <c:v>9.3211897301603628</c:v>
                </c:pt>
                <c:pt idx="77">
                  <c:v>8.8437473175290826</c:v>
                </c:pt>
                <c:pt idx="78">
                  <c:v>8.735771054919649</c:v>
                </c:pt>
                <c:pt idx="79">
                  <c:v>8.974497601601449</c:v>
                </c:pt>
                <c:pt idx="80">
                  <c:v>8.4759686232874554</c:v>
                </c:pt>
                <c:pt idx="81">
                  <c:v>7.8736708314896209</c:v>
                </c:pt>
                <c:pt idx="82">
                  <c:v>6.9873832983181394</c:v>
                </c:pt>
                <c:pt idx="83">
                  <c:v>6.2879882132213405</c:v>
                </c:pt>
                <c:pt idx="84">
                  <c:v>5.3540150717656276</c:v>
                </c:pt>
                <c:pt idx="85">
                  <c:v>4.7589072961636614</c:v>
                </c:pt>
                <c:pt idx="86">
                  <c:v>4.5711051156820615</c:v>
                </c:pt>
                <c:pt idx="87">
                  <c:v>4.082516894622934</c:v>
                </c:pt>
                <c:pt idx="88">
                  <c:v>3.5972561777709355</c:v>
                </c:pt>
                <c:pt idx="89">
                  <c:v>2.9985569924055433</c:v>
                </c:pt>
                <c:pt idx="90">
                  <c:v>2.7116257668060806</c:v>
                </c:pt>
                <c:pt idx="91">
                  <c:v>2.4559084940275255</c:v>
                </c:pt>
                <c:pt idx="92">
                  <c:v>2.5376909332925024</c:v>
                </c:pt>
                <c:pt idx="93">
                  <c:v>2.7013208888962748</c:v>
                </c:pt>
                <c:pt idx="94">
                  <c:v>2.8037854253561756</c:v>
                </c:pt>
                <c:pt idx="95">
                  <c:v>2.947421320434862</c:v>
                </c:pt>
                <c:pt idx="96">
                  <c:v>2.8551164512867766</c:v>
                </c:pt>
                <c:pt idx="97">
                  <c:v>2.8448937245174166</c:v>
                </c:pt>
                <c:pt idx="98">
                  <c:v>2.6808027890633079</c:v>
                </c:pt>
                <c:pt idx="99">
                  <c:v>2.762797093884739</c:v>
                </c:pt>
                <c:pt idx="100">
                  <c:v>2.8550133067399175</c:v>
                </c:pt>
                <c:pt idx="101">
                  <c:v>4.3911039739082502</c:v>
                </c:pt>
                <c:pt idx="102">
                  <c:v>4.4848437303225408</c:v>
                </c:pt>
                <c:pt idx="103">
                  <c:v>4.1930159672121325</c:v>
                </c:pt>
                <c:pt idx="104">
                  <c:v>4.5259760164414242</c:v>
                </c:pt>
                <c:pt idx="105">
                  <c:v>4.5570294494238661</c:v>
                </c:pt>
                <c:pt idx="106">
                  <c:v>4.0460773822658114</c:v>
                </c:pt>
                <c:pt idx="107">
                  <c:v>3.7456159386326071</c:v>
                </c:pt>
                <c:pt idx="108">
                  <c:v>3.7766019333182133</c:v>
                </c:pt>
                <c:pt idx="109">
                  <c:v>3.8903564462539286</c:v>
                </c:pt>
                <c:pt idx="110">
                  <c:v>4.5754553212223659</c:v>
                </c:pt>
                <c:pt idx="111">
                  <c:v>4.9407101540126952</c:v>
                </c:pt>
                <c:pt idx="112">
                  <c:v>4.658443618097019</c:v>
                </c:pt>
                <c:pt idx="113">
                  <c:v>3.3664772007379051</c:v>
                </c:pt>
                <c:pt idx="114">
                  <c:v>3.2221731780653462</c:v>
                </c:pt>
                <c:pt idx="115">
                  <c:v>3.4287012402545614</c:v>
                </c:pt>
                <c:pt idx="116">
                  <c:v>2.8934713757403419</c:v>
                </c:pt>
                <c:pt idx="117">
                  <c:v>2.5350325756800851</c:v>
                </c:pt>
                <c:pt idx="118">
                  <c:v>3.2748384024611221</c:v>
                </c:pt>
                <c:pt idx="119">
                  <c:v>4.3060399841131192</c:v>
                </c:pt>
                <c:pt idx="120">
                  <c:v>4.1916693262356697</c:v>
                </c:pt>
                <c:pt idx="121">
                  <c:v>4.0049273121089524</c:v>
                </c:pt>
                <c:pt idx="122">
                  <c:v>3.3029585719380306</c:v>
                </c:pt>
                <c:pt idx="123">
                  <c:v>2.399044844749687</c:v>
                </c:pt>
                <c:pt idx="124">
                  <c:v>1.8774877402774726</c:v>
                </c:pt>
                <c:pt idx="125">
                  <c:v>2.1321559928031864</c:v>
                </c:pt>
                <c:pt idx="126">
                  <c:v>2.305451396723579</c:v>
                </c:pt>
                <c:pt idx="127">
                  <c:v>2.4383023474932708</c:v>
                </c:pt>
                <c:pt idx="128">
                  <c:v>3.1351615471361338</c:v>
                </c:pt>
                <c:pt idx="129">
                  <c:v>3.9182057307108664</c:v>
                </c:pt>
                <c:pt idx="130">
                  <c:v>4.3110911966114829</c:v>
                </c:pt>
                <c:pt idx="131">
                  <c:v>4.5173415005102413</c:v>
                </c:pt>
                <c:pt idx="132">
                  <c:v>4.5590608265257959</c:v>
                </c:pt>
                <c:pt idx="133">
                  <c:v>5.195280548263348</c:v>
                </c:pt>
                <c:pt idx="134">
                  <c:v>6.0993271283719341</c:v>
                </c:pt>
                <c:pt idx="135">
                  <c:v>6.7591885269034924</c:v>
                </c:pt>
                <c:pt idx="136">
                  <c:v>8.0559022201131434</c:v>
                </c:pt>
                <c:pt idx="137">
                  <c:v>8.3468965707953924</c:v>
                </c:pt>
                <c:pt idx="138">
                  <c:v>8.9946460520873082</c:v>
                </c:pt>
                <c:pt idx="139">
                  <c:v>9.6796682688947477</c:v>
                </c:pt>
                <c:pt idx="140">
                  <c:v>10.246375616865834</c:v>
                </c:pt>
                <c:pt idx="141">
                  <c:v>10.672670347091739</c:v>
                </c:pt>
                <c:pt idx="142">
                  <c:v>10.738488170670069</c:v>
                </c:pt>
                <c:pt idx="143">
                  <c:v>10.061054893256593</c:v>
                </c:pt>
                <c:pt idx="144">
                  <c:v>10.379435999680876</c:v>
                </c:pt>
                <c:pt idx="145">
                  <c:v>10.543593400037299</c:v>
                </c:pt>
                <c:pt idx="146">
                  <c:v>11.299315974556002</c:v>
                </c:pt>
                <c:pt idx="147">
                  <c:v>12.020786655594451</c:v>
                </c:pt>
                <c:pt idx="148">
                  <c:v>11.783609786961335</c:v>
                </c:pt>
                <c:pt idx="149">
                  <c:v>11.771014494611066</c:v>
                </c:pt>
                <c:pt idx="150">
                  <c:v>11.332448321358601</c:v>
                </c:pt>
                <c:pt idx="151">
                  <c:v>10.840322711061612</c:v>
                </c:pt>
                <c:pt idx="152">
                  <c:v>10.28075348979025</c:v>
                </c:pt>
                <c:pt idx="153">
                  <c:v>9.706434342565462</c:v>
                </c:pt>
                <c:pt idx="154">
                  <c:v>9.2974739661530581</c:v>
                </c:pt>
                <c:pt idx="155">
                  <c:v>9.2976281526416127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DF-4C3A-A032-BB16D8D10547}"/>
            </c:ext>
          </c:extLst>
        </c:ser>
        <c:ser>
          <c:idx val="2"/>
          <c:order val="2"/>
          <c:tx>
            <c:strRef>
              <c:f>Retorno!$F$1</c:f>
              <c:strCache>
                <c:ptCount val="1"/>
                <c:pt idx="0">
                  <c:v>CDI Real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Retorno!$A$2:$A$157</c:f>
              <c:numCache>
                <c:formatCode>m/d/yyyy</c:formatCode>
                <c:ptCount val="156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</c:numCache>
            </c:numRef>
          </c:cat>
          <c:val>
            <c:numRef>
              <c:f>Retorno!$F$2:$F$157</c:f>
              <c:numCache>
                <c:formatCode>#,##0.00</c:formatCode>
                <c:ptCount val="156"/>
                <c:pt idx="0">
                  <c:v>4.667762065329617</c:v>
                </c:pt>
                <c:pt idx="1">
                  <c:v>4.1596853217475971</c:v>
                </c:pt>
                <c:pt idx="2">
                  <c:v>3.6068872083449444</c:v>
                </c:pt>
                <c:pt idx="3">
                  <c:v>3.3314492925534234</c:v>
                </c:pt>
                <c:pt idx="4">
                  <c:v>3.3553612003167421</c:v>
                </c:pt>
                <c:pt idx="5">
                  <c:v>3.7611222348647777</c:v>
                </c:pt>
                <c:pt idx="6">
                  <c:v>4.0740402989029922</c:v>
                </c:pt>
                <c:pt idx="7">
                  <c:v>4.3902229086865141</c:v>
                </c:pt>
                <c:pt idx="8">
                  <c:v>4.3305211004276201</c:v>
                </c:pt>
                <c:pt idx="9">
                  <c:v>3.9617224145884533</c:v>
                </c:pt>
                <c:pt idx="10">
                  <c:v>3.679694006593226</c:v>
                </c:pt>
                <c:pt idx="11">
                  <c:v>3.6200468048833034</c:v>
                </c:pt>
                <c:pt idx="12">
                  <c:v>3.7442568007583166</c:v>
                </c:pt>
                <c:pt idx="13">
                  <c:v>3.9811551610227314</c:v>
                </c:pt>
                <c:pt idx="14">
                  <c:v>3.8672747808208729</c:v>
                </c:pt>
                <c:pt idx="15">
                  <c:v>3.8432824277290445</c:v>
                </c:pt>
                <c:pt idx="16">
                  <c:v>4.0443192758803592</c:v>
                </c:pt>
                <c:pt idx="17">
                  <c:v>4.0570727305242027</c:v>
                </c:pt>
                <c:pt idx="18">
                  <c:v>4.0128521632329495</c:v>
                </c:pt>
                <c:pt idx="19">
                  <c:v>3.8620456454552698</c:v>
                </c:pt>
                <c:pt idx="20">
                  <c:v>3.8789208296252653</c:v>
                </c:pt>
                <c:pt idx="21">
                  <c:v>4.2894161440595102</c:v>
                </c:pt>
                <c:pt idx="22">
                  <c:v>4.6660540992830901</c:v>
                </c:pt>
                <c:pt idx="23">
                  <c:v>4.7801160337513471</c:v>
                </c:pt>
                <c:pt idx="24">
                  <c:v>5.0913375250521531</c:v>
                </c:pt>
                <c:pt idx="25">
                  <c:v>5.3523454813388271</c:v>
                </c:pt>
                <c:pt idx="26">
                  <c:v>5.8507986612960972</c:v>
                </c:pt>
                <c:pt idx="27">
                  <c:v>5.8457021942842635</c:v>
                </c:pt>
                <c:pt idx="28">
                  <c:v>5.6979062045281692</c:v>
                </c:pt>
                <c:pt idx="29">
                  <c:v>5.4437477416645841</c:v>
                </c:pt>
                <c:pt idx="30">
                  <c:v>4.8598655955184533</c:v>
                </c:pt>
                <c:pt idx="31">
                  <c:v>4.4196164095531731</c:v>
                </c:pt>
                <c:pt idx="32">
                  <c:v>3.9600186612986255</c:v>
                </c:pt>
                <c:pt idx="33">
                  <c:v>3.5126380065698903</c:v>
                </c:pt>
                <c:pt idx="34">
                  <c:v>3.1081113478527156</c:v>
                </c:pt>
                <c:pt idx="35">
                  <c:v>2.432605184520753</c:v>
                </c:pt>
                <c:pt idx="36">
                  <c:v>1.8233540175528917</c:v>
                </c:pt>
                <c:pt idx="37">
                  <c:v>1.4087972515336222</c:v>
                </c:pt>
                <c:pt idx="38">
                  <c:v>0.87201435847401587</c:v>
                </c:pt>
                <c:pt idx="39">
                  <c:v>0.85908293065253272</c:v>
                </c:pt>
                <c:pt idx="40">
                  <c:v>0.69804470622758519</c:v>
                </c:pt>
                <c:pt idx="41">
                  <c:v>0.47064543319539354</c:v>
                </c:pt>
                <c:pt idx="42">
                  <c:v>0.90221397715950502</c:v>
                </c:pt>
                <c:pt idx="43">
                  <c:v>1.079086083499381</c:v>
                </c:pt>
                <c:pt idx="44">
                  <c:v>1.4639014965959873</c:v>
                </c:pt>
                <c:pt idx="45">
                  <c:v>1.6786818638574896</c:v>
                </c:pt>
                <c:pt idx="46">
                  <c:v>1.9055427718172258</c:v>
                </c:pt>
                <c:pt idx="47">
                  <c:v>2.0229923238717751</c:v>
                </c:pt>
                <c:pt idx="48">
                  <c:v>2.5935123191032972</c:v>
                </c:pt>
                <c:pt idx="49">
                  <c:v>2.8079013118017304</c:v>
                </c:pt>
                <c:pt idx="50">
                  <c:v>2.5759487962694116</c:v>
                </c:pt>
                <c:pt idx="51">
                  <c:v>2.6721845718760351</c:v>
                </c:pt>
                <c:pt idx="52">
                  <c:v>2.8609260479300458</c:v>
                </c:pt>
                <c:pt idx="53">
                  <c:v>2.9478284549027789</c:v>
                </c:pt>
                <c:pt idx="54">
                  <c:v>3.2069012136866748</c:v>
                </c:pt>
                <c:pt idx="55">
                  <c:v>3.3661588678926657</c:v>
                </c:pt>
                <c:pt idx="56">
                  <c:v>3.3463319820748572</c:v>
                </c:pt>
                <c:pt idx="57">
                  <c:v>3.6473133386015544</c:v>
                </c:pt>
                <c:pt idx="58">
                  <c:v>3.8111712851145674</c:v>
                </c:pt>
                <c:pt idx="59">
                  <c:v>4.1344802788614965</c:v>
                </c:pt>
                <c:pt idx="60">
                  <c:v>3.5165452016719501</c:v>
                </c:pt>
                <c:pt idx="61">
                  <c:v>3.0123842432070891</c:v>
                </c:pt>
                <c:pt idx="62">
                  <c:v>2.884901391997019</c:v>
                </c:pt>
                <c:pt idx="63">
                  <c:v>2.9785884093192161</c:v>
                </c:pt>
                <c:pt idx="64">
                  <c:v>2.8201565882175705</c:v>
                </c:pt>
                <c:pt idx="65">
                  <c:v>2.6727249441457435</c:v>
                </c:pt>
                <c:pt idx="66">
                  <c:v>2.288240124965224</c:v>
                </c:pt>
                <c:pt idx="67">
                  <c:v>2.5705638446696044</c:v>
                </c:pt>
                <c:pt idx="68">
                  <c:v>2.8115761341861001</c:v>
                </c:pt>
                <c:pt idx="69">
                  <c:v>2.5698800453146431</c:v>
                </c:pt>
                <c:pt idx="70">
                  <c:v>2.2820991480561714</c:v>
                </c:pt>
                <c:pt idx="71">
                  <c:v>2.3094448522606781</c:v>
                </c:pt>
                <c:pt idx="72">
                  <c:v>2.4083060185190241</c:v>
                </c:pt>
                <c:pt idx="73">
                  <c:v>2.9194987174617992</c:v>
                </c:pt>
                <c:pt idx="74">
                  <c:v>3.9614141637102085</c:v>
                </c:pt>
                <c:pt idx="75">
                  <c:v>4.1760544195444504</c:v>
                </c:pt>
                <c:pt idx="76">
                  <c:v>4.2622753616669007</c:v>
                </c:pt>
                <c:pt idx="77">
                  <c:v>4.8196155525767281</c:v>
                </c:pt>
                <c:pt idx="78">
                  <c:v>4.8530786283251359</c:v>
                </c:pt>
                <c:pt idx="79">
                  <c:v>4.7331832200321999</c:v>
                </c:pt>
                <c:pt idx="80">
                  <c:v>5.2145112735071164</c:v>
                </c:pt>
                <c:pt idx="81">
                  <c:v>5.7398241902572256</c:v>
                </c:pt>
                <c:pt idx="82">
                  <c:v>6.59648201042069</c:v>
                </c:pt>
                <c:pt idx="83">
                  <c:v>7.256902003051513</c:v>
                </c:pt>
                <c:pt idx="84">
                  <c:v>8.242284951450074</c:v>
                </c:pt>
                <c:pt idx="85">
                  <c:v>8.7116750302593147</c:v>
                </c:pt>
                <c:pt idx="86">
                  <c:v>8.7883668662345649</c:v>
                </c:pt>
                <c:pt idx="87">
                  <c:v>9.0117822786397905</c:v>
                </c:pt>
                <c:pt idx="88">
                  <c:v>9.325331058815344</c:v>
                </c:pt>
                <c:pt idx="89">
                  <c:v>9.5816065013959228</c:v>
                </c:pt>
                <c:pt idx="90">
                  <c:v>9.554410658869239</c:v>
                </c:pt>
                <c:pt idx="91">
                  <c:v>9.3806194624270525</c:v>
                </c:pt>
                <c:pt idx="92">
                  <c:v>8.7895508226390362</c:v>
                </c:pt>
                <c:pt idx="93">
                  <c:v>8.1836962424376871</c:v>
                </c:pt>
                <c:pt idx="94">
                  <c:v>7.5737304094238844</c:v>
                </c:pt>
                <c:pt idx="95">
                  <c:v>6.8041812177717764</c:v>
                </c:pt>
                <c:pt idx="96">
                  <c:v>6.367222270279882</c:v>
                </c:pt>
                <c:pt idx="97">
                  <c:v>5.955285105196384</c:v>
                </c:pt>
                <c:pt idx="98">
                  <c:v>5.580679608025485</c:v>
                </c:pt>
                <c:pt idx="99">
                  <c:v>5.212396725920132</c:v>
                </c:pt>
                <c:pt idx="100">
                  <c:v>4.6930744340773378</c:v>
                </c:pt>
                <c:pt idx="101">
                  <c:v>2.8515444624460429</c:v>
                </c:pt>
                <c:pt idx="102">
                  <c:v>2.4956676299779046</c:v>
                </c:pt>
                <c:pt idx="103">
                  <c:v>2.5436189507813456</c:v>
                </c:pt>
                <c:pt idx="104">
                  <c:v>2.0409765150920745</c:v>
                </c:pt>
                <c:pt idx="105">
                  <c:v>1.906355876510446</c:v>
                </c:pt>
                <c:pt idx="106">
                  <c:v>2.3315548151225718</c:v>
                </c:pt>
                <c:pt idx="107">
                  <c:v>2.5810047190959251</c:v>
                </c:pt>
                <c:pt idx="108">
                  <c:v>2.5092485576869272</c:v>
                </c:pt>
                <c:pt idx="109">
                  <c:v>2.4252365801118447</c:v>
                </c:pt>
                <c:pt idx="110">
                  <c:v>1.6897800191789214</c:v>
                </c:pt>
                <c:pt idx="111">
                  <c:v>1.3366340287978673</c:v>
                </c:pt>
                <c:pt idx="112">
                  <c:v>1.6357542323203633</c:v>
                </c:pt>
                <c:pt idx="113">
                  <c:v>2.8562413802983411</c:v>
                </c:pt>
                <c:pt idx="114">
                  <c:v>3.0262380673510947</c:v>
                </c:pt>
                <c:pt idx="115">
                  <c:v>2.7557447123361944</c:v>
                </c:pt>
                <c:pt idx="116">
                  <c:v>3.2877216099362672</c:v>
                </c:pt>
                <c:pt idx="117">
                  <c:v>3.58503505934753</c:v>
                </c:pt>
                <c:pt idx="118">
                  <c:v>2.727185802660248</c:v>
                </c:pt>
                <c:pt idx="119">
                  <c:v>1.5932174407170319</c:v>
                </c:pt>
                <c:pt idx="120">
                  <c:v>1.5363885321548088</c:v>
                </c:pt>
                <c:pt idx="121">
                  <c:v>1.5173969562111145</c:v>
                </c:pt>
                <c:pt idx="122">
                  <c:v>2.0764715812328749</c:v>
                </c:pt>
                <c:pt idx="123">
                  <c:v>2.7384542665511713</c:v>
                </c:pt>
                <c:pt idx="124">
                  <c:v>2.9518295475767564</c:v>
                </c:pt>
                <c:pt idx="125">
                  <c:v>2.435912363399062</c:v>
                </c:pt>
                <c:pt idx="126">
                  <c:v>1.8826401102924439</c:v>
                </c:pt>
                <c:pt idx="127">
                  <c:v>1.403534537996376</c:v>
                </c:pt>
                <c:pt idx="128">
                  <c:v>0.40892654794253414</c:v>
                </c:pt>
                <c:pt idx="129">
                  <c:v>-0.66919368183055994</c:v>
                </c:pt>
                <c:pt idx="130">
                  <c:v>-1.2709385890422586</c:v>
                </c:pt>
                <c:pt idx="131">
                  <c:v>-1.6740208312248317</c:v>
                </c:pt>
                <c:pt idx="132">
                  <c:v>-1.9356571537537226</c:v>
                </c:pt>
                <c:pt idx="133">
                  <c:v>-2.6843907281630885</c:v>
                </c:pt>
                <c:pt idx="134">
                  <c:v>-3.650249071952838</c:v>
                </c:pt>
                <c:pt idx="135">
                  <c:v>-4.3194183166475604</c:v>
                </c:pt>
                <c:pt idx="136">
                  <c:v>-5.4405301811356388</c:v>
                </c:pt>
                <c:pt idx="137">
                  <c:v>-5.6101205276326667</c:v>
                </c:pt>
                <c:pt idx="138">
                  <c:v>-6.0200433630697159</c:v>
                </c:pt>
                <c:pt idx="139">
                  <c:v>-6.3615286871718695</c:v>
                </c:pt>
                <c:pt idx="140">
                  <c:v>-6.5812735984932091</c:v>
                </c:pt>
                <c:pt idx="141">
                  <c:v>-6.6406073991008618</c:v>
                </c:pt>
                <c:pt idx="142">
                  <c:v>-6.2887204465994824</c:v>
                </c:pt>
                <c:pt idx="143">
                  <c:v>-5.1479651597355574</c:v>
                </c:pt>
                <c:pt idx="144">
                  <c:v>-4.8711924631438368</c:v>
                </c:pt>
                <c:pt idx="145">
                  <c:v>-4.4290275533467094</c:v>
                </c:pt>
                <c:pt idx="146">
                  <c:v>-4.3908691940919953</c:v>
                </c:pt>
                <c:pt idx="147">
                  <c:v>-4.3219378735083414</c:v>
                </c:pt>
                <c:pt idx="148">
                  <c:v>-3.4135857052964846</c:v>
                </c:pt>
                <c:pt idx="149">
                  <c:v>-2.6925655665698711</c:v>
                </c:pt>
                <c:pt idx="150">
                  <c:v>-1.640806992210686</c:v>
                </c:pt>
                <c:pt idx="151">
                  <c:v>-0.55946761109209042</c:v>
                </c:pt>
                <c:pt idx="152">
                  <c:v>0.58312233746187214</c:v>
                </c:pt>
                <c:pt idx="153">
                  <c:v>1.7124298620744716</c:v>
                </c:pt>
                <c:pt idx="154">
                  <c:v>2.5930226360054487</c:v>
                </c:pt>
                <c:pt idx="155">
                  <c:v>2.9144471452516862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DF-4C3A-A032-BB16D8D10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416056"/>
        <c:axId val="448419256"/>
      </c:lineChart>
      <c:dateAx>
        <c:axId val="448416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448419256"/>
        <c:crosses val="autoZero"/>
        <c:auto val="1"/>
        <c:lblOffset val="100"/>
        <c:baseTimeUnit val="months"/>
        <c:majorUnit val="1"/>
        <c:majorTimeUnit val="years"/>
      </c:dateAx>
      <c:valAx>
        <c:axId val="44841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cross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44841605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95000"/>
      </a:schemeClr>
    </a:solidFill>
    <a:ln w="12700" cap="flat" cmpd="sng" algn="ctr">
      <a:solidFill>
        <a:sysClr val="window" lastClr="FFFFFF">
          <a:lumMod val="85000"/>
        </a:sys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Montserrat" panose="00000500000000000000" pitchFamily="2" charset="0"/>
        </a:defRPr>
      </a:pPr>
      <a:endParaRPr lang="pt-BR"/>
    </a:p>
  </c:txPr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31E1D60-ED4B-4609-84A7-C81D0DEF5AE9}">
  <sheetPr/>
  <sheetViews>
    <sheetView zoomScale="116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BDF265A-FC9B-4231-9462-DAB70A4D4B29}">
  <sheetPr/>
  <sheetViews>
    <sheetView tabSelected="1" zoomScale="116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8168" cy="601060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E1A31E-7B30-4096-9DE1-F93AC174AF3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0.92</cdr:x>
      <cdr:y>0.11475</cdr:y>
    </cdr:from>
    <cdr:to>
      <cdr:x>0.92</cdr:x>
      <cdr:y>0.95056</cdr:y>
    </cdr:to>
    <cdr:cxnSp macro="">
      <cdr:nvCxnSpPr>
        <cdr:cNvPr id="3" name="Conector reto 2">
          <a:extLst xmlns:a="http://schemas.openxmlformats.org/drawingml/2006/main">
            <a:ext uri="{FF2B5EF4-FFF2-40B4-BE49-F238E27FC236}">
              <a16:creationId xmlns:a16="http://schemas.microsoft.com/office/drawing/2014/main" id="{66E8BED7-D855-4ED0-B094-F15A721E4B5E}"/>
            </a:ext>
          </a:extLst>
        </cdr:cNvPr>
        <cdr:cNvCxnSpPr/>
      </cdr:nvCxnSpPr>
      <cdr:spPr>
        <a:xfrm xmlns:a="http://schemas.openxmlformats.org/drawingml/2006/main">
          <a:off x="8876315" y="689741"/>
          <a:ext cx="0" cy="5023694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648168" cy="601060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A51505-DC32-48C2-8AFB-4AE64AB0CD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0.92</cdr:x>
      <cdr:y>0.11475</cdr:y>
    </cdr:from>
    <cdr:to>
      <cdr:x>0.92</cdr:x>
      <cdr:y>0.95056</cdr:y>
    </cdr:to>
    <cdr:cxnSp macro="">
      <cdr:nvCxnSpPr>
        <cdr:cNvPr id="3" name="Conector reto 2">
          <a:extLst xmlns:a="http://schemas.openxmlformats.org/drawingml/2006/main">
            <a:ext uri="{FF2B5EF4-FFF2-40B4-BE49-F238E27FC236}">
              <a16:creationId xmlns:a16="http://schemas.microsoft.com/office/drawing/2014/main" id="{66E8BED7-D855-4ED0-B094-F15A721E4B5E}"/>
            </a:ext>
          </a:extLst>
        </cdr:cNvPr>
        <cdr:cNvCxnSpPr/>
      </cdr:nvCxnSpPr>
      <cdr:spPr>
        <a:xfrm xmlns:a="http://schemas.openxmlformats.org/drawingml/2006/main">
          <a:off x="8876315" y="689741"/>
          <a:ext cx="0" cy="5023694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212F-1390-4E6A-BA7A-E91FA38EB896}">
  <dimension ref="A1:F157"/>
  <sheetViews>
    <sheetView topLeftCell="A134" workbookViewId="0">
      <selection activeCell="H10" sqref="H10"/>
    </sheetView>
  </sheetViews>
  <sheetFormatPr defaultColWidth="16.25" defaultRowHeight="22.5" customHeight="1" x14ac:dyDescent="0.25"/>
  <cols>
    <col min="1" max="16384" width="16.25" style="1"/>
  </cols>
  <sheetData>
    <row r="1" spans="1:6" ht="22.5" customHeight="1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9</v>
      </c>
      <c r="F1" s="1" t="s">
        <v>10</v>
      </c>
    </row>
    <row r="2" spans="1:6" ht="22.5" customHeight="1" x14ac:dyDescent="0.25">
      <c r="A2" s="2">
        <v>40179</v>
      </c>
      <c r="B2" s="1">
        <v>13.159263216562422</v>
      </c>
      <c r="C2" s="1">
        <v>4.5920859794829738</v>
      </c>
      <c r="D2" s="1">
        <f>((B2/100+1)/(C2/100+1)-1)*100</f>
        <v>8.1910377413832336</v>
      </c>
      <c r="E2" s="1">
        <v>9.4741956921702055</v>
      </c>
      <c r="F2" s="1">
        <f>((E2/100+1)/(C2/100+1)-1)*100</f>
        <v>4.667762065329617</v>
      </c>
    </row>
    <row r="3" spans="1:6" ht="22.5" customHeight="1" x14ac:dyDescent="0.25">
      <c r="A3" s="2">
        <v>40210</v>
      </c>
      <c r="B3" s="1">
        <v>12.795907786408666</v>
      </c>
      <c r="C3" s="1">
        <v>4.831099691043228</v>
      </c>
      <c r="D3" s="1">
        <f t="shared" ref="D3:D66" si="0">((B3/100+1)/(C3/100+1)-1)*100</f>
        <v>7.5977530702618035</v>
      </c>
      <c r="E3" s="1">
        <v>9.1917435575181514</v>
      </c>
      <c r="F3" s="1">
        <f t="shared" ref="F3:F66" si="1">((E3/100+1)/(C3/100+1)-1)*100</f>
        <v>4.1596853217475971</v>
      </c>
    </row>
    <row r="4" spans="1:6" ht="22.5" customHeight="1" x14ac:dyDescent="0.25">
      <c r="A4" s="2">
        <v>40238</v>
      </c>
      <c r="B4" s="1">
        <v>12.382936150661571</v>
      </c>
      <c r="C4" s="1">
        <v>5.166002520002233</v>
      </c>
      <c r="D4" s="1">
        <f t="shared" si="0"/>
        <v>6.8624207992375785</v>
      </c>
      <c r="E4" s="1">
        <v>8.9592216124239066</v>
      </c>
      <c r="F4" s="1">
        <f t="shared" si="1"/>
        <v>3.6068872083449444</v>
      </c>
    </row>
    <row r="5" spans="1:6" ht="22.5" customHeight="1" x14ac:dyDescent="0.25">
      <c r="A5" s="2">
        <v>40269</v>
      </c>
      <c r="B5" s="1">
        <v>12.060660491836583</v>
      </c>
      <c r="C5" s="1">
        <v>5.2602603793211244</v>
      </c>
      <c r="D5" s="1">
        <f t="shared" si="0"/>
        <v>6.4605579427688964</v>
      </c>
      <c r="E5" s="1">
        <v>8.7669525790678993</v>
      </c>
      <c r="F5" s="1">
        <f t="shared" si="1"/>
        <v>3.3314492925534234</v>
      </c>
    </row>
    <row r="6" spans="1:6" ht="22.5" customHeight="1" x14ac:dyDescent="0.25">
      <c r="A6" s="2">
        <v>40299</v>
      </c>
      <c r="B6" s="1">
        <v>11.908158053976026</v>
      </c>
      <c r="C6" s="1">
        <v>5.218403090182866</v>
      </c>
      <c r="D6" s="1">
        <f t="shared" si="0"/>
        <v>6.3579704379844726</v>
      </c>
      <c r="E6" s="1">
        <v>8.7488605630637437</v>
      </c>
      <c r="F6" s="1">
        <f t="shared" si="1"/>
        <v>3.3553612003167421</v>
      </c>
    </row>
    <row r="7" spans="1:6" ht="22.5" customHeight="1" x14ac:dyDescent="0.25">
      <c r="A7" s="2">
        <v>40330</v>
      </c>
      <c r="B7" s="1">
        <v>11.810075017196731</v>
      </c>
      <c r="C7" s="1">
        <v>4.8410906272122745</v>
      </c>
      <c r="D7" s="1">
        <f t="shared" si="0"/>
        <v>6.6471879949860035</v>
      </c>
      <c r="E7" s="1">
        <v>8.7842921980670887</v>
      </c>
      <c r="F7" s="1">
        <f t="shared" si="1"/>
        <v>3.7611222348647777</v>
      </c>
    </row>
    <row r="8" spans="1:6" ht="22.5" customHeight="1" x14ac:dyDescent="0.25">
      <c r="A8" s="2">
        <v>40360</v>
      </c>
      <c r="B8" s="1">
        <v>11.247913174662671</v>
      </c>
      <c r="C8" s="1">
        <v>4.6005339214995278</v>
      </c>
      <c r="D8" s="1">
        <f t="shared" si="0"/>
        <v>6.3550146485407577</v>
      </c>
      <c r="E8" s="1">
        <v>8.8620018263291023</v>
      </c>
      <c r="F8" s="1">
        <f t="shared" si="1"/>
        <v>4.0740402989029922</v>
      </c>
    </row>
    <row r="9" spans="1:6" ht="22.5" customHeight="1" x14ac:dyDescent="0.25">
      <c r="A9" s="2">
        <v>40391</v>
      </c>
      <c r="B9" s="1">
        <v>11.39542165682672</v>
      </c>
      <c r="C9" s="1">
        <v>4.4855439322120327</v>
      </c>
      <c r="D9" s="1">
        <f t="shared" si="0"/>
        <v>6.6132380275472968</v>
      </c>
      <c r="E9" s="1">
        <v>9.0726922181897152</v>
      </c>
      <c r="F9" s="1">
        <f t="shared" si="1"/>
        <v>4.3902229086865141</v>
      </c>
    </row>
    <row r="10" spans="1:6" ht="22.5" customHeight="1" x14ac:dyDescent="0.25">
      <c r="A10" s="2">
        <v>40422</v>
      </c>
      <c r="B10" s="1">
        <v>11.468718000923616</v>
      </c>
      <c r="C10" s="1">
        <v>4.704219597231285</v>
      </c>
      <c r="D10" s="1">
        <f t="shared" si="0"/>
        <v>6.4605785991371789</v>
      </c>
      <c r="E10" s="1">
        <v>9.2384579199274555</v>
      </c>
      <c r="F10" s="1">
        <f t="shared" si="1"/>
        <v>4.3305211004276201</v>
      </c>
    </row>
    <row r="11" spans="1:6" ht="22.5" customHeight="1" x14ac:dyDescent="0.25">
      <c r="A11" s="2">
        <v>40452</v>
      </c>
      <c r="B11" s="1">
        <v>11.367233091248563</v>
      </c>
      <c r="C11" s="1">
        <v>5.1950611016671422</v>
      </c>
      <c r="D11" s="1">
        <f t="shared" si="0"/>
        <v>5.8673590993176372</v>
      </c>
      <c r="E11" s="1">
        <v>9.3625974163719086</v>
      </c>
      <c r="F11" s="1">
        <f t="shared" si="1"/>
        <v>3.9617224145884533</v>
      </c>
    </row>
    <row r="12" spans="1:6" ht="22.5" customHeight="1" x14ac:dyDescent="0.25">
      <c r="A12" s="2">
        <v>40483</v>
      </c>
      <c r="B12" s="1">
        <v>11.410027869947159</v>
      </c>
      <c r="C12" s="1">
        <v>5.6348475121988484</v>
      </c>
      <c r="D12" s="1">
        <f t="shared" si="0"/>
        <v>5.4671166700755558</v>
      </c>
      <c r="E12" s="1">
        <v>9.5218866649791281</v>
      </c>
      <c r="F12" s="1">
        <f t="shared" si="1"/>
        <v>3.679694006593226</v>
      </c>
    </row>
    <row r="13" spans="1:6" ht="22.5" customHeight="1" x14ac:dyDescent="0.25">
      <c r="A13" s="2">
        <v>40513</v>
      </c>
      <c r="B13" s="1">
        <v>11.410768850463748</v>
      </c>
      <c r="C13" s="1">
        <v>5.9086887217944417</v>
      </c>
      <c r="D13" s="1">
        <f t="shared" si="0"/>
        <v>5.195116845533243</v>
      </c>
      <c r="E13" s="1">
        <v>9.7426328239615714</v>
      </c>
      <c r="F13" s="1">
        <f t="shared" si="1"/>
        <v>3.6200468048833034</v>
      </c>
    </row>
    <row r="14" spans="1:6" ht="22.5" customHeight="1" x14ac:dyDescent="0.25">
      <c r="A14" s="2">
        <v>40544</v>
      </c>
      <c r="B14" s="1">
        <v>11.563312757659094</v>
      </c>
      <c r="C14" s="1">
        <v>5.9929873495994768</v>
      </c>
      <c r="D14" s="1">
        <f t="shared" si="0"/>
        <v>5.2553716499063041</v>
      </c>
      <c r="E14" s="1">
        <v>9.9616369867637555</v>
      </c>
      <c r="F14" s="1">
        <f t="shared" si="1"/>
        <v>3.7442568007583166</v>
      </c>
    </row>
    <row r="15" spans="1:6" ht="22.5" customHeight="1" x14ac:dyDescent="0.25">
      <c r="A15" s="2">
        <v>40575</v>
      </c>
      <c r="B15" s="1">
        <v>11.810430768591452</v>
      </c>
      <c r="C15" s="1">
        <v>6.014171342034369</v>
      </c>
      <c r="D15" s="1">
        <f t="shared" si="0"/>
        <v>5.4674383180872699</v>
      </c>
      <c r="E15" s="1">
        <v>10.234759995833254</v>
      </c>
      <c r="F15" s="1">
        <f t="shared" si="1"/>
        <v>3.9811551610227314</v>
      </c>
    </row>
    <row r="16" spans="1:6" ht="22.5" customHeight="1" x14ac:dyDescent="0.25">
      <c r="A16" s="2">
        <v>40603</v>
      </c>
      <c r="B16" s="1">
        <v>11.925929950981118</v>
      </c>
      <c r="C16" s="1">
        <v>6.2989876163197067</v>
      </c>
      <c r="D16" s="1">
        <f t="shared" si="0"/>
        <v>5.2935051037094949</v>
      </c>
      <c r="E16" s="1">
        <v>10.409861556673539</v>
      </c>
      <c r="F16" s="1">
        <f t="shared" si="1"/>
        <v>3.8672747808208729</v>
      </c>
    </row>
    <row r="17" spans="1:6" ht="22.5" customHeight="1" x14ac:dyDescent="0.25">
      <c r="A17" s="2">
        <v>40634</v>
      </c>
      <c r="B17" s="1">
        <v>12.159823956654336</v>
      </c>
      <c r="C17" s="1">
        <v>6.5102569235035324</v>
      </c>
      <c r="D17" s="1">
        <f t="shared" si="0"/>
        <v>5.3042469301415318</v>
      </c>
      <c r="E17" s="1">
        <v>10.603746911573598</v>
      </c>
      <c r="F17" s="1">
        <f t="shared" si="1"/>
        <v>3.8432824277290445</v>
      </c>
    </row>
    <row r="18" spans="1:6" ht="22.5" customHeight="1" x14ac:dyDescent="0.25">
      <c r="A18" s="2">
        <v>40664</v>
      </c>
      <c r="B18" s="1">
        <v>12.386438869833306</v>
      </c>
      <c r="C18" s="1">
        <v>6.5527816532393146</v>
      </c>
      <c r="D18" s="1">
        <f t="shared" si="0"/>
        <v>5.4748990369662964</v>
      </c>
      <c r="E18" s="1">
        <v>10.862116340627992</v>
      </c>
      <c r="F18" s="1">
        <f t="shared" si="1"/>
        <v>4.0443192758803592</v>
      </c>
    </row>
    <row r="19" spans="1:6" ht="22.5" customHeight="1" x14ac:dyDescent="0.25">
      <c r="A19" s="2">
        <v>40695</v>
      </c>
      <c r="B19" s="1">
        <v>12.568260159553347</v>
      </c>
      <c r="C19" s="1">
        <v>6.7125507114056848</v>
      </c>
      <c r="D19" s="1">
        <f t="shared" si="0"/>
        <v>5.4873671457670303</v>
      </c>
      <c r="E19" s="1">
        <v>11.041956506364947</v>
      </c>
      <c r="F19" s="1">
        <f t="shared" si="1"/>
        <v>4.0570727305242027</v>
      </c>
    </row>
    <row r="20" spans="1:6" ht="22.5" customHeight="1" x14ac:dyDescent="0.25">
      <c r="A20" s="2">
        <v>40725</v>
      </c>
      <c r="B20" s="1">
        <v>12.683883072030898</v>
      </c>
      <c r="C20" s="1">
        <v>6.8725992831992766</v>
      </c>
      <c r="D20" s="1">
        <f t="shared" si="0"/>
        <v>5.4375806594096465</v>
      </c>
      <c r="E20" s="1">
        <v>11.161238695438414</v>
      </c>
      <c r="F20" s="1">
        <f t="shared" si="1"/>
        <v>4.0128521632329495</v>
      </c>
    </row>
    <row r="21" spans="1:6" ht="22.5" customHeight="1" x14ac:dyDescent="0.25">
      <c r="A21" s="2">
        <v>40756</v>
      </c>
      <c r="B21" s="1">
        <v>12.888307348610862</v>
      </c>
      <c r="C21" s="1">
        <v>7.225226440979915</v>
      </c>
      <c r="D21" s="1">
        <f t="shared" si="0"/>
        <v>5.2814818822024989</v>
      </c>
      <c r="E21" s="1">
        <v>11.366313629573344</v>
      </c>
      <c r="F21" s="1">
        <f t="shared" si="1"/>
        <v>3.8620456454552698</v>
      </c>
    </row>
    <row r="22" spans="1:6" ht="22.5" customHeight="1" x14ac:dyDescent="0.25">
      <c r="A22" s="2">
        <v>40787</v>
      </c>
      <c r="B22" s="1">
        <v>12.934848662416698</v>
      </c>
      <c r="C22" s="1">
        <v>7.3109020596289209</v>
      </c>
      <c r="D22" s="1">
        <f t="shared" si="0"/>
        <v>5.2407970624110067</v>
      </c>
      <c r="E22" s="1">
        <v>11.473406992078639</v>
      </c>
      <c r="F22" s="1">
        <f t="shared" si="1"/>
        <v>3.8789208296252653</v>
      </c>
    </row>
    <row r="23" spans="1:6" ht="22.5" customHeight="1" x14ac:dyDescent="0.25">
      <c r="A23" s="2">
        <v>40817</v>
      </c>
      <c r="B23" s="1">
        <v>13.008508886376324</v>
      </c>
      <c r="C23" s="1">
        <v>6.9700991192913397</v>
      </c>
      <c r="D23" s="1">
        <f t="shared" si="0"/>
        <v>5.6449510814709614</v>
      </c>
      <c r="E23" s="1">
        <v>11.558491820230676</v>
      </c>
      <c r="F23" s="1">
        <f t="shared" si="1"/>
        <v>4.2894161440595102</v>
      </c>
    </row>
    <row r="24" spans="1:6" ht="22.5" customHeight="1" x14ac:dyDescent="0.25">
      <c r="A24" s="2">
        <v>40848</v>
      </c>
      <c r="B24" s="1">
        <v>13.104137505763092</v>
      </c>
      <c r="C24" s="1">
        <v>6.6413088655732144</v>
      </c>
      <c r="D24" s="1">
        <f t="shared" si="0"/>
        <v>6.0603425716919901</v>
      </c>
      <c r="E24" s="1">
        <v>11.617250029424442</v>
      </c>
      <c r="F24" s="1">
        <f t="shared" si="1"/>
        <v>4.6660540992830901</v>
      </c>
    </row>
    <row r="25" spans="1:6" ht="22.5" customHeight="1" x14ac:dyDescent="0.25">
      <c r="A25" s="2">
        <v>40878</v>
      </c>
      <c r="B25" s="1">
        <v>13.073937505799215</v>
      </c>
      <c r="C25" s="1">
        <v>6.5033527436791916</v>
      </c>
      <c r="D25" s="1">
        <f t="shared" si="0"/>
        <v>6.1693689380215133</v>
      </c>
      <c r="E25" s="1">
        <v>11.594336584662557</v>
      </c>
      <c r="F25" s="1">
        <f t="shared" si="1"/>
        <v>4.7801160337513471</v>
      </c>
    </row>
    <row r="26" spans="1:6" ht="22.5" customHeight="1" x14ac:dyDescent="0.25">
      <c r="A26" s="2">
        <v>40909</v>
      </c>
      <c r="B26" s="1">
        <v>13.05753284446638</v>
      </c>
      <c r="C26" s="1">
        <v>6.2179976539360915</v>
      </c>
      <c r="D26" s="1">
        <f t="shared" si="0"/>
        <v>6.4391490534531304</v>
      </c>
      <c r="E26" s="1">
        <v>11.625914426849949</v>
      </c>
      <c r="F26" s="1">
        <f t="shared" si="1"/>
        <v>5.0913375250521531</v>
      </c>
    </row>
    <row r="27" spans="1:6" ht="22.5" customHeight="1" x14ac:dyDescent="0.25">
      <c r="A27" s="2">
        <v>40940</v>
      </c>
      <c r="B27" s="1">
        <v>12.938027052660139</v>
      </c>
      <c r="C27" s="1">
        <v>5.8490856474345154</v>
      </c>
      <c r="D27" s="1">
        <f t="shared" si="0"/>
        <v>6.6972155327233551</v>
      </c>
      <c r="E27" s="1">
        <v>11.514494400123443</v>
      </c>
      <c r="F27" s="1">
        <f t="shared" si="1"/>
        <v>5.3523454813388271</v>
      </c>
    </row>
    <row r="28" spans="1:6" ht="22.5" customHeight="1" x14ac:dyDescent="0.25">
      <c r="A28" s="2">
        <v>40969</v>
      </c>
      <c r="B28" s="1">
        <v>12.812489427152563</v>
      </c>
      <c r="C28" s="1">
        <v>5.2399919361236114</v>
      </c>
      <c r="D28" s="1">
        <f t="shared" si="0"/>
        <v>7.1954561680555251</v>
      </c>
      <c r="E28" s="1">
        <v>11.39737197547046</v>
      </c>
      <c r="F28" s="1">
        <f t="shared" si="1"/>
        <v>5.8507986612960972</v>
      </c>
    </row>
    <row r="29" spans="1:6" ht="22.5" customHeight="1" x14ac:dyDescent="0.25">
      <c r="A29" s="2">
        <v>41000</v>
      </c>
      <c r="B29" s="1">
        <v>12.699594828487992</v>
      </c>
      <c r="C29" s="1">
        <v>5.1041657194297096</v>
      </c>
      <c r="D29" s="1">
        <f t="shared" si="0"/>
        <v>7.2265728547181496</v>
      </c>
      <c r="E29" s="1">
        <v>11.248242241174577</v>
      </c>
      <c r="F29" s="1">
        <f t="shared" si="1"/>
        <v>5.8457021942842635</v>
      </c>
    </row>
    <row r="30" spans="1:6" ht="22.5" customHeight="1" x14ac:dyDescent="0.25">
      <c r="A30" s="2">
        <v>41030</v>
      </c>
      <c r="B30" s="1">
        <v>12.411293260393741</v>
      </c>
      <c r="C30" s="1">
        <v>4.9888673678109674</v>
      </c>
      <c r="D30" s="1">
        <f t="shared" si="0"/>
        <v>7.0697266088027622</v>
      </c>
      <c r="E30" s="1">
        <v>10.971034555625314</v>
      </c>
      <c r="F30" s="1">
        <f t="shared" si="1"/>
        <v>5.6979062045281692</v>
      </c>
    </row>
    <row r="31" spans="1:6" ht="22.5" customHeight="1" x14ac:dyDescent="0.25">
      <c r="A31" s="2">
        <v>41061</v>
      </c>
      <c r="B31" s="1">
        <v>12.05125346556799</v>
      </c>
      <c r="C31" s="1">
        <v>4.9154252835467815</v>
      </c>
      <c r="D31" s="1">
        <f t="shared" si="0"/>
        <v>6.8015052722092628</v>
      </c>
      <c r="E31" s="1">
        <v>10.626756378077662</v>
      </c>
      <c r="F31" s="1">
        <f t="shared" si="1"/>
        <v>5.4437477416645841</v>
      </c>
    </row>
    <row r="32" spans="1:6" ht="22.5" customHeight="1" x14ac:dyDescent="0.25">
      <c r="A32" s="2">
        <v>41091</v>
      </c>
      <c r="B32" s="1">
        <v>11.68294991157557</v>
      </c>
      <c r="C32" s="1">
        <v>5.1984143693264651</v>
      </c>
      <c r="D32" s="1">
        <f t="shared" si="0"/>
        <v>6.1641000780519928</v>
      </c>
      <c r="E32" s="1">
        <v>10.310915916292295</v>
      </c>
      <c r="F32" s="1">
        <f t="shared" si="1"/>
        <v>4.8598655955184533</v>
      </c>
    </row>
    <row r="33" spans="1:6" ht="22.5" customHeight="1" x14ac:dyDescent="0.25">
      <c r="A33" s="2">
        <v>41122</v>
      </c>
      <c r="B33" s="1">
        <v>11.252304409686186</v>
      </c>
      <c r="C33" s="1">
        <v>5.2403840391227696</v>
      </c>
      <c r="D33" s="1">
        <f t="shared" si="0"/>
        <v>5.7125602737524206</v>
      </c>
      <c r="E33" s="1">
        <v>9.8916053215926105</v>
      </c>
      <c r="F33" s="1">
        <f t="shared" si="1"/>
        <v>4.4196164095531731</v>
      </c>
    </row>
    <row r="34" spans="1:6" ht="22.5" customHeight="1" x14ac:dyDescent="0.25">
      <c r="A34" s="2">
        <v>41153</v>
      </c>
      <c r="B34" s="1">
        <v>10.806992012635352</v>
      </c>
      <c r="C34" s="1">
        <v>5.2822033772001564</v>
      </c>
      <c r="D34" s="1">
        <f t="shared" si="0"/>
        <v>5.2475997445088129</v>
      </c>
      <c r="E34" s="1">
        <v>9.4513982779636621</v>
      </c>
      <c r="F34" s="1">
        <f t="shared" si="1"/>
        <v>3.9600186612986255</v>
      </c>
    </row>
    <row r="35" spans="1:6" ht="22.5" customHeight="1" x14ac:dyDescent="0.25">
      <c r="A35" s="2">
        <v>41183</v>
      </c>
      <c r="B35" s="1">
        <v>10.507476612472022</v>
      </c>
      <c r="C35" s="1">
        <v>5.4498290435939012</v>
      </c>
      <c r="D35" s="1">
        <f t="shared" si="0"/>
        <v>4.796259619147647</v>
      </c>
      <c r="E35" s="1">
        <v>9.153899816442145</v>
      </c>
      <c r="F35" s="1">
        <f t="shared" si="1"/>
        <v>3.5126380065698903</v>
      </c>
    </row>
    <row r="36" spans="1:6" ht="22.5" customHeight="1" x14ac:dyDescent="0.25">
      <c r="A36" s="2">
        <v>41214</v>
      </c>
      <c r="B36" s="1">
        <v>10.136560882999612</v>
      </c>
      <c r="C36" s="1">
        <v>5.5338372505020939</v>
      </c>
      <c r="D36" s="1">
        <f t="shared" si="0"/>
        <v>4.3613723829374118</v>
      </c>
      <c r="E36" s="1">
        <v>8.8139464219093568</v>
      </c>
      <c r="F36" s="1">
        <f t="shared" si="1"/>
        <v>3.1081113478527156</v>
      </c>
    </row>
    <row r="37" spans="1:6" ht="22.5" customHeight="1" x14ac:dyDescent="0.25">
      <c r="A37" s="2">
        <v>41244</v>
      </c>
      <c r="B37" s="1">
        <v>9.7236635564202913</v>
      </c>
      <c r="C37" s="1">
        <v>5.8385947181476272</v>
      </c>
      <c r="D37" s="1">
        <f t="shared" si="0"/>
        <v>3.6707486986375493</v>
      </c>
      <c r="E37" s="1">
        <v>8.413229860485183</v>
      </c>
      <c r="F37" s="1">
        <f t="shared" si="1"/>
        <v>2.432605184520753</v>
      </c>
    </row>
    <row r="38" spans="1:6" ht="22.5" customHeight="1" x14ac:dyDescent="0.25">
      <c r="A38" s="2">
        <v>41275</v>
      </c>
      <c r="B38" s="1">
        <v>9.4433716466477691</v>
      </c>
      <c r="C38" s="1">
        <v>6.1543360825530469</v>
      </c>
      <c r="D38" s="1">
        <f t="shared" si="0"/>
        <v>3.0983525360065656</v>
      </c>
      <c r="E38" s="1">
        <v>8.0899054343208867</v>
      </c>
      <c r="F38" s="1">
        <f t="shared" si="1"/>
        <v>1.8233540175528917</v>
      </c>
    </row>
    <row r="39" spans="1:6" ht="22.5" customHeight="1" x14ac:dyDescent="0.25">
      <c r="A39" s="2">
        <v>41306</v>
      </c>
      <c r="B39" s="1">
        <v>9.1212944184277269</v>
      </c>
      <c r="C39" s="1">
        <v>6.3129146440426886</v>
      </c>
      <c r="D39" s="1">
        <f t="shared" si="0"/>
        <v>2.64161676291923</v>
      </c>
      <c r="E39" s="1">
        <v>7.8106480635732556</v>
      </c>
      <c r="F39" s="1">
        <f t="shared" si="1"/>
        <v>1.4087972515336222</v>
      </c>
    </row>
    <row r="40" spans="1:6" ht="22.5" customHeight="1" x14ac:dyDescent="0.25">
      <c r="A40" s="2">
        <v>41334</v>
      </c>
      <c r="B40" s="1">
        <v>8.789856704527077</v>
      </c>
      <c r="C40" s="1">
        <v>6.58876592335913</v>
      </c>
      <c r="D40" s="1">
        <f t="shared" si="0"/>
        <v>2.0650307394970646</v>
      </c>
      <c r="E40" s="1">
        <v>7.518235266731077</v>
      </c>
      <c r="F40" s="1">
        <f t="shared" si="1"/>
        <v>0.87201435847401587</v>
      </c>
    </row>
    <row r="41" spans="1:6" ht="22.5" customHeight="1" x14ac:dyDescent="0.25">
      <c r="A41" s="2">
        <v>41365</v>
      </c>
      <c r="B41" s="1">
        <v>8.6588234642033477</v>
      </c>
      <c r="C41" s="1">
        <v>6.4935139843000922</v>
      </c>
      <c r="D41" s="1">
        <f t="shared" si="0"/>
        <v>2.0332782710339226</v>
      </c>
      <c r="E41" s="1">
        <v>7.4083815851912815</v>
      </c>
      <c r="F41" s="1">
        <f t="shared" si="1"/>
        <v>0.85908293065253272</v>
      </c>
    </row>
    <row r="42" spans="1:6" ht="22.5" customHeight="1" x14ac:dyDescent="0.25">
      <c r="A42" s="2">
        <v>41395</v>
      </c>
      <c r="B42" s="1">
        <v>8.4794784463219983</v>
      </c>
      <c r="C42" s="1">
        <v>6.5041351287669968</v>
      </c>
      <c r="D42" s="1">
        <f t="shared" si="0"/>
        <v>1.8547104440280515</v>
      </c>
      <c r="E42" s="1">
        <v>7.247581605946829</v>
      </c>
      <c r="F42" s="1">
        <f t="shared" si="1"/>
        <v>0.69804470622758519</v>
      </c>
    </row>
    <row r="43" spans="1:6" ht="22.5" customHeight="1" x14ac:dyDescent="0.25">
      <c r="A43" s="2">
        <v>41426</v>
      </c>
      <c r="B43" s="1">
        <v>8.3823281063301955</v>
      </c>
      <c r="C43" s="1">
        <v>6.695915835898969</v>
      </c>
      <c r="D43" s="1">
        <f t="shared" si="0"/>
        <v>1.5805780916909429</v>
      </c>
      <c r="E43" s="1">
        <v>7.1980752911866341</v>
      </c>
      <c r="F43" s="1">
        <f t="shared" si="1"/>
        <v>0.47064543319539354</v>
      </c>
    </row>
    <row r="44" spans="1:6" ht="22.5" customHeight="1" x14ac:dyDescent="0.25">
      <c r="A44" s="2">
        <v>41456</v>
      </c>
      <c r="B44" s="1">
        <v>8.3474898015427392</v>
      </c>
      <c r="C44" s="1">
        <v>6.2706921691404016</v>
      </c>
      <c r="D44" s="1">
        <f t="shared" si="0"/>
        <v>1.9542524754585289</v>
      </c>
      <c r="E44" s="1">
        <v>7.2294812075145432</v>
      </c>
      <c r="F44" s="1">
        <f t="shared" si="1"/>
        <v>0.90221397715950502</v>
      </c>
    </row>
    <row r="45" spans="1:6" ht="22.5" customHeight="1" x14ac:dyDescent="0.25">
      <c r="A45" s="2">
        <v>41487</v>
      </c>
      <c r="B45" s="1">
        <v>8.2900040048461641</v>
      </c>
      <c r="C45" s="1">
        <v>6.0907620642139282</v>
      </c>
      <c r="D45" s="1">
        <f t="shared" si="0"/>
        <v>2.07298156582294</v>
      </c>
      <c r="E45" s="1">
        <v>7.2355727135273051</v>
      </c>
      <c r="F45" s="1">
        <f t="shared" si="1"/>
        <v>1.079086083499381</v>
      </c>
    </row>
    <row r="46" spans="1:6" ht="22.5" customHeight="1" x14ac:dyDescent="0.25">
      <c r="A46" s="2">
        <v>41518</v>
      </c>
      <c r="B46" s="1">
        <v>8.4426917066298124</v>
      </c>
      <c r="C46" s="1">
        <v>5.8586207482323127</v>
      </c>
      <c r="D46" s="1">
        <f t="shared" si="0"/>
        <v>2.4410585931808892</v>
      </c>
      <c r="E46" s="1">
        <v>7.4082866816415516</v>
      </c>
      <c r="F46" s="1">
        <f t="shared" si="1"/>
        <v>1.4639014965959873</v>
      </c>
    </row>
    <row r="47" spans="1:6" ht="22.5" customHeight="1" x14ac:dyDescent="0.25">
      <c r="A47" s="2">
        <v>41548</v>
      </c>
      <c r="B47" s="1">
        <v>8.6409530287369094</v>
      </c>
      <c r="C47" s="1">
        <v>5.8374848715138317</v>
      </c>
      <c r="D47" s="1">
        <f t="shared" si="0"/>
        <v>2.6488423837985886</v>
      </c>
      <c r="E47" s="1">
        <v>7.6141595352148483</v>
      </c>
      <c r="F47" s="1">
        <f t="shared" si="1"/>
        <v>1.6786818638574896</v>
      </c>
    </row>
    <row r="48" spans="1:6" ht="22.5" customHeight="1" x14ac:dyDescent="0.25">
      <c r="A48" s="2">
        <v>41579</v>
      </c>
      <c r="B48" s="1">
        <v>8.8220817282061539</v>
      </c>
      <c r="C48" s="1">
        <v>5.7744067237049501</v>
      </c>
      <c r="D48" s="1">
        <f t="shared" si="0"/>
        <v>2.8812971860594727</v>
      </c>
      <c r="E48" s="1">
        <v>7.7899832854610551</v>
      </c>
      <c r="F48" s="1">
        <f t="shared" si="1"/>
        <v>1.9055427718172258</v>
      </c>
    </row>
    <row r="49" spans="1:6" ht="22.5" customHeight="1" x14ac:dyDescent="0.25">
      <c r="A49" s="2">
        <v>41609</v>
      </c>
      <c r="B49" s="1">
        <v>9.0631873548447484</v>
      </c>
      <c r="C49" s="1">
        <v>5.9106832553312172</v>
      </c>
      <c r="D49" s="1">
        <f t="shared" si="0"/>
        <v>2.9765685600511294</v>
      </c>
      <c r="E49" s="1">
        <v>8.0532482477467138</v>
      </c>
      <c r="F49" s="1">
        <f t="shared" si="1"/>
        <v>2.0229923238717751</v>
      </c>
    </row>
    <row r="50" spans="1:6" ht="22.5" customHeight="1" x14ac:dyDescent="0.25">
      <c r="A50" s="2">
        <v>41640</v>
      </c>
      <c r="B50" s="1">
        <v>9.3211993691321169</v>
      </c>
      <c r="C50" s="1">
        <v>5.5850653925756166</v>
      </c>
      <c r="D50" s="1">
        <f t="shared" si="0"/>
        <v>3.5385060971124815</v>
      </c>
      <c r="E50" s="1">
        <v>8.3234270706653355</v>
      </c>
      <c r="F50" s="1">
        <f t="shared" si="1"/>
        <v>2.5935123191032972</v>
      </c>
    </row>
    <row r="51" spans="1:6" ht="22.5" customHeight="1" x14ac:dyDescent="0.25">
      <c r="A51" s="2">
        <v>41671</v>
      </c>
      <c r="B51" s="1">
        <v>9.6442763650592909</v>
      </c>
      <c r="C51" s="1">
        <v>5.679517624014041</v>
      </c>
      <c r="D51" s="1">
        <f t="shared" si="0"/>
        <v>3.7516813382429071</v>
      </c>
      <c r="E51" s="1">
        <v>8.6468941856844737</v>
      </c>
      <c r="F51" s="1">
        <f t="shared" si="1"/>
        <v>2.8079013118017304</v>
      </c>
    </row>
    <row r="52" spans="1:6" ht="22.5" customHeight="1" x14ac:dyDescent="0.25">
      <c r="A52" s="2">
        <v>41699</v>
      </c>
      <c r="B52" s="1">
        <v>9.8860642366644491</v>
      </c>
      <c r="C52" s="1">
        <v>6.1528910091986466</v>
      </c>
      <c r="D52" s="1">
        <f t="shared" si="0"/>
        <v>3.5167890313437589</v>
      </c>
      <c r="E52" s="1">
        <v>8.8873351273552892</v>
      </c>
      <c r="F52" s="1">
        <f t="shared" si="1"/>
        <v>2.5759487962694116</v>
      </c>
    </row>
    <row r="53" spans="1:6" ht="22.5" customHeight="1" x14ac:dyDescent="0.25">
      <c r="A53" s="2">
        <v>41730</v>
      </c>
      <c r="B53" s="1">
        <v>10.113161510787737</v>
      </c>
      <c r="C53" s="1">
        <v>6.2795521878774574</v>
      </c>
      <c r="D53" s="1">
        <f t="shared" si="0"/>
        <v>3.6070996198152461</v>
      </c>
      <c r="E53" s="1">
        <v>9.1195379845008482</v>
      </c>
      <c r="F53" s="1">
        <f t="shared" si="1"/>
        <v>2.6721845718760351</v>
      </c>
    </row>
    <row r="54" spans="1:6" ht="22.5" customHeight="1" x14ac:dyDescent="0.25">
      <c r="A54" s="2">
        <v>41760</v>
      </c>
      <c r="B54" s="1">
        <v>10.429309136046294</v>
      </c>
      <c r="C54" s="1">
        <v>6.374855650409339</v>
      </c>
      <c r="D54" s="1">
        <f t="shared" si="0"/>
        <v>3.811477309037703</v>
      </c>
      <c r="E54" s="1">
        <v>9.4181616041598915</v>
      </c>
      <c r="F54" s="1">
        <f t="shared" si="1"/>
        <v>2.8609260479300458</v>
      </c>
    </row>
    <row r="55" spans="1:6" ht="22.5" customHeight="1" x14ac:dyDescent="0.25">
      <c r="A55" s="2">
        <v>41791</v>
      </c>
      <c r="B55" s="1">
        <v>10.719840833481653</v>
      </c>
      <c r="C55" s="1">
        <v>6.52328360136889</v>
      </c>
      <c r="D55" s="1">
        <f t="shared" si="0"/>
        <v>3.9395680364276986</v>
      </c>
      <c r="E55" s="1">
        <v>9.6634072664668391</v>
      </c>
      <c r="F55" s="1">
        <f t="shared" si="1"/>
        <v>2.9478284549027789</v>
      </c>
    </row>
    <row r="56" spans="1:6" ht="22.5" customHeight="1" x14ac:dyDescent="0.25">
      <c r="A56" s="2">
        <v>41821</v>
      </c>
      <c r="B56" s="1">
        <v>11.030842917014727</v>
      </c>
      <c r="C56" s="1">
        <v>6.5022343107260294</v>
      </c>
      <c r="D56" s="1">
        <f t="shared" si="0"/>
        <v>4.2521254465669012</v>
      </c>
      <c r="E56" s="1">
        <v>9.9176557554401246</v>
      </c>
      <c r="F56" s="1">
        <f t="shared" si="1"/>
        <v>3.2069012136866748</v>
      </c>
    </row>
    <row r="57" spans="1:6" ht="22.5" customHeight="1" x14ac:dyDescent="0.25">
      <c r="A57" s="2">
        <v>41852</v>
      </c>
      <c r="B57" s="1">
        <v>11.241346615968917</v>
      </c>
      <c r="C57" s="1">
        <v>6.5129698466159569</v>
      </c>
      <c r="D57" s="1">
        <f t="shared" si="0"/>
        <v>4.4392497703914069</v>
      </c>
      <c r="E57" s="1">
        <v>10.098365626563655</v>
      </c>
      <c r="F57" s="1">
        <f t="shared" si="1"/>
        <v>3.3661588678926657</v>
      </c>
    </row>
    <row r="58" spans="1:6" ht="22.5" customHeight="1" x14ac:dyDescent="0.25">
      <c r="A58" s="2">
        <v>41883</v>
      </c>
      <c r="B58" s="1">
        <v>11.507175434886484</v>
      </c>
      <c r="C58" s="1">
        <v>6.7464743152561235</v>
      </c>
      <c r="D58" s="1">
        <f t="shared" si="0"/>
        <v>4.4598204766655769</v>
      </c>
      <c r="E58" s="1">
        <v>10.31856572500487</v>
      </c>
      <c r="F58" s="1">
        <f t="shared" si="1"/>
        <v>3.3463319820748572</v>
      </c>
    </row>
    <row r="59" spans="1:6" ht="22.5" customHeight="1" x14ac:dyDescent="0.25">
      <c r="A59" s="2">
        <v>41913</v>
      </c>
      <c r="B59" s="1">
        <v>11.68012656680235</v>
      </c>
      <c r="C59" s="1">
        <v>6.5872403797569534</v>
      </c>
      <c r="D59" s="1">
        <f t="shared" si="0"/>
        <v>4.7781387048769552</v>
      </c>
      <c r="E59" s="1">
        <v>10.474811015375129</v>
      </c>
      <c r="F59" s="1">
        <f t="shared" si="1"/>
        <v>3.6473133386015544</v>
      </c>
    </row>
    <row r="60" spans="1:6" ht="22.5" customHeight="1" x14ac:dyDescent="0.25">
      <c r="A60" s="2">
        <v>41944</v>
      </c>
      <c r="B60" s="1">
        <v>11.810810074741095</v>
      </c>
      <c r="C60" s="1">
        <v>6.5552913418737369</v>
      </c>
      <c r="D60" s="1">
        <f t="shared" si="0"/>
        <v>4.93219873615236</v>
      </c>
      <c r="E60" s="1">
        <v>10.61629600826539</v>
      </c>
      <c r="F60" s="1">
        <f t="shared" si="1"/>
        <v>3.8111712851145674</v>
      </c>
    </row>
    <row r="61" spans="1:6" ht="22.5" customHeight="1" x14ac:dyDescent="0.25">
      <c r="A61" s="2">
        <v>41974</v>
      </c>
      <c r="B61" s="1">
        <v>12.024313980171385</v>
      </c>
      <c r="C61" s="1">
        <v>6.4074707959088428</v>
      </c>
      <c r="D61" s="1">
        <f t="shared" si="0"/>
        <v>5.2786173209921738</v>
      </c>
      <c r="E61" s="1">
        <v>10.806866691201012</v>
      </c>
      <c r="F61" s="1">
        <f t="shared" si="1"/>
        <v>4.1344802788614965</v>
      </c>
    </row>
    <row r="62" spans="1:6" ht="22.5" customHeight="1" x14ac:dyDescent="0.25">
      <c r="A62" s="2">
        <v>42005</v>
      </c>
      <c r="B62" s="1">
        <v>12.11748861971067</v>
      </c>
      <c r="C62" s="1">
        <v>7.1377369753185205</v>
      </c>
      <c r="D62" s="1">
        <f t="shared" si="0"/>
        <v>4.6479903206648299</v>
      </c>
      <c r="E62" s="1">
        <v>10.905283924103992</v>
      </c>
      <c r="F62" s="1">
        <f t="shared" si="1"/>
        <v>3.5165452016719501</v>
      </c>
    </row>
    <row r="63" spans="1:6" ht="22.5" customHeight="1" x14ac:dyDescent="0.25">
      <c r="A63" s="2">
        <v>42036</v>
      </c>
      <c r="B63" s="1">
        <v>12.16392725917248</v>
      </c>
      <c r="C63" s="1">
        <v>7.7015874330807588</v>
      </c>
      <c r="D63" s="1">
        <f t="shared" si="0"/>
        <v>4.1432442477826514</v>
      </c>
      <c r="E63" s="1">
        <v>10.945973082598792</v>
      </c>
      <c r="F63" s="1">
        <f t="shared" si="1"/>
        <v>3.0123842432070891</v>
      </c>
    </row>
    <row r="64" spans="1:6" ht="22.5" customHeight="1" x14ac:dyDescent="0.25">
      <c r="A64" s="2">
        <v>42064</v>
      </c>
      <c r="B64" s="1">
        <v>12.438063620970684</v>
      </c>
      <c r="C64" s="1">
        <v>8.1285046609104192</v>
      </c>
      <c r="D64" s="1">
        <f t="shared" si="0"/>
        <v>3.9855900842936665</v>
      </c>
      <c r="E64" s="1">
        <v>11.247905397018588</v>
      </c>
      <c r="F64" s="1">
        <f t="shared" si="1"/>
        <v>2.884901391997019</v>
      </c>
    </row>
    <row r="65" spans="1:6" ht="22.5" customHeight="1" x14ac:dyDescent="0.25">
      <c r="A65" s="2">
        <v>42095</v>
      </c>
      <c r="B65" s="1">
        <v>12.544142657485846</v>
      </c>
      <c r="C65" s="1">
        <v>8.1714868136068439</v>
      </c>
      <c r="D65" s="1">
        <f t="shared" si="0"/>
        <v>4.0423368233938106</v>
      </c>
      <c r="E65" s="1">
        <v>11.393470182025212</v>
      </c>
      <c r="F65" s="1">
        <f t="shared" si="1"/>
        <v>2.9785884093192161</v>
      </c>
    </row>
    <row r="66" spans="1:6" ht="22.5" customHeight="1" x14ac:dyDescent="0.25">
      <c r="A66" s="2">
        <v>42125</v>
      </c>
      <c r="B66" s="1">
        <v>12.673950962130931</v>
      </c>
      <c r="C66" s="1">
        <v>8.4729426386479076</v>
      </c>
      <c r="D66" s="1">
        <f t="shared" si="0"/>
        <v>3.8728628737193072</v>
      </c>
      <c r="E66" s="1">
        <v>11.532049476905204</v>
      </c>
      <c r="F66" s="1">
        <f t="shared" si="1"/>
        <v>2.8201565882175705</v>
      </c>
    </row>
    <row r="67" spans="1:6" ht="22.5" customHeight="1" x14ac:dyDescent="0.25">
      <c r="A67" s="2">
        <v>42156</v>
      </c>
      <c r="B67" s="1">
        <v>12.96125658018128</v>
      </c>
      <c r="C67" s="1">
        <v>8.8944299601855228</v>
      </c>
      <c r="D67" s="1">
        <f t="shared" ref="D67:D130" si="2">((B67/100+1)/(C67/100+1)-1)*100</f>
        <v>3.7346507268394502</v>
      </c>
      <c r="E67" s="1">
        <v>11.804878552516707</v>
      </c>
      <c r="F67" s="1">
        <f t="shared" ref="F67:F130" si="3">((E67/100+1)/(C67/100+1)-1)*100</f>
        <v>2.6727249441457435</v>
      </c>
    </row>
    <row r="68" spans="1:6" ht="22.5" customHeight="1" x14ac:dyDescent="0.25">
      <c r="A68" s="2">
        <v>42186</v>
      </c>
      <c r="B68" s="1">
        <v>13.25214555440879</v>
      </c>
      <c r="C68" s="1">
        <v>9.5583926117539306</v>
      </c>
      <c r="D68" s="1">
        <f t="shared" si="2"/>
        <v>3.3714924567618931</v>
      </c>
      <c r="E68" s="1">
        <v>12.065351711763018</v>
      </c>
      <c r="F68" s="1">
        <f t="shared" si="3"/>
        <v>2.288240124965224</v>
      </c>
    </row>
    <row r="69" spans="1:6" ht="22.5" customHeight="1" x14ac:dyDescent="0.25">
      <c r="A69" s="2">
        <v>42217</v>
      </c>
      <c r="B69" s="1">
        <v>13.519252618718426</v>
      </c>
      <c r="C69" s="1">
        <v>9.5254773699682271</v>
      </c>
      <c r="D69" s="1">
        <f t="shared" si="2"/>
        <v>3.6464349160145959</v>
      </c>
      <c r="E69" s="1">
        <v>12.340899691942408</v>
      </c>
      <c r="F69" s="1">
        <f t="shared" si="3"/>
        <v>2.5705638446696044</v>
      </c>
    </row>
    <row r="70" spans="1:6" ht="22.5" customHeight="1" x14ac:dyDescent="0.25">
      <c r="A70" s="2">
        <v>42248</v>
      </c>
      <c r="B70" s="1">
        <v>13.720070590954281</v>
      </c>
      <c r="C70" s="1">
        <v>9.4927892083666254</v>
      </c>
      <c r="D70" s="1">
        <f t="shared" si="2"/>
        <v>3.8607851833448725</v>
      </c>
      <c r="E70" s="1">
        <v>12.571262338403756</v>
      </c>
      <c r="F70" s="1">
        <f t="shared" si="3"/>
        <v>2.8115761341861001</v>
      </c>
    </row>
    <row r="71" spans="1:6" ht="22.5" customHeight="1" x14ac:dyDescent="0.25">
      <c r="A71" s="2">
        <v>42278</v>
      </c>
      <c r="B71" s="1">
        <v>13.857050017716489</v>
      </c>
      <c r="C71" s="1">
        <v>9.9288922155691175</v>
      </c>
      <c r="D71" s="1">
        <f t="shared" si="2"/>
        <v>3.5733624918591111</v>
      </c>
      <c r="E71" s="1">
        <v>12.753932880652474</v>
      </c>
      <c r="F71" s="1">
        <f t="shared" si="3"/>
        <v>2.5698800453146431</v>
      </c>
    </row>
    <row r="72" spans="1:6" ht="22.5" customHeight="1" x14ac:dyDescent="0.25">
      <c r="A72" s="2">
        <v>42309</v>
      </c>
      <c r="B72" s="1">
        <v>13.942275355002254</v>
      </c>
      <c r="C72" s="1">
        <v>10.475767294536077</v>
      </c>
      <c r="D72" s="1">
        <f t="shared" si="2"/>
        <v>3.1377994879403959</v>
      </c>
      <c r="E72" s="1">
        <v>12.996933838773206</v>
      </c>
      <c r="F72" s="1">
        <f t="shared" si="3"/>
        <v>2.2820991480561714</v>
      </c>
    </row>
    <row r="73" spans="1:6" ht="22.5" customHeight="1" x14ac:dyDescent="0.25">
      <c r="A73" s="2">
        <v>42339</v>
      </c>
      <c r="B73" s="1">
        <v>14.113721474310314</v>
      </c>
      <c r="C73" s="1">
        <v>10.673028133975038</v>
      </c>
      <c r="D73" s="1">
        <f t="shared" si="2"/>
        <v>3.108881539023356</v>
      </c>
      <c r="E73" s="1">
        <v>13.228960685056146</v>
      </c>
      <c r="F73" s="1">
        <f t="shared" si="3"/>
        <v>2.3094448522606781</v>
      </c>
    </row>
    <row r="74" spans="1:6" ht="22.5" customHeight="1" x14ac:dyDescent="0.25">
      <c r="A74" s="2">
        <v>42370</v>
      </c>
      <c r="B74" s="1">
        <v>13.768888335689432</v>
      </c>
      <c r="C74" s="1">
        <v>10.705805070312868</v>
      </c>
      <c r="D74" s="1">
        <f t="shared" si="2"/>
        <v>2.7668677929139296</v>
      </c>
      <c r="E74" s="1">
        <v>13.37193963667116</v>
      </c>
      <c r="F74" s="1">
        <f t="shared" si="3"/>
        <v>2.4083060185190241</v>
      </c>
    </row>
    <row r="75" spans="1:6" ht="22.5" customHeight="1" x14ac:dyDescent="0.25">
      <c r="A75" s="2">
        <v>42401</v>
      </c>
      <c r="B75" s="1">
        <v>13.577127654036136</v>
      </c>
      <c r="C75" s="1">
        <v>10.35588437483479</v>
      </c>
      <c r="D75" s="1">
        <f t="shared" si="2"/>
        <v>2.918959235793972</v>
      </c>
      <c r="E75" s="1">
        <v>13.577723003801712</v>
      </c>
      <c r="F75" s="1">
        <f t="shared" si="3"/>
        <v>2.9194987174617992</v>
      </c>
    </row>
    <row r="76" spans="1:6" ht="22.5" customHeight="1" x14ac:dyDescent="0.25">
      <c r="A76" s="2">
        <v>42430</v>
      </c>
      <c r="B76" s="1">
        <v>13.854206800840728</v>
      </c>
      <c r="C76" s="1">
        <v>9.3863723708625955</v>
      </c>
      <c r="D76" s="1">
        <f t="shared" si="2"/>
        <v>4.0844525082433636</v>
      </c>
      <c r="E76" s="1">
        <v>13.719619619130729</v>
      </c>
      <c r="F76" s="1">
        <f t="shared" si="3"/>
        <v>3.9614141637102085</v>
      </c>
    </row>
    <row r="77" spans="1:6" ht="22.5" customHeight="1" x14ac:dyDescent="0.25">
      <c r="A77" s="2">
        <v>42461</v>
      </c>
      <c r="B77" s="1">
        <v>14.167782763874115</v>
      </c>
      <c r="C77" s="1">
        <v>9.2777943978958444</v>
      </c>
      <c r="D77" s="1">
        <f t="shared" si="2"/>
        <v>4.4748234469055292</v>
      </c>
      <c r="E77" s="1">
        <v>13.841294560429862</v>
      </c>
      <c r="F77" s="1">
        <f t="shared" si="3"/>
        <v>4.1760544195444504</v>
      </c>
    </row>
    <row r="78" spans="1:6" ht="22.5" customHeight="1" x14ac:dyDescent="0.25">
      <c r="A78" s="2">
        <v>42491</v>
      </c>
      <c r="B78" s="1">
        <v>14.497956499569087</v>
      </c>
      <c r="C78" s="1">
        <v>9.3211897301603628</v>
      </c>
      <c r="D78" s="1">
        <f t="shared" si="2"/>
        <v>4.7353736107214273</v>
      </c>
      <c r="E78" s="1">
        <v>13.980759865110116</v>
      </c>
      <c r="F78" s="1">
        <f t="shared" si="3"/>
        <v>4.2622753616669007</v>
      </c>
    </row>
    <row r="79" spans="1:6" ht="22.5" customHeight="1" x14ac:dyDescent="0.25">
      <c r="A79" s="2">
        <v>42522</v>
      </c>
      <c r="B79" s="1">
        <v>14.78125734143747</v>
      </c>
      <c r="C79" s="1">
        <v>8.8437473175290826</v>
      </c>
      <c r="D79" s="1">
        <f t="shared" si="2"/>
        <v>5.4550768144604023</v>
      </c>
      <c r="E79" s="1">
        <v>14.089597491252025</v>
      </c>
      <c r="F79" s="1">
        <f t="shared" si="3"/>
        <v>4.8196155525767281</v>
      </c>
    </row>
    <row r="80" spans="1:6" ht="22.5" customHeight="1" x14ac:dyDescent="0.25">
      <c r="A80" s="2">
        <v>42552</v>
      </c>
      <c r="B80" s="1">
        <v>14.804533426883593</v>
      </c>
      <c r="C80" s="1">
        <v>8.735771054919649</v>
      </c>
      <c r="D80" s="1">
        <f t="shared" si="2"/>
        <v>5.581201395903812</v>
      </c>
      <c r="E80" s="1">
        <v>14.012803521330497</v>
      </c>
      <c r="F80" s="1">
        <f t="shared" si="3"/>
        <v>4.8530786283251359</v>
      </c>
    </row>
    <row r="81" spans="1:6" ht="22.5" customHeight="1" x14ac:dyDescent="0.25">
      <c r="A81" s="2">
        <v>42583</v>
      </c>
      <c r="B81" s="1">
        <v>15.157024123550734</v>
      </c>
      <c r="C81" s="1">
        <v>8.974497601601449</v>
      </c>
      <c r="D81" s="1">
        <f t="shared" si="2"/>
        <v>5.6733700618211591</v>
      </c>
      <c r="E81" s="1">
        <v>14.132460236194833</v>
      </c>
      <c r="F81" s="1">
        <f t="shared" si="3"/>
        <v>4.7331832200321999</v>
      </c>
    </row>
    <row r="82" spans="1:6" ht="22.5" customHeight="1" x14ac:dyDescent="0.25">
      <c r="A82" s="2">
        <v>42614</v>
      </c>
      <c r="B82" s="1">
        <v>15.290061835196166</v>
      </c>
      <c r="C82" s="1">
        <v>8.4759686232874554</v>
      </c>
      <c r="D82" s="1">
        <f t="shared" si="2"/>
        <v>6.2816615499166728</v>
      </c>
      <c r="E82" s="1">
        <v>14.132460236194833</v>
      </c>
      <c r="F82" s="1">
        <f t="shared" si="3"/>
        <v>5.2145112735071164</v>
      </c>
    </row>
    <row r="83" spans="1:6" ht="22.5" customHeight="1" x14ac:dyDescent="0.25">
      <c r="A83" s="2">
        <v>42644</v>
      </c>
      <c r="B83" s="1">
        <v>15.397949730048754</v>
      </c>
      <c r="C83" s="1">
        <v>7.8736708314896209</v>
      </c>
      <c r="D83" s="1">
        <f t="shared" si="2"/>
        <v>6.9750837628515194</v>
      </c>
      <c r="E83" s="1">
        <v>14.065429884793911</v>
      </c>
      <c r="F83" s="1">
        <f t="shared" si="3"/>
        <v>5.7398241902572256</v>
      </c>
    </row>
    <row r="84" spans="1:6" ht="22.5" customHeight="1" x14ac:dyDescent="0.25">
      <c r="A84" s="2">
        <v>42675</v>
      </c>
      <c r="B84" s="1">
        <v>15.65250010628516</v>
      </c>
      <c r="C84" s="1">
        <v>6.9873832983181394</v>
      </c>
      <c r="D84" s="1">
        <f t="shared" si="2"/>
        <v>8.099195008635407</v>
      </c>
      <c r="E84" s="1">
        <v>14.044786791011532</v>
      </c>
      <c r="F84" s="1">
        <f t="shared" si="3"/>
        <v>6.59648201042069</v>
      </c>
    </row>
    <row r="85" spans="1:6" ht="22.5" customHeight="1" x14ac:dyDescent="0.25">
      <c r="A85" s="2">
        <v>42705</v>
      </c>
      <c r="B85" s="1">
        <v>15.751134673678457</v>
      </c>
      <c r="C85" s="1">
        <v>6.2879882132213405</v>
      </c>
      <c r="D85" s="1">
        <f t="shared" si="2"/>
        <v>8.9033075322428434</v>
      </c>
      <c r="E85" s="1">
        <v>14.001203358869763</v>
      </c>
      <c r="F85" s="1">
        <f t="shared" si="3"/>
        <v>7.256902003051513</v>
      </c>
    </row>
    <row r="86" spans="1:6" ht="22.5" customHeight="1" x14ac:dyDescent="0.25">
      <c r="A86" s="2">
        <v>42736</v>
      </c>
      <c r="B86" s="1">
        <v>16.504774427013501</v>
      </c>
      <c r="C86" s="1">
        <v>5.3540150717656276</v>
      </c>
      <c r="D86" s="1">
        <f t="shared" si="2"/>
        <v>10.584085805986732</v>
      </c>
      <c r="E86" s="1">
        <v>14.0375932017742</v>
      </c>
      <c r="F86" s="1">
        <f t="shared" si="3"/>
        <v>8.242284951450074</v>
      </c>
    </row>
    <row r="87" spans="1:6" ht="22.5" customHeight="1" x14ac:dyDescent="0.25">
      <c r="A87" s="2">
        <v>42767</v>
      </c>
      <c r="B87" s="1">
        <v>16.876474169615886</v>
      </c>
      <c r="C87" s="1">
        <v>4.7589072961636614</v>
      </c>
      <c r="D87" s="1">
        <f t="shared" si="2"/>
        <v>11.567099339051602</v>
      </c>
      <c r="E87" s="1">
        <v>13.885162865056056</v>
      </c>
      <c r="F87" s="1">
        <f t="shared" si="3"/>
        <v>8.7116750302593147</v>
      </c>
    </row>
    <row r="88" spans="1:6" ht="22.5" customHeight="1" x14ac:dyDescent="0.25">
      <c r="A88" s="2">
        <v>42795</v>
      </c>
      <c r="B88" s="1">
        <v>16.813143016746366</v>
      </c>
      <c r="C88" s="1">
        <v>4.5711051156820615</v>
      </c>
      <c r="D88" s="1">
        <f t="shared" si="2"/>
        <v>11.706903056558037</v>
      </c>
      <c r="E88" s="1">
        <v>13.761197469323982</v>
      </c>
      <c r="F88" s="1">
        <f t="shared" si="3"/>
        <v>8.7883668662345649</v>
      </c>
    </row>
    <row r="89" spans="1:6" ht="22.5" customHeight="1" x14ac:dyDescent="0.25">
      <c r="A89" s="2">
        <v>42826</v>
      </c>
      <c r="B89" s="1">
        <v>16.362270981296902</v>
      </c>
      <c r="C89" s="1">
        <v>4.082516894622934</v>
      </c>
      <c r="D89" s="1">
        <f t="shared" si="2"/>
        <v>11.798094870348352</v>
      </c>
      <c r="E89" s="1">
        <v>13.462206707294833</v>
      </c>
      <c r="F89" s="1">
        <f t="shared" si="3"/>
        <v>9.0117822786397905</v>
      </c>
    </row>
    <row r="90" spans="1:6" ht="22.5" customHeight="1" x14ac:dyDescent="0.25">
      <c r="A90" s="2">
        <v>42856</v>
      </c>
      <c r="B90" s="1">
        <v>16.029816606154213</v>
      </c>
      <c r="C90" s="1">
        <v>3.5972561777709355</v>
      </c>
      <c r="D90" s="1">
        <f t="shared" si="2"/>
        <v>12.00085879402948</v>
      </c>
      <c r="E90" s="1">
        <v>13.258043284197107</v>
      </c>
      <c r="F90" s="1">
        <f t="shared" si="3"/>
        <v>9.325331058815344</v>
      </c>
    </row>
    <row r="91" spans="1:6" ht="22.5" customHeight="1" x14ac:dyDescent="0.25">
      <c r="A91" s="2">
        <v>42887</v>
      </c>
      <c r="B91" s="1">
        <v>15.428436329161798</v>
      </c>
      <c r="C91" s="1">
        <v>2.9985569924055433</v>
      </c>
      <c r="D91" s="1">
        <f t="shared" si="2"/>
        <v>12.068013086506401</v>
      </c>
      <c r="E91" s="1">
        <v>12.867473425533849</v>
      </c>
      <c r="F91" s="1">
        <f t="shared" si="3"/>
        <v>9.5816065013959228</v>
      </c>
    </row>
    <row r="92" spans="1:6" ht="22.5" customHeight="1" x14ac:dyDescent="0.25">
      <c r="A92" s="2">
        <v>42917</v>
      </c>
      <c r="B92" s="1">
        <v>15.006530227438098</v>
      </c>
      <c r="C92" s="1">
        <v>2.7116257668060806</v>
      </c>
      <c r="D92" s="1">
        <f t="shared" si="2"/>
        <v>11.9703143328157</v>
      </c>
      <c r="E92" s="1">
        <v>12.525116286967686</v>
      </c>
      <c r="F92" s="1">
        <f t="shared" si="3"/>
        <v>9.554410658869239</v>
      </c>
    </row>
    <row r="93" spans="1:6" ht="22.5" customHeight="1" x14ac:dyDescent="0.25">
      <c r="A93" s="2">
        <v>42948</v>
      </c>
      <c r="B93" s="1">
        <v>14.331201518509529</v>
      </c>
      <c r="C93" s="1">
        <v>2.4559084940275255</v>
      </c>
      <c r="D93" s="1">
        <f t="shared" si="2"/>
        <v>11.590637571843153</v>
      </c>
      <c r="E93" s="1">
        <v>12.066907386624726</v>
      </c>
      <c r="F93" s="1">
        <f t="shared" si="3"/>
        <v>9.3806194624270525</v>
      </c>
    </row>
    <row r="94" spans="1:6" ht="22.5" customHeight="1" x14ac:dyDescent="0.25">
      <c r="A94" s="2">
        <v>42979</v>
      </c>
      <c r="B94" s="1">
        <v>13.663587296955203</v>
      </c>
      <c r="C94" s="1">
        <v>2.5376909332925024</v>
      </c>
      <c r="D94" s="1">
        <f t="shared" si="2"/>
        <v>10.850543114824806</v>
      </c>
      <c r="E94" s="1">
        <v>11.550293390234788</v>
      </c>
      <c r="F94" s="1">
        <f t="shared" si="3"/>
        <v>8.7895508226390362</v>
      </c>
    </row>
    <row r="95" spans="1:6" ht="22.5" customHeight="1" x14ac:dyDescent="0.25">
      <c r="A95" s="2">
        <v>43009</v>
      </c>
      <c r="B95" s="1">
        <v>13.035359297227833</v>
      </c>
      <c r="C95" s="1">
        <v>2.7013208888962748</v>
      </c>
      <c r="D95" s="1">
        <f t="shared" si="2"/>
        <v>10.062225411405423</v>
      </c>
      <c r="E95" s="1">
        <v>11.106085027414746</v>
      </c>
      <c r="F95" s="1">
        <f t="shared" si="3"/>
        <v>8.1836962424376871</v>
      </c>
    </row>
    <row r="96" spans="1:6" ht="22.5" customHeight="1" x14ac:dyDescent="0.25">
      <c r="A96" s="2">
        <v>43040</v>
      </c>
      <c r="B96" s="1">
        <v>12.35867402070383</v>
      </c>
      <c r="C96" s="1">
        <v>2.8037854253561756</v>
      </c>
      <c r="D96" s="1">
        <f t="shared" si="2"/>
        <v>9.2942964656542504</v>
      </c>
      <c r="E96" s="1">
        <v>10.58986698415525</v>
      </c>
      <c r="F96" s="1">
        <f t="shared" si="3"/>
        <v>7.5737304094238844</v>
      </c>
    </row>
    <row r="97" spans="1:6" ht="22.5" customHeight="1" x14ac:dyDescent="0.25">
      <c r="A97" s="2">
        <v>43070</v>
      </c>
      <c r="B97" s="1">
        <v>11.564307425219722</v>
      </c>
      <c r="C97" s="1">
        <v>2.947421320434862</v>
      </c>
      <c r="D97" s="1">
        <f t="shared" si="2"/>
        <v>8.3701815880981467</v>
      </c>
      <c r="E97" s="1">
        <v>9.9521504261002711</v>
      </c>
      <c r="F97" s="1">
        <f t="shared" si="3"/>
        <v>6.8041812177717764</v>
      </c>
    </row>
    <row r="98" spans="1:6" ht="22.5" customHeight="1" x14ac:dyDescent="0.25">
      <c r="A98" s="2">
        <v>43101</v>
      </c>
      <c r="B98" s="1">
        <v>10.851980435087793</v>
      </c>
      <c r="C98" s="1">
        <v>2.8551164512867766</v>
      </c>
      <c r="D98" s="1">
        <f t="shared" si="2"/>
        <v>7.7748820473976243</v>
      </c>
      <c r="E98" s="1">
        <v>9.4041303320954164</v>
      </c>
      <c r="F98" s="1">
        <f t="shared" si="3"/>
        <v>6.367222270279882</v>
      </c>
    </row>
    <row r="99" spans="1:6" ht="22.5" customHeight="1" x14ac:dyDescent="0.25">
      <c r="A99" s="2">
        <v>43132</v>
      </c>
      <c r="B99" s="1">
        <v>10.301311940832125</v>
      </c>
      <c r="C99" s="1">
        <v>2.8448937245174166</v>
      </c>
      <c r="D99" s="1">
        <f t="shared" si="2"/>
        <v>7.2501589007302858</v>
      </c>
      <c r="E99" s="1">
        <v>8.9696003619486486</v>
      </c>
      <c r="F99" s="1">
        <f t="shared" si="3"/>
        <v>5.955285105196384</v>
      </c>
    </row>
    <row r="100" spans="1:6" ht="22.5" customHeight="1" x14ac:dyDescent="0.25">
      <c r="A100" s="2">
        <v>43160</v>
      </c>
      <c r="B100" s="1">
        <v>9.5888217494134675</v>
      </c>
      <c r="C100" s="1">
        <v>2.6808027890633079</v>
      </c>
      <c r="D100" s="1">
        <f t="shared" si="2"/>
        <v>6.7276635677861574</v>
      </c>
      <c r="E100" s="1">
        <v>8.4110894116694368</v>
      </c>
      <c r="F100" s="1">
        <f t="shared" si="3"/>
        <v>5.580679608025485</v>
      </c>
    </row>
    <row r="101" spans="1:6" ht="22.5" customHeight="1" x14ac:dyDescent="0.25">
      <c r="A101" s="2">
        <v>43191</v>
      </c>
      <c r="B101" s="1">
        <v>9.2913478717862485</v>
      </c>
      <c r="C101" s="1">
        <v>2.762797093884739</v>
      </c>
      <c r="D101" s="1">
        <f t="shared" si="2"/>
        <v>6.3530294644831287</v>
      </c>
      <c r="E101" s="1">
        <v>8.1192017650703274</v>
      </c>
      <c r="F101" s="1">
        <f t="shared" si="3"/>
        <v>5.212396725920132</v>
      </c>
    </row>
    <row r="102" spans="1:6" ht="22.5" customHeight="1" x14ac:dyDescent="0.25">
      <c r="A102" s="2">
        <v>43221</v>
      </c>
      <c r="B102" s="1">
        <v>8.7787876371514528</v>
      </c>
      <c r="C102" s="1">
        <v>2.8550133067399175</v>
      </c>
      <c r="D102" s="1">
        <f t="shared" si="2"/>
        <v>5.759344284702328</v>
      </c>
      <c r="E102" s="1">
        <v>7.6820756404053725</v>
      </c>
      <c r="F102" s="1">
        <f t="shared" si="3"/>
        <v>4.6930744340773378</v>
      </c>
    </row>
    <row r="103" spans="1:6" ht="22.5" customHeight="1" x14ac:dyDescent="0.25">
      <c r="A103" s="2">
        <v>43252</v>
      </c>
      <c r="B103" s="1">
        <v>8.1952681150680551</v>
      </c>
      <c r="C103" s="1">
        <v>4.3911039739082502</v>
      </c>
      <c r="D103" s="1">
        <f t="shared" si="2"/>
        <v>3.6441459054888714</v>
      </c>
      <c r="E103" s="1">
        <v>7.3678627185625123</v>
      </c>
      <c r="F103" s="1">
        <f t="shared" si="3"/>
        <v>2.8515444624460429</v>
      </c>
    </row>
    <row r="104" spans="1:6" ht="22.5" customHeight="1" x14ac:dyDescent="0.25">
      <c r="A104" s="2">
        <v>43282</v>
      </c>
      <c r="B104" s="1">
        <v>7.9190419593288208</v>
      </c>
      <c r="C104" s="1">
        <v>4.4848437303225408</v>
      </c>
      <c r="D104" s="1">
        <f t="shared" si="2"/>
        <v>3.2867907979744926</v>
      </c>
      <c r="E104" s="1">
        <v>7.0924381535331982</v>
      </c>
      <c r="F104" s="1">
        <f t="shared" si="3"/>
        <v>2.4956676299779046</v>
      </c>
    </row>
    <row r="105" spans="1:6" ht="22.5" customHeight="1" x14ac:dyDescent="0.25">
      <c r="A105" s="2">
        <v>43313</v>
      </c>
      <c r="B105" s="1">
        <v>7.6430819812068673</v>
      </c>
      <c r="C105" s="1">
        <v>4.1930159672121325</v>
      </c>
      <c r="D105" s="1">
        <f t="shared" si="2"/>
        <v>3.3112257879937212</v>
      </c>
      <c r="E105" s="1">
        <v>6.8432892667447787</v>
      </c>
      <c r="F105" s="1">
        <f t="shared" si="3"/>
        <v>2.5436189507813456</v>
      </c>
    </row>
    <row r="106" spans="1:6" ht="22.5" customHeight="1" x14ac:dyDescent="0.25">
      <c r="A106" s="2">
        <v>43344</v>
      </c>
      <c r="B106" s="1">
        <v>7.465760159304291</v>
      </c>
      <c r="C106" s="1">
        <v>4.5259760164414242</v>
      </c>
      <c r="D106" s="1">
        <f t="shared" si="2"/>
        <v>2.81249145418212</v>
      </c>
      <c r="E106" s="1">
        <v>6.6593266391077766</v>
      </c>
      <c r="F106" s="1">
        <f t="shared" si="3"/>
        <v>2.0409765150920745</v>
      </c>
    </row>
    <row r="107" spans="1:6" ht="22.5" customHeight="1" x14ac:dyDescent="0.25">
      <c r="A107" s="2">
        <v>43374</v>
      </c>
      <c r="B107" s="1">
        <v>7.3944936508533177</v>
      </c>
      <c r="C107" s="1">
        <v>4.5570294494238661</v>
      </c>
      <c r="D107" s="1">
        <f t="shared" si="2"/>
        <v>2.713795730780566</v>
      </c>
      <c r="E107" s="1">
        <v>6.5502585246377087</v>
      </c>
      <c r="F107" s="1">
        <f t="shared" si="3"/>
        <v>1.906355876510446</v>
      </c>
    </row>
    <row r="108" spans="1:6" ht="22.5" customHeight="1" x14ac:dyDescent="0.25">
      <c r="A108" s="2">
        <v>43405</v>
      </c>
      <c r="B108" s="1">
        <v>7.352160330647628</v>
      </c>
      <c r="C108" s="1">
        <v>4.0460773822658114</v>
      </c>
      <c r="D108" s="1">
        <f t="shared" si="2"/>
        <v>3.1775181069395364</v>
      </c>
      <c r="E108" s="1">
        <v>6.4719687094181966</v>
      </c>
      <c r="F108" s="1">
        <f t="shared" si="3"/>
        <v>2.3315548151225718</v>
      </c>
    </row>
    <row r="109" spans="1:6" ht="22.5" customHeight="1" x14ac:dyDescent="0.25">
      <c r="A109" s="2">
        <v>43435</v>
      </c>
      <c r="B109" s="1">
        <v>7.3882481239858633</v>
      </c>
      <c r="C109" s="1">
        <v>3.7456159386326071</v>
      </c>
      <c r="D109" s="1">
        <f t="shared" si="2"/>
        <v>3.5111191469603398</v>
      </c>
      <c r="E109" s="1">
        <v>6.4232951818638417</v>
      </c>
      <c r="F109" s="1">
        <f t="shared" si="3"/>
        <v>2.5810047190959251</v>
      </c>
    </row>
    <row r="110" spans="1:6" ht="22.5" customHeight="1" x14ac:dyDescent="0.25">
      <c r="A110" s="2">
        <v>43466</v>
      </c>
      <c r="B110" s="1">
        <v>7.3353067192454047</v>
      </c>
      <c r="C110" s="1">
        <v>3.7766019333182133</v>
      </c>
      <c r="D110" s="1">
        <f t="shared" si="2"/>
        <v>3.4291976415009584</v>
      </c>
      <c r="E110" s="1">
        <v>6.3806148205465041</v>
      </c>
      <c r="F110" s="1">
        <f t="shared" si="3"/>
        <v>2.5092485576869272</v>
      </c>
    </row>
    <row r="111" spans="1:6" ht="22.5" customHeight="1" x14ac:dyDescent="0.25">
      <c r="A111" s="2">
        <v>43497</v>
      </c>
      <c r="B111" s="1">
        <v>7.391709650956968</v>
      </c>
      <c r="C111" s="1">
        <v>3.8903564462539286</v>
      </c>
      <c r="D111" s="1">
        <f t="shared" si="2"/>
        <v>3.370238898462552</v>
      </c>
      <c r="E111" s="1">
        <v>6.4099433739970735</v>
      </c>
      <c r="F111" s="1">
        <f t="shared" si="3"/>
        <v>2.4252365801118447</v>
      </c>
    </row>
    <row r="112" spans="1:6" ht="22.5" customHeight="1" x14ac:dyDescent="0.25">
      <c r="A112" s="2">
        <v>43525</v>
      </c>
      <c r="B112" s="1">
        <v>7.2827604257737821</v>
      </c>
      <c r="C112" s="1">
        <v>4.5754553212223659</v>
      </c>
      <c r="D112" s="1">
        <f t="shared" si="2"/>
        <v>2.5888532794195784</v>
      </c>
      <c r="E112" s="1">
        <v>6.3425504702057545</v>
      </c>
      <c r="F112" s="1">
        <f t="shared" si="3"/>
        <v>1.6897800191789214</v>
      </c>
    </row>
    <row r="113" spans="1:6" ht="22.5" customHeight="1" x14ac:dyDescent="0.25">
      <c r="A113" s="2">
        <v>43556</v>
      </c>
      <c r="B113" s="1">
        <v>7.2738295440488265</v>
      </c>
      <c r="C113" s="1">
        <v>4.9407101540126952</v>
      </c>
      <c r="D113" s="1">
        <f t="shared" si="2"/>
        <v>2.2232738720864509</v>
      </c>
      <c r="E113" s="1">
        <v>6.3433833959933628</v>
      </c>
      <c r="F113" s="1">
        <f t="shared" si="3"/>
        <v>1.3366340287978673</v>
      </c>
    </row>
    <row r="114" spans="1:6" ht="22.5" customHeight="1" x14ac:dyDescent="0.25">
      <c r="A114" s="2">
        <v>43586</v>
      </c>
      <c r="B114" s="1">
        <v>7.2457174331758134</v>
      </c>
      <c r="C114" s="1">
        <v>4.658443618097019</v>
      </c>
      <c r="D114" s="1">
        <f t="shared" si="2"/>
        <v>2.4721118771074524</v>
      </c>
      <c r="E114" s="1">
        <v>6.370398539060651</v>
      </c>
      <c r="F114" s="1">
        <f t="shared" si="3"/>
        <v>1.6357542323203633</v>
      </c>
    </row>
    <row r="115" spans="1:6" ht="22.5" customHeight="1" x14ac:dyDescent="0.25">
      <c r="A115" s="2">
        <v>43617</v>
      </c>
      <c r="B115" s="1">
        <v>7.3964760378594674</v>
      </c>
      <c r="C115" s="1">
        <v>3.3664772007379051</v>
      </c>
      <c r="D115" s="1">
        <f t="shared" si="2"/>
        <v>3.8987483623876384</v>
      </c>
      <c r="E115" s="1">
        <v>6.3188732959020388</v>
      </c>
      <c r="F115" s="1">
        <f t="shared" si="3"/>
        <v>2.8562413802983411</v>
      </c>
    </row>
    <row r="116" spans="1:6" ht="22.5" customHeight="1" x14ac:dyDescent="0.25">
      <c r="A116" s="2">
        <v>43647</v>
      </c>
      <c r="B116" s="1">
        <v>7.3094317564323052</v>
      </c>
      <c r="C116" s="1">
        <v>3.2221731780653462</v>
      </c>
      <c r="D116" s="1">
        <f t="shared" si="2"/>
        <v>3.9596711176736799</v>
      </c>
      <c r="E116" s="1">
        <v>6.3459218767270231</v>
      </c>
      <c r="F116" s="1">
        <f t="shared" si="3"/>
        <v>3.0262380673510947</v>
      </c>
    </row>
    <row r="117" spans="1:6" ht="22.5" customHeight="1" x14ac:dyDescent="0.25">
      <c r="A117" s="2">
        <v>43678</v>
      </c>
      <c r="B117" s="1">
        <v>7.1528932369811393</v>
      </c>
      <c r="C117" s="1">
        <v>3.4287012402545614</v>
      </c>
      <c r="D117" s="1">
        <f t="shared" si="2"/>
        <v>3.6007335991541156</v>
      </c>
      <c r="E117" s="1">
        <v>6.2789322057208663</v>
      </c>
      <c r="F117" s="1">
        <f t="shared" si="3"/>
        <v>2.7557447123361944</v>
      </c>
    </row>
    <row r="118" spans="1:6" ht="22.5" customHeight="1" x14ac:dyDescent="0.25">
      <c r="A118" s="2">
        <v>43709</v>
      </c>
      <c r="B118" s="1">
        <v>7.0661670239130059</v>
      </c>
      <c r="C118" s="1">
        <v>2.8934713757403419</v>
      </c>
      <c r="D118" s="1">
        <f t="shared" si="2"/>
        <v>4.0553551089116846</v>
      </c>
      <c r="E118" s="1">
        <v>6.276322269374135</v>
      </c>
      <c r="F118" s="1">
        <f t="shared" si="3"/>
        <v>3.2877216099362672</v>
      </c>
    </row>
    <row r="119" spans="1:6" ht="22.5" customHeight="1" x14ac:dyDescent="0.25">
      <c r="A119" s="2">
        <v>43739</v>
      </c>
      <c r="B119" s="1">
        <v>6.4496947430514151</v>
      </c>
      <c r="C119" s="1">
        <v>2.5350325756800851</v>
      </c>
      <c r="D119" s="1">
        <f t="shared" si="2"/>
        <v>3.8178777233839112</v>
      </c>
      <c r="E119" s="1">
        <v>6.2109494416316302</v>
      </c>
      <c r="F119" s="1">
        <f t="shared" si="3"/>
        <v>3.58503505934753</v>
      </c>
    </row>
    <row r="120" spans="1:6" ht="22.5" customHeight="1" x14ac:dyDescent="0.25">
      <c r="A120" s="2">
        <v>43770</v>
      </c>
      <c r="B120" s="1">
        <v>5.7725490722243977</v>
      </c>
      <c r="C120" s="1">
        <v>3.2748384024611221</v>
      </c>
      <c r="D120" s="1">
        <f t="shared" si="2"/>
        <v>2.4185084270281987</v>
      </c>
      <c r="E120" s="1">
        <v>6.0913351330933452</v>
      </c>
      <c r="F120" s="1">
        <f t="shared" si="3"/>
        <v>2.727185802660248</v>
      </c>
    </row>
    <row r="121" spans="1:6" ht="22.5" customHeight="1" x14ac:dyDescent="0.25">
      <c r="A121" s="2">
        <v>43800</v>
      </c>
      <c r="B121" s="1">
        <v>5.5930046454227833</v>
      </c>
      <c r="C121" s="1">
        <v>4.3060399841131192</v>
      </c>
      <c r="D121" s="1">
        <f t="shared" si="2"/>
        <v>1.2338352232581062</v>
      </c>
      <c r="E121" s="1">
        <v>5.9678620048612796</v>
      </c>
      <c r="F121" s="1">
        <f t="shared" si="3"/>
        <v>1.5932174407170319</v>
      </c>
    </row>
    <row r="122" spans="1:6" ht="22.5" customHeight="1" x14ac:dyDescent="0.25">
      <c r="A122" s="2">
        <v>43831</v>
      </c>
      <c r="B122" s="1">
        <v>5.4336523252950242</v>
      </c>
      <c r="C122" s="1">
        <v>4.1916693262356697</v>
      </c>
      <c r="D122" s="1">
        <f t="shared" si="2"/>
        <v>1.1920175644470898</v>
      </c>
      <c r="E122" s="1">
        <v>5.7924581852246249</v>
      </c>
      <c r="F122" s="1">
        <f t="shared" si="3"/>
        <v>1.5363885321548088</v>
      </c>
    </row>
    <row r="123" spans="1:6" ht="22.5" customHeight="1" x14ac:dyDescent="0.25">
      <c r="A123" s="2">
        <v>43862</v>
      </c>
      <c r="B123" s="1">
        <v>5.1396721475579055</v>
      </c>
      <c r="C123" s="1">
        <v>4.0049273121089524</v>
      </c>
      <c r="D123" s="1">
        <f t="shared" si="2"/>
        <v>1.0910491115903476</v>
      </c>
      <c r="E123" s="1">
        <v>5.5830949134524799</v>
      </c>
      <c r="F123" s="1">
        <f t="shared" si="3"/>
        <v>1.5173969562111145</v>
      </c>
    </row>
    <row r="124" spans="1:6" ht="22.5" customHeight="1" x14ac:dyDescent="0.25">
      <c r="A124" s="2">
        <v>43891</v>
      </c>
      <c r="B124" s="1">
        <v>-0.50474289827967533</v>
      </c>
      <c r="C124" s="1">
        <v>3.3029585719380306</v>
      </c>
      <c r="D124" s="1">
        <f t="shared" si="2"/>
        <v>-3.685955874696567</v>
      </c>
      <c r="E124" s="1">
        <v>5.4480151492571016</v>
      </c>
      <c r="F124" s="1">
        <f t="shared" si="3"/>
        <v>2.0764715812328749</v>
      </c>
    </row>
    <row r="125" spans="1:6" ht="22.5" customHeight="1" x14ac:dyDescent="0.25">
      <c r="A125" s="2">
        <v>43922</v>
      </c>
      <c r="B125" s="1">
        <v>-0.62299150737997744</v>
      </c>
      <c r="C125" s="1">
        <v>2.399044844749687</v>
      </c>
      <c r="D125" s="1">
        <f t="shared" si="2"/>
        <v>-2.9512349033249952</v>
      </c>
      <c r="E125" s="1">
        <v>5.203195857208387</v>
      </c>
      <c r="F125" s="1">
        <f t="shared" si="3"/>
        <v>2.7384542665511713</v>
      </c>
    </row>
    <row r="126" spans="1:6" ht="22.5" customHeight="1" x14ac:dyDescent="0.25">
      <c r="A126" s="2">
        <v>43952</v>
      </c>
      <c r="B126" s="1">
        <v>-0.42381769087381782</v>
      </c>
      <c r="C126" s="1">
        <v>1.8774877402774726</v>
      </c>
      <c r="D126" s="1">
        <f t="shared" si="2"/>
        <v>-2.258894955299795</v>
      </c>
      <c r="E126" s="1">
        <v>4.8847375257238701</v>
      </c>
      <c r="F126" s="1">
        <f t="shared" si="3"/>
        <v>2.9518295475767564</v>
      </c>
    </row>
    <row r="127" spans="1:6" ht="22.5" customHeight="1" x14ac:dyDescent="0.25">
      <c r="A127" s="2">
        <v>43983</v>
      </c>
      <c r="B127" s="1">
        <v>0.10016217867583332</v>
      </c>
      <c r="C127" s="1">
        <v>2.1321559928031864</v>
      </c>
      <c r="D127" s="1">
        <f t="shared" si="2"/>
        <v>-1.9895730138806966</v>
      </c>
      <c r="E127" s="1">
        <v>4.6200058076379058</v>
      </c>
      <c r="F127" s="1">
        <f t="shared" si="3"/>
        <v>2.435912363399062</v>
      </c>
    </row>
    <row r="128" spans="1:6" ht="22.5" customHeight="1" x14ac:dyDescent="0.25">
      <c r="A128" s="2">
        <v>44013</v>
      </c>
      <c r="B128" s="1">
        <v>0.95665306450525289</v>
      </c>
      <c r="C128" s="1">
        <v>2.305451396723579</v>
      </c>
      <c r="D128" s="1">
        <f t="shared" si="2"/>
        <v>-1.3184031875172586</v>
      </c>
      <c r="E128" s="1">
        <v>4.2314948597340418</v>
      </c>
      <c r="F128" s="1">
        <f t="shared" si="3"/>
        <v>1.8826401102924439</v>
      </c>
    </row>
    <row r="129" spans="1:6" ht="22.5" customHeight="1" x14ac:dyDescent="0.25">
      <c r="A129" s="2">
        <v>44044</v>
      </c>
      <c r="B129" s="1">
        <v>1.3015013726174418</v>
      </c>
      <c r="C129" s="1">
        <v>2.4383023474932708</v>
      </c>
      <c r="D129" s="1">
        <f t="shared" si="2"/>
        <v>-1.1097421070290214</v>
      </c>
      <c r="E129" s="1">
        <v>3.8760593010774835</v>
      </c>
      <c r="F129" s="1">
        <f t="shared" si="3"/>
        <v>1.403534537996376</v>
      </c>
    </row>
    <row r="130" spans="1:6" ht="22.5" customHeight="1" x14ac:dyDescent="0.25">
      <c r="A130" s="2">
        <v>44075</v>
      </c>
      <c r="B130" s="1">
        <v>1.3592277978398792</v>
      </c>
      <c r="C130" s="1">
        <v>3.1351615471361338</v>
      </c>
      <c r="D130" s="1">
        <f t="shared" si="2"/>
        <v>-1.7219479008471761</v>
      </c>
      <c r="E130" s="1">
        <v>3.5569086029658026</v>
      </c>
      <c r="F130" s="1">
        <f t="shared" si="3"/>
        <v>0.40892654794253414</v>
      </c>
    </row>
    <row r="131" spans="1:6" ht="22.5" customHeight="1" x14ac:dyDescent="0.25">
      <c r="A131" s="2">
        <v>44105</v>
      </c>
      <c r="B131" s="1">
        <v>1.611004024845597</v>
      </c>
      <c r="C131" s="1">
        <v>3.9182057307108664</v>
      </c>
      <c r="D131" s="1">
        <f t="shared" ref="D131:D157" si="4">((B131/100+1)/(C131/100+1)-1)*100</f>
        <v>-2.2202093364121933</v>
      </c>
      <c r="E131" s="1">
        <v>3.2227916636892617</v>
      </c>
      <c r="F131" s="1">
        <f t="shared" ref="F131:F157" si="5">((E131/100+1)/(C131/100+1)-1)*100</f>
        <v>-0.66919368183055994</v>
      </c>
    </row>
    <row r="132" spans="1:6" ht="22.5" customHeight="1" x14ac:dyDescent="0.25">
      <c r="A132" s="2">
        <v>44136</v>
      </c>
      <c r="B132" s="1">
        <v>2.0970193124078218</v>
      </c>
      <c r="C132" s="1">
        <v>4.3110911966114829</v>
      </c>
      <c r="D132" s="1">
        <f t="shared" si="4"/>
        <v>-2.1225661229355319</v>
      </c>
      <c r="E132" s="1">
        <v>2.9853612859426892</v>
      </c>
      <c r="F132" s="1">
        <f t="shared" si="5"/>
        <v>-1.2709385890422586</v>
      </c>
    </row>
    <row r="133" spans="1:6" ht="22.5" customHeight="1" x14ac:dyDescent="0.25">
      <c r="A133" s="2">
        <v>44166</v>
      </c>
      <c r="B133" s="1">
        <v>2.1441512311715538</v>
      </c>
      <c r="C133" s="1">
        <v>4.5173415005102413</v>
      </c>
      <c r="D133" s="1">
        <f t="shared" si="4"/>
        <v>-2.2706186698473352</v>
      </c>
      <c r="E133" s="1">
        <v>2.7676994315493086</v>
      </c>
      <c r="F133" s="1">
        <f t="shared" si="5"/>
        <v>-1.6740208312248317</v>
      </c>
    </row>
    <row r="134" spans="1:6" ht="22.5" customHeight="1" x14ac:dyDescent="0.25">
      <c r="A134" s="2">
        <v>44197</v>
      </c>
      <c r="B134" s="1">
        <v>2.0128780184298423</v>
      </c>
      <c r="C134" s="1">
        <v>4.5590608265257959</v>
      </c>
      <c r="D134" s="1">
        <f t="shared" si="4"/>
        <v>-2.4351622785904081</v>
      </c>
      <c r="E134" s="1">
        <v>2.5351558857394485</v>
      </c>
      <c r="F134" s="1">
        <f t="shared" si="5"/>
        <v>-1.9356571537537226</v>
      </c>
    </row>
    <row r="135" spans="1:6" ht="22.5" customHeight="1" x14ac:dyDescent="0.25">
      <c r="A135" s="2">
        <v>44228</v>
      </c>
      <c r="B135" s="1">
        <v>2.2175078194189402</v>
      </c>
      <c r="C135" s="1">
        <v>5.195280548263348</v>
      </c>
      <c r="D135" s="1">
        <f t="shared" si="4"/>
        <v>-2.8307094323287707</v>
      </c>
      <c r="E135" s="1">
        <v>2.3714281907606161</v>
      </c>
      <c r="F135" s="1">
        <f t="shared" si="5"/>
        <v>-2.6843907281630885</v>
      </c>
    </row>
    <row r="136" spans="1:6" ht="22.5" customHeight="1" x14ac:dyDescent="0.25">
      <c r="A136" s="2">
        <v>44256</v>
      </c>
      <c r="B136" s="1">
        <v>8.1252795690128554</v>
      </c>
      <c r="C136" s="1">
        <v>6.0993271283719341</v>
      </c>
      <c r="D136" s="1">
        <f t="shared" si="4"/>
        <v>1.9094866060646032</v>
      </c>
      <c r="E136" s="1">
        <v>2.2264374245203333</v>
      </c>
      <c r="F136" s="1">
        <f t="shared" si="5"/>
        <v>-3.650249071952838</v>
      </c>
    </row>
    <row r="137" spans="1:6" ht="22.5" customHeight="1" x14ac:dyDescent="0.25">
      <c r="A137" s="2">
        <v>44287</v>
      </c>
      <c r="B137" s="1">
        <v>8.1991830164676482</v>
      </c>
      <c r="C137" s="1">
        <v>6.7591885269034924</v>
      </c>
      <c r="D137" s="1">
        <f t="shared" si="4"/>
        <v>1.3488248734686348</v>
      </c>
      <c r="E137" s="1">
        <v>2.1478125829681227</v>
      </c>
      <c r="F137" s="1">
        <f t="shared" si="5"/>
        <v>-4.3194183166475604</v>
      </c>
    </row>
    <row r="138" spans="1:6" ht="22.5" customHeight="1" x14ac:dyDescent="0.25">
      <c r="A138" s="2">
        <v>44317</v>
      </c>
      <c r="B138" s="1">
        <v>7.8374956116283423</v>
      </c>
      <c r="C138" s="1">
        <v>8.0559022201131434</v>
      </c>
      <c r="D138" s="1">
        <f t="shared" si="4"/>
        <v>-0.20212371929475559</v>
      </c>
      <c r="E138" s="1">
        <v>2.1770882473294728</v>
      </c>
      <c r="F138" s="1">
        <f t="shared" si="5"/>
        <v>-5.4405301811356388</v>
      </c>
    </row>
    <row r="139" spans="1:6" ht="22.5" customHeight="1" x14ac:dyDescent="0.25">
      <c r="A139" s="2">
        <v>44348</v>
      </c>
      <c r="B139" s="1">
        <v>7.3356847329936414</v>
      </c>
      <c r="C139" s="1">
        <v>8.3468965707953924</v>
      </c>
      <c r="D139" s="1">
        <f t="shared" si="4"/>
        <v>-0.93330946229827072</v>
      </c>
      <c r="E139" s="1">
        <v>2.2685050852242705</v>
      </c>
      <c r="F139" s="1">
        <f t="shared" si="5"/>
        <v>-5.6101205276326667</v>
      </c>
    </row>
    <row r="140" spans="1:6" ht="22.5" customHeight="1" x14ac:dyDescent="0.25">
      <c r="A140" s="2">
        <v>44378</v>
      </c>
      <c r="B140" s="1">
        <v>6.4799218082216559</v>
      </c>
      <c r="C140" s="1">
        <v>8.9946460520873082</v>
      </c>
      <c r="D140" s="1">
        <f t="shared" si="4"/>
        <v>-2.3071997891198182</v>
      </c>
      <c r="E140" s="1">
        <v>2.4331210963272953</v>
      </c>
      <c r="F140" s="1">
        <f t="shared" si="5"/>
        <v>-6.0200433630697159</v>
      </c>
    </row>
    <row r="141" spans="1:6" ht="22.5" customHeight="1" x14ac:dyDescent="0.25">
      <c r="A141" s="2">
        <v>44409</v>
      </c>
      <c r="B141" s="1">
        <v>6.3467733433202111</v>
      </c>
      <c r="C141" s="1">
        <v>9.6796682688947477</v>
      </c>
      <c r="D141" s="1">
        <f t="shared" si="4"/>
        <v>-3.0387536525032899</v>
      </c>
      <c r="E141" s="1">
        <v>2.7023647079740698</v>
      </c>
      <c r="F141" s="1">
        <f t="shared" si="5"/>
        <v>-6.3615286871718695</v>
      </c>
    </row>
    <row r="142" spans="1:6" ht="22.5" customHeight="1" x14ac:dyDescent="0.25">
      <c r="A142" s="2">
        <v>44440</v>
      </c>
      <c r="B142" s="1">
        <v>6.5611585069840439</v>
      </c>
      <c r="C142" s="1">
        <v>10.246375616865834</v>
      </c>
      <c r="D142" s="1">
        <f t="shared" si="4"/>
        <v>-3.3427104421907328</v>
      </c>
      <c r="E142" s="1">
        <v>2.9907600050973926</v>
      </c>
      <c r="F142" s="1">
        <f t="shared" si="5"/>
        <v>-6.5812735984932091</v>
      </c>
    </row>
    <row r="143" spans="1:6" ht="22.5" customHeight="1" x14ac:dyDescent="0.25">
      <c r="A143" s="2">
        <v>44470</v>
      </c>
      <c r="B143" s="1">
        <v>6.9560762516387653</v>
      </c>
      <c r="C143" s="1">
        <v>10.672670347091739</v>
      </c>
      <c r="D143" s="1">
        <f t="shared" si="4"/>
        <v>-3.3581859765351219</v>
      </c>
      <c r="E143" s="1">
        <v>3.3233328112402649</v>
      </c>
      <c r="F143" s="1">
        <f t="shared" si="5"/>
        <v>-6.6406073991008618</v>
      </c>
    </row>
    <row r="144" spans="1:6" ht="22.5" customHeight="1" x14ac:dyDescent="0.25">
      <c r="A144" s="2">
        <v>44501</v>
      </c>
      <c r="B144" s="1">
        <v>7.2086551430174284</v>
      </c>
      <c r="C144" s="1">
        <v>10.738488170670069</v>
      </c>
      <c r="D144" s="1">
        <f t="shared" si="4"/>
        <v>-3.1875394778845711</v>
      </c>
      <c r="E144" s="1">
        <v>3.7744542228259848</v>
      </c>
      <c r="F144" s="1">
        <f t="shared" si="5"/>
        <v>-6.2887204465994824</v>
      </c>
    </row>
    <row r="145" spans="1:6" ht="22.5" customHeight="1" x14ac:dyDescent="0.25">
      <c r="A145" s="2">
        <v>44531</v>
      </c>
      <c r="B145" s="1">
        <v>7.5814468245712918</v>
      </c>
      <c r="C145" s="1">
        <v>10.061054893256593</v>
      </c>
      <c r="D145" s="1">
        <f t="shared" si="4"/>
        <v>-2.2529386721671596</v>
      </c>
      <c r="E145" s="1">
        <v>4.3951501329143161</v>
      </c>
      <c r="F145" s="1">
        <f t="shared" si="5"/>
        <v>-5.1479651597355574</v>
      </c>
    </row>
    <row r="146" spans="1:6" ht="22.5" customHeight="1" x14ac:dyDescent="0.25">
      <c r="A146" s="2">
        <v>44562</v>
      </c>
      <c r="B146" s="1">
        <v>8.1026800093694682</v>
      </c>
      <c r="C146" s="1">
        <v>10.379435999680876</v>
      </c>
      <c r="D146" s="1">
        <f t="shared" si="4"/>
        <v>-2.0626631851226263</v>
      </c>
      <c r="E146" s="1">
        <v>5.0026412324037484</v>
      </c>
      <c r="F146" s="1">
        <f t="shared" si="5"/>
        <v>-4.8711924631438368</v>
      </c>
    </row>
    <row r="147" spans="1:6" ht="22.5" customHeight="1" x14ac:dyDescent="0.25">
      <c r="A147" s="2">
        <v>44593</v>
      </c>
      <c r="B147" s="1">
        <v>8.5633672240126302</v>
      </c>
      <c r="C147" s="1">
        <v>10.543593400037299</v>
      </c>
      <c r="D147" s="1">
        <f t="shared" si="4"/>
        <v>-1.791353180331845</v>
      </c>
      <c r="E147" s="1">
        <v>5.6475871898900909</v>
      </c>
      <c r="F147" s="1">
        <f t="shared" si="5"/>
        <v>-4.4290275533467094</v>
      </c>
    </row>
    <row r="148" spans="1:6" ht="22.5" customHeight="1" x14ac:dyDescent="0.25">
      <c r="A148" s="2">
        <v>44621</v>
      </c>
      <c r="B148" s="1">
        <v>9.0916586468726024</v>
      </c>
      <c r="C148" s="1">
        <v>11.299315974556002</v>
      </c>
      <c r="D148" s="1">
        <f t="shared" si="4"/>
        <v>-1.9835318019277737</v>
      </c>
      <c r="E148" s="1">
        <v>6.4123085961941051</v>
      </c>
      <c r="F148" s="1">
        <f t="shared" si="5"/>
        <v>-4.3908691940919953</v>
      </c>
    </row>
    <row r="149" spans="1:6" ht="22.5" customHeight="1" x14ac:dyDescent="0.25">
      <c r="A149" s="3">
        <v>44652</v>
      </c>
      <c r="B149" s="4" cm="1">
        <f t="array" ref="B149">(PRODUCT(Imputs!B6:B17/100+1)-1)*100</f>
        <v>9.6445249610989556</v>
      </c>
      <c r="C149" s="4">
        <v>12.020786655594451</v>
      </c>
      <c r="D149" s="4">
        <f t="shared" si="4"/>
        <v>-2.1212685300999179</v>
      </c>
      <c r="E149" s="4" cm="1">
        <f t="array" ref="E149">(PRODUCT(Imputs!E6:E17/100+1)-1)*100</f>
        <v>7.1793178509243383</v>
      </c>
      <c r="F149" s="4">
        <f t="shared" si="5"/>
        <v>-4.3219378735083414</v>
      </c>
    </row>
    <row r="150" spans="1:6" ht="22.5" customHeight="1" x14ac:dyDescent="0.25">
      <c r="A150" s="3">
        <v>44682</v>
      </c>
      <c r="B150" s="4" cm="1">
        <f t="array" ref="B150">(PRODUCT(Imputs!B7:B18/100+1)-1)*100</f>
        <v>10.408805995150328</v>
      </c>
      <c r="C150" s="4">
        <v>11.783609786961335</v>
      </c>
      <c r="D150" s="4">
        <f t="shared" si="4"/>
        <v>-1.2298795811220731</v>
      </c>
      <c r="E150" s="4" cm="1">
        <f t="array" ref="E150">(PRODUCT(Imputs!E7:E18/100+1)-1)*100</f>
        <v>7.9677804624092241</v>
      </c>
      <c r="F150" s="4">
        <f t="shared" si="5"/>
        <v>-3.4135857052964846</v>
      </c>
    </row>
    <row r="151" spans="1:6" ht="22.5" customHeight="1" x14ac:dyDescent="0.25">
      <c r="A151" s="3">
        <v>44713</v>
      </c>
      <c r="B151" s="4" cm="1">
        <f t="array" ref="B151">(PRODUCT(Imputs!B8:B19/100+1)-1)*100</f>
        <v>11.1038323694578</v>
      </c>
      <c r="C151" s="4">
        <v>11.771014494611066</v>
      </c>
      <c r="D151" s="4">
        <f t="shared" si="4"/>
        <v>-0.59691873440536058</v>
      </c>
      <c r="E151" s="4" cm="1">
        <f t="array" ref="E151">(PRODUCT(Imputs!E8:E19/100+1)-1)*100</f>
        <v>8.7615066449233439</v>
      </c>
      <c r="F151" s="4">
        <f t="shared" si="5"/>
        <v>-2.6925655665698711</v>
      </c>
    </row>
    <row r="152" spans="1:6" ht="22.5" customHeight="1" x14ac:dyDescent="0.25">
      <c r="A152" s="3">
        <v>44743</v>
      </c>
      <c r="B152" s="4" cm="1">
        <f t="array" ref="B152">(PRODUCT(Imputs!B9:B20/100+1)-1)*100</f>
        <v>11.67969434474343</v>
      </c>
      <c r="C152" s="4">
        <v>11.332448321358601</v>
      </c>
      <c r="D152" s="4">
        <f t="shared" si="4"/>
        <v>0.31190010515398381</v>
      </c>
      <c r="E152" s="4" cm="1">
        <f t="array" ref="E152">(PRODUCT(Imputs!E9:E20/100+1)-1)*100</f>
        <v>9.5056977247024008</v>
      </c>
      <c r="F152" s="4">
        <f t="shared" si="5"/>
        <v>-1.640806992210686</v>
      </c>
    </row>
    <row r="153" spans="1:6" ht="22.5" customHeight="1" x14ac:dyDescent="0.25">
      <c r="A153" s="3">
        <v>44774</v>
      </c>
      <c r="B153" s="4" cm="1">
        <f t="array" ref="B153">(PRODUCT(Imputs!B10:B21/100+1)-1)*100</f>
        <v>12.220649267948636</v>
      </c>
      <c r="C153" s="4">
        <v>10.840322711061612</v>
      </c>
      <c r="D153" s="4">
        <f t="shared" si="4"/>
        <v>1.2453288867493306</v>
      </c>
      <c r="E153" s="4" cm="1">
        <f t="array" ref="E153">(PRODUCT(Imputs!E10:E21/100+1)-1)*100</f>
        <v>10.220207005463266</v>
      </c>
      <c r="F153" s="4">
        <f t="shared" si="5"/>
        <v>-0.55946761109209042</v>
      </c>
    </row>
    <row r="154" spans="1:6" ht="22.5" customHeight="1" x14ac:dyDescent="0.25">
      <c r="A154" s="3">
        <v>44805</v>
      </c>
      <c r="B154" s="4" cm="1">
        <f t="array" ref="B154">(PRODUCT(Imputs!B11:B22/100+1)-1)*100</f>
        <v>12.763630775599388</v>
      </c>
      <c r="C154" s="4">
        <v>10.28075348979025</v>
      </c>
      <c r="D154" s="4">
        <f t="shared" si="4"/>
        <v>2.2514148727130312</v>
      </c>
      <c r="E154" s="4" cm="1">
        <f t="array" ref="E154">(PRODUCT(Imputs!E11:E22/100+1)-1)*100</f>
        <v>10.923825197310478</v>
      </c>
      <c r="F154" s="4">
        <f t="shared" si="5"/>
        <v>0.58312233746187214</v>
      </c>
    </row>
    <row r="155" spans="1:6" ht="22.5" customHeight="1" x14ac:dyDescent="0.25">
      <c r="A155" s="3">
        <v>44835</v>
      </c>
      <c r="B155" s="4" cm="1">
        <f t="array" ref="B155">(PRODUCT(Imputs!B12:B23/100+1)-1)*100</f>
        <v>13.360618522815582</v>
      </c>
      <c r="C155" s="4">
        <v>9.706434342565462</v>
      </c>
      <c r="D155" s="4">
        <f t="shared" si="4"/>
        <v>3.3308749866390652</v>
      </c>
      <c r="E155" s="4" cm="1">
        <f t="array" ref="E155">(PRODUCT(Imputs!E12:E23/100+1)-1)*100</f>
        <v>11.585080084864675</v>
      </c>
      <c r="F155" s="4">
        <f t="shared" si="5"/>
        <v>1.7124298620744716</v>
      </c>
    </row>
    <row r="156" spans="1:6" ht="22.5" customHeight="1" x14ac:dyDescent="0.25">
      <c r="A156" s="3">
        <v>44866</v>
      </c>
      <c r="B156" s="4" cm="1">
        <f t="array" ref="B156">(PRODUCT(Imputs!B13:B24/100+1)-1)*100</f>
        <v>14.002077194337947</v>
      </c>
      <c r="C156" s="4">
        <v>9.2974739661530581</v>
      </c>
      <c r="D156" s="4">
        <f t="shared" si="4"/>
        <v>4.3044025241075534</v>
      </c>
      <c r="E156" s="4" cm="1">
        <f t="array" ref="E156">(PRODUCT(Imputs!E13:E24/100+1)-1)*100</f>
        <v>12.13158220667756</v>
      </c>
      <c r="F156" s="4">
        <f t="shared" si="5"/>
        <v>2.5930226360054487</v>
      </c>
    </row>
    <row r="157" spans="1:6" ht="22.5" customHeight="1" x14ac:dyDescent="0.25">
      <c r="A157" s="3">
        <v>44896</v>
      </c>
      <c r="B157" s="4" cm="1">
        <f t="array" ref="B157">(PRODUCT(Imputs!B14:B25/100+1)-1)*100</f>
        <v>14.440166255691778</v>
      </c>
      <c r="C157" s="4">
        <v>9.2976281526416127</v>
      </c>
      <c r="D157" s="4">
        <f t="shared" si="4"/>
        <v>4.7050774934184858</v>
      </c>
      <c r="E157" s="4" cm="1">
        <f t="array" ref="E157">(PRODUCT(Imputs!E14:E25/100+1)-1)*100</f>
        <v>12.483049756164078</v>
      </c>
      <c r="F157" s="4">
        <f t="shared" si="5"/>
        <v>2.9144471452516862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AD62C-A083-4139-BEDD-68FE28F47CD6}">
  <dimension ref="A1:I157"/>
  <sheetViews>
    <sheetView workbookViewId="0"/>
  </sheetViews>
  <sheetFormatPr defaultColWidth="16.25" defaultRowHeight="15.75" x14ac:dyDescent="0.25"/>
  <cols>
    <col min="1" max="16384" width="16.25" style="1"/>
  </cols>
  <sheetData>
    <row r="1" spans="1:5" ht="22.5" customHeight="1" x14ac:dyDescent="0.25">
      <c r="A1" s="1" t="s">
        <v>0</v>
      </c>
      <c r="B1" s="1" t="s">
        <v>4</v>
      </c>
      <c r="C1" s="1" t="s">
        <v>7</v>
      </c>
      <c r="D1" s="1" t="s">
        <v>5</v>
      </c>
      <c r="E1" s="1" t="s">
        <v>8</v>
      </c>
    </row>
    <row r="2" spans="1:5" ht="22.5" customHeight="1" x14ac:dyDescent="0.25">
      <c r="A2" s="2">
        <v>44197</v>
      </c>
      <c r="B2" s="1">
        <v>0.37346286183337352</v>
      </c>
      <c r="C2" s="1" t="s">
        <v>6</v>
      </c>
      <c r="D2" s="1" t="s">
        <v>6</v>
      </c>
      <c r="E2" s="1">
        <v>0.14949062791564938</v>
      </c>
    </row>
    <row r="3" spans="1:5" ht="22.5" customHeight="1" x14ac:dyDescent="0.25">
      <c r="A3" s="2">
        <v>44228</v>
      </c>
      <c r="B3" s="1">
        <v>0.50942685652783926</v>
      </c>
      <c r="C3" s="1" t="s">
        <v>6</v>
      </c>
      <c r="D3" s="1" t="s">
        <v>6</v>
      </c>
      <c r="E3" s="1">
        <v>0.13453151428044485</v>
      </c>
    </row>
    <row r="4" spans="1:5" ht="22.5" customHeight="1" x14ac:dyDescent="0.25">
      <c r="A4" s="2">
        <v>44256</v>
      </c>
      <c r="B4" s="1">
        <v>0.63076456841721917</v>
      </c>
      <c r="C4" s="1" t="s">
        <v>6</v>
      </c>
      <c r="D4" s="1" t="s">
        <v>6</v>
      </c>
      <c r="E4" s="1">
        <v>0.19817196535716339</v>
      </c>
    </row>
    <row r="5" spans="1:5" ht="22.5" customHeight="1" x14ac:dyDescent="0.25">
      <c r="A5" s="2">
        <v>44287</v>
      </c>
      <c r="B5" s="1">
        <v>0.55702413869471723</v>
      </c>
      <c r="C5" s="1" t="s">
        <v>6</v>
      </c>
      <c r="D5" s="1" t="s">
        <v>6</v>
      </c>
      <c r="E5" s="1">
        <v>0.20779462200812837</v>
      </c>
    </row>
    <row r="6" spans="1:5" ht="22.5" customHeight="1" x14ac:dyDescent="0.25">
      <c r="A6" s="2">
        <v>44317</v>
      </c>
      <c r="B6" s="1">
        <v>0.44156551007392691</v>
      </c>
      <c r="C6" s="1" t="s">
        <v>6</v>
      </c>
      <c r="D6" s="1" t="s">
        <v>6</v>
      </c>
      <c r="E6" s="1">
        <v>0.26742481033443788</v>
      </c>
    </row>
    <row r="7" spans="1:5" ht="22.5" customHeight="1" x14ac:dyDescent="0.25">
      <c r="A7" s="2">
        <v>44348</v>
      </c>
      <c r="B7" s="1">
        <v>0.54605795105480137</v>
      </c>
      <c r="C7" s="1" t="s">
        <v>6</v>
      </c>
      <c r="D7" s="1" t="s">
        <v>6</v>
      </c>
      <c r="E7" s="1">
        <v>0.30489845542591709</v>
      </c>
    </row>
    <row r="8" spans="1:5" ht="22.5" customHeight="1" x14ac:dyDescent="0.25">
      <c r="A8" s="2">
        <v>44378</v>
      </c>
      <c r="B8" s="1">
        <v>0.657281577823432</v>
      </c>
      <c r="C8" s="1" t="s">
        <v>6</v>
      </c>
      <c r="D8" s="1" t="s">
        <v>6</v>
      </c>
      <c r="E8" s="1">
        <v>0.35561637462775408</v>
      </c>
    </row>
    <row r="9" spans="1:5" ht="22.5" customHeight="1" x14ac:dyDescent="0.25">
      <c r="A9" s="2">
        <v>44409</v>
      </c>
      <c r="B9" s="1">
        <v>0.72824029102855903</v>
      </c>
      <c r="C9" s="1" t="s">
        <v>6</v>
      </c>
      <c r="D9" s="1" t="s">
        <v>6</v>
      </c>
      <c r="E9" s="1">
        <v>0.42413772952107909</v>
      </c>
    </row>
    <row r="10" spans="1:5" ht="22.5" customHeight="1" x14ac:dyDescent="0.25">
      <c r="A10" s="2">
        <v>44440</v>
      </c>
      <c r="B10" s="1">
        <v>0.72877062205698451</v>
      </c>
      <c r="C10" s="1" t="s">
        <v>6</v>
      </c>
      <c r="D10" s="1" t="s">
        <v>6</v>
      </c>
      <c r="E10" s="1">
        <v>0.43821867949409565</v>
      </c>
    </row>
    <row r="11" spans="1:5" ht="22.5" customHeight="1" x14ac:dyDescent="0.25">
      <c r="A11" s="2">
        <v>44470</v>
      </c>
      <c r="B11" s="1">
        <v>0.68311680488220006</v>
      </c>
      <c r="C11" s="1" t="s">
        <v>6</v>
      </c>
      <c r="D11" s="1" t="s">
        <v>6</v>
      </c>
      <c r="E11" s="1">
        <v>0.48039309386869178</v>
      </c>
    </row>
    <row r="12" spans="1:5" ht="22.5" customHeight="1" x14ac:dyDescent="0.25">
      <c r="A12" s="2">
        <v>44501</v>
      </c>
      <c r="B12" s="1">
        <v>0.64663275135123932</v>
      </c>
      <c r="C12" s="1" t="s">
        <v>6</v>
      </c>
      <c r="D12" s="1" t="s">
        <v>6</v>
      </c>
      <c r="E12" s="1">
        <v>0.58675468388833529</v>
      </c>
    </row>
    <row r="13" spans="1:5" ht="22.5" customHeight="1" x14ac:dyDescent="0.25">
      <c r="A13" s="2">
        <v>44531</v>
      </c>
      <c r="B13" s="1">
        <v>0.82868235816526703</v>
      </c>
      <c r="C13" s="1" t="s">
        <v>6</v>
      </c>
      <c r="D13" s="1" t="s">
        <v>6</v>
      </c>
      <c r="E13" s="1">
        <v>0.76355573592017389</v>
      </c>
    </row>
    <row r="14" spans="1:5" ht="22.5" customHeight="1" x14ac:dyDescent="0.25">
      <c r="A14" s="2">
        <v>44562</v>
      </c>
      <c r="B14" s="1">
        <v>0.8597732923112833</v>
      </c>
      <c r="C14" s="1" t="s">
        <v>6</v>
      </c>
      <c r="D14" s="1" t="s">
        <v>6</v>
      </c>
      <c r="E14" s="1">
        <v>0.73227559539161824</v>
      </c>
    </row>
    <row r="15" spans="1:5" ht="22.5" customHeight="1" x14ac:dyDescent="0.25">
      <c r="A15" s="2">
        <v>44593</v>
      </c>
      <c r="B15" s="1">
        <v>0.93775488595229095</v>
      </c>
      <c r="C15" s="1" t="s">
        <v>6</v>
      </c>
      <c r="D15" s="1" t="s">
        <v>6</v>
      </c>
      <c r="E15" s="1">
        <v>0.74957662692651805</v>
      </c>
    </row>
    <row r="16" spans="1:5" ht="22.5" customHeight="1" x14ac:dyDescent="0.25">
      <c r="A16" s="2">
        <v>44621</v>
      </c>
      <c r="B16" s="1">
        <v>1.1204543335443296</v>
      </c>
      <c r="C16" s="1" t="s">
        <v>6</v>
      </c>
      <c r="D16" s="1" t="s">
        <v>6</v>
      </c>
      <c r="E16" s="1">
        <v>0.92344822591881037</v>
      </c>
    </row>
    <row r="17" spans="1:5" ht="22.5" customHeight="1" x14ac:dyDescent="0.25">
      <c r="A17" s="3">
        <v>44652</v>
      </c>
      <c r="B17" s="4">
        <f>(((D17/100+1)^(1/12)*(C17/100+1)^(1/12))-1)*100</f>
        <v>1.0666377241393299</v>
      </c>
      <c r="C17" s="4">
        <v>1.6356999999999999</v>
      </c>
      <c r="D17" s="4">
        <v>11.75</v>
      </c>
      <c r="E17" s="4">
        <f>((D17/100+1)^(1/12)-1)*100</f>
        <v>0.9300823618865417</v>
      </c>
    </row>
    <row r="18" spans="1:5" ht="22.5" customHeight="1" x14ac:dyDescent="0.25">
      <c r="A18" s="3">
        <v>44682</v>
      </c>
      <c r="B18" s="4">
        <f>(((D18/100+1)^(1/12)*(C18/100+1)^(1/12))-1)*100</f>
        <v>1.1416969902094953</v>
      </c>
      <c r="C18" s="4">
        <v>1.6356999999999999</v>
      </c>
      <c r="D18" s="4">
        <v>12.75</v>
      </c>
      <c r="E18" s="4">
        <f>((D18/100+1)^(1/12)-1)*100</f>
        <v>1.0050402122422808</v>
      </c>
    </row>
    <row r="19" spans="1:5" ht="22.5" customHeight="1" x14ac:dyDescent="0.25">
      <c r="A19" s="3">
        <v>44713</v>
      </c>
      <c r="B19" s="4">
        <f>(((D19/100+1)^(1/12)*(C19/100+1)^(1/12))-1)*100</f>
        <v>1.1789980637456399</v>
      </c>
      <c r="C19" s="4">
        <v>1.6356999999999999</v>
      </c>
      <c r="D19" s="4">
        <f>D18+0.5</f>
        <v>13.25</v>
      </c>
      <c r="E19" s="4">
        <f>((D19/100+1)^(1/12)-1)*100</f>
        <v>1.0422908867375291</v>
      </c>
    </row>
    <row r="20" spans="1:5" ht="22.5" customHeight="1" x14ac:dyDescent="0.25">
      <c r="A20" s="3">
        <v>44743</v>
      </c>
      <c r="B20" s="4">
        <f>(((D20/100+1)^(1/12)*(C20/100+1)^(1/12))-1)*100</f>
        <v>1.1789980637456399</v>
      </c>
      <c r="C20" s="4">
        <v>1.6356999999999999</v>
      </c>
      <c r="D20" s="4">
        <f>D19</f>
        <v>13.25</v>
      </c>
      <c r="E20" s="4">
        <f>((D20/100+1)^(1/12)-1)*100</f>
        <v>1.0422908867375291</v>
      </c>
    </row>
    <row r="21" spans="1:5" ht="22.5" customHeight="1" x14ac:dyDescent="0.25">
      <c r="A21" s="3">
        <v>44774</v>
      </c>
      <c r="B21" s="4">
        <f>(((D21/100+1)^(1/12)*(C21/100+1)^(1/12))-1)*100</f>
        <v>1.2161484807038381</v>
      </c>
      <c r="C21" s="4">
        <v>1.6356999999999999</v>
      </c>
      <c r="D21" s="4">
        <f>D20+0.5</f>
        <v>13.75</v>
      </c>
      <c r="E21" s="4">
        <f>((D21/100+1)^(1/12)-1)*100</f>
        <v>1.0793911082132235</v>
      </c>
    </row>
    <row r="22" spans="1:5" ht="22.5" customHeight="1" x14ac:dyDescent="0.25">
      <c r="A22" s="3">
        <v>44805</v>
      </c>
      <c r="B22" s="4">
        <f>(((D22/100+1)^(1/12)*(C22/100+1)^(1/12))-1)*100</f>
        <v>1.2161484807038381</v>
      </c>
      <c r="C22" s="4">
        <v>1.6356999999999999</v>
      </c>
      <c r="D22" s="4">
        <f>D21</f>
        <v>13.75</v>
      </c>
      <c r="E22" s="4">
        <f>((D22/100+1)^(1/12)-1)*100</f>
        <v>1.0793911082132235</v>
      </c>
    </row>
    <row r="23" spans="1:5" ht="22.5" customHeight="1" x14ac:dyDescent="0.25">
      <c r="A23" s="3">
        <v>44835</v>
      </c>
      <c r="B23" s="4">
        <f>(((D23/100+1)^(1/12)*(C23/100+1)^(1/12))-1)*100</f>
        <v>1.2161484807038381</v>
      </c>
      <c r="C23" s="4">
        <v>1.6356999999999999</v>
      </c>
      <c r="D23" s="4">
        <f>D22</f>
        <v>13.75</v>
      </c>
      <c r="E23" s="4">
        <f>((D23/100+1)^(1/12)-1)*100</f>
        <v>1.0793911082132235</v>
      </c>
    </row>
    <row r="24" spans="1:5" ht="22.5" customHeight="1" x14ac:dyDescent="0.25">
      <c r="A24" s="3">
        <v>44866</v>
      </c>
      <c r="B24" s="4">
        <f>(((D24/100+1)^(1/12)*(C24/100+1)^(1/12))-1)*100</f>
        <v>1.2161484807038381</v>
      </c>
      <c r="C24" s="4">
        <v>1.6356999999999999</v>
      </c>
      <c r="D24" s="4">
        <f>D23</f>
        <v>13.75</v>
      </c>
      <c r="E24" s="4">
        <f>((D24/100+1)^(1/12)-1)*100</f>
        <v>1.0793911082132235</v>
      </c>
    </row>
    <row r="25" spans="1:5" ht="22.5" customHeight="1" x14ac:dyDescent="0.25">
      <c r="A25" s="3">
        <v>44896</v>
      </c>
      <c r="B25" s="4">
        <f>(((D25/100+1)^(1/12)*(C25/100+1)^(1/12))-1)*100</f>
        <v>1.2161484807038381</v>
      </c>
      <c r="C25" s="4">
        <v>1.6356999999999999</v>
      </c>
      <c r="D25" s="4">
        <f>D24</f>
        <v>13.75</v>
      </c>
      <c r="E25" s="4">
        <f>((D25/100+1)^(1/12)-1)*100</f>
        <v>1.0793911082132235</v>
      </c>
    </row>
    <row r="26" spans="1:5" ht="22.5" customHeight="1" x14ac:dyDescent="0.25">
      <c r="A26" s="2"/>
    </row>
    <row r="27" spans="1:5" ht="22.5" customHeight="1" x14ac:dyDescent="0.25">
      <c r="A27" s="2"/>
    </row>
    <row r="28" spans="1:5" ht="22.5" customHeight="1" x14ac:dyDescent="0.25">
      <c r="A28" s="2"/>
    </row>
    <row r="29" spans="1:5" ht="22.5" customHeight="1" x14ac:dyDescent="0.25">
      <c r="A29" s="2"/>
    </row>
    <row r="30" spans="1:5" ht="22.5" customHeight="1" x14ac:dyDescent="0.25">
      <c r="A30" s="2"/>
    </row>
    <row r="31" spans="1:5" ht="22.5" customHeight="1" x14ac:dyDescent="0.25">
      <c r="A31" s="2"/>
    </row>
    <row r="32" spans="1:5" ht="22.5" customHeight="1" x14ac:dyDescent="0.25">
      <c r="A32" s="2"/>
    </row>
    <row r="33" spans="1:1" ht="22.5" customHeight="1" x14ac:dyDescent="0.25">
      <c r="A33" s="2"/>
    </row>
    <row r="34" spans="1:1" ht="22.5" customHeight="1" x14ac:dyDescent="0.25">
      <c r="A34" s="2"/>
    </row>
    <row r="35" spans="1:1" ht="22.5" customHeight="1" x14ac:dyDescent="0.25">
      <c r="A35" s="2"/>
    </row>
    <row r="36" spans="1:1" ht="22.5" customHeight="1" x14ac:dyDescent="0.25">
      <c r="A36" s="2"/>
    </row>
    <row r="37" spans="1:1" ht="22.5" customHeight="1" x14ac:dyDescent="0.25">
      <c r="A37" s="2"/>
    </row>
    <row r="38" spans="1:1" ht="22.5" customHeight="1" x14ac:dyDescent="0.25">
      <c r="A38" s="2"/>
    </row>
    <row r="39" spans="1:1" ht="22.5" customHeight="1" x14ac:dyDescent="0.25">
      <c r="A39" s="2"/>
    </row>
    <row r="40" spans="1:1" ht="22.5" customHeight="1" x14ac:dyDescent="0.25">
      <c r="A40" s="2"/>
    </row>
    <row r="41" spans="1:1" ht="22.5" customHeight="1" x14ac:dyDescent="0.25">
      <c r="A41" s="2"/>
    </row>
    <row r="42" spans="1:1" ht="22.5" customHeight="1" x14ac:dyDescent="0.25">
      <c r="A42" s="2"/>
    </row>
    <row r="43" spans="1:1" ht="22.5" customHeight="1" x14ac:dyDescent="0.25">
      <c r="A43" s="2"/>
    </row>
    <row r="44" spans="1:1" ht="22.5" customHeight="1" x14ac:dyDescent="0.25">
      <c r="A44" s="2"/>
    </row>
    <row r="45" spans="1:1" ht="22.5" customHeight="1" x14ac:dyDescent="0.25">
      <c r="A45" s="2"/>
    </row>
    <row r="46" spans="1:1" ht="22.5" customHeight="1" x14ac:dyDescent="0.25">
      <c r="A46" s="2"/>
    </row>
    <row r="47" spans="1:1" ht="22.5" customHeight="1" x14ac:dyDescent="0.25">
      <c r="A47" s="2"/>
    </row>
    <row r="48" spans="1:1" ht="22.5" customHeight="1" x14ac:dyDescent="0.25">
      <c r="A48" s="2"/>
    </row>
    <row r="49" spans="1:1" ht="22.5" customHeight="1" x14ac:dyDescent="0.25">
      <c r="A49" s="2"/>
    </row>
    <row r="50" spans="1:1" ht="22.5" customHeight="1" x14ac:dyDescent="0.25">
      <c r="A50" s="2"/>
    </row>
    <row r="51" spans="1:1" ht="22.5" customHeight="1" x14ac:dyDescent="0.25">
      <c r="A51" s="2"/>
    </row>
    <row r="52" spans="1:1" ht="22.5" customHeight="1" x14ac:dyDescent="0.25">
      <c r="A52" s="2"/>
    </row>
    <row r="53" spans="1:1" ht="22.5" customHeight="1" x14ac:dyDescent="0.25">
      <c r="A53" s="2"/>
    </row>
    <row r="54" spans="1:1" ht="22.5" customHeight="1" x14ac:dyDescent="0.25">
      <c r="A54" s="2"/>
    </row>
    <row r="55" spans="1:1" ht="22.5" customHeight="1" x14ac:dyDescent="0.25">
      <c r="A55" s="2"/>
    </row>
    <row r="56" spans="1:1" ht="22.5" customHeight="1" x14ac:dyDescent="0.25">
      <c r="A56" s="2"/>
    </row>
    <row r="57" spans="1:1" ht="22.5" customHeight="1" x14ac:dyDescent="0.25">
      <c r="A57" s="2"/>
    </row>
    <row r="58" spans="1:1" ht="22.5" customHeight="1" x14ac:dyDescent="0.25">
      <c r="A58" s="2"/>
    </row>
    <row r="59" spans="1:1" ht="22.5" customHeight="1" x14ac:dyDescent="0.25">
      <c r="A59" s="2"/>
    </row>
    <row r="60" spans="1:1" ht="22.5" customHeight="1" x14ac:dyDescent="0.25">
      <c r="A60" s="2"/>
    </row>
    <row r="61" spans="1:1" ht="22.5" customHeight="1" x14ac:dyDescent="0.25">
      <c r="A61" s="2"/>
    </row>
    <row r="62" spans="1:1" ht="22.5" customHeight="1" x14ac:dyDescent="0.25">
      <c r="A62" s="2"/>
    </row>
    <row r="63" spans="1:1" ht="22.5" customHeight="1" x14ac:dyDescent="0.25">
      <c r="A63" s="2"/>
    </row>
    <row r="64" spans="1:1" ht="22.5" customHeight="1" x14ac:dyDescent="0.25">
      <c r="A64" s="2"/>
    </row>
    <row r="65" spans="1:1" ht="22.5" customHeight="1" x14ac:dyDescent="0.25">
      <c r="A65" s="2"/>
    </row>
    <row r="66" spans="1:1" ht="22.5" customHeight="1" x14ac:dyDescent="0.25">
      <c r="A66" s="2"/>
    </row>
    <row r="67" spans="1:1" ht="22.5" customHeight="1" x14ac:dyDescent="0.25">
      <c r="A67" s="2"/>
    </row>
    <row r="68" spans="1:1" ht="22.5" customHeight="1" x14ac:dyDescent="0.25">
      <c r="A68" s="2"/>
    </row>
    <row r="69" spans="1:1" ht="22.5" customHeight="1" x14ac:dyDescent="0.25">
      <c r="A69" s="2"/>
    </row>
    <row r="70" spans="1:1" ht="22.5" customHeight="1" x14ac:dyDescent="0.25">
      <c r="A70" s="2"/>
    </row>
    <row r="71" spans="1:1" ht="22.5" customHeight="1" x14ac:dyDescent="0.25">
      <c r="A71" s="2"/>
    </row>
    <row r="72" spans="1:1" ht="22.5" customHeight="1" x14ac:dyDescent="0.25">
      <c r="A72" s="2"/>
    </row>
    <row r="73" spans="1:1" ht="22.5" customHeight="1" x14ac:dyDescent="0.25">
      <c r="A73" s="2"/>
    </row>
    <row r="74" spans="1:1" ht="22.5" customHeight="1" x14ac:dyDescent="0.25">
      <c r="A74" s="2"/>
    </row>
    <row r="75" spans="1:1" ht="22.5" customHeight="1" x14ac:dyDescent="0.25">
      <c r="A75" s="2"/>
    </row>
    <row r="76" spans="1:1" ht="22.5" customHeight="1" x14ac:dyDescent="0.25">
      <c r="A76" s="2"/>
    </row>
    <row r="77" spans="1:1" ht="22.5" customHeight="1" x14ac:dyDescent="0.25">
      <c r="A77" s="2"/>
    </row>
    <row r="78" spans="1:1" ht="22.5" customHeight="1" x14ac:dyDescent="0.25">
      <c r="A78" s="2"/>
    </row>
    <row r="79" spans="1:1" ht="22.5" customHeight="1" x14ac:dyDescent="0.25">
      <c r="A79" s="2"/>
    </row>
    <row r="80" spans="1:1" ht="22.5" customHeight="1" x14ac:dyDescent="0.25">
      <c r="A80" s="2"/>
    </row>
    <row r="81" spans="1:1" ht="22.5" customHeight="1" x14ac:dyDescent="0.25">
      <c r="A81" s="2"/>
    </row>
    <row r="82" spans="1:1" ht="22.5" customHeight="1" x14ac:dyDescent="0.25">
      <c r="A82" s="2"/>
    </row>
    <row r="83" spans="1:1" ht="22.5" customHeight="1" x14ac:dyDescent="0.25">
      <c r="A83" s="2"/>
    </row>
    <row r="84" spans="1:1" ht="22.5" customHeight="1" x14ac:dyDescent="0.25">
      <c r="A84" s="2"/>
    </row>
    <row r="85" spans="1:1" ht="22.5" customHeight="1" x14ac:dyDescent="0.25">
      <c r="A85" s="2"/>
    </row>
    <row r="86" spans="1:1" ht="22.5" customHeight="1" x14ac:dyDescent="0.25">
      <c r="A86" s="2"/>
    </row>
    <row r="87" spans="1:1" ht="22.5" customHeight="1" x14ac:dyDescent="0.25">
      <c r="A87" s="2"/>
    </row>
    <row r="88" spans="1:1" ht="22.5" customHeight="1" x14ac:dyDescent="0.25">
      <c r="A88" s="2"/>
    </row>
    <row r="89" spans="1:1" ht="22.5" customHeight="1" x14ac:dyDescent="0.25">
      <c r="A89" s="2"/>
    </row>
    <row r="90" spans="1:1" ht="22.5" customHeight="1" x14ac:dyDescent="0.25">
      <c r="A90" s="2"/>
    </row>
    <row r="91" spans="1:1" ht="22.5" customHeight="1" x14ac:dyDescent="0.25">
      <c r="A91" s="2"/>
    </row>
    <row r="92" spans="1:1" ht="22.5" customHeight="1" x14ac:dyDescent="0.25">
      <c r="A92" s="2"/>
    </row>
    <row r="93" spans="1:1" ht="22.5" customHeight="1" x14ac:dyDescent="0.25">
      <c r="A93" s="2"/>
    </row>
    <row r="94" spans="1:1" ht="22.5" customHeight="1" x14ac:dyDescent="0.25">
      <c r="A94" s="2"/>
    </row>
    <row r="95" spans="1:1" ht="22.5" customHeight="1" x14ac:dyDescent="0.25">
      <c r="A95" s="2"/>
    </row>
    <row r="96" spans="1:1" ht="22.5" customHeight="1" x14ac:dyDescent="0.25">
      <c r="A96" s="2"/>
    </row>
    <row r="97" spans="1:1" ht="22.5" customHeight="1" x14ac:dyDescent="0.25">
      <c r="A97" s="2"/>
    </row>
    <row r="98" spans="1:1" ht="22.5" customHeight="1" x14ac:dyDescent="0.25">
      <c r="A98" s="2"/>
    </row>
    <row r="99" spans="1:1" ht="22.5" customHeight="1" x14ac:dyDescent="0.25">
      <c r="A99" s="2"/>
    </row>
    <row r="100" spans="1:1" ht="22.5" customHeight="1" x14ac:dyDescent="0.25">
      <c r="A100" s="2"/>
    </row>
    <row r="101" spans="1:1" ht="22.5" customHeight="1" x14ac:dyDescent="0.25">
      <c r="A101" s="2"/>
    </row>
    <row r="102" spans="1:1" ht="22.5" customHeight="1" x14ac:dyDescent="0.25">
      <c r="A102" s="2"/>
    </row>
    <row r="103" spans="1:1" ht="22.5" customHeight="1" x14ac:dyDescent="0.25">
      <c r="A103" s="2"/>
    </row>
    <row r="104" spans="1:1" ht="22.5" customHeight="1" x14ac:dyDescent="0.25">
      <c r="A104" s="2"/>
    </row>
    <row r="105" spans="1:1" ht="22.5" customHeight="1" x14ac:dyDescent="0.25">
      <c r="A105" s="2"/>
    </row>
    <row r="106" spans="1:1" ht="22.5" customHeight="1" x14ac:dyDescent="0.25">
      <c r="A106" s="2"/>
    </row>
    <row r="107" spans="1:1" ht="22.5" customHeight="1" x14ac:dyDescent="0.25">
      <c r="A107" s="2"/>
    </row>
    <row r="108" spans="1:1" ht="22.5" customHeight="1" x14ac:dyDescent="0.25">
      <c r="A108" s="2"/>
    </row>
    <row r="109" spans="1:1" ht="22.5" customHeight="1" x14ac:dyDescent="0.25">
      <c r="A109" s="2"/>
    </row>
    <row r="110" spans="1:1" ht="22.5" customHeight="1" x14ac:dyDescent="0.25">
      <c r="A110" s="2"/>
    </row>
    <row r="111" spans="1:1" ht="22.5" customHeight="1" x14ac:dyDescent="0.25">
      <c r="A111" s="2"/>
    </row>
    <row r="112" spans="1:1" ht="22.5" customHeight="1" x14ac:dyDescent="0.25">
      <c r="A112" s="2"/>
    </row>
    <row r="113" spans="1:1" ht="22.5" customHeight="1" x14ac:dyDescent="0.25">
      <c r="A113" s="2"/>
    </row>
    <row r="114" spans="1:1" ht="22.5" customHeight="1" x14ac:dyDescent="0.25">
      <c r="A114" s="2"/>
    </row>
    <row r="115" spans="1:1" ht="22.5" customHeight="1" x14ac:dyDescent="0.25">
      <c r="A115" s="2"/>
    </row>
    <row r="116" spans="1:1" ht="22.5" customHeight="1" x14ac:dyDescent="0.25">
      <c r="A116" s="2"/>
    </row>
    <row r="117" spans="1:1" ht="22.5" customHeight="1" x14ac:dyDescent="0.25">
      <c r="A117" s="2"/>
    </row>
    <row r="118" spans="1:1" ht="22.5" customHeight="1" x14ac:dyDescent="0.25">
      <c r="A118" s="2"/>
    </row>
    <row r="119" spans="1:1" ht="22.5" customHeight="1" x14ac:dyDescent="0.25">
      <c r="A119" s="2"/>
    </row>
    <row r="120" spans="1:1" ht="22.5" customHeight="1" x14ac:dyDescent="0.25">
      <c r="A120" s="2"/>
    </row>
    <row r="121" spans="1:1" ht="22.5" customHeight="1" x14ac:dyDescent="0.25">
      <c r="A121" s="2"/>
    </row>
    <row r="122" spans="1:1" ht="22.5" customHeight="1" x14ac:dyDescent="0.25">
      <c r="A122" s="2"/>
    </row>
    <row r="123" spans="1:1" ht="22.5" customHeight="1" x14ac:dyDescent="0.25">
      <c r="A123" s="2"/>
    </row>
    <row r="124" spans="1:1" ht="22.5" customHeight="1" x14ac:dyDescent="0.25">
      <c r="A124" s="2"/>
    </row>
    <row r="125" spans="1:1" ht="22.5" customHeight="1" x14ac:dyDescent="0.25">
      <c r="A125" s="2"/>
    </row>
    <row r="126" spans="1:1" ht="22.5" customHeight="1" x14ac:dyDescent="0.25">
      <c r="A126" s="2"/>
    </row>
    <row r="127" spans="1:1" ht="22.5" customHeight="1" x14ac:dyDescent="0.25">
      <c r="A127" s="2"/>
    </row>
    <row r="128" spans="1:1" ht="22.5" customHeight="1" x14ac:dyDescent="0.25">
      <c r="A128" s="2"/>
    </row>
    <row r="129" spans="1:8" ht="22.5" customHeight="1" x14ac:dyDescent="0.25">
      <c r="A129" s="2"/>
    </row>
    <row r="130" spans="1:8" ht="22.5" customHeight="1" x14ac:dyDescent="0.25">
      <c r="A130" s="2"/>
    </row>
    <row r="131" spans="1:8" ht="22.5" customHeight="1" x14ac:dyDescent="0.25">
      <c r="A131" s="2"/>
    </row>
    <row r="132" spans="1:8" ht="22.5" customHeight="1" x14ac:dyDescent="0.25">
      <c r="A132" s="2"/>
    </row>
    <row r="133" spans="1:8" ht="22.5" customHeight="1" x14ac:dyDescent="0.25">
      <c r="A133" s="2"/>
    </row>
    <row r="134" spans="1:8" ht="22.5" customHeight="1" x14ac:dyDescent="0.25">
      <c r="A134" s="2"/>
      <c r="H134" s="2"/>
    </row>
    <row r="135" spans="1:8" ht="22.5" customHeight="1" x14ac:dyDescent="0.25">
      <c r="A135" s="2"/>
      <c r="H135" s="2"/>
    </row>
    <row r="136" spans="1:8" ht="22.5" customHeight="1" x14ac:dyDescent="0.25">
      <c r="A136" s="2"/>
      <c r="H136" s="2"/>
    </row>
    <row r="137" spans="1:8" ht="22.5" customHeight="1" x14ac:dyDescent="0.25">
      <c r="A137" s="2"/>
      <c r="H137" s="2"/>
    </row>
    <row r="138" spans="1:8" ht="22.5" customHeight="1" x14ac:dyDescent="0.25">
      <c r="A138" s="2"/>
      <c r="H138" s="2"/>
    </row>
    <row r="139" spans="1:8" ht="22.5" customHeight="1" x14ac:dyDescent="0.25">
      <c r="A139" s="2"/>
      <c r="H139" s="2"/>
    </row>
    <row r="140" spans="1:8" ht="22.5" customHeight="1" x14ac:dyDescent="0.25">
      <c r="A140" s="2"/>
      <c r="H140" s="2"/>
    </row>
    <row r="141" spans="1:8" ht="22.5" customHeight="1" x14ac:dyDescent="0.25">
      <c r="A141" s="2"/>
      <c r="H141" s="2"/>
    </row>
    <row r="142" spans="1:8" ht="22.5" customHeight="1" x14ac:dyDescent="0.25">
      <c r="A142" s="2"/>
      <c r="H142" s="2"/>
    </row>
    <row r="143" spans="1:8" ht="22.5" customHeight="1" x14ac:dyDescent="0.25">
      <c r="A143" s="2"/>
      <c r="H143" s="2"/>
    </row>
    <row r="144" spans="1:8" ht="22.5" customHeight="1" x14ac:dyDescent="0.25">
      <c r="A144" s="2"/>
      <c r="H144" s="2"/>
    </row>
    <row r="145" spans="1:9" ht="22.5" customHeight="1" x14ac:dyDescent="0.25">
      <c r="A145" s="2"/>
      <c r="H145" s="2"/>
    </row>
    <row r="146" spans="1:9" ht="22.5" customHeight="1" x14ac:dyDescent="0.25">
      <c r="A146" s="2"/>
      <c r="H146" s="2"/>
    </row>
    <row r="147" spans="1:9" ht="22.5" customHeight="1" x14ac:dyDescent="0.25">
      <c r="A147" s="2"/>
      <c r="H147" s="2"/>
    </row>
    <row r="148" spans="1:9" ht="22.5" customHeight="1" x14ac:dyDescent="0.25">
      <c r="A148" s="2"/>
      <c r="H148" s="2"/>
    </row>
    <row r="149" spans="1:9" ht="22.5" customHeight="1" x14ac:dyDescent="0.25">
      <c r="A149" s="3"/>
      <c r="B149" s="4"/>
      <c r="C149" s="4"/>
      <c r="D149" s="4"/>
      <c r="H149" s="3"/>
      <c r="I149" s="4"/>
    </row>
    <row r="150" spans="1:9" ht="22.5" customHeight="1" x14ac:dyDescent="0.25">
      <c r="A150" s="3"/>
      <c r="B150" s="4"/>
      <c r="C150" s="4"/>
      <c r="D150" s="4"/>
      <c r="H150" s="3"/>
      <c r="I150" s="4"/>
    </row>
    <row r="151" spans="1:9" ht="22.5" customHeight="1" x14ac:dyDescent="0.25">
      <c r="A151" s="3"/>
      <c r="B151" s="4"/>
      <c r="C151" s="4"/>
      <c r="D151" s="4"/>
      <c r="H151" s="3"/>
      <c r="I151" s="4"/>
    </row>
    <row r="152" spans="1:9" ht="22.5" customHeight="1" x14ac:dyDescent="0.25">
      <c r="A152" s="3"/>
      <c r="B152" s="4"/>
      <c r="C152" s="4"/>
      <c r="D152" s="4"/>
      <c r="H152" s="3"/>
      <c r="I152" s="4"/>
    </row>
    <row r="153" spans="1:9" ht="22.5" customHeight="1" x14ac:dyDescent="0.25">
      <c r="A153" s="3"/>
      <c r="B153" s="4"/>
      <c r="C153" s="4"/>
      <c r="D153" s="4"/>
      <c r="H153" s="3"/>
      <c r="I153" s="4"/>
    </row>
    <row r="154" spans="1:9" ht="22.5" customHeight="1" x14ac:dyDescent="0.25">
      <c r="A154" s="3"/>
      <c r="B154" s="4"/>
      <c r="C154" s="4"/>
      <c r="D154" s="4"/>
      <c r="H154" s="3"/>
      <c r="I154" s="4"/>
    </row>
    <row r="155" spans="1:9" ht="22.5" customHeight="1" x14ac:dyDescent="0.25">
      <c r="A155" s="3"/>
      <c r="B155" s="4"/>
      <c r="C155" s="4"/>
      <c r="D155" s="4"/>
      <c r="H155" s="3"/>
      <c r="I155" s="4"/>
    </row>
    <row r="156" spans="1:9" ht="22.5" customHeight="1" x14ac:dyDescent="0.25">
      <c r="A156" s="3"/>
      <c r="B156" s="4"/>
      <c r="C156" s="4"/>
      <c r="D156" s="4"/>
      <c r="H156" s="3"/>
      <c r="I156" s="4"/>
    </row>
    <row r="157" spans="1:9" ht="22.5" customHeight="1" x14ac:dyDescent="0.25">
      <c r="A157" s="3"/>
      <c r="B157" s="4"/>
      <c r="C157" s="4"/>
      <c r="D157" s="4"/>
      <c r="H157" s="3"/>
      <c r="I157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Gráficos</vt:lpstr>
      </vt:variant>
      <vt:variant>
        <vt:i4>2</vt:i4>
      </vt:variant>
    </vt:vector>
  </HeadingPairs>
  <TitlesOfParts>
    <vt:vector size="4" baseType="lpstr">
      <vt:lpstr>Retorno</vt:lpstr>
      <vt:lpstr>Imputs</vt:lpstr>
      <vt:lpstr>Gráfico1</vt:lpstr>
      <vt:lpstr>Gráfico2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Micota Stipp</dc:creator>
  <cp:lastModifiedBy>Guilherme Micota Stipp</cp:lastModifiedBy>
  <dcterms:created xsi:type="dcterms:W3CDTF">2022-04-08T19:49:41Z</dcterms:created>
  <dcterms:modified xsi:type="dcterms:W3CDTF">2022-04-08T20:24:51Z</dcterms:modified>
</cp:coreProperties>
</file>