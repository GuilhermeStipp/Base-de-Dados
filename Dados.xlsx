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7d8a6ee1e82349c3/Área de Trabalho/"/>
    </mc:Choice>
  </mc:AlternateContent>
  <xr:revisionPtr revIDLastSave="0" documentId="8_{ABD2F5DF-0AF9-4F58-8C26-A5862B0C641B}" xr6:coauthVersionLast="47" xr6:coauthVersionMax="47" xr10:uidLastSave="{00000000-0000-0000-0000-000000000000}"/>
  <bookViews>
    <workbookView xWindow="-120" yWindow="-120" windowWidth="29040" windowHeight="15720" xr2:uid="{1E8091FF-6B5C-428A-942C-C4EC1C9F9C31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" i="1" l="1"/>
  <c r="C4" i="1" s="1"/>
  <c r="B3" i="1"/>
  <c r="C3" i="1" s="1"/>
  <c r="B2" i="1"/>
  <c r="C2" i="1" s="1"/>
</calcChain>
</file>

<file path=xl/sharedStrings.xml><?xml version="1.0" encoding="utf-8"?>
<sst xmlns="http://schemas.openxmlformats.org/spreadsheetml/2006/main" count="14" uniqueCount="14">
  <si>
    <t>Veículo</t>
  </si>
  <si>
    <t>4UM Crédito Privado</t>
  </si>
  <si>
    <t>4UM IMA-B 5</t>
  </si>
  <si>
    <t>4UM IMA-B 5+</t>
  </si>
  <si>
    <t>Retorno Esperado</t>
  </si>
  <si>
    <t>Volatilidade Anualizada</t>
  </si>
  <si>
    <t>Spread Médio DI+ AAA</t>
  </si>
  <si>
    <t>CDI Implícito</t>
  </si>
  <si>
    <t>IPCA Implícito</t>
  </si>
  <si>
    <t>Yield Médio IMA-B 5</t>
  </si>
  <si>
    <t>Yield Médio IMA-B 5+</t>
  </si>
  <si>
    <t>Retorno Esperado % DI</t>
  </si>
  <si>
    <t>Premissas</t>
  </si>
  <si>
    <t>Valor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</si>
</sst>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Garamond"/>
      <family val="2"/>
    </font>
    <font>
      <sz val="12"/>
      <color theme="1"/>
      <name val="Garamond"/>
      <family val="2"/>
    </font>
    <font>
      <b/>
      <sz val="12"/>
      <color theme="1"/>
      <name val="Garamond"/>
      <family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">
    <xf numFmtId="0" fontId="0" fillId="0" borderId="0" xfId="0"/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B696D-BE16-4E40-BC68-34E2F58CE590}">
  <dimension ref="A1:D13"/>
  <sheetViews>
    <sheetView tabSelected="1" workbookViewId="0">
      <selection activeCell="B8" sqref="B8"/>
    </sheetView>
  </sheetViews>
  <sheetFormatPr defaultColWidth="22.25" defaultRowHeight="23.25" customHeight="1" x14ac:dyDescent="0.25"/>
  <cols>
    <col min="1" max="16384" width="22.25" style="1"/>
  </cols>
  <sheetData>
    <row r="1" spans="1:4" ht="23.25" customHeight="1" x14ac:dyDescent="0.25">
      <c r="A1" s="4" t="s">
        <v>0</v>
      </c>
      <c r="B1" s="4" t="s">
        <v>4</v>
      </c>
      <c r="C1" s="4" t="s">
        <v>11</v>
      </c>
      <c r="D1" s="4" t="s">
        <v>5</v>
      </c>
    </row>
    <row r="2" spans="1:4" ht="23.25" customHeight="1" x14ac:dyDescent="0.25">
      <c r="A2" s="1" t="s">
        <v>1</v>
      </c>
      <c r="B2" s="2">
        <f>(B9+1)*(B10+1)-1</f>
        <v>0.13648084549999995</v>
      </c>
      <c r="C2" s="2">
        <f>B2/$B$9</f>
        <v>1.1136747898816806</v>
      </c>
      <c r="D2" s="3">
        <v>4.9732776269999996E-3</v>
      </c>
    </row>
    <row r="3" spans="1:4" ht="23.25" customHeight="1" x14ac:dyDescent="0.25">
      <c r="A3" s="1" t="s">
        <v>2</v>
      </c>
      <c r="B3" s="2">
        <f>(B12+1)*(B11+1)-1</f>
        <v>0.12986940492096011</v>
      </c>
      <c r="C3" s="2">
        <f>B3/$B$9</f>
        <v>1.0597258663481037</v>
      </c>
      <c r="D3" s="3">
        <v>3.4931231469999997E-2</v>
      </c>
    </row>
    <row r="4" spans="1:4" ht="23.25" customHeight="1" x14ac:dyDescent="0.25">
      <c r="A4" s="1" t="s">
        <v>3</v>
      </c>
      <c r="B4" s="2">
        <f>(B13+1)*(B11+1)-1</f>
        <v>0.1251107629295598</v>
      </c>
      <c r="C4" s="2">
        <f>B4/$B$9</f>
        <v>1.0208956583399413</v>
      </c>
      <c r="D4" s="3">
        <v>0.13221462940000001</v>
      </c>
    </row>
    <row r="8" spans="1:4" ht="23.25" customHeight="1" x14ac:dyDescent="0.25">
      <c r="A8" s="4" t="s">
        <v>12</v>
      </c>
      <c r="B8" s="4" t="s">
        <v>13</v>
      </c>
    </row>
    <row r="9" spans="1:4" ht="23.25" customHeight="1" x14ac:dyDescent="0.25">
      <c r="A9" s="1" t="s">
        <v>7</v>
      </c>
      <c r="B9" s="2">
        <v>0.12255000000000001</v>
      </c>
    </row>
    <row r="10" spans="1:4" ht="23.25" customHeight="1" x14ac:dyDescent="0.25">
      <c r="A10" s="1" t="s">
        <v>6</v>
      </c>
      <c r="B10" s="2">
        <v>1.2409999999999999E-2</v>
      </c>
    </row>
    <row r="11" spans="1:4" ht="23.25" customHeight="1" x14ac:dyDescent="0.25">
      <c r="A11" s="1" t="s">
        <v>8</v>
      </c>
      <c r="B11" s="2">
        <v>6.5199999999999994E-2</v>
      </c>
    </row>
    <row r="12" spans="1:4" ht="23.25" customHeight="1" x14ac:dyDescent="0.25">
      <c r="A12" s="1" t="s">
        <v>9</v>
      </c>
      <c r="B12" s="2">
        <v>6.0711044800000002E-2</v>
      </c>
    </row>
    <row r="13" spans="1:4" ht="23.25" customHeight="1" x14ac:dyDescent="0.25">
      <c r="A13" s="1" t="s">
        <v>10</v>
      </c>
      <c r="B13" s="2">
        <v>5.6243675299999997E-2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Guilherme Micota Stipp</dc:creator>
  <cp:lastModifiedBy>Guilherme Micota Stipp</cp:lastModifiedBy>
  <dcterms:created xsi:type="dcterms:W3CDTF">2022-02-01T20:22:21Z</dcterms:created>
  <dcterms:modified xsi:type="dcterms:W3CDTF">2022-02-01T20:31:54Z</dcterms:modified>
</cp:coreProperties>
</file>