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8a6ee1e82349c3/Área de Trabalho/"/>
    </mc:Choice>
  </mc:AlternateContent>
  <xr:revisionPtr revIDLastSave="0" documentId="8_{D86D98F6-CFB8-43A9-8DBA-E7F4B716D34D}" xr6:coauthVersionLast="47" xr6:coauthVersionMax="47" xr10:uidLastSave="{00000000-0000-0000-0000-000000000000}"/>
  <bookViews>
    <workbookView xWindow="-108" yWindow="-108" windowWidth="23256" windowHeight="12456" xr2:uid="{D7CF0BF5-0D19-4677-A2A6-7EA5632B2F3E}"/>
  </bookViews>
  <sheets>
    <sheet name="2024" sheetId="1" r:id="rId1"/>
    <sheet name="2025" sheetId="2" r:id="rId2"/>
    <sheet name="2026" sheetId="3" r:id="rId3"/>
    <sheet name="2028" sheetId="4" r:id="rId4"/>
    <sheet name="Feriado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101" i="4" l="1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2" i="1"/>
  <c r="F3" i="1"/>
  <c r="F4" i="1" s="1"/>
  <c r="F3" i="2"/>
  <c r="F4" i="2" s="1"/>
  <c r="F3" i="4"/>
  <c r="F4" i="4" s="1"/>
  <c r="F4" i="3"/>
  <c r="F5" i="3"/>
  <c r="F6" i="3" s="1"/>
  <c r="F3" i="3"/>
  <c r="C3" i="4"/>
  <c r="C2" i="4"/>
  <c r="C5" i="3"/>
  <c r="C4" i="3"/>
  <c r="C3" i="3"/>
  <c r="C2" i="3"/>
  <c r="C3" i="2"/>
  <c r="C2" i="2"/>
  <c r="C3" i="1"/>
  <c r="C2" i="1"/>
  <c r="A78" i="4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3" i="3"/>
  <c r="A68" i="2"/>
  <c r="A69" i="2" s="1"/>
  <c r="A70" i="2" s="1"/>
  <c r="A71" i="2" s="1"/>
  <c r="A72" i="2" s="1"/>
  <c r="A73" i="2" s="1"/>
  <c r="A61" i="2"/>
  <c r="A62" i="2" s="1"/>
  <c r="A63" i="2" s="1"/>
  <c r="A64" i="2" s="1"/>
  <c r="A65" i="2" s="1"/>
  <c r="A66" i="2" s="1"/>
  <c r="A67" i="2" s="1"/>
  <c r="A36" i="2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" i="2"/>
  <c r="A73" i="1"/>
  <c r="A64" i="1"/>
  <c r="A65" i="1" s="1"/>
  <c r="A66" i="1" s="1"/>
  <c r="A67" i="1" s="1"/>
  <c r="A68" i="1" s="1"/>
  <c r="A69" i="1" s="1"/>
  <c r="A70" i="1" s="1"/>
  <c r="A71" i="1" s="1"/>
  <c r="A72" i="1" s="1"/>
  <c r="A38" i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F5" i="1" l="1"/>
  <c r="C4" i="1"/>
  <c r="F5" i="2"/>
  <c r="C4" i="2"/>
  <c r="F5" i="4"/>
  <c r="C4" i="4"/>
  <c r="F7" i="3"/>
  <c r="C6" i="3"/>
  <c r="C5" i="1" l="1"/>
  <c r="F6" i="1"/>
  <c r="C5" i="2"/>
  <c r="F6" i="2"/>
  <c r="F6" i="4"/>
  <c r="C5" i="4"/>
  <c r="F8" i="3"/>
  <c r="C7" i="3"/>
  <c r="C6" i="1" l="1"/>
  <c r="F7" i="1"/>
  <c r="C6" i="2"/>
  <c r="F7" i="2"/>
  <c r="C6" i="4"/>
  <c r="F7" i="4"/>
  <c r="C8" i="3"/>
  <c r="F9" i="3"/>
  <c r="C7" i="1" l="1"/>
  <c r="F8" i="1"/>
  <c r="C7" i="2"/>
  <c r="F8" i="2"/>
  <c r="C7" i="4"/>
  <c r="F8" i="4"/>
  <c r="C9" i="3"/>
  <c r="F10" i="3"/>
  <c r="F9" i="1" l="1"/>
  <c r="C8" i="1"/>
  <c r="F9" i="2"/>
  <c r="C8" i="2"/>
  <c r="C8" i="4"/>
  <c r="F9" i="4"/>
  <c r="C10" i="3"/>
  <c r="F11" i="3"/>
  <c r="F10" i="1" l="1"/>
  <c r="C9" i="1"/>
  <c r="F10" i="2"/>
  <c r="C9" i="2"/>
  <c r="C9" i="4"/>
  <c r="F10" i="4"/>
  <c r="F12" i="3"/>
  <c r="C11" i="3"/>
  <c r="F11" i="1" l="1"/>
  <c r="C10" i="1"/>
  <c r="F11" i="2"/>
  <c r="C10" i="2"/>
  <c r="C10" i="4"/>
  <c r="F11" i="4"/>
  <c r="C12" i="3"/>
  <c r="F13" i="3"/>
  <c r="C11" i="1" l="1"/>
  <c r="F12" i="1"/>
  <c r="F12" i="2"/>
  <c r="C11" i="2"/>
  <c r="C11" i="4"/>
  <c r="F12" i="4"/>
  <c r="C13" i="3"/>
  <c r="F14" i="3"/>
  <c r="F13" i="1" l="1"/>
  <c r="C12" i="1"/>
  <c r="F13" i="2"/>
  <c r="C12" i="2"/>
  <c r="F13" i="4"/>
  <c r="C12" i="4"/>
  <c r="C14" i="3"/>
  <c r="F15" i="3"/>
  <c r="C13" i="1" l="1"/>
  <c r="F14" i="1"/>
  <c r="F14" i="2"/>
  <c r="C13" i="2"/>
  <c r="F14" i="4"/>
  <c r="C13" i="4"/>
  <c r="C15" i="3"/>
  <c r="F16" i="3"/>
  <c r="C14" i="1" l="1"/>
  <c r="F15" i="1"/>
  <c r="C14" i="2"/>
  <c r="F15" i="2"/>
  <c r="C14" i="4"/>
  <c r="F15" i="4"/>
  <c r="C16" i="3"/>
  <c r="F17" i="3"/>
  <c r="F16" i="1" l="1"/>
  <c r="C15" i="1"/>
  <c r="C15" i="2"/>
  <c r="F16" i="2"/>
  <c r="C15" i="4"/>
  <c r="F16" i="4"/>
  <c r="C17" i="3"/>
  <c r="F18" i="3"/>
  <c r="F17" i="1" l="1"/>
  <c r="C16" i="1"/>
  <c r="F17" i="2"/>
  <c r="C16" i="2"/>
  <c r="C16" i="4"/>
  <c r="F17" i="4"/>
  <c r="C18" i="3"/>
  <c r="F19" i="3"/>
  <c r="F18" i="1" l="1"/>
  <c r="C17" i="1"/>
  <c r="F18" i="2"/>
  <c r="C17" i="2"/>
  <c r="C17" i="4"/>
  <c r="F18" i="4"/>
  <c r="F20" i="3"/>
  <c r="C19" i="3"/>
  <c r="F19" i="1" l="1"/>
  <c r="C18" i="1"/>
  <c r="F19" i="2"/>
  <c r="C18" i="2"/>
  <c r="C18" i="4"/>
  <c r="F19" i="4"/>
  <c r="C20" i="3"/>
  <c r="F21" i="3"/>
  <c r="C19" i="1" l="1"/>
  <c r="F20" i="1"/>
  <c r="C19" i="2"/>
  <c r="F20" i="2"/>
  <c r="C19" i="4"/>
  <c r="F20" i="4"/>
  <c r="F22" i="3"/>
  <c r="C21" i="3"/>
  <c r="F21" i="1" l="1"/>
  <c r="C20" i="1"/>
  <c r="F21" i="2"/>
  <c r="C20" i="2"/>
  <c r="F21" i="4"/>
  <c r="C20" i="4"/>
  <c r="C22" i="3"/>
  <c r="F23" i="3"/>
  <c r="C21" i="1" l="1"/>
  <c r="F22" i="1"/>
  <c r="C21" i="2"/>
  <c r="F22" i="2"/>
  <c r="F22" i="4"/>
  <c r="C21" i="4"/>
  <c r="C23" i="3"/>
  <c r="F24" i="3"/>
  <c r="C22" i="1" l="1"/>
  <c r="F23" i="1"/>
  <c r="C22" i="2"/>
  <c r="F23" i="2"/>
  <c r="C22" i="4"/>
  <c r="F23" i="4"/>
  <c r="C24" i="3"/>
  <c r="F25" i="3"/>
  <c r="C23" i="1" l="1"/>
  <c r="F24" i="1"/>
  <c r="F24" i="2"/>
  <c r="C23" i="2"/>
  <c r="C23" i="4"/>
  <c r="F24" i="4"/>
  <c r="C25" i="3"/>
  <c r="F26" i="3"/>
  <c r="C24" i="1" l="1"/>
  <c r="F25" i="1"/>
  <c r="F25" i="2"/>
  <c r="C24" i="2"/>
  <c r="C24" i="4"/>
  <c r="F25" i="4"/>
  <c r="F27" i="3"/>
  <c r="C26" i="3"/>
  <c r="F26" i="1" l="1"/>
  <c r="C25" i="1"/>
  <c r="F26" i="2"/>
  <c r="C25" i="2"/>
  <c r="C25" i="4"/>
  <c r="F26" i="4"/>
  <c r="F28" i="3"/>
  <c r="C27" i="3"/>
  <c r="C26" i="1" l="1"/>
  <c r="F27" i="1"/>
  <c r="F27" i="2"/>
  <c r="C26" i="2"/>
  <c r="C26" i="4"/>
  <c r="F27" i="4"/>
  <c r="C28" i="3"/>
  <c r="F29" i="3"/>
  <c r="C27" i="1" l="1"/>
  <c r="F28" i="1"/>
  <c r="F28" i="2"/>
  <c r="C27" i="2"/>
  <c r="C27" i="4"/>
  <c r="F28" i="4"/>
  <c r="F30" i="3"/>
  <c r="C29" i="3"/>
  <c r="F29" i="1" l="1"/>
  <c r="C28" i="1"/>
  <c r="F29" i="2"/>
  <c r="C28" i="2"/>
  <c r="F29" i="4"/>
  <c r="C28" i="4"/>
  <c r="F31" i="3"/>
  <c r="C30" i="3"/>
  <c r="F30" i="1" l="1"/>
  <c r="C29" i="1"/>
  <c r="F30" i="2"/>
  <c r="C29" i="2"/>
  <c r="F30" i="4"/>
  <c r="C29" i="4"/>
  <c r="C31" i="3"/>
  <c r="F32" i="3"/>
  <c r="C30" i="1" l="1"/>
  <c r="F31" i="1"/>
  <c r="C30" i="2"/>
  <c r="F31" i="2"/>
  <c r="C30" i="4"/>
  <c r="F31" i="4"/>
  <c r="C32" i="3"/>
  <c r="F33" i="3"/>
  <c r="F32" i="1" l="1"/>
  <c r="C31" i="1"/>
  <c r="C31" i="2"/>
  <c r="F32" i="2"/>
  <c r="C31" i="4"/>
  <c r="F32" i="4"/>
  <c r="C33" i="3"/>
  <c r="F34" i="3"/>
  <c r="C32" i="1" l="1"/>
  <c r="F33" i="1"/>
  <c r="F33" i="2"/>
  <c r="C32" i="2"/>
  <c r="C32" i="4"/>
  <c r="F33" i="4"/>
  <c r="C34" i="3"/>
  <c r="F35" i="3"/>
  <c r="F34" i="1" l="1"/>
  <c r="C33" i="1"/>
  <c r="F34" i="2"/>
  <c r="C33" i="2"/>
  <c r="C33" i="4"/>
  <c r="F34" i="4"/>
  <c r="F36" i="3"/>
  <c r="C35" i="3"/>
  <c r="C34" i="1" l="1"/>
  <c r="F35" i="1"/>
  <c r="F35" i="2"/>
  <c r="C34" i="2"/>
  <c r="C34" i="4"/>
  <c r="F35" i="4"/>
  <c r="C36" i="3"/>
  <c r="F37" i="3"/>
  <c r="C35" i="1" l="1"/>
  <c r="F36" i="1"/>
  <c r="C35" i="2"/>
  <c r="F36" i="2"/>
  <c r="C35" i="4"/>
  <c r="F36" i="4"/>
  <c r="F38" i="3"/>
  <c r="C37" i="3"/>
  <c r="F37" i="1" l="1"/>
  <c r="C36" i="1"/>
  <c r="F37" i="2"/>
  <c r="C36" i="2"/>
  <c r="F37" i="4"/>
  <c r="C36" i="4"/>
  <c r="C38" i="3"/>
  <c r="F39" i="3"/>
  <c r="C37" i="1" l="1"/>
  <c r="F38" i="1"/>
  <c r="C37" i="2"/>
  <c r="F38" i="2"/>
  <c r="C37" i="4"/>
  <c r="F38" i="4"/>
  <c r="C39" i="3"/>
  <c r="F40" i="3"/>
  <c r="C38" i="1" l="1"/>
  <c r="F39" i="1"/>
  <c r="C38" i="2"/>
  <c r="F39" i="2"/>
  <c r="C38" i="4"/>
  <c r="F39" i="4"/>
  <c r="C40" i="3"/>
  <c r="F41" i="3"/>
  <c r="C39" i="1" l="1"/>
  <c r="F40" i="1"/>
  <c r="C39" i="2"/>
  <c r="F40" i="2"/>
  <c r="C39" i="4"/>
  <c r="F40" i="4"/>
  <c r="C41" i="3"/>
  <c r="F42" i="3"/>
  <c r="F41" i="1" l="1"/>
  <c r="C40" i="1"/>
  <c r="F41" i="2"/>
  <c r="C40" i="2"/>
  <c r="C40" i="4"/>
  <c r="F41" i="4"/>
  <c r="F43" i="3"/>
  <c r="C42" i="3"/>
  <c r="F42" i="1" l="1"/>
  <c r="C41" i="1"/>
  <c r="F42" i="2"/>
  <c r="C41" i="2"/>
  <c r="C41" i="4"/>
  <c r="F42" i="4"/>
  <c r="F44" i="3"/>
  <c r="C43" i="3"/>
  <c r="F43" i="1" l="1"/>
  <c r="C42" i="1"/>
  <c r="F43" i="2"/>
  <c r="C42" i="2"/>
  <c r="C42" i="4"/>
  <c r="F43" i="4"/>
  <c r="C44" i="3"/>
  <c r="F45" i="3"/>
  <c r="C43" i="1" l="1"/>
  <c r="F44" i="1"/>
  <c r="F44" i="2"/>
  <c r="C43" i="2"/>
  <c r="C43" i="4"/>
  <c r="F44" i="4"/>
  <c r="F46" i="3"/>
  <c r="C45" i="3"/>
  <c r="F45" i="1" l="1"/>
  <c r="C44" i="1"/>
  <c r="F45" i="2"/>
  <c r="C44" i="2"/>
  <c r="F45" i="4"/>
  <c r="C44" i="4"/>
  <c r="F47" i="3"/>
  <c r="C46" i="3"/>
  <c r="F46" i="1" l="1"/>
  <c r="C45" i="1"/>
  <c r="F46" i="2"/>
  <c r="C45" i="2"/>
  <c r="F46" i="4"/>
  <c r="C45" i="4"/>
  <c r="F48" i="3"/>
  <c r="C47" i="3"/>
  <c r="C46" i="1" l="1"/>
  <c r="F47" i="1"/>
  <c r="C46" i="2"/>
  <c r="F47" i="2"/>
  <c r="C46" i="4"/>
  <c r="F47" i="4"/>
  <c r="C48" i="3"/>
  <c r="F49" i="3"/>
  <c r="C47" i="1" l="1"/>
  <c r="F48" i="1"/>
  <c r="C47" i="2"/>
  <c r="F48" i="2"/>
  <c r="C47" i="4"/>
  <c r="F48" i="4"/>
  <c r="C49" i="3"/>
  <c r="F50" i="3"/>
  <c r="C48" i="1" l="1"/>
  <c r="F49" i="1"/>
  <c r="F49" i="2"/>
  <c r="C48" i="2"/>
  <c r="C48" i="4"/>
  <c r="F49" i="4"/>
  <c r="C50" i="3"/>
  <c r="F51" i="3"/>
  <c r="F50" i="1" l="1"/>
  <c r="C49" i="1"/>
  <c r="F50" i="2"/>
  <c r="C49" i="2"/>
  <c r="C49" i="4"/>
  <c r="F50" i="4"/>
  <c r="F52" i="3"/>
  <c r="C51" i="3"/>
  <c r="F51" i="1" l="1"/>
  <c r="C50" i="1"/>
  <c r="F51" i="2"/>
  <c r="C50" i="2"/>
  <c r="C50" i="4"/>
  <c r="F51" i="4"/>
  <c r="C52" i="3"/>
  <c r="F53" i="3"/>
  <c r="C51" i="1" l="1"/>
  <c r="F52" i="1"/>
  <c r="F52" i="2"/>
  <c r="C51" i="2"/>
  <c r="C51" i="4"/>
  <c r="F52" i="4"/>
  <c r="C53" i="3"/>
  <c r="F54" i="3"/>
  <c r="F53" i="1" l="1"/>
  <c r="C52" i="1"/>
  <c r="F53" i="2"/>
  <c r="C52" i="2"/>
  <c r="F53" i="4"/>
  <c r="C52" i="4"/>
  <c r="F55" i="3"/>
  <c r="C54" i="3"/>
  <c r="C53" i="1" l="1"/>
  <c r="F54" i="1"/>
  <c r="C53" i="2"/>
  <c r="F54" i="2"/>
  <c r="F54" i="4"/>
  <c r="C53" i="4"/>
  <c r="F56" i="3"/>
  <c r="C55" i="3"/>
  <c r="C54" i="1" l="1"/>
  <c r="F55" i="1"/>
  <c r="C54" i="2"/>
  <c r="F55" i="2"/>
  <c r="C54" i="4"/>
  <c r="F55" i="4"/>
  <c r="C56" i="3"/>
  <c r="F57" i="3"/>
  <c r="C55" i="1" l="1"/>
  <c r="F56" i="1"/>
  <c r="C55" i="2"/>
  <c r="F56" i="2"/>
  <c r="C55" i="4"/>
  <c r="F56" i="4"/>
  <c r="C57" i="3"/>
  <c r="F58" i="3"/>
  <c r="F57" i="1" l="1"/>
  <c r="C56" i="1"/>
  <c r="F57" i="2"/>
  <c r="C56" i="2"/>
  <c r="C56" i="4"/>
  <c r="F57" i="4"/>
  <c r="C58" i="3"/>
  <c r="F59" i="3"/>
  <c r="F58" i="1" l="1"/>
  <c r="C57" i="1"/>
  <c r="F58" i="2"/>
  <c r="C57" i="2"/>
  <c r="C57" i="4"/>
  <c r="F58" i="4"/>
  <c r="F60" i="3"/>
  <c r="C59" i="3"/>
  <c r="F59" i="1" l="1"/>
  <c r="C58" i="1"/>
  <c r="F59" i="2"/>
  <c r="C58" i="2"/>
  <c r="C58" i="4"/>
  <c r="F59" i="4"/>
  <c r="C60" i="3"/>
  <c r="F61" i="3"/>
  <c r="C59" i="1" l="1"/>
  <c r="F60" i="1"/>
  <c r="C59" i="2"/>
  <c r="F60" i="2"/>
  <c r="C59" i="4"/>
  <c r="F60" i="4"/>
  <c r="C61" i="3"/>
  <c r="F62" i="3"/>
  <c r="F61" i="1" l="1"/>
  <c r="C60" i="1"/>
  <c r="F61" i="2"/>
  <c r="C60" i="2"/>
  <c r="F61" i="4"/>
  <c r="C60" i="4"/>
  <c r="F63" i="3"/>
  <c r="C62" i="3"/>
  <c r="F62" i="1" l="1"/>
  <c r="C61" i="1"/>
  <c r="C61" i="2"/>
  <c r="F62" i="2"/>
  <c r="F62" i="4"/>
  <c r="C61" i="4"/>
  <c r="F64" i="3"/>
  <c r="C63" i="3"/>
  <c r="C62" i="1" l="1"/>
  <c r="F63" i="1"/>
  <c r="C62" i="2"/>
  <c r="F63" i="2"/>
  <c r="C62" i="4"/>
  <c r="F63" i="4"/>
  <c r="C64" i="3"/>
  <c r="F65" i="3"/>
  <c r="C63" i="1" l="1"/>
  <c r="F64" i="1"/>
  <c r="C63" i="2"/>
  <c r="F64" i="2"/>
  <c r="C63" i="4"/>
  <c r="F64" i="4"/>
  <c r="C65" i="3"/>
  <c r="F66" i="3"/>
  <c r="C64" i="1" l="1"/>
  <c r="F65" i="1"/>
  <c r="F65" i="2"/>
  <c r="C64" i="2"/>
  <c r="C64" i="4"/>
  <c r="F65" i="4"/>
  <c r="F67" i="3"/>
  <c r="C66" i="3"/>
  <c r="F66" i="1" l="1"/>
  <c r="C65" i="1"/>
  <c r="F66" i="2"/>
  <c r="C65" i="2"/>
  <c r="C65" i="4"/>
  <c r="F66" i="4"/>
  <c r="F68" i="3"/>
  <c r="C67" i="3"/>
  <c r="C66" i="1" l="1"/>
  <c r="F67" i="1"/>
  <c r="F67" i="2"/>
  <c r="C66" i="2"/>
  <c r="C66" i="4"/>
  <c r="F67" i="4"/>
  <c r="C68" i="3"/>
  <c r="F69" i="3"/>
  <c r="C67" i="1" l="1"/>
  <c r="F68" i="1"/>
  <c r="F68" i="2"/>
  <c r="C67" i="2"/>
  <c r="C67" i="4"/>
  <c r="F68" i="4"/>
  <c r="F70" i="3"/>
  <c r="C69" i="3"/>
  <c r="F69" i="1" l="1"/>
  <c r="C68" i="1"/>
  <c r="F69" i="2"/>
  <c r="C68" i="2"/>
  <c r="F69" i="4"/>
  <c r="C68" i="4"/>
  <c r="F71" i="3"/>
  <c r="C70" i="3"/>
  <c r="F70" i="1" l="1"/>
  <c r="C69" i="1"/>
  <c r="F70" i="2"/>
  <c r="C69" i="2"/>
  <c r="F70" i="4"/>
  <c r="C69" i="4"/>
  <c r="F72" i="3"/>
  <c r="C71" i="3"/>
  <c r="C70" i="1" l="1"/>
  <c r="F71" i="1"/>
  <c r="C70" i="2"/>
  <c r="F71" i="2"/>
  <c r="C70" i="4"/>
  <c r="F71" i="4"/>
  <c r="C72" i="3"/>
  <c r="F73" i="3"/>
  <c r="F72" i="1" l="1"/>
  <c r="C71" i="1"/>
  <c r="F72" i="2"/>
  <c r="C71" i="2"/>
  <c r="C71" i="4"/>
  <c r="F72" i="4"/>
  <c r="C73" i="3"/>
  <c r="F74" i="3"/>
  <c r="F73" i="1" l="1"/>
  <c r="C72" i="1"/>
  <c r="F73" i="2"/>
  <c r="C72" i="2"/>
  <c r="C72" i="4"/>
  <c r="F73" i="4"/>
  <c r="C74" i="3"/>
  <c r="F75" i="3"/>
  <c r="C73" i="1" l="1"/>
  <c r="C73" i="2"/>
  <c r="C73" i="4"/>
  <c r="F74" i="4"/>
  <c r="F76" i="3"/>
  <c r="C75" i="3"/>
  <c r="C74" i="4" l="1"/>
  <c r="F75" i="4"/>
  <c r="F77" i="3"/>
  <c r="C76" i="3"/>
  <c r="C75" i="4" l="1"/>
  <c r="F76" i="4"/>
  <c r="F78" i="3"/>
  <c r="C77" i="3"/>
  <c r="F77" i="4" l="1"/>
  <c r="C76" i="4"/>
  <c r="F79" i="3"/>
  <c r="C78" i="3"/>
  <c r="F78" i="4" l="1"/>
  <c r="C77" i="4"/>
  <c r="F80" i="3"/>
  <c r="C79" i="3"/>
  <c r="C78" i="4" l="1"/>
  <c r="F79" i="4"/>
  <c r="F81" i="3"/>
  <c r="C80" i="3"/>
  <c r="C79" i="4" l="1"/>
  <c r="F80" i="4"/>
  <c r="F82" i="3"/>
  <c r="C81" i="3"/>
  <c r="C80" i="4" l="1"/>
  <c r="F81" i="4"/>
  <c r="F83" i="3"/>
  <c r="C82" i="3"/>
  <c r="C81" i="4" l="1"/>
  <c r="F82" i="4"/>
  <c r="F84" i="3"/>
  <c r="C83" i="3"/>
  <c r="C82" i="4" l="1"/>
  <c r="F83" i="4"/>
  <c r="F85" i="3"/>
  <c r="C84" i="3"/>
  <c r="C83" i="4" l="1"/>
  <c r="F84" i="4"/>
  <c r="F86" i="3"/>
  <c r="C85" i="3"/>
  <c r="F85" i="4" l="1"/>
  <c r="C84" i="4"/>
  <c r="F87" i="3"/>
  <c r="C86" i="3"/>
  <c r="F86" i="4" l="1"/>
  <c r="C85" i="4"/>
  <c r="F88" i="3"/>
  <c r="C87" i="3"/>
  <c r="C86" i="4" l="1"/>
  <c r="F87" i="4"/>
  <c r="F89" i="3"/>
  <c r="C88" i="3"/>
  <c r="C87" i="4" l="1"/>
  <c r="F88" i="4"/>
  <c r="F90" i="3"/>
  <c r="C89" i="3"/>
  <c r="C88" i="4" l="1"/>
  <c r="F89" i="4"/>
  <c r="F91" i="3"/>
  <c r="C90" i="3"/>
  <c r="C89" i="4" l="1"/>
  <c r="F90" i="4"/>
  <c r="F92" i="3"/>
  <c r="C91" i="3"/>
  <c r="C90" i="4" l="1"/>
  <c r="F91" i="4"/>
  <c r="F93" i="3"/>
  <c r="C92" i="3"/>
  <c r="C91" i="4" l="1"/>
  <c r="F92" i="4"/>
  <c r="F94" i="3"/>
  <c r="C93" i="3"/>
  <c r="F93" i="4" l="1"/>
  <c r="C92" i="4"/>
  <c r="F95" i="3"/>
  <c r="C94" i="3"/>
  <c r="C93" i="4" l="1"/>
  <c r="F94" i="4"/>
  <c r="F96" i="3"/>
  <c r="C95" i="3"/>
  <c r="C94" i="4" l="1"/>
  <c r="F95" i="4"/>
  <c r="F97" i="3"/>
  <c r="C96" i="3"/>
  <c r="C95" i="4" l="1"/>
  <c r="F96" i="4"/>
  <c r="F98" i="3"/>
  <c r="C97" i="3"/>
  <c r="C96" i="4" l="1"/>
  <c r="F97" i="4"/>
  <c r="F99" i="3"/>
  <c r="C98" i="3"/>
  <c r="C97" i="4" l="1"/>
  <c r="F98" i="4"/>
  <c r="F100" i="3"/>
  <c r="C99" i="3"/>
  <c r="C98" i="4" l="1"/>
  <c r="F99" i="4"/>
  <c r="F101" i="3"/>
  <c r="C101" i="3" s="1"/>
  <c r="C100" i="3"/>
  <c r="C99" i="4" l="1"/>
  <c r="F100" i="4"/>
  <c r="F101" i="4" l="1"/>
  <c r="C101" i="4" s="1"/>
  <c r="C100" i="4"/>
</calcChain>
</file>

<file path=xl/sharedStrings.xml><?xml version="1.0" encoding="utf-8"?>
<sst xmlns="http://schemas.openxmlformats.org/spreadsheetml/2006/main" count="29" uniqueCount="8">
  <si>
    <t>data</t>
  </si>
  <si>
    <t>Feriados</t>
  </si>
  <si>
    <t>VNA</t>
  </si>
  <si>
    <t>Carrego</t>
  </si>
  <si>
    <t>Mercado</t>
  </si>
  <si>
    <t>Curva</t>
  </si>
  <si>
    <t>Taxa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</si>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</sst>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Garam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'2024'!$D$1</c:f>
              <c:strCache>
                <c:ptCount val="1"/>
                <c:pt idx="0">
                  <c:v>Curva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'2024'!$A$2:$A$73</c:f>
              <c:numCache>
                <c:formatCode>m/d/yyyy</c:formatCode>
                <c:ptCount val="72"/>
                <c:pt idx="0">
                  <c:v>44526</c:v>
                </c:pt>
                <c:pt idx="1">
                  <c:v>44529</c:v>
                </c:pt>
                <c:pt idx="2">
                  <c:v>44530</c:v>
                </c:pt>
                <c:pt idx="3">
                  <c:v>44531</c:v>
                </c:pt>
                <c:pt idx="4">
                  <c:v>44532</c:v>
                </c:pt>
                <c:pt idx="5">
                  <c:v>44533</c:v>
                </c:pt>
                <c:pt idx="6">
                  <c:v>44536</c:v>
                </c:pt>
                <c:pt idx="7">
                  <c:v>44537</c:v>
                </c:pt>
                <c:pt idx="8">
                  <c:v>44538</c:v>
                </c:pt>
                <c:pt idx="9">
                  <c:v>44539</c:v>
                </c:pt>
                <c:pt idx="10">
                  <c:v>44540</c:v>
                </c:pt>
                <c:pt idx="11">
                  <c:v>44543</c:v>
                </c:pt>
                <c:pt idx="12">
                  <c:v>44544</c:v>
                </c:pt>
                <c:pt idx="13">
                  <c:v>44545</c:v>
                </c:pt>
                <c:pt idx="14">
                  <c:v>44546</c:v>
                </c:pt>
                <c:pt idx="15">
                  <c:v>44547</c:v>
                </c:pt>
                <c:pt idx="16">
                  <c:v>44550</c:v>
                </c:pt>
                <c:pt idx="17">
                  <c:v>44551</c:v>
                </c:pt>
                <c:pt idx="18">
                  <c:v>44552</c:v>
                </c:pt>
                <c:pt idx="19">
                  <c:v>44553</c:v>
                </c:pt>
                <c:pt idx="20">
                  <c:v>44554</c:v>
                </c:pt>
                <c:pt idx="21">
                  <c:v>44557</c:v>
                </c:pt>
                <c:pt idx="22">
                  <c:v>44558</c:v>
                </c:pt>
                <c:pt idx="23">
                  <c:v>44559</c:v>
                </c:pt>
                <c:pt idx="24">
                  <c:v>44560</c:v>
                </c:pt>
                <c:pt idx="25">
                  <c:v>44561</c:v>
                </c:pt>
                <c:pt idx="26">
                  <c:v>44564</c:v>
                </c:pt>
                <c:pt idx="27">
                  <c:v>44565</c:v>
                </c:pt>
                <c:pt idx="28">
                  <c:v>44566</c:v>
                </c:pt>
                <c:pt idx="29">
                  <c:v>44567</c:v>
                </c:pt>
                <c:pt idx="30">
                  <c:v>44568</c:v>
                </c:pt>
                <c:pt idx="31">
                  <c:v>44571</c:v>
                </c:pt>
                <c:pt idx="32">
                  <c:v>44572</c:v>
                </c:pt>
                <c:pt idx="33">
                  <c:v>44573</c:v>
                </c:pt>
                <c:pt idx="34">
                  <c:v>44574</c:v>
                </c:pt>
                <c:pt idx="35">
                  <c:v>44575</c:v>
                </c:pt>
                <c:pt idx="36">
                  <c:v>44578</c:v>
                </c:pt>
                <c:pt idx="37">
                  <c:v>44579</c:v>
                </c:pt>
                <c:pt idx="38">
                  <c:v>44580</c:v>
                </c:pt>
                <c:pt idx="39">
                  <c:v>44581</c:v>
                </c:pt>
                <c:pt idx="40">
                  <c:v>44582</c:v>
                </c:pt>
                <c:pt idx="41">
                  <c:v>44585</c:v>
                </c:pt>
                <c:pt idx="42">
                  <c:v>44586</c:v>
                </c:pt>
                <c:pt idx="43">
                  <c:v>44587</c:v>
                </c:pt>
                <c:pt idx="44">
                  <c:v>44588</c:v>
                </c:pt>
                <c:pt idx="45">
                  <c:v>44589</c:v>
                </c:pt>
                <c:pt idx="46">
                  <c:v>44592</c:v>
                </c:pt>
                <c:pt idx="47">
                  <c:v>44593</c:v>
                </c:pt>
                <c:pt idx="48">
                  <c:v>44594</c:v>
                </c:pt>
                <c:pt idx="49">
                  <c:v>44595</c:v>
                </c:pt>
                <c:pt idx="50">
                  <c:v>44596</c:v>
                </c:pt>
                <c:pt idx="51">
                  <c:v>44599</c:v>
                </c:pt>
                <c:pt idx="52">
                  <c:v>44600</c:v>
                </c:pt>
                <c:pt idx="53">
                  <c:v>44601</c:v>
                </c:pt>
                <c:pt idx="54">
                  <c:v>44602</c:v>
                </c:pt>
                <c:pt idx="55">
                  <c:v>44603</c:v>
                </c:pt>
                <c:pt idx="56">
                  <c:v>44606</c:v>
                </c:pt>
                <c:pt idx="57">
                  <c:v>44607</c:v>
                </c:pt>
                <c:pt idx="58">
                  <c:v>44608</c:v>
                </c:pt>
                <c:pt idx="59">
                  <c:v>44609</c:v>
                </c:pt>
                <c:pt idx="60">
                  <c:v>44610</c:v>
                </c:pt>
                <c:pt idx="61">
                  <c:v>44613</c:v>
                </c:pt>
                <c:pt idx="62">
                  <c:v>44614</c:v>
                </c:pt>
                <c:pt idx="63">
                  <c:v>44615</c:v>
                </c:pt>
                <c:pt idx="64">
                  <c:v>44616</c:v>
                </c:pt>
                <c:pt idx="65">
                  <c:v>44617</c:v>
                </c:pt>
                <c:pt idx="66">
                  <c:v>44622</c:v>
                </c:pt>
                <c:pt idx="67">
                  <c:v>44623</c:v>
                </c:pt>
                <c:pt idx="68">
                  <c:v>44624</c:v>
                </c:pt>
                <c:pt idx="69">
                  <c:v>44627</c:v>
                </c:pt>
                <c:pt idx="70">
                  <c:v>44628</c:v>
                </c:pt>
                <c:pt idx="71">
                  <c:v>44629</c:v>
                </c:pt>
              </c:numCache>
            </c:numRef>
          </c:cat>
          <c:val>
            <c:numRef>
              <c:f>'2024'!$D$2:$D$73</c:f>
              <c:numCache>
                <c:formatCode>#,##0.00</c:formatCode>
                <c:ptCount val="72"/>
                <c:pt idx="0">
                  <c:v>0</c:v>
                </c:pt>
                <c:pt idx="1">
                  <c:v>6.7603510358038577E-4</c:v>
                </c:pt>
                <c:pt idx="2">
                  <c:v>1.3525272306218472E-3</c:v>
                </c:pt>
                <c:pt idx="3">
                  <c:v>1.8726518055862673E-3</c:v>
                </c:pt>
                <c:pt idx="4">
                  <c:v>2.3930465447197236E-3</c:v>
                </c:pt>
                <c:pt idx="5">
                  <c:v>2.9137115883515197E-3</c:v>
                </c:pt>
                <c:pt idx="6">
                  <c:v>3.43464707688379E-3</c:v>
                </c:pt>
                <c:pt idx="7">
                  <c:v>3.9558531507912775E-3</c:v>
                </c:pt>
                <c:pt idx="8">
                  <c:v>4.477329950622444E-3</c:v>
                </c:pt>
                <c:pt idx="9">
                  <c:v>4.9990776169976936E-3</c:v>
                </c:pt>
                <c:pt idx="10">
                  <c:v>5.5210962906122596E-3</c:v>
                </c:pt>
                <c:pt idx="11">
                  <c:v>6.0433861122319854E-3</c:v>
                </c:pt>
                <c:pt idx="12">
                  <c:v>6.5659472226979876E-3</c:v>
                </c:pt>
                <c:pt idx="13">
                  <c:v>7.0887797629231031E-3</c:v>
                </c:pt>
                <c:pt idx="14">
                  <c:v>7.6118838738941097E-3</c:v>
                </c:pt>
                <c:pt idx="15">
                  <c:v>8.1352596966706159E-3</c:v>
                </c:pt>
                <c:pt idx="16">
                  <c:v>8.658907372386393E-3</c:v>
                </c:pt>
                <c:pt idx="17">
                  <c:v>9.1828270422471547E-3</c:v>
                </c:pt>
                <c:pt idx="18">
                  <c:v>9.707018847533222E-3</c:v>
                </c:pt>
                <c:pt idx="19">
                  <c:v>1.0231482929597302E-2</c:v>
                </c:pt>
                <c:pt idx="20">
                  <c:v>1.0756219429866265E-2</c:v>
                </c:pt>
                <c:pt idx="21">
                  <c:v>1.1281228489840034E-2</c:v>
                </c:pt>
                <c:pt idx="22">
                  <c:v>1.1806510251091806E-2</c:v>
                </c:pt>
                <c:pt idx="23">
                  <c:v>1.2332064855268721E-2</c:v>
                </c:pt>
                <c:pt idx="24">
                  <c:v>1.2857892444091856E-2</c:v>
                </c:pt>
                <c:pt idx="25">
                  <c:v>1.3383993159355123E-2</c:v>
                </c:pt>
                <c:pt idx="26">
                  <c:v>1.3849749918166454E-2</c:v>
                </c:pt>
                <c:pt idx="27">
                  <c:v>1.4315720741300053E-2</c:v>
                </c:pt>
                <c:pt idx="28">
                  <c:v>1.478190572714233E-2</c:v>
                </c:pt>
                <c:pt idx="29">
                  <c:v>1.5248304974122773E-2</c:v>
                </c:pt>
                <c:pt idx="30">
                  <c:v>1.5714918580717496E-2</c:v>
                </c:pt>
                <c:pt idx="31">
                  <c:v>1.618174664544636E-2</c:v>
                </c:pt>
                <c:pt idx="32">
                  <c:v>1.664878926687674E-2</c:v>
                </c:pt>
                <c:pt idx="33">
                  <c:v>1.7116046543619312E-2</c:v>
                </c:pt>
                <c:pt idx="34">
                  <c:v>1.7583518574330936E-2</c:v>
                </c:pt>
                <c:pt idx="35">
                  <c:v>1.8051205457713992E-2</c:v>
                </c:pt>
                <c:pt idx="36">
                  <c:v>1.8519107292515713E-2</c:v>
                </c:pt>
                <c:pt idx="37">
                  <c:v>1.8987224177528628E-2</c:v>
                </c:pt>
                <c:pt idx="38">
                  <c:v>1.9455556211591229E-2</c:v>
                </c:pt>
                <c:pt idx="39">
                  <c:v>1.9924103493587086E-2</c:v>
                </c:pt>
                <c:pt idx="40">
                  <c:v>2.0392866122445286E-2</c:v>
                </c:pt>
                <c:pt idx="41">
                  <c:v>2.0861844197140877E-2</c:v>
                </c:pt>
                <c:pt idx="42">
                  <c:v>2.1331037816693987E-2</c:v>
                </c:pt>
                <c:pt idx="43">
                  <c:v>2.1800447080168928E-2</c:v>
                </c:pt>
                <c:pt idx="44">
                  <c:v>2.2270072086678194E-2</c:v>
                </c:pt>
                <c:pt idx="45">
                  <c:v>2.2739912935377804E-2</c:v>
                </c:pt>
                <c:pt idx="46">
                  <c:v>2.3209969725470181E-2</c:v>
                </c:pt>
                <c:pt idx="47">
                  <c:v>2.3859121021235996E-2</c:v>
                </c:pt>
                <c:pt idx="48">
                  <c:v>2.4508684155644556E-2</c:v>
                </c:pt>
                <c:pt idx="49">
                  <c:v>2.5158659389976634E-2</c:v>
                </c:pt>
                <c:pt idx="50">
                  <c:v>2.5809046985679318E-2</c:v>
                </c:pt>
                <c:pt idx="51">
                  <c:v>2.6459847204365783E-2</c:v>
                </c:pt>
                <c:pt idx="52">
                  <c:v>2.7111060307814627E-2</c:v>
                </c:pt>
                <c:pt idx="53">
                  <c:v>2.7762686557970762E-2</c:v>
                </c:pt>
                <c:pt idx="54">
                  <c:v>2.8414726216945185E-2</c:v>
                </c:pt>
                <c:pt idx="55">
                  <c:v>2.9067179547015876E-2</c:v>
                </c:pt>
                <c:pt idx="56">
                  <c:v>2.9720046810625789E-2</c:v>
                </c:pt>
                <c:pt idx="57">
                  <c:v>3.0373328270385969E-2</c:v>
                </c:pt>
                <c:pt idx="58">
                  <c:v>3.1027024189073105E-2</c:v>
                </c:pt>
                <c:pt idx="59">
                  <c:v>3.168113482963042E-2</c:v>
                </c:pt>
                <c:pt idx="60">
                  <c:v>3.2335660455169446E-2</c:v>
                </c:pt>
                <c:pt idx="61">
                  <c:v>3.2990601328966696E-2</c:v>
                </c:pt>
                <c:pt idx="62">
                  <c:v>3.364595771446699E-2</c:v>
                </c:pt>
                <c:pt idx="63">
                  <c:v>3.4301729875281017E-2</c:v>
                </c:pt>
                <c:pt idx="64">
                  <c:v>3.4957918075188665E-2</c:v>
                </c:pt>
                <c:pt idx="65">
                  <c:v>3.5614522578135466E-2</c:v>
                </c:pt>
                <c:pt idx="66">
                  <c:v>3.6078887523350867E-2</c:v>
                </c:pt>
                <c:pt idx="67">
                  <c:v>3.6543460687742391E-2</c:v>
                </c:pt>
                <c:pt idx="68">
                  <c:v>3.7008242164674021E-2</c:v>
                </c:pt>
                <c:pt idx="69">
                  <c:v>3.7473232047552596E-2</c:v>
                </c:pt>
                <c:pt idx="70">
                  <c:v>3.7938430429826031E-2</c:v>
                </c:pt>
                <c:pt idx="71">
                  <c:v>3.8403837404984653E-2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3CB-483A-891D-BE47A86D9D7F}"/>
            </c:ext>
          </c:extLst>
        </c:ser>
        <c:ser>
          <c:idx val="3"/>
          <c:order val="1"/>
          <c:tx>
            <c:strRef>
              <c:f>'2024'!$E$1</c:f>
              <c:strCache>
                <c:ptCount val="1"/>
                <c:pt idx="0">
                  <c:v>Mercado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'2024'!$A$2:$A$73</c:f>
              <c:numCache>
                <c:formatCode>m/d/yyyy</c:formatCode>
                <c:ptCount val="72"/>
                <c:pt idx="0">
                  <c:v>44526</c:v>
                </c:pt>
                <c:pt idx="1">
                  <c:v>44529</c:v>
                </c:pt>
                <c:pt idx="2">
                  <c:v>44530</c:v>
                </c:pt>
                <c:pt idx="3">
                  <c:v>44531</c:v>
                </c:pt>
                <c:pt idx="4">
                  <c:v>44532</c:v>
                </c:pt>
                <c:pt idx="5">
                  <c:v>44533</c:v>
                </c:pt>
                <c:pt idx="6">
                  <c:v>44536</c:v>
                </c:pt>
                <c:pt idx="7">
                  <c:v>44537</c:v>
                </c:pt>
                <c:pt idx="8">
                  <c:v>44538</c:v>
                </c:pt>
                <c:pt idx="9">
                  <c:v>44539</c:v>
                </c:pt>
                <c:pt idx="10">
                  <c:v>44540</c:v>
                </c:pt>
                <c:pt idx="11">
                  <c:v>44543</c:v>
                </c:pt>
                <c:pt idx="12">
                  <c:v>44544</c:v>
                </c:pt>
                <c:pt idx="13">
                  <c:v>44545</c:v>
                </c:pt>
                <c:pt idx="14">
                  <c:v>44546</c:v>
                </c:pt>
                <c:pt idx="15">
                  <c:v>44547</c:v>
                </c:pt>
                <c:pt idx="16">
                  <c:v>44550</c:v>
                </c:pt>
                <c:pt idx="17">
                  <c:v>44551</c:v>
                </c:pt>
                <c:pt idx="18">
                  <c:v>44552</c:v>
                </c:pt>
                <c:pt idx="19">
                  <c:v>44553</c:v>
                </c:pt>
                <c:pt idx="20">
                  <c:v>44554</c:v>
                </c:pt>
                <c:pt idx="21">
                  <c:v>44557</c:v>
                </c:pt>
                <c:pt idx="22">
                  <c:v>44558</c:v>
                </c:pt>
                <c:pt idx="23">
                  <c:v>44559</c:v>
                </c:pt>
                <c:pt idx="24">
                  <c:v>44560</c:v>
                </c:pt>
                <c:pt idx="25">
                  <c:v>44561</c:v>
                </c:pt>
                <c:pt idx="26">
                  <c:v>44564</c:v>
                </c:pt>
                <c:pt idx="27">
                  <c:v>44565</c:v>
                </c:pt>
                <c:pt idx="28">
                  <c:v>44566</c:v>
                </c:pt>
                <c:pt idx="29">
                  <c:v>44567</c:v>
                </c:pt>
                <c:pt idx="30">
                  <c:v>44568</c:v>
                </c:pt>
                <c:pt idx="31">
                  <c:v>44571</c:v>
                </c:pt>
                <c:pt idx="32">
                  <c:v>44572</c:v>
                </c:pt>
                <c:pt idx="33">
                  <c:v>44573</c:v>
                </c:pt>
                <c:pt idx="34">
                  <c:v>44574</c:v>
                </c:pt>
                <c:pt idx="35">
                  <c:v>44575</c:v>
                </c:pt>
                <c:pt idx="36">
                  <c:v>44578</c:v>
                </c:pt>
                <c:pt idx="37">
                  <c:v>44579</c:v>
                </c:pt>
                <c:pt idx="38">
                  <c:v>44580</c:v>
                </c:pt>
                <c:pt idx="39">
                  <c:v>44581</c:v>
                </c:pt>
                <c:pt idx="40">
                  <c:v>44582</c:v>
                </c:pt>
                <c:pt idx="41">
                  <c:v>44585</c:v>
                </c:pt>
                <c:pt idx="42">
                  <c:v>44586</c:v>
                </c:pt>
                <c:pt idx="43">
                  <c:v>44587</c:v>
                </c:pt>
                <c:pt idx="44">
                  <c:v>44588</c:v>
                </c:pt>
                <c:pt idx="45">
                  <c:v>44589</c:v>
                </c:pt>
                <c:pt idx="46">
                  <c:v>44592</c:v>
                </c:pt>
                <c:pt idx="47">
                  <c:v>44593</c:v>
                </c:pt>
                <c:pt idx="48">
                  <c:v>44594</c:v>
                </c:pt>
                <c:pt idx="49">
                  <c:v>44595</c:v>
                </c:pt>
                <c:pt idx="50">
                  <c:v>44596</c:v>
                </c:pt>
                <c:pt idx="51">
                  <c:v>44599</c:v>
                </c:pt>
                <c:pt idx="52">
                  <c:v>44600</c:v>
                </c:pt>
                <c:pt idx="53">
                  <c:v>44601</c:v>
                </c:pt>
                <c:pt idx="54">
                  <c:v>44602</c:v>
                </c:pt>
                <c:pt idx="55">
                  <c:v>44603</c:v>
                </c:pt>
                <c:pt idx="56">
                  <c:v>44606</c:v>
                </c:pt>
                <c:pt idx="57">
                  <c:v>44607</c:v>
                </c:pt>
                <c:pt idx="58">
                  <c:v>44608</c:v>
                </c:pt>
                <c:pt idx="59">
                  <c:v>44609</c:v>
                </c:pt>
                <c:pt idx="60">
                  <c:v>44610</c:v>
                </c:pt>
                <c:pt idx="61">
                  <c:v>44613</c:v>
                </c:pt>
                <c:pt idx="62">
                  <c:v>44614</c:v>
                </c:pt>
                <c:pt idx="63">
                  <c:v>44615</c:v>
                </c:pt>
                <c:pt idx="64">
                  <c:v>44616</c:v>
                </c:pt>
                <c:pt idx="65">
                  <c:v>44617</c:v>
                </c:pt>
                <c:pt idx="66">
                  <c:v>44622</c:v>
                </c:pt>
                <c:pt idx="67">
                  <c:v>44623</c:v>
                </c:pt>
                <c:pt idx="68">
                  <c:v>44624</c:v>
                </c:pt>
                <c:pt idx="69">
                  <c:v>44627</c:v>
                </c:pt>
                <c:pt idx="70">
                  <c:v>44628</c:v>
                </c:pt>
                <c:pt idx="71">
                  <c:v>44629</c:v>
                </c:pt>
              </c:numCache>
            </c:numRef>
          </c:cat>
          <c:val>
            <c:numRef>
              <c:f>'2024'!$E$2:$E$73</c:f>
              <c:numCache>
                <c:formatCode>#,##0.00</c:formatCode>
                <c:ptCount val="72"/>
                <c:pt idx="0">
                  <c:v>0</c:v>
                </c:pt>
                <c:pt idx="1">
                  <c:v>2.3811345472344314E-3</c:v>
                </c:pt>
                <c:pt idx="2">
                  <c:v>3.7172723572505006E-3</c:v>
                </c:pt>
                <c:pt idx="3">
                  <c:v>3.2603762755056831E-3</c:v>
                </c:pt>
                <c:pt idx="4">
                  <c:v>5.6663384624575652E-3</c:v>
                </c:pt>
                <c:pt idx="5">
                  <c:v>1.0001934952181601E-2</c:v>
                </c:pt>
                <c:pt idx="6">
                  <c:v>8.6986075663635365E-3</c:v>
                </c:pt>
                <c:pt idx="7">
                  <c:v>7.6046200525474728E-3</c:v>
                </c:pt>
                <c:pt idx="8">
                  <c:v>9.0998893214839782E-3</c:v>
                </c:pt>
                <c:pt idx="9">
                  <c:v>6.3946505423637667E-3</c:v>
                </c:pt>
                <c:pt idx="10">
                  <c:v>8.440843839976564E-3</c:v>
                </c:pt>
                <c:pt idx="11">
                  <c:v>7.5236846146256031E-3</c:v>
                </c:pt>
                <c:pt idx="12">
                  <c:v>7.3408872027109773E-3</c:v>
                </c:pt>
                <c:pt idx="13">
                  <c:v>7.4320428851843978E-3</c:v>
                </c:pt>
                <c:pt idx="14">
                  <c:v>6.0403175301826373E-3</c:v>
                </c:pt>
                <c:pt idx="15">
                  <c:v>4.0337143888258264E-3</c:v>
                </c:pt>
                <c:pt idx="16">
                  <c:v>4.9732988613548912E-3</c:v>
                </c:pt>
                <c:pt idx="17">
                  <c:v>7.7582633968558135E-3</c:v>
                </c:pt>
                <c:pt idx="18">
                  <c:v>8.495479443547449E-3</c:v>
                </c:pt>
                <c:pt idx="19">
                  <c:v>9.1048643423252695E-3</c:v>
                </c:pt>
                <c:pt idx="20">
                  <c:v>9.397890206091164E-3</c:v>
                </c:pt>
                <c:pt idx="21">
                  <c:v>1.0546377293966902E-2</c:v>
                </c:pt>
                <c:pt idx="22">
                  <c:v>1.0898630088766792E-2</c:v>
                </c:pt>
                <c:pt idx="23">
                  <c:v>1.0246011935378219E-2</c:v>
                </c:pt>
                <c:pt idx="24">
                  <c:v>1.1988478115835921E-2</c:v>
                </c:pt>
                <c:pt idx="25">
                  <c:v>1.2464686675882852E-2</c:v>
                </c:pt>
                <c:pt idx="26">
                  <c:v>1.3110332587612961E-2</c:v>
                </c:pt>
                <c:pt idx="27">
                  <c:v>1.0708856722887683E-2</c:v>
                </c:pt>
                <c:pt idx="28">
                  <c:v>8.8958055449470663E-3</c:v>
                </c:pt>
                <c:pt idx="29">
                  <c:v>8.1029189567065618E-3</c:v>
                </c:pt>
                <c:pt idx="30">
                  <c:v>5.3464092493937798E-3</c:v>
                </c:pt>
                <c:pt idx="31">
                  <c:v>7.0279898933718332E-3</c:v>
                </c:pt>
                <c:pt idx="32">
                  <c:v>7.2444314074253668E-3</c:v>
                </c:pt>
                <c:pt idx="33">
                  <c:v>1.0189969367699669E-2</c:v>
                </c:pt>
                <c:pt idx="34">
                  <c:v>1.0664613190619177E-2</c:v>
                </c:pt>
                <c:pt idx="35">
                  <c:v>1.1272206371252702E-2</c:v>
                </c:pt>
                <c:pt idx="36">
                  <c:v>8.9528080089817941E-3</c:v>
                </c:pt>
                <c:pt idx="37">
                  <c:v>9.328715619856931E-3</c:v>
                </c:pt>
                <c:pt idx="38">
                  <c:v>1.2470134220289308E-2</c:v>
                </c:pt>
                <c:pt idx="39">
                  <c:v>1.4079881206026768E-2</c:v>
                </c:pt>
                <c:pt idx="40">
                  <c:v>1.4571325336506957E-2</c:v>
                </c:pt>
                <c:pt idx="41">
                  <c:v>1.5970987602489384E-2</c:v>
                </c:pt>
                <c:pt idx="42">
                  <c:v>1.5494090144449357E-2</c:v>
                </c:pt>
                <c:pt idx="43">
                  <c:v>1.5637890838795077E-2</c:v>
                </c:pt>
                <c:pt idx="44">
                  <c:v>1.2538720936295933E-2</c:v>
                </c:pt>
                <c:pt idx="45">
                  <c:v>1.3417845461752398E-2</c:v>
                </c:pt>
                <c:pt idx="46">
                  <c:v>1.2329645433539094E-2</c:v>
                </c:pt>
                <c:pt idx="47">
                  <c:v>1.4354722071962422E-2</c:v>
                </c:pt>
                <c:pt idx="48">
                  <c:v>1.6497345178715817E-2</c:v>
                </c:pt>
                <c:pt idx="49">
                  <c:v>2.1273553188042138E-2</c:v>
                </c:pt>
                <c:pt idx="50">
                  <c:v>1.9437281533869918E-2</c:v>
                </c:pt>
                <c:pt idx="51">
                  <c:v>2.0764201952378825E-2</c:v>
                </c:pt>
                <c:pt idx="52">
                  <c:v>1.8945328021925167E-2</c:v>
                </c:pt>
                <c:pt idx="53">
                  <c:v>1.6192557402603169E-2</c:v>
                </c:pt>
                <c:pt idx="54">
                  <c:v>1.6767105488244338E-2</c:v>
                </c:pt>
                <c:pt idx="55">
                  <c:v>1.6057518281577643E-2</c:v>
                </c:pt>
                <c:pt idx="56">
                  <c:v>1.7438927932721171E-2</c:v>
                </c:pt>
                <c:pt idx="57">
                  <c:v>2.0113458778862503E-2</c:v>
                </c:pt>
                <c:pt idx="58">
                  <c:v>2.0364000478406474E-2</c:v>
                </c:pt>
                <c:pt idx="59">
                  <c:v>1.9609110141173062E-2</c:v>
                </c:pt>
                <c:pt idx="60">
                  <c:v>2.003119539592535E-2</c:v>
                </c:pt>
                <c:pt idx="61">
                  <c:v>2.0376499813893556E-2</c:v>
                </c:pt>
                <c:pt idx="62">
                  <c:v>1.9668381089553932E-2</c:v>
                </c:pt>
                <c:pt idx="63">
                  <c:v>2.1698793372864289E-2</c:v>
                </c:pt>
                <c:pt idx="64">
                  <c:v>2.2035754382306205E-2</c:v>
                </c:pt>
                <c:pt idx="65">
                  <c:v>2.3293666207708119E-2</c:v>
                </c:pt>
                <c:pt idx="66">
                  <c:v>2.3914021236920879E-2</c:v>
                </c:pt>
                <c:pt idx="67">
                  <c:v>2.4564202526354162E-2</c:v>
                </c:pt>
                <c:pt idx="68">
                  <c:v>2.2989086055586361E-2</c:v>
                </c:pt>
                <c:pt idx="69">
                  <c:v>2.2669871461495461E-2</c:v>
                </c:pt>
                <c:pt idx="70">
                  <c:v>2.4868006541283849E-2</c:v>
                </c:pt>
                <c:pt idx="71">
                  <c:v>2.7632059920268404E-2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3CB-483A-891D-BE47A86D9D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102456"/>
        <c:axId val="688106296"/>
      </c:lineChart>
      <c:dateAx>
        <c:axId val="688102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88106296"/>
        <c:crosses val="autoZero"/>
        <c:auto val="1"/>
        <c:lblOffset val="100"/>
        <c:baseTimeUnit val="days"/>
      </c:dateAx>
      <c:valAx>
        <c:axId val="688106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88102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'2025'!$D$1</c:f>
              <c:strCache>
                <c:ptCount val="1"/>
                <c:pt idx="0">
                  <c:v>Curva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'2025'!$A$2:$A$73</c:f>
              <c:numCache>
                <c:formatCode>m/d/yyyy</c:formatCode>
                <c:ptCount val="72"/>
                <c:pt idx="0">
                  <c:v>44526</c:v>
                </c:pt>
                <c:pt idx="1">
                  <c:v>44529</c:v>
                </c:pt>
                <c:pt idx="2">
                  <c:v>44530</c:v>
                </c:pt>
                <c:pt idx="3">
                  <c:v>44531</c:v>
                </c:pt>
                <c:pt idx="4">
                  <c:v>44532</c:v>
                </c:pt>
                <c:pt idx="5">
                  <c:v>44533</c:v>
                </c:pt>
                <c:pt idx="6">
                  <c:v>44536</c:v>
                </c:pt>
                <c:pt idx="7">
                  <c:v>44537</c:v>
                </c:pt>
                <c:pt idx="8">
                  <c:v>44538</c:v>
                </c:pt>
                <c:pt idx="9">
                  <c:v>44539</c:v>
                </c:pt>
                <c:pt idx="10">
                  <c:v>44540</c:v>
                </c:pt>
                <c:pt idx="11">
                  <c:v>44543</c:v>
                </c:pt>
                <c:pt idx="12">
                  <c:v>44544</c:v>
                </c:pt>
                <c:pt idx="13">
                  <c:v>44545</c:v>
                </c:pt>
                <c:pt idx="14">
                  <c:v>44546</c:v>
                </c:pt>
                <c:pt idx="15">
                  <c:v>44547</c:v>
                </c:pt>
                <c:pt idx="16">
                  <c:v>44550</c:v>
                </c:pt>
                <c:pt idx="17">
                  <c:v>44551</c:v>
                </c:pt>
                <c:pt idx="18">
                  <c:v>44552</c:v>
                </c:pt>
                <c:pt idx="19">
                  <c:v>44553</c:v>
                </c:pt>
                <c:pt idx="20">
                  <c:v>44554</c:v>
                </c:pt>
                <c:pt idx="21">
                  <c:v>44557</c:v>
                </c:pt>
                <c:pt idx="22">
                  <c:v>44558</c:v>
                </c:pt>
                <c:pt idx="23">
                  <c:v>44559</c:v>
                </c:pt>
                <c:pt idx="24">
                  <c:v>44560</c:v>
                </c:pt>
                <c:pt idx="25">
                  <c:v>44561</c:v>
                </c:pt>
                <c:pt idx="26">
                  <c:v>44564</c:v>
                </c:pt>
                <c:pt idx="27">
                  <c:v>44565</c:v>
                </c:pt>
                <c:pt idx="28">
                  <c:v>44566</c:v>
                </c:pt>
                <c:pt idx="29">
                  <c:v>44567</c:v>
                </c:pt>
                <c:pt idx="30">
                  <c:v>44568</c:v>
                </c:pt>
                <c:pt idx="31">
                  <c:v>44571</c:v>
                </c:pt>
                <c:pt idx="32">
                  <c:v>44572</c:v>
                </c:pt>
                <c:pt idx="33">
                  <c:v>44573</c:v>
                </c:pt>
                <c:pt idx="34">
                  <c:v>44574</c:v>
                </c:pt>
                <c:pt idx="35">
                  <c:v>44575</c:v>
                </c:pt>
                <c:pt idx="36">
                  <c:v>44578</c:v>
                </c:pt>
                <c:pt idx="37">
                  <c:v>44579</c:v>
                </c:pt>
                <c:pt idx="38">
                  <c:v>44580</c:v>
                </c:pt>
                <c:pt idx="39">
                  <c:v>44581</c:v>
                </c:pt>
                <c:pt idx="40">
                  <c:v>44582</c:v>
                </c:pt>
                <c:pt idx="41">
                  <c:v>44585</c:v>
                </c:pt>
                <c:pt idx="42">
                  <c:v>44586</c:v>
                </c:pt>
                <c:pt idx="43">
                  <c:v>44587</c:v>
                </c:pt>
                <c:pt idx="44">
                  <c:v>44588</c:v>
                </c:pt>
                <c:pt idx="45">
                  <c:v>44589</c:v>
                </c:pt>
                <c:pt idx="46">
                  <c:v>44592</c:v>
                </c:pt>
                <c:pt idx="47">
                  <c:v>44593</c:v>
                </c:pt>
                <c:pt idx="48">
                  <c:v>44594</c:v>
                </c:pt>
                <c:pt idx="49">
                  <c:v>44595</c:v>
                </c:pt>
                <c:pt idx="50">
                  <c:v>44596</c:v>
                </c:pt>
                <c:pt idx="51">
                  <c:v>44599</c:v>
                </c:pt>
                <c:pt idx="52">
                  <c:v>44600</c:v>
                </c:pt>
                <c:pt idx="53">
                  <c:v>44601</c:v>
                </c:pt>
                <c:pt idx="54">
                  <c:v>44602</c:v>
                </c:pt>
                <c:pt idx="55">
                  <c:v>44603</c:v>
                </c:pt>
                <c:pt idx="56">
                  <c:v>44606</c:v>
                </c:pt>
                <c:pt idx="57">
                  <c:v>44607</c:v>
                </c:pt>
                <c:pt idx="58">
                  <c:v>44608</c:v>
                </c:pt>
                <c:pt idx="59">
                  <c:v>44609</c:v>
                </c:pt>
                <c:pt idx="60">
                  <c:v>44610</c:v>
                </c:pt>
                <c:pt idx="61">
                  <c:v>44613</c:v>
                </c:pt>
                <c:pt idx="62">
                  <c:v>44614</c:v>
                </c:pt>
                <c:pt idx="63">
                  <c:v>44615</c:v>
                </c:pt>
                <c:pt idx="64">
                  <c:v>44616</c:v>
                </c:pt>
                <c:pt idx="65">
                  <c:v>44617</c:v>
                </c:pt>
                <c:pt idx="66">
                  <c:v>44622</c:v>
                </c:pt>
                <c:pt idx="67">
                  <c:v>44623</c:v>
                </c:pt>
                <c:pt idx="68">
                  <c:v>44624</c:v>
                </c:pt>
                <c:pt idx="69">
                  <c:v>44627</c:v>
                </c:pt>
                <c:pt idx="70">
                  <c:v>44628</c:v>
                </c:pt>
                <c:pt idx="71">
                  <c:v>44629</c:v>
                </c:pt>
              </c:numCache>
            </c:numRef>
          </c:cat>
          <c:val>
            <c:numRef>
              <c:f>'2025'!$D$2:$D$73</c:f>
              <c:numCache>
                <c:formatCode>#,##0.00</c:formatCode>
                <c:ptCount val="72"/>
                <c:pt idx="0">
                  <c:v>0</c:v>
                </c:pt>
                <c:pt idx="1">
                  <c:v>6.7037179088691445E-4</c:v>
                </c:pt>
                <c:pt idx="2">
                  <c:v>1.341192980111483E-3</c:v>
                </c:pt>
                <c:pt idx="3">
                  <c:v>1.8556416470660864E-3</c:v>
                </c:pt>
                <c:pt idx="4">
                  <c:v>2.3703546169699941E-3</c:v>
                </c:pt>
                <c:pt idx="5">
                  <c:v>2.8853320256119197E-3</c:v>
                </c:pt>
                <c:pt idx="6">
                  <c:v>3.4005740088496328E-3</c:v>
                </c:pt>
                <c:pt idx="7">
                  <c:v>3.9160807026108468E-3</c:v>
                </c:pt>
                <c:pt idx="8">
                  <c:v>4.4318522428929974E-3</c:v>
                </c:pt>
                <c:pt idx="9">
                  <c:v>4.9478887657639081E-3</c:v>
                </c:pt>
                <c:pt idx="10">
                  <c:v>5.4641904073606806E-3</c:v>
                </c:pt>
                <c:pt idx="11">
                  <c:v>5.9807573038908046E-3</c:v>
                </c:pt>
                <c:pt idx="12">
                  <c:v>6.4975895916314919E-3</c:v>
                </c:pt>
                <c:pt idx="13">
                  <c:v>7.0146874069298981E-3</c:v>
                </c:pt>
                <c:pt idx="14">
                  <c:v>7.5320508862031232E-3</c:v>
                </c:pt>
                <c:pt idx="15">
                  <c:v>8.0496801659393213E-3</c:v>
                </c:pt>
                <c:pt idx="16">
                  <c:v>8.5675753826950363E-3</c:v>
                </c:pt>
                <c:pt idx="17">
                  <c:v>9.0857366730987543E-3</c:v>
                </c:pt>
                <c:pt idx="18">
                  <c:v>9.6041641738482397E-3</c:v>
                </c:pt>
                <c:pt idx="19">
                  <c:v>1.0122858021711423E-2</c:v>
                </c:pt>
                <c:pt idx="20">
                  <c:v>1.0641818353527066E-2</c:v>
                </c:pt>
                <c:pt idx="21">
                  <c:v>1.116104530620321E-2</c:v>
                </c:pt>
                <c:pt idx="22">
                  <c:v>1.1680539016719615E-2</c:v>
                </c:pt>
                <c:pt idx="23">
                  <c:v>1.2200299622124877E-2</c:v>
                </c:pt>
                <c:pt idx="24">
                  <c:v>1.272032725953931E-2</c:v>
                </c:pt>
                <c:pt idx="25">
                  <c:v>1.3240622066153396E-2</c:v>
                </c:pt>
                <c:pt idx="26">
                  <c:v>1.3700575873457854E-2</c:v>
                </c:pt>
                <c:pt idx="27">
                  <c:v>1.4160738473718792E-2</c:v>
                </c:pt>
                <c:pt idx="28">
                  <c:v>1.462110996171595E-2</c:v>
                </c:pt>
                <c:pt idx="29">
                  <c:v>1.508169043227281E-2</c:v>
                </c:pt>
                <c:pt idx="30">
                  <c:v>1.5542479980255708E-2</c:v>
                </c:pt>
                <c:pt idx="31">
                  <c:v>1.6003478700573615E-2</c:v>
                </c:pt>
                <c:pt idx="32">
                  <c:v>1.6464686688178798E-2</c:v>
                </c:pt>
                <c:pt idx="33">
                  <c:v>1.6926104038067047E-2</c:v>
                </c:pt>
                <c:pt idx="34">
                  <c:v>1.7387730845277005E-2</c:v>
                </c:pt>
                <c:pt idx="35">
                  <c:v>1.7849567204890615E-2</c:v>
                </c:pt>
                <c:pt idx="36">
                  <c:v>1.8311613212032007E-2</c:v>
                </c:pt>
                <c:pt idx="37">
                  <c:v>1.8773868961869944E-2</c:v>
                </c:pt>
                <c:pt idx="38">
                  <c:v>1.9236334549615375E-2</c:v>
                </c:pt>
                <c:pt idx="39">
                  <c:v>1.9699010070523215E-2</c:v>
                </c:pt>
                <c:pt idx="40">
                  <c:v>2.0161895619890569E-2</c:v>
                </c:pt>
                <c:pt idx="41">
                  <c:v>2.0624991293059391E-2</c:v>
                </c:pt>
                <c:pt idx="42">
                  <c:v>2.1088297185412941E-2</c:v>
                </c:pt>
                <c:pt idx="43">
                  <c:v>2.1551813392379771E-2</c:v>
                </c:pt>
                <c:pt idx="44">
                  <c:v>2.2015540009429957E-2</c:v>
                </c:pt>
                <c:pt idx="45">
                  <c:v>2.2479477132078429E-2</c:v>
                </c:pt>
                <c:pt idx="46">
                  <c:v>2.2943624855882305E-2</c:v>
                </c:pt>
                <c:pt idx="47">
                  <c:v>2.3586814166735692E-2</c:v>
                </c:pt>
                <c:pt idx="48">
                  <c:v>2.4230407891359995E-2</c:v>
                </c:pt>
                <c:pt idx="49">
                  <c:v>2.4874406284037143E-2</c:v>
                </c:pt>
                <c:pt idx="50">
                  <c:v>2.5518809599206937E-2</c:v>
                </c:pt>
                <c:pt idx="51">
                  <c:v>2.6163618091469498E-2</c:v>
                </c:pt>
                <c:pt idx="52">
                  <c:v>2.6808832015585704E-2</c:v>
                </c:pt>
                <c:pt idx="53">
                  <c:v>2.745445162647564E-2</c:v>
                </c:pt>
                <c:pt idx="54">
                  <c:v>2.8100477179220817E-2</c:v>
                </c:pt>
                <c:pt idx="55">
                  <c:v>2.8746908929062176E-2</c:v>
                </c:pt>
                <c:pt idx="56">
                  <c:v>2.9393747131401415E-2</c:v>
                </c:pt>
                <c:pt idx="57">
                  <c:v>3.0040992041801218E-2</c:v>
                </c:pt>
                <c:pt idx="58">
                  <c:v>3.0688643915984359E-2</c:v>
                </c:pt>
                <c:pt idx="59">
                  <c:v>3.1336703009835043E-2</c:v>
                </c:pt>
                <c:pt idx="60">
                  <c:v>3.1985169579397565E-2</c:v>
                </c:pt>
                <c:pt idx="61">
                  <c:v>3.2634043880878538E-2</c:v>
                </c:pt>
                <c:pt idx="62">
                  <c:v>3.3283326170643557E-2</c:v>
                </c:pt>
                <c:pt idx="63">
                  <c:v>3.3933016705221641E-2</c:v>
                </c:pt>
                <c:pt idx="64">
                  <c:v>3.458311574130124E-2</c:v>
                </c:pt>
                <c:pt idx="65">
                  <c:v>3.5233623535733782E-2</c:v>
                </c:pt>
                <c:pt idx="66">
                  <c:v>3.5691956169507266E-2</c:v>
                </c:pt>
                <c:pt idx="67">
                  <c:v>3.6150491722504619E-2</c:v>
                </c:pt>
                <c:pt idx="68">
                  <c:v>3.6609230284564642E-2</c:v>
                </c:pt>
                <c:pt idx="69">
                  <c:v>3.7068171945566553E-2</c:v>
                </c:pt>
                <c:pt idx="70">
                  <c:v>3.7527316795428645E-2</c:v>
                </c:pt>
                <c:pt idx="71">
                  <c:v>3.7986664924109848E-2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67F-418C-863A-1D3CDC68CE3D}"/>
            </c:ext>
          </c:extLst>
        </c:ser>
        <c:ser>
          <c:idx val="3"/>
          <c:order val="1"/>
          <c:tx>
            <c:strRef>
              <c:f>'2025'!$E$1</c:f>
              <c:strCache>
                <c:ptCount val="1"/>
                <c:pt idx="0">
                  <c:v>Mercado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'2025'!$A$2:$A$73</c:f>
              <c:numCache>
                <c:formatCode>m/d/yyyy</c:formatCode>
                <c:ptCount val="72"/>
                <c:pt idx="0">
                  <c:v>44526</c:v>
                </c:pt>
                <c:pt idx="1">
                  <c:v>44529</c:v>
                </c:pt>
                <c:pt idx="2">
                  <c:v>44530</c:v>
                </c:pt>
                <c:pt idx="3">
                  <c:v>44531</c:v>
                </c:pt>
                <c:pt idx="4">
                  <c:v>44532</c:v>
                </c:pt>
                <c:pt idx="5">
                  <c:v>44533</c:v>
                </c:pt>
                <c:pt idx="6">
                  <c:v>44536</c:v>
                </c:pt>
                <c:pt idx="7">
                  <c:v>44537</c:v>
                </c:pt>
                <c:pt idx="8">
                  <c:v>44538</c:v>
                </c:pt>
                <c:pt idx="9">
                  <c:v>44539</c:v>
                </c:pt>
                <c:pt idx="10">
                  <c:v>44540</c:v>
                </c:pt>
                <c:pt idx="11">
                  <c:v>44543</c:v>
                </c:pt>
                <c:pt idx="12">
                  <c:v>44544</c:v>
                </c:pt>
                <c:pt idx="13">
                  <c:v>44545</c:v>
                </c:pt>
                <c:pt idx="14">
                  <c:v>44546</c:v>
                </c:pt>
                <c:pt idx="15">
                  <c:v>44547</c:v>
                </c:pt>
                <c:pt idx="16">
                  <c:v>44550</c:v>
                </c:pt>
                <c:pt idx="17">
                  <c:v>44551</c:v>
                </c:pt>
                <c:pt idx="18">
                  <c:v>44552</c:v>
                </c:pt>
                <c:pt idx="19">
                  <c:v>44553</c:v>
                </c:pt>
                <c:pt idx="20">
                  <c:v>44554</c:v>
                </c:pt>
                <c:pt idx="21">
                  <c:v>44557</c:v>
                </c:pt>
                <c:pt idx="22">
                  <c:v>44558</c:v>
                </c:pt>
                <c:pt idx="23">
                  <c:v>44559</c:v>
                </c:pt>
                <c:pt idx="24">
                  <c:v>44560</c:v>
                </c:pt>
                <c:pt idx="25">
                  <c:v>44561</c:v>
                </c:pt>
                <c:pt idx="26">
                  <c:v>44564</c:v>
                </c:pt>
                <c:pt idx="27">
                  <c:v>44565</c:v>
                </c:pt>
                <c:pt idx="28">
                  <c:v>44566</c:v>
                </c:pt>
                <c:pt idx="29">
                  <c:v>44567</c:v>
                </c:pt>
                <c:pt idx="30">
                  <c:v>44568</c:v>
                </c:pt>
                <c:pt idx="31">
                  <c:v>44571</c:v>
                </c:pt>
                <c:pt idx="32">
                  <c:v>44572</c:v>
                </c:pt>
                <c:pt idx="33">
                  <c:v>44573</c:v>
                </c:pt>
                <c:pt idx="34">
                  <c:v>44574</c:v>
                </c:pt>
                <c:pt idx="35">
                  <c:v>44575</c:v>
                </c:pt>
                <c:pt idx="36">
                  <c:v>44578</c:v>
                </c:pt>
                <c:pt idx="37">
                  <c:v>44579</c:v>
                </c:pt>
                <c:pt idx="38">
                  <c:v>44580</c:v>
                </c:pt>
                <c:pt idx="39">
                  <c:v>44581</c:v>
                </c:pt>
                <c:pt idx="40">
                  <c:v>44582</c:v>
                </c:pt>
                <c:pt idx="41">
                  <c:v>44585</c:v>
                </c:pt>
                <c:pt idx="42">
                  <c:v>44586</c:v>
                </c:pt>
                <c:pt idx="43">
                  <c:v>44587</c:v>
                </c:pt>
                <c:pt idx="44">
                  <c:v>44588</c:v>
                </c:pt>
                <c:pt idx="45">
                  <c:v>44589</c:v>
                </c:pt>
                <c:pt idx="46">
                  <c:v>44592</c:v>
                </c:pt>
                <c:pt idx="47">
                  <c:v>44593</c:v>
                </c:pt>
                <c:pt idx="48">
                  <c:v>44594</c:v>
                </c:pt>
                <c:pt idx="49">
                  <c:v>44595</c:v>
                </c:pt>
                <c:pt idx="50">
                  <c:v>44596</c:v>
                </c:pt>
                <c:pt idx="51">
                  <c:v>44599</c:v>
                </c:pt>
                <c:pt idx="52">
                  <c:v>44600</c:v>
                </c:pt>
                <c:pt idx="53">
                  <c:v>44601</c:v>
                </c:pt>
                <c:pt idx="54">
                  <c:v>44602</c:v>
                </c:pt>
                <c:pt idx="55">
                  <c:v>44603</c:v>
                </c:pt>
                <c:pt idx="56">
                  <c:v>44606</c:v>
                </c:pt>
                <c:pt idx="57">
                  <c:v>44607</c:v>
                </c:pt>
                <c:pt idx="58">
                  <c:v>44608</c:v>
                </c:pt>
                <c:pt idx="59">
                  <c:v>44609</c:v>
                </c:pt>
                <c:pt idx="60">
                  <c:v>44610</c:v>
                </c:pt>
                <c:pt idx="61">
                  <c:v>44613</c:v>
                </c:pt>
                <c:pt idx="62">
                  <c:v>44614</c:v>
                </c:pt>
                <c:pt idx="63">
                  <c:v>44615</c:v>
                </c:pt>
                <c:pt idx="64">
                  <c:v>44616</c:v>
                </c:pt>
                <c:pt idx="65">
                  <c:v>44617</c:v>
                </c:pt>
                <c:pt idx="66">
                  <c:v>44622</c:v>
                </c:pt>
                <c:pt idx="67">
                  <c:v>44623</c:v>
                </c:pt>
                <c:pt idx="68">
                  <c:v>44624</c:v>
                </c:pt>
                <c:pt idx="69">
                  <c:v>44627</c:v>
                </c:pt>
                <c:pt idx="70">
                  <c:v>44628</c:v>
                </c:pt>
                <c:pt idx="71">
                  <c:v>44629</c:v>
                </c:pt>
              </c:numCache>
            </c:numRef>
          </c:cat>
          <c:val>
            <c:numRef>
              <c:f>'2025'!$E$2:$E$73</c:f>
              <c:numCache>
                <c:formatCode>#,##0.00</c:formatCode>
                <c:ptCount val="72"/>
                <c:pt idx="0">
                  <c:v>0</c:v>
                </c:pt>
                <c:pt idx="1">
                  <c:v>2.2186936348282953E-3</c:v>
                </c:pt>
                <c:pt idx="2">
                  <c:v>4.0503507086719895E-3</c:v>
                </c:pt>
                <c:pt idx="3">
                  <c:v>2.4271323834239578E-3</c:v>
                </c:pt>
                <c:pt idx="4">
                  <c:v>4.9446925306519951E-3</c:v>
                </c:pt>
                <c:pt idx="5">
                  <c:v>1.0738537792895908E-2</c:v>
                </c:pt>
                <c:pt idx="6">
                  <c:v>9.0472375550989526E-3</c:v>
                </c:pt>
                <c:pt idx="7">
                  <c:v>8.0989203222401329E-3</c:v>
                </c:pt>
                <c:pt idx="8">
                  <c:v>1.0106419586183302E-2</c:v>
                </c:pt>
                <c:pt idx="9">
                  <c:v>8.5148707984985528E-3</c:v>
                </c:pt>
                <c:pt idx="10">
                  <c:v>1.0826103499635531E-2</c:v>
                </c:pt>
                <c:pt idx="11">
                  <c:v>8.4676545150390581E-3</c:v>
                </c:pt>
                <c:pt idx="12">
                  <c:v>9.5516280608354265E-3</c:v>
                </c:pt>
                <c:pt idx="13">
                  <c:v>9.31665849754304E-3</c:v>
                </c:pt>
                <c:pt idx="14">
                  <c:v>6.6860747433319379E-3</c:v>
                </c:pt>
                <c:pt idx="15">
                  <c:v>4.8103567877180176E-3</c:v>
                </c:pt>
                <c:pt idx="16">
                  <c:v>6.6604958708800233E-3</c:v>
                </c:pt>
                <c:pt idx="17">
                  <c:v>9.3546980266037139E-3</c:v>
                </c:pt>
                <c:pt idx="18">
                  <c:v>1.0203382185588028E-2</c:v>
                </c:pt>
                <c:pt idx="19">
                  <c:v>1.0691380957152052E-2</c:v>
                </c:pt>
                <c:pt idx="20">
                  <c:v>1.0980260772473383E-2</c:v>
                </c:pt>
                <c:pt idx="21">
                  <c:v>1.175026471126861E-2</c:v>
                </c:pt>
                <c:pt idx="22">
                  <c:v>1.1888040114621079E-2</c:v>
                </c:pt>
                <c:pt idx="23">
                  <c:v>1.0853388703251143E-2</c:v>
                </c:pt>
                <c:pt idx="24">
                  <c:v>1.2680894561264866E-2</c:v>
                </c:pt>
                <c:pt idx="25">
                  <c:v>1.3154951675262261E-2</c:v>
                </c:pt>
                <c:pt idx="26">
                  <c:v>1.1930396222809225E-2</c:v>
                </c:pt>
                <c:pt idx="27">
                  <c:v>9.2000026091580978E-3</c:v>
                </c:pt>
                <c:pt idx="28">
                  <c:v>6.72209279045477E-3</c:v>
                </c:pt>
                <c:pt idx="29">
                  <c:v>5.3896285709595926E-3</c:v>
                </c:pt>
                <c:pt idx="30">
                  <c:v>3.8483362073500338E-3</c:v>
                </c:pt>
                <c:pt idx="31">
                  <c:v>5.0290459839563706E-3</c:v>
                </c:pt>
                <c:pt idx="32">
                  <c:v>5.2641798721579924E-3</c:v>
                </c:pt>
                <c:pt idx="33">
                  <c:v>8.711134706795411E-3</c:v>
                </c:pt>
                <c:pt idx="34">
                  <c:v>9.3733498123687031E-3</c:v>
                </c:pt>
                <c:pt idx="35">
                  <c:v>1.0282782787487177E-2</c:v>
                </c:pt>
                <c:pt idx="36">
                  <c:v>7.0176878613004146E-3</c:v>
                </c:pt>
                <c:pt idx="37">
                  <c:v>7.4190271792964335E-3</c:v>
                </c:pt>
                <c:pt idx="38">
                  <c:v>1.0917398057864958E-2</c:v>
                </c:pt>
                <c:pt idx="39">
                  <c:v>1.4534387378234204E-2</c:v>
                </c:pt>
                <c:pt idx="40">
                  <c:v>1.4891166869001493E-2</c:v>
                </c:pt>
                <c:pt idx="41">
                  <c:v>1.5968106893336165E-2</c:v>
                </c:pt>
                <c:pt idx="42">
                  <c:v>1.5399129948826751E-2</c:v>
                </c:pt>
                <c:pt idx="43">
                  <c:v>1.472934784993063E-2</c:v>
                </c:pt>
                <c:pt idx="44">
                  <c:v>1.230498822219972E-2</c:v>
                </c:pt>
                <c:pt idx="45">
                  <c:v>1.2638463689137458E-2</c:v>
                </c:pt>
                <c:pt idx="46">
                  <c:v>1.1973658843765556E-2</c:v>
                </c:pt>
                <c:pt idx="47">
                  <c:v>1.4461279927116877E-2</c:v>
                </c:pt>
                <c:pt idx="48">
                  <c:v>1.723736650895713E-2</c:v>
                </c:pt>
                <c:pt idx="49">
                  <c:v>2.3773564474592446E-2</c:v>
                </c:pt>
                <c:pt idx="50">
                  <c:v>2.2224838550524373E-2</c:v>
                </c:pt>
                <c:pt idx="51">
                  <c:v>2.3277195776145065E-2</c:v>
                </c:pt>
                <c:pt idx="52">
                  <c:v>2.1565343762047107E-2</c:v>
                </c:pt>
                <c:pt idx="53">
                  <c:v>1.8914813871365732E-2</c:v>
                </c:pt>
                <c:pt idx="54">
                  <c:v>1.7629118649677308E-2</c:v>
                </c:pt>
                <c:pt idx="55">
                  <c:v>1.6093524180899266E-2</c:v>
                </c:pt>
                <c:pt idx="56">
                  <c:v>1.727691870981074E-2</c:v>
                </c:pt>
                <c:pt idx="57">
                  <c:v>2.0883619421775856E-2</c:v>
                </c:pt>
                <c:pt idx="58">
                  <c:v>2.046282019251433E-2</c:v>
                </c:pt>
                <c:pt idx="59">
                  <c:v>1.9258062127443187E-2</c:v>
                </c:pt>
                <c:pt idx="60">
                  <c:v>1.9632115722628907E-2</c:v>
                </c:pt>
                <c:pt idx="61">
                  <c:v>2.0299697217648571E-2</c:v>
                </c:pt>
                <c:pt idx="62">
                  <c:v>1.9098286136862038E-2</c:v>
                </c:pt>
                <c:pt idx="63">
                  <c:v>2.0899868117994158E-2</c:v>
                </c:pt>
                <c:pt idx="64">
                  <c:v>2.0272855405730317E-2</c:v>
                </c:pt>
                <c:pt idx="65">
                  <c:v>2.1213592146221538E-2</c:v>
                </c:pt>
                <c:pt idx="66">
                  <c:v>2.1405610604972924E-2</c:v>
                </c:pt>
                <c:pt idx="67">
                  <c:v>2.1008842530773508E-2</c:v>
                </c:pt>
                <c:pt idx="68">
                  <c:v>1.9755719465461622E-2</c:v>
                </c:pt>
                <c:pt idx="69">
                  <c:v>1.8987806321006495E-2</c:v>
                </c:pt>
                <c:pt idx="70">
                  <c:v>1.9120194307554517E-2</c:v>
                </c:pt>
                <c:pt idx="71">
                  <c:v>2.2928581390218028E-2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67F-418C-863A-1D3CDC68C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689848"/>
        <c:axId val="571690808"/>
      </c:lineChart>
      <c:dateAx>
        <c:axId val="5716898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1690808"/>
        <c:crosses val="autoZero"/>
        <c:auto val="1"/>
        <c:lblOffset val="100"/>
        <c:baseTimeUnit val="days"/>
      </c:dateAx>
      <c:valAx>
        <c:axId val="571690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1689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'2026'!$D$1</c:f>
              <c:strCache>
                <c:ptCount val="1"/>
                <c:pt idx="0">
                  <c:v>Curva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'2026'!$A$2:$A$101</c:f>
              <c:numCache>
                <c:formatCode>m/d/yyyy</c:formatCode>
                <c:ptCount val="100"/>
                <c:pt idx="0">
                  <c:v>44484</c:v>
                </c:pt>
                <c:pt idx="1">
                  <c:v>44487</c:v>
                </c:pt>
                <c:pt idx="2">
                  <c:v>44488</c:v>
                </c:pt>
                <c:pt idx="3">
                  <c:v>44489</c:v>
                </c:pt>
                <c:pt idx="4">
                  <c:v>44490</c:v>
                </c:pt>
                <c:pt idx="5">
                  <c:v>44491</c:v>
                </c:pt>
                <c:pt idx="6">
                  <c:v>44494</c:v>
                </c:pt>
                <c:pt idx="7">
                  <c:v>44495</c:v>
                </c:pt>
                <c:pt idx="8">
                  <c:v>44496</c:v>
                </c:pt>
                <c:pt idx="9">
                  <c:v>44497</c:v>
                </c:pt>
                <c:pt idx="10">
                  <c:v>44498</c:v>
                </c:pt>
                <c:pt idx="11">
                  <c:v>44501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44557</c:v>
                </c:pt>
                <c:pt idx="50">
                  <c:v>44558</c:v>
                </c:pt>
                <c:pt idx="51">
                  <c:v>44559</c:v>
                </c:pt>
                <c:pt idx="52">
                  <c:v>44560</c:v>
                </c:pt>
                <c:pt idx="53">
                  <c:v>44561</c:v>
                </c:pt>
                <c:pt idx="54">
                  <c:v>44564</c:v>
                </c:pt>
                <c:pt idx="55">
                  <c:v>44565</c:v>
                </c:pt>
                <c:pt idx="56">
                  <c:v>44566</c:v>
                </c:pt>
                <c:pt idx="57">
                  <c:v>44567</c:v>
                </c:pt>
                <c:pt idx="58">
                  <c:v>44568</c:v>
                </c:pt>
                <c:pt idx="59">
                  <c:v>44571</c:v>
                </c:pt>
                <c:pt idx="60">
                  <c:v>44572</c:v>
                </c:pt>
                <c:pt idx="61">
                  <c:v>44573</c:v>
                </c:pt>
                <c:pt idx="62">
                  <c:v>44574</c:v>
                </c:pt>
                <c:pt idx="63">
                  <c:v>44575</c:v>
                </c:pt>
                <c:pt idx="64">
                  <c:v>44578</c:v>
                </c:pt>
                <c:pt idx="65">
                  <c:v>44579</c:v>
                </c:pt>
                <c:pt idx="66">
                  <c:v>44580</c:v>
                </c:pt>
                <c:pt idx="67">
                  <c:v>44581</c:v>
                </c:pt>
                <c:pt idx="68">
                  <c:v>44582</c:v>
                </c:pt>
                <c:pt idx="69">
                  <c:v>44585</c:v>
                </c:pt>
                <c:pt idx="70">
                  <c:v>44586</c:v>
                </c:pt>
                <c:pt idx="71">
                  <c:v>44587</c:v>
                </c:pt>
                <c:pt idx="72">
                  <c:v>44588</c:v>
                </c:pt>
                <c:pt idx="73">
                  <c:v>44589</c:v>
                </c:pt>
                <c:pt idx="74">
                  <c:v>44592</c:v>
                </c:pt>
                <c:pt idx="75">
                  <c:v>44593</c:v>
                </c:pt>
                <c:pt idx="76">
                  <c:v>44594</c:v>
                </c:pt>
                <c:pt idx="77">
                  <c:v>44595</c:v>
                </c:pt>
                <c:pt idx="78">
                  <c:v>44596</c:v>
                </c:pt>
                <c:pt idx="79">
                  <c:v>44599</c:v>
                </c:pt>
                <c:pt idx="80">
                  <c:v>44600</c:v>
                </c:pt>
                <c:pt idx="81">
                  <c:v>44601</c:v>
                </c:pt>
                <c:pt idx="82">
                  <c:v>44602</c:v>
                </c:pt>
                <c:pt idx="83">
                  <c:v>44603</c:v>
                </c:pt>
                <c:pt idx="84">
                  <c:v>44606</c:v>
                </c:pt>
                <c:pt idx="85">
                  <c:v>44607</c:v>
                </c:pt>
                <c:pt idx="86">
                  <c:v>44608</c:v>
                </c:pt>
                <c:pt idx="87">
                  <c:v>44609</c:v>
                </c:pt>
                <c:pt idx="88">
                  <c:v>44610</c:v>
                </c:pt>
                <c:pt idx="89">
                  <c:v>44613</c:v>
                </c:pt>
                <c:pt idx="90">
                  <c:v>44614</c:v>
                </c:pt>
                <c:pt idx="91">
                  <c:v>44615</c:v>
                </c:pt>
                <c:pt idx="92">
                  <c:v>44616</c:v>
                </c:pt>
                <c:pt idx="93">
                  <c:v>44617</c:v>
                </c:pt>
                <c:pt idx="94">
                  <c:v>44622</c:v>
                </c:pt>
                <c:pt idx="95">
                  <c:v>44623</c:v>
                </c:pt>
                <c:pt idx="96">
                  <c:v>44624</c:v>
                </c:pt>
                <c:pt idx="97">
                  <c:v>44627</c:v>
                </c:pt>
                <c:pt idx="98">
                  <c:v>44628</c:v>
                </c:pt>
                <c:pt idx="99">
                  <c:v>44629</c:v>
                </c:pt>
              </c:numCache>
            </c:numRef>
          </c:cat>
          <c:val>
            <c:numRef>
              <c:f>'2026'!$D$2:$D$101</c:f>
              <c:numCache>
                <c:formatCode>#,##0.00</c:formatCode>
                <c:ptCount val="100"/>
                <c:pt idx="0">
                  <c:v>0</c:v>
                </c:pt>
                <c:pt idx="1">
                  <c:v>8.0370646524752232E-4</c:v>
                </c:pt>
                <c:pt idx="2">
                  <c:v>1.6080588745768232E-3</c:v>
                </c:pt>
                <c:pt idx="3">
                  <c:v>2.4130577471381809E-3</c:v>
                </c:pt>
                <c:pt idx="4">
                  <c:v>3.2187036024975413E-3</c:v>
                </c:pt>
                <c:pt idx="5">
                  <c:v>4.0249969606396263E-3</c:v>
                </c:pt>
                <c:pt idx="6">
                  <c:v>4.8319383419668238E-3</c:v>
                </c:pt>
                <c:pt idx="7">
                  <c:v>5.6395282672994096E-3</c:v>
                </c:pt>
                <c:pt idx="8">
                  <c:v>6.4477672578755474E-3</c:v>
                </c:pt>
                <c:pt idx="9">
                  <c:v>7.2566558353541755E-3</c:v>
                </c:pt>
                <c:pt idx="10">
                  <c:v>8.06619452181212E-3</c:v>
                </c:pt>
                <c:pt idx="11">
                  <c:v>8.7267099101837609E-3</c:v>
                </c:pt>
                <c:pt idx="12">
                  <c:v>9.38765808816866E-3</c:v>
                </c:pt>
                <c:pt idx="13">
                  <c:v>1.0049039339343313E-2</c:v>
                </c:pt>
                <c:pt idx="14">
                  <c:v>1.0710853947470511E-2</c:v>
                </c:pt>
                <c:pt idx="15">
                  <c:v>1.137310219649823E-2</c:v>
                </c:pt>
                <c:pt idx="16">
                  <c:v>1.2035784370562075E-2</c:v>
                </c:pt>
                <c:pt idx="17">
                  <c:v>1.2698900753982167E-2</c:v>
                </c:pt>
                <c:pt idx="18">
                  <c:v>1.3362451631266037E-2</c:v>
                </c:pt>
                <c:pt idx="19">
                  <c:v>1.4026437287106619E-2</c:v>
                </c:pt>
                <c:pt idx="20">
                  <c:v>1.4690858006384477E-2</c:v>
                </c:pt>
                <c:pt idx="21">
                  <c:v>1.5355714074165583E-2</c:v>
                </c:pt>
                <c:pt idx="22">
                  <c:v>1.60210057757042E-2</c:v>
                </c:pt>
                <c:pt idx="23">
                  <c:v>1.6686733396440667E-2</c:v>
                </c:pt>
                <c:pt idx="24">
                  <c:v>1.7352897222001618E-2</c:v>
                </c:pt>
                <c:pt idx="25">
                  <c:v>1.8019497538202423E-2</c:v>
                </c:pt>
                <c:pt idx="26">
                  <c:v>1.8686534631044749E-2</c:v>
                </c:pt>
                <c:pt idx="27">
                  <c:v>1.9354008786717447E-2</c:v>
                </c:pt>
                <c:pt idx="28">
                  <c:v>2.0021920291597661E-2</c:v>
                </c:pt>
                <c:pt idx="29">
                  <c:v>2.0690269432249497E-2</c:v>
                </c:pt>
                <c:pt idx="30">
                  <c:v>2.1359056495425577E-2</c:v>
                </c:pt>
                <c:pt idx="31">
                  <c:v>2.1868326925443604E-2</c:v>
                </c:pt>
                <c:pt idx="32">
                  <c:v>2.2377851288071682E-2</c:v>
                </c:pt>
                <c:pt idx="33">
                  <c:v>2.2887629709925639E-2</c:v>
                </c:pt>
                <c:pt idx="34">
                  <c:v>2.3397662317684587E-2</c:v>
                </c:pt>
                <c:pt idx="35">
                  <c:v>2.390794923809092E-2</c:v>
                </c:pt>
                <c:pt idx="36">
                  <c:v>2.4418490597950093E-2</c:v>
                </c:pt>
                <c:pt idx="37">
                  <c:v>2.4929286524130401E-2</c:v>
                </c:pt>
                <c:pt idx="38">
                  <c:v>2.5440337143564529E-2</c:v>
                </c:pt>
                <c:pt idx="39">
                  <c:v>2.5951642583246892E-2</c:v>
                </c:pt>
                <c:pt idx="40">
                  <c:v>2.6463202970236743E-2</c:v>
                </c:pt>
                <c:pt idx="41">
                  <c:v>2.6975018431655284E-2</c:v>
                </c:pt>
                <c:pt idx="42">
                  <c:v>2.7487089094688555E-2</c:v>
                </c:pt>
                <c:pt idx="43">
                  <c:v>2.7999415086584989E-2</c:v>
                </c:pt>
                <c:pt idx="44">
                  <c:v>2.8511996534656969E-2</c:v>
                </c:pt>
                <c:pt idx="45">
                  <c:v>2.9024833566279495E-2</c:v>
                </c:pt>
                <c:pt idx="46">
                  <c:v>2.9537926308892404E-2</c:v>
                </c:pt>
                <c:pt idx="47">
                  <c:v>3.0051274889997703E-2</c:v>
                </c:pt>
                <c:pt idx="48">
                  <c:v>3.0564879437162684E-2</c:v>
                </c:pt>
                <c:pt idx="49">
                  <c:v>3.1078740078016365E-2</c:v>
                </c:pt>
                <c:pt idx="50">
                  <c:v>3.1592856940252823E-2</c:v>
                </c:pt>
                <c:pt idx="51">
                  <c:v>3.2107230151628752E-2</c:v>
                </c:pt>
                <c:pt idx="52">
                  <c:v>3.2621859839965683E-2</c:v>
                </c:pt>
                <c:pt idx="53">
                  <c:v>3.3136746133147765E-2</c:v>
                </c:pt>
                <c:pt idx="54">
                  <c:v>3.3590091675914424E-2</c:v>
                </c:pt>
                <c:pt idx="55">
                  <c:v>3.4043636148959999E-2</c:v>
                </c:pt>
                <c:pt idx="56">
                  <c:v>3.4497379639575998E-2</c:v>
                </c:pt>
                <c:pt idx="57">
                  <c:v>3.4951322235092341E-2</c:v>
                </c:pt>
                <c:pt idx="58">
                  <c:v>3.540546402287803E-2</c:v>
                </c:pt>
                <c:pt idx="59">
                  <c:v>3.5859805090338703E-2</c:v>
                </c:pt>
                <c:pt idx="60">
                  <c:v>3.6314345524919522E-2</c:v>
                </c:pt>
                <c:pt idx="61">
                  <c:v>3.6769085414103619E-2</c:v>
                </c:pt>
                <c:pt idx="62">
                  <c:v>3.7224024845413206E-2</c:v>
                </c:pt>
                <c:pt idx="63">
                  <c:v>3.7679163906407798E-2</c:v>
                </c:pt>
                <c:pt idx="64">
                  <c:v>3.8134502684685989E-2</c:v>
                </c:pt>
                <c:pt idx="65">
                  <c:v>3.8590041267885233E-2</c:v>
                </c:pt>
                <c:pt idx="66">
                  <c:v>3.9045779743680287E-2</c:v>
                </c:pt>
                <c:pt idx="67">
                  <c:v>3.9501718199784985E-2</c:v>
                </c:pt>
                <c:pt idx="68">
                  <c:v>3.9957856723952245E-2</c:v>
                </c:pt>
                <c:pt idx="69">
                  <c:v>4.0414195403972508E-2</c:v>
                </c:pt>
                <c:pt idx="70">
                  <c:v>4.0870734327675295E-2</c:v>
                </c:pt>
                <c:pt idx="71">
                  <c:v>4.1327473582928542E-2</c:v>
                </c:pt>
                <c:pt idx="72">
                  <c:v>4.1784413257638597E-2</c:v>
                </c:pt>
                <c:pt idx="73">
                  <c:v>4.224155343975089E-2</c:v>
                </c:pt>
                <c:pt idx="74">
                  <c:v>4.2698894217248373E-2</c:v>
                </c:pt>
                <c:pt idx="75">
                  <c:v>4.3338717424197926E-2</c:v>
                </c:pt>
                <c:pt idx="76">
                  <c:v>4.3978933240881535E-2</c:v>
                </c:pt>
                <c:pt idx="77">
                  <c:v>4.4619541908213822E-2</c:v>
                </c:pt>
                <c:pt idx="78">
                  <c:v>4.5260543667257513E-2</c:v>
                </c:pt>
                <c:pt idx="79">
                  <c:v>4.5901938759220773E-2</c:v>
                </c:pt>
                <c:pt idx="80">
                  <c:v>4.6543727425462533E-2</c:v>
                </c:pt>
                <c:pt idx="81">
                  <c:v>4.7185909907488055E-2</c:v>
                </c:pt>
                <c:pt idx="82">
                  <c:v>4.7828486446952478E-2</c:v>
                </c:pt>
                <c:pt idx="83">
                  <c:v>4.8471457285656827E-2</c:v>
                </c:pt>
                <c:pt idx="84">
                  <c:v>4.9114822665553115E-2</c:v>
                </c:pt>
                <c:pt idx="85">
                  <c:v>4.9758582828739684E-2</c:v>
                </c:pt>
                <c:pt idx="86">
                  <c:v>5.0402738017465198E-2</c:v>
                </c:pt>
                <c:pt idx="87">
                  <c:v>5.1047288474125319E-2</c:v>
                </c:pt>
                <c:pt idx="88">
                  <c:v>5.1692234441265361E-2</c:v>
                </c:pt>
                <c:pt idx="89">
                  <c:v>5.2337576161579413E-2</c:v>
                </c:pt>
                <c:pt idx="90">
                  <c:v>5.2983313877910776E-2</c:v>
                </c:pt>
                <c:pt idx="91">
                  <c:v>5.3629447833250854E-2</c:v>
                </c:pt>
                <c:pt idx="92">
                  <c:v>5.4275978270741154E-2</c:v>
                </c:pt>
                <c:pt idx="93">
                  <c:v>5.4922905433671287E-2</c:v>
                </c:pt>
                <c:pt idx="94">
                  <c:v>5.537398556822315E-2</c:v>
                </c:pt>
                <c:pt idx="95">
                  <c:v>5.5825258582544723E-2</c:v>
                </c:pt>
                <c:pt idx="96">
                  <c:v>5.6276724559111591E-2</c:v>
                </c:pt>
                <c:pt idx="97">
                  <c:v>5.6728383580432862E-2</c:v>
                </c:pt>
                <c:pt idx="98">
                  <c:v>5.7180235729054063E-2</c:v>
                </c:pt>
                <c:pt idx="99">
                  <c:v>5.7632281087554693E-2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BD-45F5-A27D-56A874B5843B}"/>
            </c:ext>
          </c:extLst>
        </c:ser>
        <c:ser>
          <c:idx val="3"/>
          <c:order val="1"/>
          <c:tx>
            <c:strRef>
              <c:f>'2026'!$E$1</c:f>
              <c:strCache>
                <c:ptCount val="1"/>
                <c:pt idx="0">
                  <c:v>Mercado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'2026'!$A$2:$A$101</c:f>
              <c:numCache>
                <c:formatCode>m/d/yyyy</c:formatCode>
                <c:ptCount val="100"/>
                <c:pt idx="0">
                  <c:v>44484</c:v>
                </c:pt>
                <c:pt idx="1">
                  <c:v>44487</c:v>
                </c:pt>
                <c:pt idx="2">
                  <c:v>44488</c:v>
                </c:pt>
                <c:pt idx="3">
                  <c:v>44489</c:v>
                </c:pt>
                <c:pt idx="4">
                  <c:v>44490</c:v>
                </c:pt>
                <c:pt idx="5">
                  <c:v>44491</c:v>
                </c:pt>
                <c:pt idx="6">
                  <c:v>44494</c:v>
                </c:pt>
                <c:pt idx="7">
                  <c:v>44495</c:v>
                </c:pt>
                <c:pt idx="8">
                  <c:v>44496</c:v>
                </c:pt>
                <c:pt idx="9">
                  <c:v>44497</c:v>
                </c:pt>
                <c:pt idx="10">
                  <c:v>44498</c:v>
                </c:pt>
                <c:pt idx="11">
                  <c:v>44501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44557</c:v>
                </c:pt>
                <c:pt idx="50">
                  <c:v>44558</c:v>
                </c:pt>
                <c:pt idx="51">
                  <c:v>44559</c:v>
                </c:pt>
                <c:pt idx="52">
                  <c:v>44560</c:v>
                </c:pt>
                <c:pt idx="53">
                  <c:v>44561</c:v>
                </c:pt>
                <c:pt idx="54">
                  <c:v>44564</c:v>
                </c:pt>
                <c:pt idx="55">
                  <c:v>44565</c:v>
                </c:pt>
                <c:pt idx="56">
                  <c:v>44566</c:v>
                </c:pt>
                <c:pt idx="57">
                  <c:v>44567</c:v>
                </c:pt>
                <c:pt idx="58">
                  <c:v>44568</c:v>
                </c:pt>
                <c:pt idx="59">
                  <c:v>44571</c:v>
                </c:pt>
                <c:pt idx="60">
                  <c:v>44572</c:v>
                </c:pt>
                <c:pt idx="61">
                  <c:v>44573</c:v>
                </c:pt>
                <c:pt idx="62">
                  <c:v>44574</c:v>
                </c:pt>
                <c:pt idx="63">
                  <c:v>44575</c:v>
                </c:pt>
                <c:pt idx="64">
                  <c:v>44578</c:v>
                </c:pt>
                <c:pt idx="65">
                  <c:v>44579</c:v>
                </c:pt>
                <c:pt idx="66">
                  <c:v>44580</c:v>
                </c:pt>
                <c:pt idx="67">
                  <c:v>44581</c:v>
                </c:pt>
                <c:pt idx="68">
                  <c:v>44582</c:v>
                </c:pt>
                <c:pt idx="69">
                  <c:v>44585</c:v>
                </c:pt>
                <c:pt idx="70">
                  <c:v>44586</c:v>
                </c:pt>
                <c:pt idx="71">
                  <c:v>44587</c:v>
                </c:pt>
                <c:pt idx="72">
                  <c:v>44588</c:v>
                </c:pt>
                <c:pt idx="73">
                  <c:v>44589</c:v>
                </c:pt>
                <c:pt idx="74">
                  <c:v>44592</c:v>
                </c:pt>
                <c:pt idx="75">
                  <c:v>44593</c:v>
                </c:pt>
                <c:pt idx="76">
                  <c:v>44594</c:v>
                </c:pt>
                <c:pt idx="77">
                  <c:v>44595</c:v>
                </c:pt>
                <c:pt idx="78">
                  <c:v>44596</c:v>
                </c:pt>
                <c:pt idx="79">
                  <c:v>44599</c:v>
                </c:pt>
                <c:pt idx="80">
                  <c:v>44600</c:v>
                </c:pt>
                <c:pt idx="81">
                  <c:v>44601</c:v>
                </c:pt>
                <c:pt idx="82">
                  <c:v>44602</c:v>
                </c:pt>
                <c:pt idx="83">
                  <c:v>44603</c:v>
                </c:pt>
                <c:pt idx="84">
                  <c:v>44606</c:v>
                </c:pt>
                <c:pt idx="85">
                  <c:v>44607</c:v>
                </c:pt>
                <c:pt idx="86">
                  <c:v>44608</c:v>
                </c:pt>
                <c:pt idx="87">
                  <c:v>44609</c:v>
                </c:pt>
                <c:pt idx="88">
                  <c:v>44610</c:v>
                </c:pt>
                <c:pt idx="89">
                  <c:v>44613</c:v>
                </c:pt>
                <c:pt idx="90">
                  <c:v>44614</c:v>
                </c:pt>
                <c:pt idx="91">
                  <c:v>44615</c:v>
                </c:pt>
                <c:pt idx="92">
                  <c:v>44616</c:v>
                </c:pt>
                <c:pt idx="93">
                  <c:v>44617</c:v>
                </c:pt>
                <c:pt idx="94">
                  <c:v>44622</c:v>
                </c:pt>
                <c:pt idx="95">
                  <c:v>44623</c:v>
                </c:pt>
                <c:pt idx="96">
                  <c:v>44624</c:v>
                </c:pt>
                <c:pt idx="97">
                  <c:v>44627</c:v>
                </c:pt>
                <c:pt idx="98">
                  <c:v>44628</c:v>
                </c:pt>
                <c:pt idx="99">
                  <c:v>44629</c:v>
                </c:pt>
              </c:numCache>
            </c:numRef>
          </c:cat>
          <c:val>
            <c:numRef>
              <c:f>'2026'!$E$2:$E$101</c:f>
              <c:numCache>
                <c:formatCode>#,##0.00</c:formatCode>
                <c:ptCount val="100"/>
                <c:pt idx="0">
                  <c:v>0</c:v>
                </c:pt>
                <c:pt idx="1">
                  <c:v>-1.2087894504936303E-3</c:v>
                </c:pt>
                <c:pt idx="2">
                  <c:v>-8.5248514519929985E-3</c:v>
                </c:pt>
                <c:pt idx="3">
                  <c:v>-8.7526523562039271E-3</c:v>
                </c:pt>
                <c:pt idx="4">
                  <c:v>-1.166507897173652E-2</c:v>
                </c:pt>
                <c:pt idx="5">
                  <c:v>-1.1108807337654847E-2</c:v>
                </c:pt>
                <c:pt idx="6">
                  <c:v>-1.8843278878289293E-2</c:v>
                </c:pt>
                <c:pt idx="7">
                  <c:v>-2.2457102027010234E-2</c:v>
                </c:pt>
                <c:pt idx="8">
                  <c:v>-2.0239274870358481E-2</c:v>
                </c:pt>
                <c:pt idx="9">
                  <c:v>-3.0629380702438702E-2</c:v>
                </c:pt>
                <c:pt idx="10">
                  <c:v>-1.9993626871569137E-2</c:v>
                </c:pt>
                <c:pt idx="11">
                  <c:v>-2.1230725479316037E-2</c:v>
                </c:pt>
                <c:pt idx="12">
                  <c:v>-9.0434168807355091E-3</c:v>
                </c:pt>
                <c:pt idx="13">
                  <c:v>-1.1407711597724801E-2</c:v>
                </c:pt>
                <c:pt idx="14">
                  <c:v>-1.1287439234197283E-2</c:v>
                </c:pt>
                <c:pt idx="15">
                  <c:v>-1.0790224674221083E-2</c:v>
                </c:pt>
                <c:pt idx="16">
                  <c:v>-6.5875187917352473E-3</c:v>
                </c:pt>
                <c:pt idx="17">
                  <c:v>-5.9225421749340423E-3</c:v>
                </c:pt>
                <c:pt idx="18">
                  <c:v>-4.9284328491222551E-3</c:v>
                </c:pt>
                <c:pt idx="19">
                  <c:v>-9.5018583768302634E-4</c:v>
                </c:pt>
                <c:pt idx="20">
                  <c:v>-3.065538992341299E-3</c:v>
                </c:pt>
                <c:pt idx="21">
                  <c:v>-2.1346906901323903E-3</c:v>
                </c:pt>
                <c:pt idx="22">
                  <c:v>-1.1563821978743949E-3</c:v>
                </c:pt>
                <c:pt idx="23">
                  <c:v>2.672440079403593E-3</c:v>
                </c:pt>
                <c:pt idx="24">
                  <c:v>5.6999301545657133E-4</c:v>
                </c:pt>
                <c:pt idx="25">
                  <c:v>4.1502446283852015E-3</c:v>
                </c:pt>
                <c:pt idx="26">
                  <c:v>5.8741497349152905E-3</c:v>
                </c:pt>
                <c:pt idx="27">
                  <c:v>5.2536558508560205E-3</c:v>
                </c:pt>
                <c:pt idx="28">
                  <c:v>6.1098079864287946E-3</c:v>
                </c:pt>
                <c:pt idx="29">
                  <c:v>9.265900087816803E-3</c:v>
                </c:pt>
                <c:pt idx="30">
                  <c:v>1.2370283267941984E-2</c:v>
                </c:pt>
                <c:pt idx="31">
                  <c:v>1.0106062516360703E-2</c:v>
                </c:pt>
                <c:pt idx="32">
                  <c:v>1.270461592451011E-2</c:v>
                </c:pt>
                <c:pt idx="33">
                  <c:v>2.0633582889643787E-2</c:v>
                </c:pt>
                <c:pt idx="34">
                  <c:v>1.8235712422112416E-2</c:v>
                </c:pt>
                <c:pt idx="35">
                  <c:v>1.7819064911812843E-2</c:v>
                </c:pt>
                <c:pt idx="36">
                  <c:v>2.0611527630818527E-2</c:v>
                </c:pt>
                <c:pt idx="37">
                  <c:v>1.9144870304774964E-2</c:v>
                </c:pt>
                <c:pt idx="38">
                  <c:v>2.274807518165689E-2</c:v>
                </c:pt>
                <c:pt idx="39">
                  <c:v>1.9682959771669895E-2</c:v>
                </c:pt>
                <c:pt idx="40">
                  <c:v>2.0875981052920878E-2</c:v>
                </c:pt>
                <c:pt idx="41">
                  <c:v>2.1033257075681711E-2</c:v>
                </c:pt>
                <c:pt idx="42">
                  <c:v>1.8272120221094035E-2</c:v>
                </c:pt>
                <c:pt idx="43">
                  <c:v>1.6629375917117658E-2</c:v>
                </c:pt>
                <c:pt idx="44">
                  <c:v>1.7985369982318918E-2</c:v>
                </c:pt>
                <c:pt idx="45">
                  <c:v>2.0482179857298499E-2</c:v>
                </c:pt>
                <c:pt idx="46">
                  <c:v>2.2238432905071326E-2</c:v>
                </c:pt>
                <c:pt idx="47">
                  <c:v>2.2577876209185721E-2</c:v>
                </c:pt>
                <c:pt idx="48">
                  <c:v>2.2866962473033769E-2</c:v>
                </c:pt>
                <c:pt idx="49">
                  <c:v>2.3597578812852404E-2</c:v>
                </c:pt>
                <c:pt idx="50">
                  <c:v>2.3055684217159644E-2</c:v>
                </c:pt>
                <c:pt idx="51">
                  <c:v>2.114655192092596E-2</c:v>
                </c:pt>
                <c:pt idx="52">
                  <c:v>2.3193101919424919E-2</c:v>
                </c:pt>
                <c:pt idx="53">
                  <c:v>2.3669138151954483E-2</c:v>
                </c:pt>
                <c:pt idx="54">
                  <c:v>2.1501249194808336E-2</c:v>
                </c:pt>
                <c:pt idx="55">
                  <c:v>1.8652301189336695E-2</c:v>
                </c:pt>
                <c:pt idx="56">
                  <c:v>1.542353889885395E-2</c:v>
                </c:pt>
                <c:pt idx="57">
                  <c:v>1.3526246625055638E-2</c:v>
                </c:pt>
                <c:pt idx="58">
                  <c:v>1.2076923511225024E-2</c:v>
                </c:pt>
                <c:pt idx="59">
                  <c:v>1.3277314282489572E-2</c:v>
                </c:pt>
                <c:pt idx="60">
                  <c:v>1.2027010336796096E-2</c:v>
                </c:pt>
                <c:pt idx="61">
                  <c:v>1.6106834662210412E-2</c:v>
                </c:pt>
                <c:pt idx="62">
                  <c:v>1.7125495168990982E-2</c:v>
                </c:pt>
                <c:pt idx="63">
                  <c:v>1.8264023950162356E-2</c:v>
                </c:pt>
                <c:pt idx="64">
                  <c:v>1.4803343735186214E-2</c:v>
                </c:pt>
                <c:pt idx="65">
                  <c:v>1.5234847184820044E-2</c:v>
                </c:pt>
                <c:pt idx="66">
                  <c:v>1.9406174781937402E-2</c:v>
                </c:pt>
                <c:pt idx="67">
                  <c:v>2.3553992768128751E-2</c:v>
                </c:pt>
                <c:pt idx="68">
                  <c:v>2.3981677654449918E-2</c:v>
                </c:pt>
                <c:pt idx="69">
                  <c:v>2.5181813433352129E-2</c:v>
                </c:pt>
                <c:pt idx="70">
                  <c:v>2.3878413913714036E-2</c:v>
                </c:pt>
                <c:pt idx="71">
                  <c:v>2.3076872554636862E-2</c:v>
                </c:pt>
                <c:pt idx="72">
                  <c:v>2.1326359205817047E-2</c:v>
                </c:pt>
                <c:pt idx="73">
                  <c:v>2.2464700694044382E-2</c:v>
                </c:pt>
                <c:pt idx="74">
                  <c:v>2.2279361286627442E-2</c:v>
                </c:pt>
                <c:pt idx="75">
                  <c:v>2.4470457709823812E-2</c:v>
                </c:pt>
                <c:pt idx="76">
                  <c:v>2.7227243888937158E-2</c:v>
                </c:pt>
                <c:pt idx="77">
                  <c:v>3.4258120377522294E-2</c:v>
                </c:pt>
                <c:pt idx="78">
                  <c:v>3.1645302148697096E-2</c:v>
                </c:pt>
                <c:pt idx="79">
                  <c:v>3.3170581375930208E-2</c:v>
                </c:pt>
                <c:pt idx="80">
                  <c:v>3.1062708348467805E-2</c:v>
                </c:pt>
                <c:pt idx="81">
                  <c:v>2.7415884235707955E-2</c:v>
                </c:pt>
                <c:pt idx="82">
                  <c:v>2.6580681777405468E-2</c:v>
                </c:pt>
                <c:pt idx="83">
                  <c:v>2.5079918432611592E-2</c:v>
                </c:pt>
                <c:pt idx="84">
                  <c:v>2.693765791381697E-2</c:v>
                </c:pt>
                <c:pt idx="85">
                  <c:v>3.1180850419396888E-2</c:v>
                </c:pt>
                <c:pt idx="86">
                  <c:v>3.0448199145693522E-2</c:v>
                </c:pt>
                <c:pt idx="87">
                  <c:v>2.8710729130375201E-2</c:v>
                </c:pt>
                <c:pt idx="88">
                  <c:v>2.8262163846733745E-2</c:v>
                </c:pt>
                <c:pt idx="89">
                  <c:v>2.8864012994816113E-2</c:v>
                </c:pt>
                <c:pt idx="90">
                  <c:v>2.6914133287845088E-2</c:v>
                </c:pt>
                <c:pt idx="91">
                  <c:v>2.8866582675080688E-2</c:v>
                </c:pt>
                <c:pt idx="92">
                  <c:v>2.7614925004437962E-2</c:v>
                </c:pt>
                <c:pt idx="93">
                  <c:v>2.8601813673587717E-2</c:v>
                </c:pt>
                <c:pt idx="94">
                  <c:v>2.8565751220667623E-2</c:v>
                </c:pt>
                <c:pt idx="95">
                  <c:v>2.7924925383604693E-2</c:v>
                </c:pt>
                <c:pt idx="96">
                  <c:v>2.5385069742141164E-2</c:v>
                </c:pt>
                <c:pt idx="97">
                  <c:v>2.3915069065824079E-2</c:v>
                </c:pt>
                <c:pt idx="98">
                  <c:v>2.2758591509235204E-2</c:v>
                </c:pt>
                <c:pt idx="99">
                  <c:v>2.7593990078792041E-2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BD-45F5-A27D-56A874B58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694328"/>
        <c:axId val="571696568"/>
      </c:lineChart>
      <c:dateAx>
        <c:axId val="5716943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1696568"/>
        <c:crosses val="autoZero"/>
        <c:auto val="1"/>
        <c:lblOffset val="100"/>
        <c:baseTimeUnit val="days"/>
      </c:dateAx>
      <c:valAx>
        <c:axId val="571696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1694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'2028'!$D$1</c:f>
              <c:strCache>
                <c:ptCount val="1"/>
                <c:pt idx="0">
                  <c:v>Curva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'2028'!$A$2:$A$101</c:f>
              <c:numCache>
                <c:formatCode>m/d/yyyy</c:formatCode>
                <c:ptCount val="100"/>
                <c:pt idx="0">
                  <c:v>44484</c:v>
                </c:pt>
                <c:pt idx="1">
                  <c:v>44487</c:v>
                </c:pt>
                <c:pt idx="2">
                  <c:v>44488</c:v>
                </c:pt>
                <c:pt idx="3">
                  <c:v>44489</c:v>
                </c:pt>
                <c:pt idx="4">
                  <c:v>44490</c:v>
                </c:pt>
                <c:pt idx="5">
                  <c:v>44491</c:v>
                </c:pt>
                <c:pt idx="6">
                  <c:v>44494</c:v>
                </c:pt>
                <c:pt idx="7">
                  <c:v>44495</c:v>
                </c:pt>
                <c:pt idx="8">
                  <c:v>44496</c:v>
                </c:pt>
                <c:pt idx="9">
                  <c:v>44497</c:v>
                </c:pt>
                <c:pt idx="10">
                  <c:v>44498</c:v>
                </c:pt>
                <c:pt idx="11">
                  <c:v>44501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44557</c:v>
                </c:pt>
                <c:pt idx="50">
                  <c:v>44558</c:v>
                </c:pt>
                <c:pt idx="51">
                  <c:v>44559</c:v>
                </c:pt>
                <c:pt idx="52">
                  <c:v>44560</c:v>
                </c:pt>
                <c:pt idx="53">
                  <c:v>44561</c:v>
                </c:pt>
                <c:pt idx="54">
                  <c:v>44564</c:v>
                </c:pt>
                <c:pt idx="55">
                  <c:v>44565</c:v>
                </c:pt>
                <c:pt idx="56">
                  <c:v>44566</c:v>
                </c:pt>
                <c:pt idx="57">
                  <c:v>44567</c:v>
                </c:pt>
                <c:pt idx="58">
                  <c:v>44568</c:v>
                </c:pt>
                <c:pt idx="59">
                  <c:v>44571</c:v>
                </c:pt>
                <c:pt idx="60">
                  <c:v>44572</c:v>
                </c:pt>
                <c:pt idx="61">
                  <c:v>44573</c:v>
                </c:pt>
                <c:pt idx="62">
                  <c:v>44574</c:v>
                </c:pt>
                <c:pt idx="63">
                  <c:v>44575</c:v>
                </c:pt>
                <c:pt idx="64">
                  <c:v>44578</c:v>
                </c:pt>
                <c:pt idx="65">
                  <c:v>44579</c:v>
                </c:pt>
                <c:pt idx="66">
                  <c:v>44580</c:v>
                </c:pt>
                <c:pt idx="67">
                  <c:v>44581</c:v>
                </c:pt>
                <c:pt idx="68">
                  <c:v>44582</c:v>
                </c:pt>
                <c:pt idx="69">
                  <c:v>44585</c:v>
                </c:pt>
                <c:pt idx="70">
                  <c:v>44586</c:v>
                </c:pt>
                <c:pt idx="71">
                  <c:v>44587</c:v>
                </c:pt>
                <c:pt idx="72">
                  <c:v>44588</c:v>
                </c:pt>
                <c:pt idx="73">
                  <c:v>44589</c:v>
                </c:pt>
                <c:pt idx="74">
                  <c:v>44592</c:v>
                </c:pt>
                <c:pt idx="75">
                  <c:v>44593</c:v>
                </c:pt>
                <c:pt idx="76">
                  <c:v>44594</c:v>
                </c:pt>
                <c:pt idx="77">
                  <c:v>44595</c:v>
                </c:pt>
                <c:pt idx="78">
                  <c:v>44596</c:v>
                </c:pt>
                <c:pt idx="79">
                  <c:v>44599</c:v>
                </c:pt>
                <c:pt idx="80">
                  <c:v>44600</c:v>
                </c:pt>
                <c:pt idx="81">
                  <c:v>44601</c:v>
                </c:pt>
                <c:pt idx="82">
                  <c:v>44602</c:v>
                </c:pt>
                <c:pt idx="83">
                  <c:v>44603</c:v>
                </c:pt>
                <c:pt idx="84">
                  <c:v>44606</c:v>
                </c:pt>
                <c:pt idx="85">
                  <c:v>44607</c:v>
                </c:pt>
                <c:pt idx="86">
                  <c:v>44608</c:v>
                </c:pt>
                <c:pt idx="87">
                  <c:v>44609</c:v>
                </c:pt>
                <c:pt idx="88">
                  <c:v>44610</c:v>
                </c:pt>
                <c:pt idx="89">
                  <c:v>44613</c:v>
                </c:pt>
                <c:pt idx="90">
                  <c:v>44614</c:v>
                </c:pt>
                <c:pt idx="91">
                  <c:v>44615</c:v>
                </c:pt>
                <c:pt idx="92">
                  <c:v>44616</c:v>
                </c:pt>
                <c:pt idx="93">
                  <c:v>44617</c:v>
                </c:pt>
                <c:pt idx="94">
                  <c:v>44622</c:v>
                </c:pt>
                <c:pt idx="95">
                  <c:v>44623</c:v>
                </c:pt>
                <c:pt idx="96">
                  <c:v>44624</c:v>
                </c:pt>
                <c:pt idx="97">
                  <c:v>44627</c:v>
                </c:pt>
                <c:pt idx="98">
                  <c:v>44628</c:v>
                </c:pt>
                <c:pt idx="99">
                  <c:v>44629</c:v>
                </c:pt>
              </c:numCache>
            </c:numRef>
          </c:cat>
          <c:val>
            <c:numRef>
              <c:f>'2028'!$D$2:$D$101</c:f>
              <c:numCache>
                <c:formatCode>#,##0.00</c:formatCode>
                <c:ptCount val="100"/>
                <c:pt idx="0">
                  <c:v>0</c:v>
                </c:pt>
                <c:pt idx="1">
                  <c:v>8.0939215635567052E-4</c:v>
                </c:pt>
                <c:pt idx="2">
                  <c:v>1.6194394283737257E-3</c:v>
                </c:pt>
                <c:pt idx="3">
                  <c:v>2.4301423463002347E-3</c:v>
                </c:pt>
                <c:pt idx="4">
                  <c:v>3.241501440809369E-3</c:v>
                </c:pt>
                <c:pt idx="5">
                  <c:v>4.0535172430058442E-3</c:v>
                </c:pt>
                <c:pt idx="6">
                  <c:v>4.8661902844233662E-3</c:v>
                </c:pt>
                <c:pt idx="7">
                  <c:v>5.6795210970266297E-3</c:v>
                </c:pt>
                <c:pt idx="8">
                  <c:v>6.4935102132093192E-3</c:v>
                </c:pt>
                <c:pt idx="9">
                  <c:v>7.3081581657985506E-3</c:v>
                </c:pt>
                <c:pt idx="10">
                  <c:v>8.1234654880504298E-3</c:v>
                </c:pt>
                <c:pt idx="11">
                  <c:v>8.7897494303466051E-3</c:v>
                </c:pt>
                <c:pt idx="12">
                  <c:v>9.4564737297087031E-3</c:v>
                </c:pt>
                <c:pt idx="13">
                  <c:v>1.0123638677175917E-2</c:v>
                </c:pt>
                <c:pt idx="14">
                  <c:v>1.0791244563979063E-2</c:v>
                </c:pt>
                <c:pt idx="15">
                  <c:v>1.1459291681541028E-2</c:v>
                </c:pt>
                <c:pt idx="16">
                  <c:v>1.2127780321478765E-2</c:v>
                </c:pt>
                <c:pt idx="17">
                  <c:v>1.2796710775600628E-2</c:v>
                </c:pt>
                <c:pt idx="18">
                  <c:v>1.3466083335908152E-2</c:v>
                </c:pt>
                <c:pt idx="19">
                  <c:v>1.4135898294595828E-2</c:v>
                </c:pt>
                <c:pt idx="20">
                  <c:v>1.4806155944051769E-2</c:v>
                </c:pt>
                <c:pt idx="21">
                  <c:v>1.5476856576856823E-2</c:v>
                </c:pt>
                <c:pt idx="22">
                  <c:v>1.6148000485785463E-2</c:v>
                </c:pt>
                <c:pt idx="23">
                  <c:v>1.6819587963805338E-2</c:v>
                </c:pt>
                <c:pt idx="24">
                  <c:v>1.7491619304077721E-2</c:v>
                </c:pt>
                <c:pt idx="25">
                  <c:v>1.8164094799958175E-2</c:v>
                </c:pt>
                <c:pt idx="26">
                  <c:v>1.8837014744995884E-2</c:v>
                </c:pt>
                <c:pt idx="27">
                  <c:v>1.9510379432933656E-2</c:v>
                </c:pt>
                <c:pt idx="28">
                  <c:v>2.0184189157709254E-2</c:v>
                </c:pt>
                <c:pt idx="29">
                  <c:v>2.0858444213453842E-2</c:v>
                </c:pt>
                <c:pt idx="30">
                  <c:v>2.1533144894493095E-2</c:v>
                </c:pt>
                <c:pt idx="31">
                  <c:v>2.2048308479897472E-2</c:v>
                </c:pt>
                <c:pt idx="32">
                  <c:v>2.2563731864527314E-2</c:v>
                </c:pt>
                <c:pt idx="33">
                  <c:v>2.3079415179400042E-2</c:v>
                </c:pt>
                <c:pt idx="34">
                  <c:v>2.3595358555600576E-2</c:v>
                </c:pt>
                <c:pt idx="35">
                  <c:v>2.4111562124278008E-2</c:v>
                </c:pt>
                <c:pt idx="36">
                  <c:v>2.462802601664893E-2</c:v>
                </c:pt>
                <c:pt idx="37">
                  <c:v>2.514475036399566E-2</c:v>
                </c:pt>
                <c:pt idx="38">
                  <c:v>2.566173529766691E-2</c:v>
                </c:pt>
                <c:pt idx="39">
                  <c:v>2.6178980949076891E-2</c:v>
                </c:pt>
                <c:pt idx="40">
                  <c:v>2.669648744970754E-2</c:v>
                </c:pt>
                <c:pt idx="41">
                  <c:v>2.7214254931105408E-2</c:v>
                </c:pt>
                <c:pt idx="42">
                  <c:v>2.7732283524884993E-2</c:v>
                </c:pt>
                <c:pt idx="43">
                  <c:v>2.8250573362726072E-2</c:v>
                </c:pt>
                <c:pt idx="44">
                  <c:v>2.8769124576375038E-2</c:v>
                </c:pt>
                <c:pt idx="45">
                  <c:v>2.9287937297645339E-2</c:v>
                </c:pt>
                <c:pt idx="46">
                  <c:v>2.9807011658415483E-2</c:v>
                </c:pt>
                <c:pt idx="47">
                  <c:v>3.0326347790632147E-2</c:v>
                </c:pt>
                <c:pt idx="48">
                  <c:v>3.0845945826307508E-2</c:v>
                </c:pt>
                <c:pt idx="49">
                  <c:v>3.1365805897520582E-2</c:v>
                </c:pt>
                <c:pt idx="50">
                  <c:v>3.1885928136417441E-2</c:v>
                </c:pt>
                <c:pt idx="51">
                  <c:v>3.2406312675209659E-2</c:v>
                </c:pt>
                <c:pt idx="52">
                  <c:v>3.2926959646176979E-2</c:v>
                </c:pt>
                <c:pt idx="53">
                  <c:v>3.3447869181664647E-2</c:v>
                </c:pt>
                <c:pt idx="54">
                  <c:v>3.3907224969742966E-2</c:v>
                </c:pt>
                <c:pt idx="55">
                  <c:v>3.4366784936228134E-2</c:v>
                </c:pt>
                <c:pt idx="56">
                  <c:v>3.482654917187622E-2</c:v>
                </c:pt>
                <c:pt idx="57">
                  <c:v>3.5286517767481484E-2</c:v>
                </c:pt>
                <c:pt idx="58">
                  <c:v>3.5746690813880599E-2</c:v>
                </c:pt>
                <c:pt idx="59">
                  <c:v>3.6207068401948872E-2</c:v>
                </c:pt>
                <c:pt idx="60">
                  <c:v>3.6667650622603132E-2</c:v>
                </c:pt>
                <c:pt idx="61">
                  <c:v>3.7128437566799732E-2</c:v>
                </c:pt>
                <c:pt idx="62">
                  <c:v>3.758942932553655E-2</c:v>
                </c:pt>
                <c:pt idx="63">
                  <c:v>3.8050625989850761E-2</c:v>
                </c:pt>
                <c:pt idx="64">
                  <c:v>3.8512027650821068E-2</c:v>
                </c:pt>
                <c:pt idx="65">
                  <c:v>3.8973634399565915E-2</c:v>
                </c:pt>
                <c:pt idx="66">
                  <c:v>3.9435446327244383E-2</c:v>
                </c:pt>
                <c:pt idx="67">
                  <c:v>3.9897463525056187E-2</c:v>
                </c:pt>
                <c:pt idx="68">
                  <c:v>4.0359686084241675E-2</c:v>
                </c:pt>
                <c:pt idx="69">
                  <c:v>4.082211409608183E-2</c:v>
                </c:pt>
                <c:pt idx="70">
                  <c:v>4.1284747651897602E-2</c:v>
                </c:pt>
                <c:pt idx="71">
                  <c:v>4.1747586843051243E-2</c:v>
                </c:pt>
                <c:pt idx="72">
                  <c:v>4.2210631760944972E-2</c:v>
                </c:pt>
                <c:pt idx="73">
                  <c:v>4.2673882497022086E-2</c:v>
                </c:pt>
                <c:pt idx="74">
                  <c:v>4.3137339142766962E-2</c:v>
                </c:pt>
                <c:pt idx="75">
                  <c:v>4.3783361219481121E-2</c:v>
                </c:pt>
                <c:pt idx="76">
                  <c:v>4.4429783382078147E-2</c:v>
                </c:pt>
                <c:pt idx="77">
                  <c:v>4.5076605878334508E-2</c:v>
                </c:pt>
                <c:pt idx="78">
                  <c:v>4.5723828956179657E-2</c:v>
                </c:pt>
                <c:pt idx="79">
                  <c:v>4.6371452863695595E-2</c:v>
                </c:pt>
                <c:pt idx="80">
                  <c:v>4.7019477849119751E-2</c:v>
                </c:pt>
                <c:pt idx="81">
                  <c:v>4.7667904160842323E-2</c:v>
                </c:pt>
                <c:pt idx="82">
                  <c:v>4.8316732047406941E-2</c:v>
                </c:pt>
                <c:pt idx="83">
                  <c:v>4.8965961757512E-2</c:v>
                </c:pt>
                <c:pt idx="84">
                  <c:v>4.961559354000955E-2</c:v>
                </c:pt>
                <c:pt idx="85">
                  <c:v>5.0265627643905519E-2</c:v>
                </c:pt>
                <c:pt idx="86">
                  <c:v>5.0916064318361043E-2</c:v>
                </c:pt>
                <c:pt idx="87">
                  <c:v>5.1566903812690024E-2</c:v>
                </c:pt>
                <c:pt idx="88">
                  <c:v>5.2218146376361574E-2</c:v>
                </c:pt>
                <c:pt idx="89">
                  <c:v>5.2869792258999349E-2</c:v>
                </c:pt>
                <c:pt idx="90">
                  <c:v>5.352184171038199E-2</c:v>
                </c:pt>
                <c:pt idx="91">
                  <c:v>5.4174294980442017E-2</c:v>
                </c:pt>
                <c:pt idx="92">
                  <c:v>5.482715231926738E-2</c:v>
                </c:pt>
                <c:pt idx="93">
                  <c:v>5.5480413977100351E-2</c:v>
                </c:pt>
                <c:pt idx="94">
                  <c:v>5.593773138003888E-2</c:v>
                </c:pt>
                <c:pt idx="95">
                  <c:v>5.639524692896325E-2</c:v>
                </c:pt>
                <c:pt idx="96">
                  <c:v>5.6852960709725453E-2</c:v>
                </c:pt>
                <c:pt idx="97">
                  <c:v>5.7310872808215674E-2</c:v>
                </c:pt>
                <c:pt idx="98">
                  <c:v>5.7768983310360955E-2</c:v>
                </c:pt>
                <c:pt idx="99">
                  <c:v>5.8227292302124756E-2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FEB-4508-B79A-C89C61D8B448}"/>
            </c:ext>
          </c:extLst>
        </c:ser>
        <c:ser>
          <c:idx val="3"/>
          <c:order val="1"/>
          <c:tx>
            <c:strRef>
              <c:f>'2028'!$E$1</c:f>
              <c:strCache>
                <c:ptCount val="1"/>
                <c:pt idx="0">
                  <c:v>Mercado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'2028'!$A$2:$A$101</c:f>
              <c:numCache>
                <c:formatCode>m/d/yyyy</c:formatCode>
                <c:ptCount val="100"/>
                <c:pt idx="0">
                  <c:v>44484</c:v>
                </c:pt>
                <c:pt idx="1">
                  <c:v>44487</c:v>
                </c:pt>
                <c:pt idx="2">
                  <c:v>44488</c:v>
                </c:pt>
                <c:pt idx="3">
                  <c:v>44489</c:v>
                </c:pt>
                <c:pt idx="4">
                  <c:v>44490</c:v>
                </c:pt>
                <c:pt idx="5">
                  <c:v>44491</c:v>
                </c:pt>
                <c:pt idx="6">
                  <c:v>44494</c:v>
                </c:pt>
                <c:pt idx="7">
                  <c:v>44495</c:v>
                </c:pt>
                <c:pt idx="8">
                  <c:v>44496</c:v>
                </c:pt>
                <c:pt idx="9">
                  <c:v>44497</c:v>
                </c:pt>
                <c:pt idx="10">
                  <c:v>44498</c:v>
                </c:pt>
                <c:pt idx="11">
                  <c:v>44501</c:v>
                </c:pt>
                <c:pt idx="12">
                  <c:v>44503</c:v>
                </c:pt>
                <c:pt idx="13">
                  <c:v>44504</c:v>
                </c:pt>
                <c:pt idx="14">
                  <c:v>44505</c:v>
                </c:pt>
                <c:pt idx="15">
                  <c:v>44508</c:v>
                </c:pt>
                <c:pt idx="16">
                  <c:v>44509</c:v>
                </c:pt>
                <c:pt idx="17">
                  <c:v>44510</c:v>
                </c:pt>
                <c:pt idx="18">
                  <c:v>44511</c:v>
                </c:pt>
                <c:pt idx="19">
                  <c:v>44512</c:v>
                </c:pt>
                <c:pt idx="20">
                  <c:v>44516</c:v>
                </c:pt>
                <c:pt idx="21">
                  <c:v>44517</c:v>
                </c:pt>
                <c:pt idx="22">
                  <c:v>44518</c:v>
                </c:pt>
                <c:pt idx="23">
                  <c:v>44519</c:v>
                </c:pt>
                <c:pt idx="24">
                  <c:v>44522</c:v>
                </c:pt>
                <c:pt idx="25">
                  <c:v>44523</c:v>
                </c:pt>
                <c:pt idx="26">
                  <c:v>44524</c:v>
                </c:pt>
                <c:pt idx="27">
                  <c:v>44525</c:v>
                </c:pt>
                <c:pt idx="28">
                  <c:v>44526</c:v>
                </c:pt>
                <c:pt idx="29">
                  <c:v>44529</c:v>
                </c:pt>
                <c:pt idx="30">
                  <c:v>44530</c:v>
                </c:pt>
                <c:pt idx="31">
                  <c:v>44531</c:v>
                </c:pt>
                <c:pt idx="32">
                  <c:v>44532</c:v>
                </c:pt>
                <c:pt idx="33">
                  <c:v>44533</c:v>
                </c:pt>
                <c:pt idx="34">
                  <c:v>44536</c:v>
                </c:pt>
                <c:pt idx="35">
                  <c:v>44537</c:v>
                </c:pt>
                <c:pt idx="36">
                  <c:v>44538</c:v>
                </c:pt>
                <c:pt idx="37">
                  <c:v>44539</c:v>
                </c:pt>
                <c:pt idx="38">
                  <c:v>44540</c:v>
                </c:pt>
                <c:pt idx="39">
                  <c:v>44543</c:v>
                </c:pt>
                <c:pt idx="40">
                  <c:v>44544</c:v>
                </c:pt>
                <c:pt idx="41">
                  <c:v>44545</c:v>
                </c:pt>
                <c:pt idx="42">
                  <c:v>44546</c:v>
                </c:pt>
                <c:pt idx="43">
                  <c:v>44547</c:v>
                </c:pt>
                <c:pt idx="44">
                  <c:v>44550</c:v>
                </c:pt>
                <c:pt idx="45">
                  <c:v>44551</c:v>
                </c:pt>
                <c:pt idx="46">
                  <c:v>44552</c:v>
                </c:pt>
                <c:pt idx="47">
                  <c:v>44553</c:v>
                </c:pt>
                <c:pt idx="48">
                  <c:v>44554</c:v>
                </c:pt>
                <c:pt idx="49">
                  <c:v>44557</c:v>
                </c:pt>
                <c:pt idx="50">
                  <c:v>44558</c:v>
                </c:pt>
                <c:pt idx="51">
                  <c:v>44559</c:v>
                </c:pt>
                <c:pt idx="52">
                  <c:v>44560</c:v>
                </c:pt>
                <c:pt idx="53">
                  <c:v>44561</c:v>
                </c:pt>
                <c:pt idx="54">
                  <c:v>44564</c:v>
                </c:pt>
                <c:pt idx="55">
                  <c:v>44565</c:v>
                </c:pt>
                <c:pt idx="56">
                  <c:v>44566</c:v>
                </c:pt>
                <c:pt idx="57">
                  <c:v>44567</c:v>
                </c:pt>
                <c:pt idx="58">
                  <c:v>44568</c:v>
                </c:pt>
                <c:pt idx="59">
                  <c:v>44571</c:v>
                </c:pt>
                <c:pt idx="60">
                  <c:v>44572</c:v>
                </c:pt>
                <c:pt idx="61">
                  <c:v>44573</c:v>
                </c:pt>
                <c:pt idx="62">
                  <c:v>44574</c:v>
                </c:pt>
                <c:pt idx="63">
                  <c:v>44575</c:v>
                </c:pt>
                <c:pt idx="64">
                  <c:v>44578</c:v>
                </c:pt>
                <c:pt idx="65">
                  <c:v>44579</c:v>
                </c:pt>
                <c:pt idx="66">
                  <c:v>44580</c:v>
                </c:pt>
                <c:pt idx="67">
                  <c:v>44581</c:v>
                </c:pt>
                <c:pt idx="68">
                  <c:v>44582</c:v>
                </c:pt>
                <c:pt idx="69">
                  <c:v>44585</c:v>
                </c:pt>
                <c:pt idx="70">
                  <c:v>44586</c:v>
                </c:pt>
                <c:pt idx="71">
                  <c:v>44587</c:v>
                </c:pt>
                <c:pt idx="72">
                  <c:v>44588</c:v>
                </c:pt>
                <c:pt idx="73">
                  <c:v>44589</c:v>
                </c:pt>
                <c:pt idx="74">
                  <c:v>44592</c:v>
                </c:pt>
                <c:pt idx="75">
                  <c:v>44593</c:v>
                </c:pt>
                <c:pt idx="76">
                  <c:v>44594</c:v>
                </c:pt>
                <c:pt idx="77">
                  <c:v>44595</c:v>
                </c:pt>
                <c:pt idx="78">
                  <c:v>44596</c:v>
                </c:pt>
                <c:pt idx="79">
                  <c:v>44599</c:v>
                </c:pt>
                <c:pt idx="80">
                  <c:v>44600</c:v>
                </c:pt>
                <c:pt idx="81">
                  <c:v>44601</c:v>
                </c:pt>
                <c:pt idx="82">
                  <c:v>44602</c:v>
                </c:pt>
                <c:pt idx="83">
                  <c:v>44603</c:v>
                </c:pt>
                <c:pt idx="84">
                  <c:v>44606</c:v>
                </c:pt>
                <c:pt idx="85">
                  <c:v>44607</c:v>
                </c:pt>
                <c:pt idx="86">
                  <c:v>44608</c:v>
                </c:pt>
                <c:pt idx="87">
                  <c:v>44609</c:v>
                </c:pt>
                <c:pt idx="88">
                  <c:v>44610</c:v>
                </c:pt>
                <c:pt idx="89">
                  <c:v>44613</c:v>
                </c:pt>
                <c:pt idx="90">
                  <c:v>44614</c:v>
                </c:pt>
                <c:pt idx="91">
                  <c:v>44615</c:v>
                </c:pt>
                <c:pt idx="92">
                  <c:v>44616</c:v>
                </c:pt>
                <c:pt idx="93">
                  <c:v>44617</c:v>
                </c:pt>
                <c:pt idx="94">
                  <c:v>44622</c:v>
                </c:pt>
                <c:pt idx="95">
                  <c:v>44623</c:v>
                </c:pt>
                <c:pt idx="96">
                  <c:v>44624</c:v>
                </c:pt>
                <c:pt idx="97">
                  <c:v>44627</c:v>
                </c:pt>
                <c:pt idx="98">
                  <c:v>44628</c:v>
                </c:pt>
                <c:pt idx="99">
                  <c:v>44629</c:v>
                </c:pt>
              </c:numCache>
            </c:numRef>
          </c:cat>
          <c:val>
            <c:numRef>
              <c:f>'2028'!$E$2:$E$101</c:f>
              <c:numCache>
                <c:formatCode>#,##0.00</c:formatCode>
                <c:ptCount val="100"/>
                <c:pt idx="0">
                  <c:v>0</c:v>
                </c:pt>
                <c:pt idx="1">
                  <c:v>-1.0472480401889639E-3</c:v>
                </c:pt>
                <c:pt idx="2">
                  <c:v>-8.8052744362852042E-3</c:v>
                </c:pt>
                <c:pt idx="3">
                  <c:v>-1.0144584674037227E-2</c:v>
                </c:pt>
                <c:pt idx="4">
                  <c:v>-1.3557890673082662E-2</c:v>
                </c:pt>
                <c:pt idx="5">
                  <c:v>-1.3008845390656942E-2</c:v>
                </c:pt>
                <c:pt idx="6">
                  <c:v>-1.9592584523253964E-2</c:v>
                </c:pt>
                <c:pt idx="7">
                  <c:v>-2.4364378107390228E-2</c:v>
                </c:pt>
                <c:pt idx="8">
                  <c:v>-2.27384549686791E-2</c:v>
                </c:pt>
                <c:pt idx="9">
                  <c:v>-3.3043933159580874E-2</c:v>
                </c:pt>
                <c:pt idx="10">
                  <c:v>-2.1286760004035621E-2</c:v>
                </c:pt>
                <c:pt idx="11">
                  <c:v>-2.3546122432177019E-2</c:v>
                </c:pt>
                <c:pt idx="12">
                  <c:v>-6.9940856548112995E-3</c:v>
                </c:pt>
                <c:pt idx="13">
                  <c:v>-1.0725352563499047E-2</c:v>
                </c:pt>
                <c:pt idx="14">
                  <c:v>-1.1103704731718511E-2</c:v>
                </c:pt>
                <c:pt idx="15">
                  <c:v>-1.0361561437893019E-2</c:v>
                </c:pt>
                <c:pt idx="16">
                  <c:v>-4.7477837875166129E-3</c:v>
                </c:pt>
                <c:pt idx="17">
                  <c:v>-5.4748034885879759E-3</c:v>
                </c:pt>
                <c:pt idx="18">
                  <c:v>-3.8263049908544566E-3</c:v>
                </c:pt>
                <c:pt idx="19">
                  <c:v>1.0499203491394216E-3</c:v>
                </c:pt>
                <c:pt idx="20">
                  <c:v>-2.2078628553563458E-3</c:v>
                </c:pt>
                <c:pt idx="21">
                  <c:v>-1.1804398130391691E-3</c:v>
                </c:pt>
                <c:pt idx="22">
                  <c:v>-1.5227201176581939E-4</c:v>
                </c:pt>
                <c:pt idx="23">
                  <c:v>3.7512315651793138E-3</c:v>
                </c:pt>
                <c:pt idx="24">
                  <c:v>3.0771231636528285E-4</c:v>
                </c:pt>
                <c:pt idx="25">
                  <c:v>4.5275069035335402E-3</c:v>
                </c:pt>
                <c:pt idx="26">
                  <c:v>6.790532042125097E-3</c:v>
                </c:pt>
                <c:pt idx="27">
                  <c:v>6.1792653205954284E-3</c:v>
                </c:pt>
                <c:pt idx="28">
                  <c:v>6.5087017310136996E-3</c:v>
                </c:pt>
                <c:pt idx="29">
                  <c:v>1.0456688797159552E-2</c:v>
                </c:pt>
                <c:pt idx="30">
                  <c:v>1.432764565069089E-2</c:v>
                </c:pt>
                <c:pt idx="31">
                  <c:v>1.1178043318115893E-2</c:v>
                </c:pt>
                <c:pt idx="32">
                  <c:v>1.2850710849399372E-2</c:v>
                </c:pt>
                <c:pt idx="33">
                  <c:v>2.124968703612784E-2</c:v>
                </c:pt>
                <c:pt idx="34">
                  <c:v>1.8632408019902288E-2</c:v>
                </c:pt>
                <c:pt idx="35">
                  <c:v>1.960727608794155E-2</c:v>
                </c:pt>
                <c:pt idx="36">
                  <c:v>2.3311089766644644E-2</c:v>
                </c:pt>
                <c:pt idx="37">
                  <c:v>2.2667842004371552E-2</c:v>
                </c:pt>
                <c:pt idx="38">
                  <c:v>2.83692231995607E-2</c:v>
                </c:pt>
                <c:pt idx="39">
                  <c:v>2.4351717466178924E-2</c:v>
                </c:pt>
                <c:pt idx="40">
                  <c:v>2.4656547594098299E-2</c:v>
                </c:pt>
                <c:pt idx="41">
                  <c:v>2.5289896562253222E-2</c:v>
                </c:pt>
                <c:pt idx="42">
                  <c:v>2.1718822788979519E-2</c:v>
                </c:pt>
                <c:pt idx="43">
                  <c:v>1.9356933183089176E-2</c:v>
                </c:pt>
                <c:pt idx="44">
                  <c:v>2.1318845723483193E-2</c:v>
                </c:pt>
                <c:pt idx="45">
                  <c:v>2.4276021450208685E-2</c:v>
                </c:pt>
                <c:pt idx="46">
                  <c:v>2.6599938530055045E-2</c:v>
                </c:pt>
                <c:pt idx="47">
                  <c:v>2.5356395470777615E-2</c:v>
                </c:pt>
                <c:pt idx="48">
                  <c:v>2.5647768250743885E-2</c:v>
                </c:pt>
                <c:pt idx="49">
                  <c:v>2.6247805114041345E-2</c:v>
                </c:pt>
                <c:pt idx="50">
                  <c:v>2.5600014661492976E-2</c:v>
                </c:pt>
                <c:pt idx="51">
                  <c:v>2.168046861639028E-2</c:v>
                </c:pt>
                <c:pt idx="52">
                  <c:v>2.2143717301600585E-2</c:v>
                </c:pt>
                <c:pt idx="53">
                  <c:v>2.2623425342473746E-2</c:v>
                </c:pt>
                <c:pt idx="54">
                  <c:v>2.0702212717389479E-2</c:v>
                </c:pt>
                <c:pt idx="55">
                  <c:v>1.7634606179225187E-2</c:v>
                </c:pt>
                <c:pt idx="56">
                  <c:v>1.3136877364865018E-2</c:v>
                </c:pt>
                <c:pt idx="57">
                  <c:v>1.0753941857619687E-2</c:v>
                </c:pt>
                <c:pt idx="58">
                  <c:v>8.5864249417069161E-3</c:v>
                </c:pt>
                <c:pt idx="59">
                  <c:v>7.8865580088052223E-3</c:v>
                </c:pt>
                <c:pt idx="60">
                  <c:v>4.2964032134833454E-3</c:v>
                </c:pt>
                <c:pt idx="61">
                  <c:v>9.1838753795792111E-3</c:v>
                </c:pt>
                <c:pt idx="62">
                  <c:v>9.9778643907304509E-3</c:v>
                </c:pt>
                <c:pt idx="63">
                  <c:v>1.2882673878097606E-2</c:v>
                </c:pt>
                <c:pt idx="64">
                  <c:v>8.5663232370376541E-3</c:v>
                </c:pt>
                <c:pt idx="65">
                  <c:v>8.2394280914066531E-3</c:v>
                </c:pt>
                <c:pt idx="66">
                  <c:v>1.304847371973672E-2</c:v>
                </c:pt>
                <c:pt idx="67">
                  <c:v>1.8913343993760989E-2</c:v>
                </c:pt>
                <c:pt idx="68">
                  <c:v>1.8288947012596868E-2</c:v>
                </c:pt>
                <c:pt idx="69">
                  <c:v>1.9967251531227026E-2</c:v>
                </c:pt>
                <c:pt idx="70">
                  <c:v>1.9051892131498382E-2</c:v>
                </c:pt>
                <c:pt idx="71">
                  <c:v>1.7041887166548312E-2</c:v>
                </c:pt>
                <c:pt idx="72">
                  <c:v>1.5141125523204346E-2</c:v>
                </c:pt>
                <c:pt idx="73">
                  <c:v>1.6632552973542269E-2</c:v>
                </c:pt>
                <c:pt idx="74">
                  <c:v>1.7576011948567727E-2</c:v>
                </c:pt>
                <c:pt idx="75">
                  <c:v>1.9567382276963974E-2</c:v>
                </c:pt>
                <c:pt idx="76">
                  <c:v>2.3051287927065012E-2</c:v>
                </c:pt>
                <c:pt idx="77">
                  <c:v>2.8762330627240873E-2</c:v>
                </c:pt>
                <c:pt idx="78">
                  <c:v>2.5055985603428033E-2</c:v>
                </c:pt>
                <c:pt idx="79">
                  <c:v>2.6580892748967022E-2</c:v>
                </c:pt>
                <c:pt idx="80">
                  <c:v>2.3763332830546879E-2</c:v>
                </c:pt>
                <c:pt idx="81">
                  <c:v>2.1449585247600877E-2</c:v>
                </c:pt>
                <c:pt idx="82">
                  <c:v>2.0540525365268181E-2</c:v>
                </c:pt>
                <c:pt idx="83">
                  <c:v>1.9197954164010822E-2</c:v>
                </c:pt>
                <c:pt idx="84">
                  <c:v>2.1530082387553717E-2</c:v>
                </c:pt>
                <c:pt idx="85">
                  <c:v>2.5014733579743487E-2</c:v>
                </c:pt>
                <c:pt idx="86">
                  <c:v>2.5500517945265422E-2</c:v>
                </c:pt>
                <c:pt idx="87">
                  <c:v>2.3113699928396514E-2</c:v>
                </c:pt>
                <c:pt idx="88">
                  <c:v>2.215891555298044E-2</c:v>
                </c:pt>
                <c:pt idx="89">
                  <c:v>2.288049561608152E-2</c:v>
                </c:pt>
                <c:pt idx="90">
                  <c:v>2.0429275919379153E-2</c:v>
                </c:pt>
                <c:pt idx="91">
                  <c:v>2.09576543365535E-2</c:v>
                </c:pt>
                <c:pt idx="92">
                  <c:v>2.0096643284404081E-2</c:v>
                </c:pt>
                <c:pt idx="93">
                  <c:v>2.0190469860677185E-2</c:v>
                </c:pt>
                <c:pt idx="94">
                  <c:v>1.9366607218194828E-2</c:v>
                </c:pt>
                <c:pt idx="95">
                  <c:v>1.8556612285066887E-2</c:v>
                </c:pt>
                <c:pt idx="96">
                  <c:v>1.6015622899206106E-2</c:v>
                </c:pt>
                <c:pt idx="97">
                  <c:v>1.3219457376079768E-2</c:v>
                </c:pt>
                <c:pt idx="98">
                  <c:v>1.1271424814115472E-2</c:v>
                </c:pt>
                <c:pt idx="99">
                  <c:v>1.6644206767471026E-2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FEB-4508-B79A-C89C61D8B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3420536"/>
        <c:axId val="553419576"/>
      </c:lineChart>
      <c:dateAx>
        <c:axId val="5534205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3419576"/>
        <c:crosses val="autoZero"/>
        <c:auto val="1"/>
        <c:lblOffset val="100"/>
        <c:baseTimeUnit val="days"/>
      </c:dateAx>
      <c:valAx>
        <c:axId val="553419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53420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7620</xdr:colOff>
      <xdr:row>3</xdr:row>
      <xdr:rowOff>198120</xdr:rowOff>
    </xdr:from>
    <xdr:to>
      <xdr:col>10</xdr:col>
      <xdr:colOff>312420</xdr:colOff>
      <xdr:row>13</xdr:row>
      <xdr:rowOff>198120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35D7E18-DF29-48B7-9FA6-2E599A126F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891540</xdr:colOff>
      <xdr:row>3</xdr:row>
      <xdr:rowOff>175260</xdr:rowOff>
    </xdr:from>
    <xdr:to>
      <xdr:col>11</xdr:col>
      <xdr:colOff>129540</xdr:colOff>
      <xdr:row>13</xdr:row>
      <xdr:rowOff>175260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4BAB9C7-814F-4229-9C22-64880AFE9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198120</xdr:colOff>
      <xdr:row>3</xdr:row>
      <xdr:rowOff>38100</xdr:rowOff>
    </xdr:from>
    <xdr:to>
      <xdr:col>10</xdr:col>
      <xdr:colOff>502920</xdr:colOff>
      <xdr:row>13</xdr:row>
      <xdr:rowOff>38100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7C62081-1157-493B-8950-94C795BDF0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449580</xdr:colOff>
      <xdr:row>2</xdr:row>
      <xdr:rowOff>182880</xdr:rowOff>
    </xdr:from>
    <xdr:to>
      <xdr:col>10</xdr:col>
      <xdr:colOff>754380</xdr:colOff>
      <xdr:row>12</xdr:row>
      <xdr:rowOff>182880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C851C98-B330-42D7-B029-D7A91F4FC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58923-B2E5-45BC-B76F-7C5E432E655F}">
  <dimension ref="A1:I101"/>
  <sheetViews>
    <sheetView tabSelected="1" workbookViewId="0">
      <selection activeCell="M7" sqref="M7"/>
    </sheetView>
  </sheetViews>
  <sheetFormatPr defaultColWidth="15.5546875" defaultRowHeight="21.6" customHeight="1" x14ac:dyDescent="0.3"/>
  <cols>
    <col min="1" max="16384" width="15.5546875" style="1"/>
  </cols>
  <sheetData>
    <row r="1" spans="1:9" ht="21.6" customHeight="1" x14ac:dyDescent="0.3">
      <c r="A1" s="1" t="s">
        <v>0</v>
      </c>
      <c r="B1" s="1" t="s">
        <v>2</v>
      </c>
      <c r="C1" s="1" t="s">
        <v>3</v>
      </c>
      <c r="D1" s="1" t="s">
        <v>5</v>
      </c>
      <c r="E1" s="1" t="s">
        <v>4</v>
      </c>
      <c r="F1" s="1" t="s">
        <v>7</v>
      </c>
      <c r="I1" s="1" t="s">
        <v>6</v>
      </c>
    </row>
    <row r="2" spans="1:9" ht="21.6" customHeight="1" x14ac:dyDescent="0.3">
      <c r="A2" s="2">
        <v>44526</v>
      </c>
      <c r="B2" s="1">
        <v>0</v>
      </c>
      <c r="C2" s="1">
        <f>(($I$2+1)^(1/252))^(F2)-1</f>
        <v>0</v>
      </c>
      <c r="D2" s="1">
        <f>(B2+1)*(C2+1)-1</f>
        <v>0</v>
      </c>
      <c r="E2" s="1">
        <v>0</v>
      </c>
      <c r="F2" s="3">
        <v>0</v>
      </c>
      <c r="I2" s="1">
        <v>5.2499999999999998E-2</v>
      </c>
    </row>
    <row r="3" spans="1:9" ht="21.6" customHeight="1" x14ac:dyDescent="0.3">
      <c r="A3" s="2">
        <f>WORKDAY(A2,1,Feriados!$A$2:$A$937)</f>
        <v>44529</v>
      </c>
      <c r="B3" s="1">
        <v>4.7286970618443114E-4</v>
      </c>
      <c r="C3" s="1">
        <f t="shared" ref="C3:C66" si="0">(($I$2+1)^(1/252))^(F3)-1</f>
        <v>2.030693720416199E-4</v>
      </c>
      <c r="D3" s="1">
        <f t="shared" ref="D3:D66" si="1">(B3+1)*(C3+1)-1</f>
        <v>6.7603510358038577E-4</v>
      </c>
      <c r="E3" s="1">
        <v>2.3811345472344314E-3</v>
      </c>
      <c r="F3" s="3">
        <f>F2+1</f>
        <v>1</v>
      </c>
    </row>
    <row r="4" spans="1:9" ht="21.6" customHeight="1" x14ac:dyDescent="0.3">
      <c r="A4" s="2">
        <f>WORKDAY(A3,1,Feriados!$A$2:$A$937)</f>
        <v>44530</v>
      </c>
      <c r="B4" s="1">
        <v>9.4596301812766015E-4</v>
      </c>
      <c r="C4" s="1">
        <f t="shared" si="0"/>
        <v>4.0617998125314081E-4</v>
      </c>
      <c r="D4" s="1">
        <f t="shared" si="1"/>
        <v>1.3525272306218472E-3</v>
      </c>
      <c r="E4" s="1">
        <v>3.7172723572505006E-3</v>
      </c>
      <c r="F4" s="3">
        <f t="shared" ref="F4:F67" si="2">F3+1</f>
        <v>2</v>
      </c>
    </row>
    <row r="5" spans="1:9" ht="21.6" customHeight="1" x14ac:dyDescent="0.3">
      <c r="A5" s="2">
        <f>WORKDAY(A4,1,Feriados!$A$2:$A$937)</f>
        <v>44531</v>
      </c>
      <c r="B5" s="1">
        <v>1.2625506572676581E-3</v>
      </c>
      <c r="C5" s="1">
        <f t="shared" si="0"/>
        <v>6.0933183600853091E-4</v>
      </c>
      <c r="D5" s="1">
        <f t="shared" si="1"/>
        <v>1.8726518055862673E-3</v>
      </c>
      <c r="E5" s="1">
        <v>3.2603762755056831E-3</v>
      </c>
      <c r="F5" s="3">
        <f t="shared" si="2"/>
        <v>3</v>
      </c>
    </row>
    <row r="6" spans="1:9" ht="21.6" customHeight="1" x14ac:dyDescent="0.3">
      <c r="A6" s="2">
        <f>WORKDAY(A5,1,Feriados!$A$2:$A$937)</f>
        <v>44532</v>
      </c>
      <c r="B6" s="1">
        <v>1.5792384294186501E-3</v>
      </c>
      <c r="C6" s="1">
        <f t="shared" si="0"/>
        <v>8.1252494468353476E-4</v>
      </c>
      <c r="D6" s="1">
        <f t="shared" si="1"/>
        <v>2.3930465447197236E-3</v>
      </c>
      <c r="E6" s="1">
        <v>5.6663384624575652E-3</v>
      </c>
      <c r="F6" s="3">
        <f t="shared" si="2"/>
        <v>4</v>
      </c>
    </row>
    <row r="7" spans="1:9" ht="21.6" customHeight="1" x14ac:dyDescent="0.3">
      <c r="A7" s="2">
        <f>WORKDAY(A6,1,Feriados!$A$2:$A$937)</f>
        <v>44533</v>
      </c>
      <c r="B7" s="1">
        <v>1.8960263662517463E-3</v>
      </c>
      <c r="C7" s="1">
        <f t="shared" si="0"/>
        <v>1.0157593156554512E-3</v>
      </c>
      <c r="D7" s="1">
        <f t="shared" si="1"/>
        <v>2.9137115883515197E-3</v>
      </c>
      <c r="E7" s="1">
        <v>1.0001934952181601E-2</v>
      </c>
      <c r="F7" s="3">
        <f t="shared" si="2"/>
        <v>5</v>
      </c>
    </row>
    <row r="8" spans="1:9" ht="21.6" customHeight="1" x14ac:dyDescent="0.3">
      <c r="A8" s="2">
        <f>WORKDAY(A7,1,Feriados!$A$2:$A$937)</f>
        <v>44536</v>
      </c>
      <c r="B8" s="1">
        <v>2.2129144994478267E-3</v>
      </c>
      <c r="C8" s="1">
        <f t="shared" si="0"/>
        <v>1.2190349573035775E-3</v>
      </c>
      <c r="D8" s="1">
        <f t="shared" si="1"/>
        <v>3.43464707688379E-3</v>
      </c>
      <c r="E8" s="1">
        <v>8.6986075663635365E-3</v>
      </c>
      <c r="F8" s="3">
        <f t="shared" si="2"/>
        <v>6</v>
      </c>
    </row>
    <row r="9" spans="1:9" ht="21.6" customHeight="1" x14ac:dyDescent="0.3">
      <c r="A9" s="2">
        <f>WORKDAY(A8,1,Feriados!$A$2:$A$937)</f>
        <v>44537</v>
      </c>
      <c r="B9" s="1">
        <v>2.5299028606977636E-3</v>
      </c>
      <c r="C9" s="1">
        <f t="shared" si="0"/>
        <v>1.4223518780083211E-3</v>
      </c>
      <c r="D9" s="1">
        <f t="shared" si="1"/>
        <v>3.9558531507912775E-3</v>
      </c>
      <c r="E9" s="1">
        <v>7.6046200525474728E-3</v>
      </c>
      <c r="F9" s="3">
        <f t="shared" si="2"/>
        <v>7</v>
      </c>
    </row>
    <row r="10" spans="1:9" ht="21.6" customHeight="1" x14ac:dyDescent="0.3">
      <c r="A10" s="2">
        <f>WORKDAY(A9,1,Feriados!$A$2:$A$937)</f>
        <v>44538</v>
      </c>
      <c r="B10" s="1">
        <v>2.8469914817026432E-3</v>
      </c>
      <c r="C10" s="1">
        <f t="shared" si="0"/>
        <v>1.625710086152754E-3</v>
      </c>
      <c r="D10" s="1">
        <f t="shared" si="1"/>
        <v>4.477329950622444E-3</v>
      </c>
      <c r="E10" s="1">
        <v>9.0998893214839782E-3</v>
      </c>
      <c r="F10" s="3">
        <f t="shared" si="2"/>
        <v>8</v>
      </c>
    </row>
    <row r="11" spans="1:9" ht="21.6" customHeight="1" x14ac:dyDescent="0.3">
      <c r="A11" s="2">
        <f>WORKDAY(A10,1,Feriados!$A$2:$A$937)</f>
        <v>44539</v>
      </c>
      <c r="B11" s="1">
        <v>3.1641803941733215E-3</v>
      </c>
      <c r="C11" s="1">
        <f t="shared" si="0"/>
        <v>1.8291095901206145E-3</v>
      </c>
      <c r="D11" s="1">
        <f t="shared" si="1"/>
        <v>4.9990776169976936E-3</v>
      </c>
      <c r="E11" s="1">
        <v>6.3946505423637667E-3</v>
      </c>
      <c r="F11" s="3">
        <f t="shared" si="2"/>
        <v>9</v>
      </c>
    </row>
    <row r="12" spans="1:9" ht="21.6" customHeight="1" x14ac:dyDescent="0.3">
      <c r="A12" s="2">
        <f>WORKDAY(A11,1,Feriados!$A$2:$A$937)</f>
        <v>44540</v>
      </c>
      <c r="B12" s="1">
        <v>3.481469629831091E-3</v>
      </c>
      <c r="C12" s="1">
        <f t="shared" si="0"/>
        <v>2.0325503982983051E-3</v>
      </c>
      <c r="D12" s="1">
        <f t="shared" si="1"/>
        <v>5.5210962906122596E-3</v>
      </c>
      <c r="E12" s="1">
        <v>8.440843839976564E-3</v>
      </c>
      <c r="F12" s="3">
        <f t="shared" si="2"/>
        <v>10</v>
      </c>
    </row>
    <row r="13" spans="1:9" ht="21.6" customHeight="1" x14ac:dyDescent="0.3">
      <c r="A13" s="2">
        <f>WORKDAY(A12,1,Feriados!$A$2:$A$937)</f>
        <v>44543</v>
      </c>
      <c r="B13" s="1">
        <v>3.7988592204067917E-3</v>
      </c>
      <c r="C13" s="1">
        <f t="shared" si="0"/>
        <v>2.2360325190728947E-3</v>
      </c>
      <c r="D13" s="1">
        <f t="shared" si="1"/>
        <v>6.0433861122319854E-3</v>
      </c>
      <c r="E13" s="1">
        <v>7.5236846146256031E-3</v>
      </c>
      <c r="F13" s="3">
        <f t="shared" si="2"/>
        <v>11</v>
      </c>
    </row>
    <row r="14" spans="1:9" ht="21.6" customHeight="1" x14ac:dyDescent="0.3">
      <c r="A14" s="2">
        <f>WORKDAY(A13,1,Feriados!$A$2:$A$937)</f>
        <v>44544</v>
      </c>
      <c r="B14" s="1">
        <v>4.116349197641922E-3</v>
      </c>
      <c r="C14" s="1">
        <f t="shared" si="0"/>
        <v>2.4395559608341166E-3</v>
      </c>
      <c r="D14" s="1">
        <f t="shared" si="1"/>
        <v>6.5659472226979876E-3</v>
      </c>
      <c r="E14" s="1">
        <v>7.3408872027109773E-3</v>
      </c>
      <c r="F14" s="3">
        <f t="shared" si="2"/>
        <v>12</v>
      </c>
    </row>
    <row r="15" spans="1:9" ht="21.6" customHeight="1" x14ac:dyDescent="0.3">
      <c r="A15" s="2">
        <f>WORKDAY(A14,1,Feriados!$A$2:$A$937)</f>
        <v>44545</v>
      </c>
      <c r="B15" s="1">
        <v>4.4339395932868619E-3</v>
      </c>
      <c r="C15" s="1">
        <f t="shared" si="0"/>
        <v>2.6431207319728145E-3</v>
      </c>
      <c r="D15" s="1">
        <f t="shared" si="1"/>
        <v>7.0887797629231031E-3</v>
      </c>
      <c r="E15" s="1">
        <v>7.4320428851843978E-3</v>
      </c>
      <c r="F15" s="3">
        <f t="shared" si="2"/>
        <v>13</v>
      </c>
    </row>
    <row r="16" spans="1:9" ht="21.6" customHeight="1" x14ac:dyDescent="0.3">
      <c r="A16" s="2">
        <f>WORKDAY(A15,1,Feriados!$A$2:$A$937)</f>
        <v>44546</v>
      </c>
      <c r="B16" s="1">
        <v>4.751630439103316E-3</v>
      </c>
      <c r="C16" s="1">
        <f t="shared" si="0"/>
        <v>2.8467268408818303E-3</v>
      </c>
      <c r="D16" s="1">
        <f t="shared" si="1"/>
        <v>7.6118838738941097E-3</v>
      </c>
      <c r="E16" s="1">
        <v>6.0403175301826373E-3</v>
      </c>
      <c r="F16" s="3">
        <f t="shared" si="2"/>
        <v>14</v>
      </c>
    </row>
    <row r="17" spans="1:6" ht="21.6" customHeight="1" x14ac:dyDescent="0.3">
      <c r="A17" s="2">
        <f>WORKDAY(A16,1,Feriados!$A$2:$A$937)</f>
        <v>44547</v>
      </c>
      <c r="B17" s="1">
        <v>5.0694217668625363E-3</v>
      </c>
      <c r="C17" s="1">
        <f t="shared" si="0"/>
        <v>3.0503742959551161E-3</v>
      </c>
      <c r="D17" s="1">
        <f t="shared" si="1"/>
        <v>8.1352596966706159E-3</v>
      </c>
      <c r="E17" s="1">
        <v>4.0337143888258264E-3</v>
      </c>
      <c r="F17" s="3">
        <f t="shared" si="2"/>
        <v>15</v>
      </c>
    </row>
    <row r="18" spans="1:6" ht="21.6" customHeight="1" x14ac:dyDescent="0.3">
      <c r="A18" s="2">
        <f>WORKDAY(A17,1,Feriados!$A$2:$A$937)</f>
        <v>44550</v>
      </c>
      <c r="B18" s="1">
        <v>5.3873136083455453E-3</v>
      </c>
      <c r="C18" s="1">
        <f t="shared" si="0"/>
        <v>3.2540631055897329E-3</v>
      </c>
      <c r="D18" s="1">
        <f t="shared" si="1"/>
        <v>8.658907372386393E-3</v>
      </c>
      <c r="E18" s="1">
        <v>4.9732988613548912E-3</v>
      </c>
      <c r="F18" s="3">
        <f t="shared" si="2"/>
        <v>16</v>
      </c>
    </row>
    <row r="19" spans="1:6" ht="21.6" customHeight="1" x14ac:dyDescent="0.3">
      <c r="A19" s="2">
        <f>WORKDAY(A18,1,Feriados!$A$2:$A$937)</f>
        <v>44551</v>
      </c>
      <c r="B19" s="1">
        <v>5.7053059953438012E-3</v>
      </c>
      <c r="C19" s="1">
        <f t="shared" si="0"/>
        <v>3.4577932781827414E-3</v>
      </c>
      <c r="D19" s="1">
        <f t="shared" si="1"/>
        <v>9.1828270422471547E-3</v>
      </c>
      <c r="E19" s="1">
        <v>7.7582633968558135E-3</v>
      </c>
      <c r="F19" s="3">
        <f t="shared" si="2"/>
        <v>17</v>
      </c>
    </row>
    <row r="20" spans="1:6" ht="21.6" customHeight="1" x14ac:dyDescent="0.3">
      <c r="A20" s="2">
        <f>WORKDAY(A19,1,Feriados!$A$2:$A$937)</f>
        <v>44552</v>
      </c>
      <c r="B20" s="1">
        <v>6.0233989596587545E-3</v>
      </c>
      <c r="C20" s="1">
        <f t="shared" si="0"/>
        <v>3.6615648221340891E-3</v>
      </c>
      <c r="D20" s="1">
        <f t="shared" si="1"/>
        <v>9.707018847533222E-3</v>
      </c>
      <c r="E20" s="1">
        <v>8.495479443547449E-3</v>
      </c>
      <c r="F20" s="3">
        <f t="shared" si="2"/>
        <v>18</v>
      </c>
    </row>
    <row r="21" spans="1:6" ht="21.6" customHeight="1" x14ac:dyDescent="0.3">
      <c r="A21" s="2">
        <f>WORKDAY(A20,1,Feriados!$A$2:$A$937)</f>
        <v>44553</v>
      </c>
      <c r="B21" s="1">
        <v>6.3415925331018475E-3</v>
      </c>
      <c r="C21" s="1">
        <f t="shared" si="0"/>
        <v>3.8653777458448335E-3</v>
      </c>
      <c r="D21" s="1">
        <f t="shared" si="1"/>
        <v>1.0231482929597302E-2</v>
      </c>
      <c r="E21" s="1">
        <v>9.1048643423252695E-3</v>
      </c>
      <c r="F21" s="3">
        <f t="shared" si="2"/>
        <v>19</v>
      </c>
    </row>
    <row r="22" spans="1:6" ht="21.6" customHeight="1" x14ac:dyDescent="0.3">
      <c r="A22" s="2">
        <f>WORKDAY(A21,1,Feriados!$A$2:$A$937)</f>
        <v>44554</v>
      </c>
      <c r="B22" s="1">
        <v>6.6598867474945145E-3</v>
      </c>
      <c r="C22" s="1">
        <f t="shared" si="0"/>
        <v>4.0692320577180308E-3</v>
      </c>
      <c r="D22" s="1">
        <f t="shared" si="1"/>
        <v>1.0756219429866265E-2</v>
      </c>
      <c r="E22" s="1">
        <v>9.397890206091164E-3</v>
      </c>
      <c r="F22" s="3">
        <f t="shared" si="2"/>
        <v>20</v>
      </c>
    </row>
    <row r="23" spans="1:6" ht="21.6" customHeight="1" x14ac:dyDescent="0.3">
      <c r="A23" s="2">
        <f>WORKDAY(A22,1,Feriados!$A$2:$A$937)</f>
        <v>44557</v>
      </c>
      <c r="B23" s="1">
        <v>6.978281634668404E-3</v>
      </c>
      <c r="C23" s="1">
        <f t="shared" si="0"/>
        <v>4.2731277661585132E-3</v>
      </c>
      <c r="D23" s="1">
        <f t="shared" si="1"/>
        <v>1.1281228489840034E-2</v>
      </c>
      <c r="E23" s="1">
        <v>1.0546377293966902E-2</v>
      </c>
      <c r="F23" s="3">
        <f t="shared" si="2"/>
        <v>21</v>
      </c>
    </row>
    <row r="24" spans="1:6" ht="21.6" customHeight="1" x14ac:dyDescent="0.3">
      <c r="A24" s="2">
        <f>WORKDAY(A23,1,Feriados!$A$2:$A$937)</f>
        <v>44558</v>
      </c>
      <c r="B24" s="1">
        <v>7.2967772264649344E-3</v>
      </c>
      <c r="C24" s="1">
        <f t="shared" si="0"/>
        <v>4.4770648795722234E-3</v>
      </c>
      <c r="D24" s="1">
        <f t="shared" si="1"/>
        <v>1.1806510251091806E-2</v>
      </c>
      <c r="E24" s="1">
        <v>1.0898630088766792E-2</v>
      </c>
      <c r="F24" s="3">
        <f t="shared" si="2"/>
        <v>22</v>
      </c>
    </row>
    <row r="25" spans="1:6" ht="21.6" customHeight="1" x14ac:dyDescent="0.3">
      <c r="A25" s="2">
        <f>WORKDAY(A24,1,Feriados!$A$2:$A$937)</f>
        <v>44559</v>
      </c>
      <c r="B25" s="1">
        <v>7.6153735547357382E-3</v>
      </c>
      <c r="C25" s="1">
        <f t="shared" si="0"/>
        <v>4.6810434063675466E-3</v>
      </c>
      <c r="D25" s="1">
        <f t="shared" si="1"/>
        <v>1.2332064855268721E-2</v>
      </c>
      <c r="E25" s="1">
        <v>1.0246011935378219E-2</v>
      </c>
      <c r="F25" s="3">
        <f t="shared" si="2"/>
        <v>23</v>
      </c>
    </row>
    <row r="26" spans="1:6" ht="21.6" customHeight="1" x14ac:dyDescent="0.3">
      <c r="A26" s="2">
        <f>WORKDAY(A25,1,Feriados!$A$2:$A$937)</f>
        <v>44560</v>
      </c>
      <c r="B26" s="1">
        <v>7.9340706513431059E-3</v>
      </c>
      <c r="C26" s="1">
        <f t="shared" si="0"/>
        <v>4.8850633549542E-3</v>
      </c>
      <c r="D26" s="1">
        <f t="shared" si="1"/>
        <v>1.2857892444091856E-2</v>
      </c>
      <c r="E26" s="1">
        <v>1.1988478115835921E-2</v>
      </c>
      <c r="F26" s="3">
        <f t="shared" si="2"/>
        <v>24</v>
      </c>
    </row>
    <row r="27" spans="1:6" ht="21.6" customHeight="1" x14ac:dyDescent="0.3">
      <c r="A27" s="2">
        <f>WORKDAY(A26,1,Feriados!$A$2:$A$937)</f>
        <v>44561</v>
      </c>
      <c r="B27" s="1">
        <v>8.2528685481586539E-3</v>
      </c>
      <c r="C27" s="1">
        <f t="shared" si="0"/>
        <v>5.0891247337436774E-3</v>
      </c>
      <c r="D27" s="1">
        <f t="shared" si="1"/>
        <v>1.3383993159355123E-2</v>
      </c>
      <c r="E27" s="1">
        <v>1.2464686675882852E-2</v>
      </c>
      <c r="F27" s="3">
        <f t="shared" si="2"/>
        <v>25</v>
      </c>
    </row>
    <row r="28" spans="1:6" ht="21.6" customHeight="1" x14ac:dyDescent="0.3">
      <c r="A28" s="2">
        <f>WORKDAY(A27,1,Feriados!$A$2:$A$937)</f>
        <v>44564</v>
      </c>
      <c r="B28" s="1">
        <v>8.5114692236216705E-3</v>
      </c>
      <c r="C28" s="1">
        <f t="shared" si="0"/>
        <v>5.2932275511494709E-3</v>
      </c>
      <c r="D28" s="1">
        <f t="shared" si="1"/>
        <v>1.3849749918166454E-2</v>
      </c>
      <c r="E28" s="1">
        <v>1.3110332587612961E-2</v>
      </c>
      <c r="F28" s="3">
        <f t="shared" si="2"/>
        <v>26</v>
      </c>
    </row>
    <row r="29" spans="1:6" ht="21.6" customHeight="1" x14ac:dyDescent="0.3">
      <c r="A29" s="2">
        <f>WORKDAY(A28,1,Feriados!$A$2:$A$937)</f>
        <v>44565</v>
      </c>
      <c r="B29" s="1">
        <v>8.7701362260066418E-3</v>
      </c>
      <c r="C29" s="1">
        <f t="shared" si="0"/>
        <v>5.4973718155857387E-3</v>
      </c>
      <c r="D29" s="1">
        <f t="shared" si="1"/>
        <v>1.4315720741300053E-2</v>
      </c>
      <c r="E29" s="1">
        <v>1.0708856722887683E-2</v>
      </c>
      <c r="F29" s="3">
        <f t="shared" si="2"/>
        <v>27</v>
      </c>
    </row>
    <row r="30" spans="1:6" ht="21.6" customHeight="1" x14ac:dyDescent="0.3">
      <c r="A30" s="2">
        <f>WORKDAY(A29,1,Feriados!$A$2:$A$937)</f>
        <v>44566</v>
      </c>
      <c r="B30" s="1">
        <v>9.0288695723255152E-3</v>
      </c>
      <c r="C30" s="1">
        <f t="shared" si="0"/>
        <v>5.7015575354699699E-3</v>
      </c>
      <c r="D30" s="1">
        <f t="shared" si="1"/>
        <v>1.478190572714233E-2</v>
      </c>
      <c r="E30" s="1">
        <v>8.8958055449470663E-3</v>
      </c>
      <c r="F30" s="3">
        <f t="shared" si="2"/>
        <v>28</v>
      </c>
    </row>
    <row r="31" spans="1:6" ht="21.6" customHeight="1" x14ac:dyDescent="0.3">
      <c r="A31" s="2">
        <f>WORKDAY(A30,1,Feriados!$A$2:$A$937)</f>
        <v>44567</v>
      </c>
      <c r="B31" s="1">
        <v>9.287669279594013E-3</v>
      </c>
      <c r="C31" s="1">
        <f t="shared" si="0"/>
        <v>5.9057847192200974E-3</v>
      </c>
      <c r="D31" s="1">
        <f t="shared" si="1"/>
        <v>1.5248304974122773E-2</v>
      </c>
      <c r="E31" s="1">
        <v>8.1029189567065618E-3</v>
      </c>
      <c r="F31" s="3">
        <f t="shared" si="2"/>
        <v>29</v>
      </c>
    </row>
    <row r="32" spans="1:6" ht="21.6" customHeight="1" x14ac:dyDescent="0.3">
      <c r="A32" s="2">
        <f>WORKDAY(A31,1,Feriados!$A$2:$A$937)</f>
        <v>44568</v>
      </c>
      <c r="B32" s="1">
        <v>9.5465353648334084E-3</v>
      </c>
      <c r="C32" s="1">
        <f t="shared" si="0"/>
        <v>6.1100533752562747E-3</v>
      </c>
      <c r="D32" s="1">
        <f t="shared" si="1"/>
        <v>1.5714918580717496E-2</v>
      </c>
      <c r="E32" s="1">
        <v>5.3464092493937798E-3</v>
      </c>
      <c r="F32" s="3">
        <f t="shared" si="2"/>
        <v>30</v>
      </c>
    </row>
    <row r="33" spans="1:6" ht="21.6" customHeight="1" x14ac:dyDescent="0.3">
      <c r="A33" s="2">
        <f>WORKDAY(A32,1,Feriados!$A$2:$A$937)</f>
        <v>44571</v>
      </c>
      <c r="B33" s="1">
        <v>9.8054678450678612E-3</v>
      </c>
      <c r="C33" s="1">
        <f t="shared" si="0"/>
        <v>6.3143635119995434E-3</v>
      </c>
      <c r="D33" s="1">
        <f t="shared" si="1"/>
        <v>1.618174664544636E-2</v>
      </c>
      <c r="E33" s="1">
        <v>7.0279898933718332E-3</v>
      </c>
      <c r="F33" s="3">
        <f t="shared" si="2"/>
        <v>31</v>
      </c>
    </row>
    <row r="34" spans="1:6" ht="21.6" customHeight="1" x14ac:dyDescent="0.3">
      <c r="A34" s="2">
        <f>WORKDAY(A33,1,Feriados!$A$2:$A$937)</f>
        <v>44572</v>
      </c>
      <c r="B34" s="1">
        <v>1.006446673732686E-2</v>
      </c>
      <c r="C34" s="1">
        <f t="shared" si="0"/>
        <v>6.5187151378747199E-3</v>
      </c>
      <c r="D34" s="1">
        <f t="shared" si="1"/>
        <v>1.664878926687674E-2</v>
      </c>
      <c r="E34" s="1">
        <v>7.2444314074253668E-3</v>
      </c>
      <c r="F34" s="3">
        <f t="shared" si="2"/>
        <v>32</v>
      </c>
    </row>
    <row r="35" spans="1:6" ht="21.6" customHeight="1" x14ac:dyDescent="0.3">
      <c r="A35" s="2">
        <f>WORKDAY(A34,1,Feriados!$A$2:$A$937)</f>
        <v>44573</v>
      </c>
      <c r="B35" s="1">
        <v>1.0323532058644114E-2</v>
      </c>
      <c r="C35" s="1">
        <f t="shared" si="0"/>
        <v>6.7231082613059545E-3</v>
      </c>
      <c r="D35" s="1">
        <f t="shared" si="1"/>
        <v>1.7116046543619312E-2</v>
      </c>
      <c r="E35" s="1">
        <v>1.0189969367699669E-2</v>
      </c>
      <c r="F35" s="3">
        <f t="shared" si="2"/>
        <v>33</v>
      </c>
    </row>
    <row r="36" spans="1:6" ht="21.6" customHeight="1" x14ac:dyDescent="0.3">
      <c r="A36" s="2">
        <f>WORKDAY(A35,1,Feriados!$A$2:$A$937)</f>
        <v>44574</v>
      </c>
      <c r="B36" s="1">
        <v>1.0582663826057548E-2</v>
      </c>
      <c r="C36" s="1">
        <f t="shared" si="0"/>
        <v>6.9275428907202841E-3</v>
      </c>
      <c r="D36" s="1">
        <f t="shared" si="1"/>
        <v>1.7583518574330936E-2</v>
      </c>
      <c r="E36" s="1">
        <v>1.0664613190619177E-2</v>
      </c>
      <c r="F36" s="3">
        <f t="shared" si="2"/>
        <v>34</v>
      </c>
    </row>
    <row r="37" spans="1:6" ht="21.6" customHeight="1" x14ac:dyDescent="0.3">
      <c r="A37" s="2">
        <f>WORKDAY(A36,1,Feriados!$A$2:$A$937)</f>
        <v>44575</v>
      </c>
      <c r="B37" s="1">
        <v>1.0841862056609752E-2</v>
      </c>
      <c r="C37" s="1">
        <f t="shared" si="0"/>
        <v>7.1320190345465218E-3</v>
      </c>
      <c r="D37" s="1">
        <f t="shared" si="1"/>
        <v>1.8051205457713992E-2</v>
      </c>
      <c r="E37" s="1">
        <v>1.1272206371252702E-2</v>
      </c>
      <c r="F37" s="3">
        <f t="shared" si="2"/>
        <v>35</v>
      </c>
    </row>
    <row r="38" spans="1:6" ht="21.6" customHeight="1" x14ac:dyDescent="0.3">
      <c r="A38" s="2">
        <f>WORKDAY(A37,1,Feriados!$A$2:$A$937)</f>
        <v>44578</v>
      </c>
      <c r="B38" s="1">
        <v>1.1101126767347091E-2</v>
      </c>
      <c r="C38" s="1">
        <f t="shared" si="0"/>
        <v>7.3365367012150351E-3</v>
      </c>
      <c r="D38" s="1">
        <f t="shared" si="1"/>
        <v>1.8519107292515713E-2</v>
      </c>
      <c r="E38" s="1">
        <v>8.9528080089817941E-3</v>
      </c>
      <c r="F38" s="3">
        <f t="shared" si="2"/>
        <v>36</v>
      </c>
    </row>
    <row r="39" spans="1:6" ht="21.6" customHeight="1" x14ac:dyDescent="0.3">
      <c r="A39" s="2">
        <f>WORKDAY(A38,1,Feriados!$A$2:$A$937)</f>
        <v>44579</v>
      </c>
      <c r="B39" s="1">
        <v>1.1360457975320815E-2</v>
      </c>
      <c r="C39" s="1">
        <f t="shared" si="0"/>
        <v>7.5410958991575239E-3</v>
      </c>
      <c r="D39" s="1">
        <f t="shared" si="1"/>
        <v>1.8987224177528628E-2</v>
      </c>
      <c r="E39" s="1">
        <v>9.328715619856931E-3</v>
      </c>
      <c r="F39" s="3">
        <f t="shared" si="2"/>
        <v>37</v>
      </c>
    </row>
    <row r="40" spans="1:6" ht="21.6" customHeight="1" x14ac:dyDescent="0.3">
      <c r="A40" s="2">
        <f>WORKDAY(A39,1,Feriados!$A$2:$A$937)</f>
        <v>44580</v>
      </c>
      <c r="B40" s="1">
        <v>1.1619855697586168E-2</v>
      </c>
      <c r="C40" s="1">
        <f t="shared" si="0"/>
        <v>7.7456966368081304E-3</v>
      </c>
      <c r="D40" s="1">
        <f t="shared" si="1"/>
        <v>1.9455556211591229E-2</v>
      </c>
      <c r="E40" s="1">
        <v>1.2470134220289308E-2</v>
      </c>
      <c r="F40" s="3">
        <f t="shared" si="2"/>
        <v>38</v>
      </c>
    </row>
    <row r="41" spans="1:6" ht="21.6" customHeight="1" x14ac:dyDescent="0.3">
      <c r="A41" s="2">
        <f>WORKDAY(A40,1,Feriados!$A$2:$A$937)</f>
        <v>44581</v>
      </c>
      <c r="B41" s="1">
        <v>1.1879319951203282E-2</v>
      </c>
      <c r="C41" s="1">
        <f t="shared" si="0"/>
        <v>7.950338922601663E-3</v>
      </c>
      <c r="D41" s="1">
        <f t="shared" si="1"/>
        <v>1.9924103493587086E-2</v>
      </c>
      <c r="E41" s="1">
        <v>1.4079881206026768E-2</v>
      </c>
      <c r="F41" s="3">
        <f t="shared" si="2"/>
        <v>39</v>
      </c>
    </row>
    <row r="42" spans="1:6" ht="21.6" customHeight="1" x14ac:dyDescent="0.3">
      <c r="A42" s="2">
        <f>WORKDAY(A41,1,Feriados!$A$2:$A$937)</f>
        <v>44582</v>
      </c>
      <c r="B42" s="1">
        <v>1.2138850753236285E-2</v>
      </c>
      <c r="C42" s="1">
        <f t="shared" si="0"/>
        <v>8.1550227649758167E-3</v>
      </c>
      <c r="D42" s="1">
        <f t="shared" si="1"/>
        <v>2.0392866122445286E-2</v>
      </c>
      <c r="E42" s="1">
        <v>1.4571325336506957E-2</v>
      </c>
      <c r="F42" s="3">
        <f t="shared" si="2"/>
        <v>40</v>
      </c>
    </row>
    <row r="43" spans="1:6" ht="21.6" customHeight="1" x14ac:dyDescent="0.3">
      <c r="A43" s="2">
        <f>WORKDAY(A42,1,Feriados!$A$2:$A$937)</f>
        <v>44585</v>
      </c>
      <c r="B43" s="1">
        <v>1.2398448120753969E-2</v>
      </c>
      <c r="C43" s="1">
        <f t="shared" si="0"/>
        <v>8.3597481723691747E-3</v>
      </c>
      <c r="D43" s="1">
        <f t="shared" si="1"/>
        <v>2.0861844197140877E-2</v>
      </c>
      <c r="E43" s="1">
        <v>1.5970987602489384E-2</v>
      </c>
      <c r="F43" s="3">
        <f t="shared" si="2"/>
        <v>41</v>
      </c>
    </row>
    <row r="44" spans="1:6" ht="21.6" customHeight="1" x14ac:dyDescent="0.3">
      <c r="A44" s="2">
        <f>WORKDAY(A43,1,Feriados!$A$2:$A$937)</f>
        <v>44586</v>
      </c>
      <c r="B44" s="1">
        <v>1.2658112070829119E-2</v>
      </c>
      <c r="C44" s="1">
        <f t="shared" si="0"/>
        <v>8.5645151532229846E-3</v>
      </c>
      <c r="D44" s="1">
        <f t="shared" si="1"/>
        <v>2.1331037816693987E-2</v>
      </c>
      <c r="E44" s="1">
        <v>1.5494090144449357E-2</v>
      </c>
      <c r="F44" s="3">
        <f t="shared" si="2"/>
        <v>42</v>
      </c>
    </row>
    <row r="45" spans="1:6" ht="21.6" customHeight="1" x14ac:dyDescent="0.3">
      <c r="A45" s="2">
        <f>WORKDAY(A44,1,Feriados!$A$2:$A$937)</f>
        <v>44587</v>
      </c>
      <c r="B45" s="1">
        <v>1.2917842620538966E-2</v>
      </c>
      <c r="C45" s="1">
        <f t="shared" si="0"/>
        <v>8.7693237159784942E-3</v>
      </c>
      <c r="D45" s="1">
        <f t="shared" si="1"/>
        <v>2.1800447080168928E-2</v>
      </c>
      <c r="E45" s="1">
        <v>1.5637890838795077E-2</v>
      </c>
      <c r="F45" s="3">
        <f t="shared" si="2"/>
        <v>43</v>
      </c>
    </row>
    <row r="46" spans="1:6" ht="21.6" customHeight="1" x14ac:dyDescent="0.3">
      <c r="A46" s="2">
        <f>WORKDAY(A45,1,Feriados!$A$2:$A$937)</f>
        <v>44588</v>
      </c>
      <c r="B46" s="1">
        <v>1.3177639786965401E-2</v>
      </c>
      <c r="C46" s="1">
        <f t="shared" si="0"/>
        <v>8.974173869080504E-3</v>
      </c>
      <c r="D46" s="1">
        <f t="shared" si="1"/>
        <v>2.2270072086678194E-2</v>
      </c>
      <c r="E46" s="1">
        <v>1.2538720936295933E-2</v>
      </c>
      <c r="F46" s="3">
        <f t="shared" si="2"/>
        <v>44</v>
      </c>
    </row>
    <row r="47" spans="1:6" ht="21.6" customHeight="1" x14ac:dyDescent="0.3">
      <c r="A47" s="2">
        <f>WORKDAY(A46,1,Feriados!$A$2:$A$937)</f>
        <v>44589</v>
      </c>
      <c r="B47" s="1">
        <v>1.3437503587194533E-2</v>
      </c>
      <c r="C47" s="1">
        <f t="shared" si="0"/>
        <v>9.1790656209742583E-3</v>
      </c>
      <c r="D47" s="1">
        <f t="shared" si="1"/>
        <v>2.2739912935377804E-2</v>
      </c>
      <c r="E47" s="1">
        <v>1.3417845461752398E-2</v>
      </c>
      <c r="F47" s="3">
        <f t="shared" si="2"/>
        <v>45</v>
      </c>
    </row>
    <row r="48" spans="1:6" ht="21.6" customHeight="1" x14ac:dyDescent="0.3">
      <c r="A48" s="2">
        <f>WORKDAY(A47,1,Feriados!$A$2:$A$937)</f>
        <v>44592</v>
      </c>
      <c r="B48" s="1">
        <v>1.3697434038316914E-2</v>
      </c>
      <c r="C48" s="1">
        <f t="shared" si="0"/>
        <v>9.3839989801076662E-3</v>
      </c>
      <c r="D48" s="1">
        <f t="shared" si="1"/>
        <v>2.3209969725470181E-2</v>
      </c>
      <c r="E48" s="1">
        <v>1.2329645433539094E-2</v>
      </c>
      <c r="F48" s="3">
        <f t="shared" si="2"/>
        <v>46</v>
      </c>
    </row>
    <row r="49" spans="1:6" ht="21.6" customHeight="1" x14ac:dyDescent="0.3">
      <c r="A49" s="2">
        <f>WORKDAY(A48,1,Feriados!$A$2:$A$937)</f>
        <v>44593</v>
      </c>
      <c r="B49" s="1">
        <v>1.4134610652893231E-2</v>
      </c>
      <c r="C49" s="1">
        <f t="shared" si="0"/>
        <v>9.5889739549290809E-3</v>
      </c>
      <c r="D49" s="1">
        <f t="shared" si="1"/>
        <v>2.3859121021235996E-2</v>
      </c>
      <c r="E49" s="1">
        <v>1.4354722071962422E-2</v>
      </c>
      <c r="F49" s="3">
        <f t="shared" si="2"/>
        <v>47</v>
      </c>
    </row>
    <row r="50" spans="1:6" ht="21.6" customHeight="1" x14ac:dyDescent="0.3">
      <c r="A50" s="2">
        <f>WORKDAY(A49,1,Feriados!$A$2:$A$937)</f>
        <v>44594</v>
      </c>
      <c r="B50" s="1">
        <v>1.4571975808335802E-2</v>
      </c>
      <c r="C50" s="1">
        <f t="shared" si="0"/>
        <v>9.7939905538904082E-3</v>
      </c>
      <c r="D50" s="1">
        <f t="shared" si="1"/>
        <v>2.4508684155644556E-2</v>
      </c>
      <c r="E50" s="1">
        <v>1.6497345178715817E-2</v>
      </c>
      <c r="F50" s="3">
        <f t="shared" si="2"/>
        <v>48</v>
      </c>
    </row>
    <row r="51" spans="1:6" ht="21.6" customHeight="1" x14ac:dyDescent="0.3">
      <c r="A51" s="2">
        <f>WORKDAY(A50,1,Feriados!$A$2:$A$937)</f>
        <v>44595</v>
      </c>
      <c r="B51" s="1">
        <v>1.5009529585956471E-2</v>
      </c>
      <c r="C51" s="1">
        <f t="shared" si="0"/>
        <v>9.9990487854435539E-3</v>
      </c>
      <c r="D51" s="1">
        <f t="shared" si="1"/>
        <v>2.5158659389976634E-2</v>
      </c>
      <c r="E51" s="1">
        <v>2.1273553188042138E-2</v>
      </c>
      <c r="F51" s="3">
        <f t="shared" si="2"/>
        <v>49</v>
      </c>
    </row>
    <row r="52" spans="1:6" ht="21.6" customHeight="1" x14ac:dyDescent="0.3">
      <c r="A52" s="2">
        <f>WORKDAY(A51,1,Feriados!$A$2:$A$937)</f>
        <v>44596</v>
      </c>
      <c r="B52" s="1">
        <v>1.5447272067102391E-2</v>
      </c>
      <c r="C52" s="1">
        <f t="shared" si="0"/>
        <v>1.0204148658043088E-2</v>
      </c>
      <c r="D52" s="1">
        <f t="shared" si="1"/>
        <v>2.5809046985679318E-2</v>
      </c>
      <c r="E52" s="1">
        <v>1.9437281533869918E-2</v>
      </c>
      <c r="F52" s="3">
        <f t="shared" si="2"/>
        <v>50</v>
      </c>
    </row>
    <row r="53" spans="1:6" ht="21.6" customHeight="1" x14ac:dyDescent="0.3">
      <c r="A53" s="2">
        <f>WORKDAY(A52,1,Feriados!$A$2:$A$937)</f>
        <v>44599</v>
      </c>
      <c r="B53" s="1">
        <v>1.5885203333155351E-2</v>
      </c>
      <c r="C53" s="1">
        <f t="shared" si="0"/>
        <v>1.0409290180144914E-2</v>
      </c>
      <c r="D53" s="1">
        <f t="shared" si="1"/>
        <v>2.6459847204365783E-2</v>
      </c>
      <c r="E53" s="1">
        <v>2.0764201952378825E-2</v>
      </c>
      <c r="F53" s="3">
        <f t="shared" si="2"/>
        <v>51</v>
      </c>
    </row>
    <row r="54" spans="1:6" ht="21.6" customHeight="1" x14ac:dyDescent="0.3">
      <c r="A54" s="2">
        <f>WORKDAY(A53,1,Feriados!$A$2:$A$937)</f>
        <v>44600</v>
      </c>
      <c r="B54" s="1">
        <v>1.6323323465532672E-2</v>
      </c>
      <c r="C54" s="1">
        <f t="shared" si="0"/>
        <v>1.0614473360206933E-2</v>
      </c>
      <c r="D54" s="1">
        <f t="shared" si="1"/>
        <v>2.7111060307814627E-2</v>
      </c>
      <c r="E54" s="1">
        <v>1.8945328021925167E-2</v>
      </c>
      <c r="F54" s="3">
        <f t="shared" si="2"/>
        <v>52</v>
      </c>
    </row>
    <row r="55" spans="1:6" ht="21.6" customHeight="1" x14ac:dyDescent="0.3">
      <c r="A55" s="2">
        <f>WORKDAY(A54,1,Feriados!$A$2:$A$937)</f>
        <v>44601</v>
      </c>
      <c r="B55" s="1">
        <v>1.6761632545686522E-2</v>
      </c>
      <c r="C55" s="1">
        <f t="shared" si="0"/>
        <v>1.0819698206688599E-2</v>
      </c>
      <c r="D55" s="1">
        <f t="shared" si="1"/>
        <v>2.7762686557970762E-2</v>
      </c>
      <c r="E55" s="1">
        <v>1.6192557402603169E-2</v>
      </c>
      <c r="F55" s="3">
        <f t="shared" si="2"/>
        <v>53</v>
      </c>
    </row>
    <row r="56" spans="1:6" ht="21.6" customHeight="1" x14ac:dyDescent="0.3">
      <c r="A56" s="2">
        <f>WORKDAY(A55,1,Feriados!$A$2:$A$937)</f>
        <v>44602</v>
      </c>
      <c r="B56" s="1">
        <v>1.7200130655104173E-2</v>
      </c>
      <c r="C56" s="1">
        <f t="shared" si="0"/>
        <v>1.1024964728050701E-2</v>
      </c>
      <c r="D56" s="1">
        <f t="shared" si="1"/>
        <v>2.8414726216945185E-2</v>
      </c>
      <c r="E56" s="1">
        <v>1.6767105488244338E-2</v>
      </c>
      <c r="F56" s="3">
        <f t="shared" si="2"/>
        <v>54</v>
      </c>
    </row>
    <row r="57" spans="1:6" ht="21.6" customHeight="1" x14ac:dyDescent="0.3">
      <c r="A57" s="2">
        <f>WORKDAY(A56,1,Feriados!$A$2:$A$937)</f>
        <v>44603</v>
      </c>
      <c r="B57" s="1">
        <v>1.763881787530841E-2</v>
      </c>
      <c r="C57" s="1">
        <f t="shared" si="0"/>
        <v>1.1230272932756469E-2</v>
      </c>
      <c r="D57" s="1">
        <f t="shared" si="1"/>
        <v>2.9067179547015876E-2</v>
      </c>
      <c r="E57" s="1">
        <v>1.6057518281577643E-2</v>
      </c>
      <c r="F57" s="3">
        <f t="shared" si="2"/>
        <v>55</v>
      </c>
    </row>
    <row r="58" spans="1:6" ht="21.6" customHeight="1" x14ac:dyDescent="0.3">
      <c r="A58" s="2">
        <f>WORKDAY(A57,1,Feriados!$A$2:$A$937)</f>
        <v>44606</v>
      </c>
      <c r="B58" s="1">
        <v>1.807769428785666E-2</v>
      </c>
      <c r="C58" s="1">
        <f t="shared" si="0"/>
        <v>1.1435622829270242E-2</v>
      </c>
      <c r="D58" s="1">
        <f t="shared" si="1"/>
        <v>2.9720046810625789E-2</v>
      </c>
      <c r="E58" s="1">
        <v>1.7438927932721171E-2</v>
      </c>
      <c r="F58" s="3">
        <f t="shared" si="2"/>
        <v>56</v>
      </c>
    </row>
    <row r="59" spans="1:6" ht="21.6" customHeight="1" x14ac:dyDescent="0.3">
      <c r="A59" s="2">
        <f>WORKDAY(A58,1,Feriados!$A$2:$A$937)</f>
        <v>44607</v>
      </c>
      <c r="B59" s="1">
        <v>1.8516759974341882E-2</v>
      </c>
      <c r="C59" s="1">
        <f t="shared" si="0"/>
        <v>1.1641014426058804E-2</v>
      </c>
      <c r="D59" s="1">
        <f t="shared" si="1"/>
        <v>3.0373328270385969E-2</v>
      </c>
      <c r="E59" s="1">
        <v>2.0113458778862503E-2</v>
      </c>
      <c r="F59" s="3">
        <f t="shared" si="2"/>
        <v>57</v>
      </c>
    </row>
    <row r="60" spans="1:6" ht="21.6" customHeight="1" x14ac:dyDescent="0.3">
      <c r="A60" s="2">
        <f>WORKDAY(A59,1,Feriados!$A$2:$A$937)</f>
        <v>44608</v>
      </c>
      <c r="B60" s="1">
        <v>1.8956015016392103E-2</v>
      </c>
      <c r="C60" s="1">
        <f t="shared" si="0"/>
        <v>1.1846447731590048E-2</v>
      </c>
      <c r="D60" s="1">
        <f t="shared" si="1"/>
        <v>3.1027024189073105E-2</v>
      </c>
      <c r="E60" s="1">
        <v>2.0364000478406474E-2</v>
      </c>
      <c r="F60" s="3">
        <f t="shared" si="2"/>
        <v>58</v>
      </c>
    </row>
    <row r="61" spans="1:6" ht="21.6" customHeight="1" x14ac:dyDescent="0.3">
      <c r="A61" s="2">
        <f>WORKDAY(A60,1,Feriados!$A$2:$A$937)</f>
        <v>44609</v>
      </c>
      <c r="B61" s="1">
        <v>1.9395459495670675E-2</v>
      </c>
      <c r="C61" s="1">
        <f t="shared" si="0"/>
        <v>1.20519227543332E-2</v>
      </c>
      <c r="D61" s="1">
        <f t="shared" si="1"/>
        <v>3.168113482963042E-2</v>
      </c>
      <c r="E61" s="1">
        <v>1.9609110141173062E-2</v>
      </c>
      <c r="F61" s="3">
        <f t="shared" si="2"/>
        <v>59</v>
      </c>
    </row>
    <row r="62" spans="1:6" ht="21.6" customHeight="1" x14ac:dyDescent="0.3">
      <c r="A62" s="2">
        <f>WORKDAY(A61,1,Feriados!$A$2:$A$937)</f>
        <v>44610</v>
      </c>
      <c r="B62" s="1">
        <v>1.9835093493876018E-2</v>
      </c>
      <c r="C62" s="1">
        <f t="shared" si="0"/>
        <v>1.2257439502760592E-2</v>
      </c>
      <c r="D62" s="1">
        <f t="shared" si="1"/>
        <v>3.2335660455169446E-2</v>
      </c>
      <c r="E62" s="1">
        <v>2.003119539592535E-2</v>
      </c>
      <c r="F62" s="3">
        <f t="shared" si="2"/>
        <v>60</v>
      </c>
    </row>
    <row r="63" spans="1:6" ht="21.6" customHeight="1" x14ac:dyDescent="0.3">
      <c r="A63" s="2">
        <f>WORKDAY(A62,1,Feriados!$A$2:$A$937)</f>
        <v>44613</v>
      </c>
      <c r="B63" s="1">
        <v>2.0274917092741873E-2</v>
      </c>
      <c r="C63" s="1">
        <f t="shared" si="0"/>
        <v>1.2462997985345003E-2</v>
      </c>
      <c r="D63" s="1">
        <f t="shared" si="1"/>
        <v>3.2990601328966696E-2</v>
      </c>
      <c r="E63" s="1">
        <v>2.0376499813893556E-2</v>
      </c>
      <c r="F63" s="3">
        <f t="shared" si="2"/>
        <v>61</v>
      </c>
    </row>
    <row r="64" spans="1:6" ht="21.6" customHeight="1" x14ac:dyDescent="0.3">
      <c r="A64" s="2">
        <f>WORKDAY(A63,1,Feriados!$A$2:$A$937)</f>
        <v>44614</v>
      </c>
      <c r="B64" s="1">
        <v>2.0714930374037044E-2</v>
      </c>
      <c r="C64" s="1">
        <f t="shared" si="0"/>
        <v>1.2668598210561433E-2</v>
      </c>
      <c r="D64" s="1">
        <f t="shared" si="1"/>
        <v>3.364595771446699E-2</v>
      </c>
      <c r="E64" s="1">
        <v>1.9668381089553932E-2</v>
      </c>
      <c r="F64" s="3">
        <f t="shared" si="2"/>
        <v>62</v>
      </c>
    </row>
    <row r="65" spans="1:6" ht="21.6" customHeight="1" x14ac:dyDescent="0.3">
      <c r="A65" s="2">
        <f>WORKDAY(A64,1,Feriados!$A$2:$A$937)</f>
        <v>44615</v>
      </c>
      <c r="B65" s="1">
        <v>2.1155133419565875E-2</v>
      </c>
      <c r="C65" s="1">
        <f t="shared" si="0"/>
        <v>1.2874240186885988E-2</v>
      </c>
      <c r="D65" s="1">
        <f t="shared" si="1"/>
        <v>3.4301729875281017E-2</v>
      </c>
      <c r="E65" s="1">
        <v>2.1698793372864289E-2</v>
      </c>
      <c r="F65" s="3">
        <f t="shared" si="2"/>
        <v>63</v>
      </c>
    </row>
    <row r="66" spans="1:6" ht="21.6" customHeight="1" x14ac:dyDescent="0.3">
      <c r="A66" s="2">
        <f>WORKDAY(A65,1,Feriados!$A$2:$A$937)</f>
        <v>44616</v>
      </c>
      <c r="B66" s="1">
        <v>2.159552631116779E-2</v>
      </c>
      <c r="C66" s="1">
        <f t="shared" si="0"/>
        <v>1.3079923922798109E-2</v>
      </c>
      <c r="D66" s="1">
        <f t="shared" si="1"/>
        <v>3.4957918075188665E-2</v>
      </c>
      <c r="E66" s="1">
        <v>2.2035754382306205E-2</v>
      </c>
      <c r="F66" s="3">
        <f t="shared" si="2"/>
        <v>64</v>
      </c>
    </row>
    <row r="67" spans="1:6" ht="21.6" customHeight="1" x14ac:dyDescent="0.3">
      <c r="A67" s="2">
        <f>WORKDAY(A66,1,Feriados!$A$2:$A$937)</f>
        <v>44617</v>
      </c>
      <c r="B67" s="1">
        <v>2.2036109130717518E-2</v>
      </c>
      <c r="C67" s="1">
        <f t="shared" ref="C67:C73" si="3">(($I$2+1)^(1/252))^(F67)-1</f>
        <v>1.3285649426777013E-2</v>
      </c>
      <c r="D67" s="1">
        <f t="shared" ref="D67:D73" si="4">(B67+1)*(C67+1)-1</f>
        <v>3.5614522578135466E-2</v>
      </c>
      <c r="E67" s="1">
        <v>2.3293666207708119E-2</v>
      </c>
      <c r="F67" s="3">
        <f t="shared" si="2"/>
        <v>65</v>
      </c>
    </row>
    <row r="68" spans="1:6" ht="21.6" customHeight="1" x14ac:dyDescent="0.3">
      <c r="A68" s="2">
        <f>WORKDAY(A67,1,Feriados!$A$2:$A$937)</f>
        <v>44622</v>
      </c>
      <c r="B68" s="1">
        <v>2.2286790439162818E-2</v>
      </c>
      <c r="C68" s="1">
        <f t="shared" si="3"/>
        <v>1.3491416707305026E-2</v>
      </c>
      <c r="D68" s="1">
        <f t="shared" si="4"/>
        <v>3.6078887523350867E-2</v>
      </c>
      <c r="E68" s="1">
        <v>2.3914021236920879E-2</v>
      </c>
      <c r="F68" s="3">
        <f t="shared" ref="F68:F101" si="5">F67+1</f>
        <v>66</v>
      </c>
    </row>
    <row r="69" spans="1:6" ht="21.6" customHeight="1" x14ac:dyDescent="0.3">
      <c r="A69" s="2">
        <f>WORKDAY(A68,1,Feriados!$A$2:$A$937)</f>
        <v>44623</v>
      </c>
      <c r="B69" s="1">
        <v>2.2537533233810025E-2</v>
      </c>
      <c r="C69" s="1">
        <f t="shared" si="3"/>
        <v>1.3697225772865362E-2</v>
      </c>
      <c r="D69" s="1">
        <f t="shared" si="4"/>
        <v>3.6543460687742391E-2</v>
      </c>
      <c r="E69" s="1">
        <v>2.4564202526354162E-2</v>
      </c>
      <c r="F69" s="3">
        <f t="shared" si="5"/>
        <v>67</v>
      </c>
    </row>
    <row r="70" spans="1:6" ht="21.6" customHeight="1" x14ac:dyDescent="0.3">
      <c r="A70" s="2">
        <f>WORKDAY(A69,1,Feriados!$A$2:$A$937)</f>
        <v>44624</v>
      </c>
      <c r="B70" s="1">
        <v>2.2788337529739966E-2</v>
      </c>
      <c r="C70" s="1">
        <f t="shared" si="3"/>
        <v>1.3903076631943456E-2</v>
      </c>
      <c r="D70" s="1">
        <f t="shared" si="4"/>
        <v>3.7008242164674021E-2</v>
      </c>
      <c r="E70" s="1">
        <v>2.2989086055586361E-2</v>
      </c>
      <c r="F70" s="3">
        <f t="shared" si="5"/>
        <v>68</v>
      </c>
    </row>
    <row r="71" spans="1:6" ht="21.6" customHeight="1" x14ac:dyDescent="0.3">
      <c r="A71" s="2">
        <f>WORKDAY(A70,1,Feriados!$A$2:$A$937)</f>
        <v>44627</v>
      </c>
      <c r="B71" s="1">
        <v>2.3039203342037684E-2</v>
      </c>
      <c r="C71" s="1">
        <f t="shared" si="3"/>
        <v>1.4108969293026297E-2</v>
      </c>
      <c r="D71" s="1">
        <f t="shared" si="4"/>
        <v>3.7473232047552596E-2</v>
      </c>
      <c r="E71" s="1">
        <v>2.2669871461495461E-2</v>
      </c>
      <c r="F71" s="3">
        <f t="shared" si="5"/>
        <v>69</v>
      </c>
    </row>
    <row r="72" spans="1:6" ht="21.6" customHeight="1" x14ac:dyDescent="0.3">
      <c r="A72" s="2">
        <f>WORKDAY(A71,1,Feriados!$A$2:$A$937)</f>
        <v>44628</v>
      </c>
      <c r="B72" s="1">
        <v>2.3290130685791555E-2</v>
      </c>
      <c r="C72" s="1">
        <f t="shared" si="3"/>
        <v>1.4314903764602427E-2</v>
      </c>
      <c r="D72" s="1">
        <f t="shared" si="4"/>
        <v>3.7938430429826031E-2</v>
      </c>
      <c r="E72" s="1">
        <v>2.4868006541283849E-2</v>
      </c>
      <c r="F72" s="3">
        <f t="shared" si="5"/>
        <v>70</v>
      </c>
    </row>
    <row r="73" spans="1:6" ht="21.6" customHeight="1" x14ac:dyDescent="0.3">
      <c r="A73" s="2">
        <f>WORKDAY(A72,1,Feriados!$A$2:$A$937)</f>
        <v>44629</v>
      </c>
      <c r="B73" s="1">
        <v>2.3541119576093728E-2</v>
      </c>
      <c r="C73" s="1">
        <f t="shared" si="3"/>
        <v>1.4520880055162166E-2</v>
      </c>
      <c r="D73" s="1">
        <f t="shared" si="4"/>
        <v>3.8403837404984653E-2</v>
      </c>
      <c r="E73" s="1">
        <v>2.7632059920268404E-2</v>
      </c>
      <c r="F73" s="3">
        <f t="shared" si="5"/>
        <v>71</v>
      </c>
    </row>
    <row r="74" spans="1:6" ht="21.6" customHeight="1" x14ac:dyDescent="0.3">
      <c r="F74" s="3"/>
    </row>
    <row r="75" spans="1:6" ht="21.6" customHeight="1" x14ac:dyDescent="0.3">
      <c r="F75" s="3"/>
    </row>
    <row r="76" spans="1:6" ht="21.6" customHeight="1" x14ac:dyDescent="0.3">
      <c r="F76" s="3"/>
    </row>
    <row r="77" spans="1:6" ht="21.6" customHeight="1" x14ac:dyDescent="0.3">
      <c r="F77" s="3"/>
    </row>
    <row r="78" spans="1:6" ht="21.6" customHeight="1" x14ac:dyDescent="0.3">
      <c r="F78" s="3"/>
    </row>
    <row r="79" spans="1:6" ht="21.6" customHeight="1" x14ac:dyDescent="0.3">
      <c r="F79" s="3"/>
    </row>
    <row r="80" spans="1:6" ht="21.6" customHeight="1" x14ac:dyDescent="0.3">
      <c r="F80" s="3"/>
    </row>
    <row r="81" spans="6:6" ht="21.6" customHeight="1" x14ac:dyDescent="0.3">
      <c r="F81" s="3"/>
    </row>
    <row r="82" spans="6:6" ht="21.6" customHeight="1" x14ac:dyDescent="0.3">
      <c r="F82" s="3"/>
    </row>
    <row r="83" spans="6:6" ht="21.6" customHeight="1" x14ac:dyDescent="0.3">
      <c r="F83" s="3"/>
    </row>
    <row r="84" spans="6:6" ht="21.6" customHeight="1" x14ac:dyDescent="0.3">
      <c r="F84" s="3"/>
    </row>
    <row r="85" spans="6:6" ht="21.6" customHeight="1" x14ac:dyDescent="0.3">
      <c r="F85" s="3"/>
    </row>
    <row r="86" spans="6:6" ht="21.6" customHeight="1" x14ac:dyDescent="0.3">
      <c r="F86" s="3"/>
    </row>
    <row r="87" spans="6:6" ht="21.6" customHeight="1" x14ac:dyDescent="0.3">
      <c r="F87" s="3"/>
    </row>
    <row r="88" spans="6:6" ht="21.6" customHeight="1" x14ac:dyDescent="0.3">
      <c r="F88" s="3"/>
    </row>
    <row r="89" spans="6:6" ht="21.6" customHeight="1" x14ac:dyDescent="0.3">
      <c r="F89" s="3"/>
    </row>
    <row r="90" spans="6:6" ht="21.6" customHeight="1" x14ac:dyDescent="0.3">
      <c r="F90" s="3"/>
    </row>
    <row r="91" spans="6:6" ht="21.6" customHeight="1" x14ac:dyDescent="0.3">
      <c r="F91" s="3"/>
    </row>
    <row r="92" spans="6:6" ht="21.6" customHeight="1" x14ac:dyDescent="0.3">
      <c r="F92" s="3"/>
    </row>
    <row r="93" spans="6:6" ht="21.6" customHeight="1" x14ac:dyDescent="0.3">
      <c r="F93" s="3"/>
    </row>
    <row r="94" spans="6:6" ht="21.6" customHeight="1" x14ac:dyDescent="0.3">
      <c r="F94" s="3"/>
    </row>
    <row r="95" spans="6:6" ht="21.6" customHeight="1" x14ac:dyDescent="0.3">
      <c r="F95" s="3"/>
    </row>
    <row r="96" spans="6:6" ht="21.6" customHeight="1" x14ac:dyDescent="0.3">
      <c r="F96" s="3"/>
    </row>
    <row r="97" spans="6:6" ht="21.6" customHeight="1" x14ac:dyDescent="0.3">
      <c r="F97" s="3"/>
    </row>
    <row r="98" spans="6:6" ht="21.6" customHeight="1" x14ac:dyDescent="0.3">
      <c r="F98" s="3"/>
    </row>
    <row r="99" spans="6:6" ht="21.6" customHeight="1" x14ac:dyDescent="0.3">
      <c r="F99" s="3"/>
    </row>
    <row r="100" spans="6:6" ht="21.6" customHeight="1" x14ac:dyDescent="0.3">
      <c r="F100" s="3"/>
    </row>
    <row r="101" spans="6:6" ht="21.6" customHeight="1" x14ac:dyDescent="0.3">
      <c r="F101" s="3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0B53-C204-4B7B-9CF2-01F1FFF20F65}">
  <dimension ref="A1:I101"/>
  <sheetViews>
    <sheetView workbookViewId="0">
      <selection activeCell="M7" sqref="M7"/>
    </sheetView>
  </sheetViews>
  <sheetFormatPr defaultColWidth="15.5546875" defaultRowHeight="21.6" customHeight="1" x14ac:dyDescent="0.3"/>
  <cols>
    <col min="1" max="16384" width="15.5546875" style="1"/>
  </cols>
  <sheetData>
    <row r="1" spans="1:9" ht="21.6" customHeight="1" x14ac:dyDescent="0.3">
      <c r="A1" s="1" t="s">
        <v>0</v>
      </c>
      <c r="B1" s="1" t="s">
        <v>2</v>
      </c>
      <c r="C1" s="1" t="s">
        <v>3</v>
      </c>
      <c r="D1" s="1" t="s">
        <v>5</v>
      </c>
      <c r="E1" s="1" t="s">
        <v>4</v>
      </c>
      <c r="F1" s="1" t="s">
        <v>7</v>
      </c>
      <c r="I1" s="1" t="s">
        <v>6</v>
      </c>
    </row>
    <row r="2" spans="1:9" ht="21.6" customHeight="1" x14ac:dyDescent="0.3">
      <c r="A2" s="2">
        <v>44526</v>
      </c>
      <c r="B2" s="1">
        <v>0</v>
      </c>
      <c r="C2" s="1">
        <f>(($I$2+1)^(1/252))^(F2)-1</f>
        <v>0</v>
      </c>
      <c r="D2" s="1">
        <f>(B2+1)*(C2+1)-1</f>
        <v>0</v>
      </c>
      <c r="E2" s="1">
        <v>0</v>
      </c>
      <c r="F2" s="3">
        <v>0</v>
      </c>
      <c r="I2" s="1">
        <v>5.0999999999999997E-2</v>
      </c>
    </row>
    <row r="3" spans="1:9" ht="21.6" customHeight="1" x14ac:dyDescent="0.3">
      <c r="A3" s="2">
        <f>WORKDAY(A2,1,Feriados!$A$2:$A$937)</f>
        <v>44529</v>
      </c>
      <c r="B3" s="1">
        <v>4.7286970618443114E-4</v>
      </c>
      <c r="C3" s="1">
        <f t="shared" ref="C3:C66" si="0">(($I$2+1)^(1/252))^(F3)-1</f>
        <v>1.9740873609142007E-4</v>
      </c>
      <c r="D3" s="1">
        <f t="shared" ref="D3:D66" si="1">(B3+1)*(C3+1)-1</f>
        <v>6.7037179088691445E-4</v>
      </c>
      <c r="E3" s="1">
        <v>2.2186936348282953E-3</v>
      </c>
      <c r="F3" s="3">
        <f>F2+1</f>
        <v>1</v>
      </c>
    </row>
    <row r="4" spans="1:9" ht="21.6" customHeight="1" x14ac:dyDescent="0.3">
      <c r="A4" s="2">
        <f>WORKDAY(A3,1,Feriados!$A$2:$A$937)</f>
        <v>44530</v>
      </c>
      <c r="B4" s="1">
        <v>9.4596301812766015E-4</v>
      </c>
      <c r="C4" s="1">
        <f t="shared" si="0"/>
        <v>3.9485644239189988E-4</v>
      </c>
      <c r="D4" s="1">
        <f t="shared" si="1"/>
        <v>1.341192980111483E-3</v>
      </c>
      <c r="E4" s="1">
        <v>4.0503507086719895E-3</v>
      </c>
      <c r="F4" s="3">
        <f t="shared" ref="F4:F67" si="2">F3+1</f>
        <v>2</v>
      </c>
    </row>
    <row r="5" spans="1:9" ht="21.6" customHeight="1" x14ac:dyDescent="0.3">
      <c r="A5" s="2">
        <f>WORKDAY(A4,1,Feriados!$A$2:$A$937)</f>
        <v>44531</v>
      </c>
      <c r="B5" s="1">
        <v>1.2625506572676581E-3</v>
      </c>
      <c r="C5" s="1">
        <f t="shared" si="0"/>
        <v>5.9234312659461885E-4</v>
      </c>
      <c r="D5" s="1">
        <f t="shared" si="1"/>
        <v>1.8556416470660864E-3</v>
      </c>
      <c r="E5" s="1">
        <v>2.4271323834239578E-3</v>
      </c>
      <c r="F5" s="3">
        <f t="shared" si="2"/>
        <v>3</v>
      </c>
    </row>
    <row r="6" spans="1:9" ht="21.6" customHeight="1" x14ac:dyDescent="0.3">
      <c r="A6" s="2">
        <f>WORKDAY(A5,1,Feriados!$A$2:$A$937)</f>
        <v>44532</v>
      </c>
      <c r="B6" s="1">
        <v>1.5792384294186501E-3</v>
      </c>
      <c r="C6" s="1">
        <f t="shared" si="0"/>
        <v>7.8986879639386665E-4</v>
      </c>
      <c r="D6" s="1">
        <f t="shared" si="1"/>
        <v>2.3703546169699941E-3</v>
      </c>
      <c r="E6" s="1">
        <v>4.9446925306519951E-3</v>
      </c>
      <c r="F6" s="3">
        <f t="shared" si="2"/>
        <v>4</v>
      </c>
    </row>
    <row r="7" spans="1:9" ht="21.6" customHeight="1" x14ac:dyDescent="0.3">
      <c r="A7" s="2">
        <f>WORKDAY(A6,1,Feriados!$A$2:$A$937)</f>
        <v>44533</v>
      </c>
      <c r="B7" s="1">
        <v>1.8960263662517463E-3</v>
      </c>
      <c r="C7" s="1">
        <f t="shared" si="0"/>
        <v>9.8743345948615335E-4</v>
      </c>
      <c r="D7" s="1">
        <f t="shared" si="1"/>
        <v>2.8853320256119197E-3</v>
      </c>
      <c r="E7" s="1">
        <v>1.0738537792895908E-2</v>
      </c>
      <c r="F7" s="3">
        <f t="shared" si="2"/>
        <v>5</v>
      </c>
    </row>
    <row r="8" spans="1:9" ht="21.6" customHeight="1" x14ac:dyDescent="0.3">
      <c r="A8" s="2">
        <f>WORKDAY(A7,1,Feriados!$A$2:$A$937)</f>
        <v>44536</v>
      </c>
      <c r="B8" s="1">
        <v>2.2129144994478267E-3</v>
      </c>
      <c r="C8" s="1">
        <f t="shared" si="0"/>
        <v>1.1850371235686552E-3</v>
      </c>
      <c r="D8" s="1">
        <f t="shared" si="1"/>
        <v>3.4005740088496328E-3</v>
      </c>
      <c r="E8" s="1">
        <v>9.0472375550989526E-3</v>
      </c>
      <c r="F8" s="3">
        <f t="shared" si="2"/>
        <v>6</v>
      </c>
    </row>
    <row r="9" spans="1:9" ht="21.6" customHeight="1" x14ac:dyDescent="0.3">
      <c r="A9" s="2">
        <f>WORKDAY(A8,1,Feriados!$A$2:$A$937)</f>
        <v>44537</v>
      </c>
      <c r="B9" s="1">
        <v>2.5299028606977636E-3</v>
      </c>
      <c r="C9" s="1">
        <f t="shared" si="0"/>
        <v>1.3826797963409909E-3</v>
      </c>
      <c r="D9" s="1">
        <f t="shared" si="1"/>
        <v>3.9160807026108468E-3</v>
      </c>
      <c r="E9" s="1">
        <v>8.0989203222401329E-3</v>
      </c>
      <c r="F9" s="3">
        <f t="shared" si="2"/>
        <v>7</v>
      </c>
    </row>
    <row r="10" spans="1:9" ht="21.6" customHeight="1" x14ac:dyDescent="0.3">
      <c r="A10" s="2">
        <f>WORKDAY(A9,1,Feriados!$A$2:$A$937)</f>
        <v>44538</v>
      </c>
      <c r="B10" s="1">
        <v>2.8469914817026432E-3</v>
      </c>
      <c r="C10" s="1">
        <f t="shared" si="0"/>
        <v>1.5803614855032233E-3</v>
      </c>
      <c r="D10" s="1">
        <f t="shared" si="1"/>
        <v>4.4318522428929974E-3</v>
      </c>
      <c r="E10" s="1">
        <v>1.0106419586183302E-2</v>
      </c>
      <c r="F10" s="3">
        <f t="shared" si="2"/>
        <v>8</v>
      </c>
    </row>
    <row r="11" spans="1:9" ht="21.6" customHeight="1" x14ac:dyDescent="0.3">
      <c r="A11" s="2">
        <f>WORKDAY(A10,1,Feriados!$A$2:$A$937)</f>
        <v>44539</v>
      </c>
      <c r="B11" s="1">
        <v>3.1641803941733215E-3</v>
      </c>
      <c r="C11" s="1">
        <f t="shared" si="0"/>
        <v>1.7780821987580797E-3</v>
      </c>
      <c r="D11" s="1">
        <f t="shared" si="1"/>
        <v>4.9478887657639081E-3</v>
      </c>
      <c r="E11" s="1">
        <v>8.5148707984985528E-3</v>
      </c>
      <c r="F11" s="3">
        <f t="shared" si="2"/>
        <v>9</v>
      </c>
    </row>
    <row r="12" spans="1:9" ht="21.6" customHeight="1" x14ac:dyDescent="0.3">
      <c r="A12" s="2">
        <f>WORKDAY(A11,1,Feriados!$A$2:$A$937)</f>
        <v>44540</v>
      </c>
      <c r="B12" s="1">
        <v>3.481469629831091E-3</v>
      </c>
      <c r="C12" s="1">
        <f t="shared" si="0"/>
        <v>1.9758419438089536E-3</v>
      </c>
      <c r="D12" s="1">
        <f t="shared" si="1"/>
        <v>5.4641904073606806E-3</v>
      </c>
      <c r="E12" s="1">
        <v>1.0826103499635531E-2</v>
      </c>
      <c r="F12" s="3">
        <f t="shared" si="2"/>
        <v>10</v>
      </c>
    </row>
    <row r="13" spans="1:9" ht="21.6" customHeight="1" x14ac:dyDescent="0.3">
      <c r="A13" s="2">
        <f>WORKDAY(A12,1,Feriados!$A$2:$A$937)</f>
        <v>44543</v>
      </c>
      <c r="B13" s="1">
        <v>3.7988592204067917E-3</v>
      </c>
      <c r="C13" s="1">
        <f t="shared" si="0"/>
        <v>2.1736407283612369E-3</v>
      </c>
      <c r="D13" s="1">
        <f t="shared" si="1"/>
        <v>5.9807573038908046E-3</v>
      </c>
      <c r="E13" s="1">
        <v>8.4676545150390581E-3</v>
      </c>
      <c r="F13" s="3">
        <f t="shared" si="2"/>
        <v>11</v>
      </c>
    </row>
    <row r="14" spans="1:9" ht="21.6" customHeight="1" x14ac:dyDescent="0.3">
      <c r="A14" s="2">
        <f>WORKDAY(A13,1,Feriados!$A$2:$A$937)</f>
        <v>44544</v>
      </c>
      <c r="B14" s="1">
        <v>4.116349197641922E-3</v>
      </c>
      <c r="C14" s="1">
        <f t="shared" si="0"/>
        <v>2.3714785601214317E-3</v>
      </c>
      <c r="D14" s="1">
        <f t="shared" si="1"/>
        <v>6.4975895916314919E-3</v>
      </c>
      <c r="E14" s="1">
        <v>9.5516280608354265E-3</v>
      </c>
      <c r="F14" s="3">
        <f t="shared" si="2"/>
        <v>12</v>
      </c>
    </row>
    <row r="15" spans="1:9" ht="21.6" customHeight="1" x14ac:dyDescent="0.3">
      <c r="A15" s="2">
        <f>WORKDAY(A14,1,Feriados!$A$2:$A$937)</f>
        <v>44545</v>
      </c>
      <c r="B15" s="1">
        <v>4.4339395932868619E-3</v>
      </c>
      <c r="C15" s="1">
        <f t="shared" si="0"/>
        <v>2.5693554467982604E-3</v>
      </c>
      <c r="D15" s="1">
        <f t="shared" si="1"/>
        <v>7.0146874069298981E-3</v>
      </c>
      <c r="E15" s="1">
        <v>9.31665849754304E-3</v>
      </c>
      <c r="F15" s="3">
        <f t="shared" si="2"/>
        <v>13</v>
      </c>
    </row>
    <row r="16" spans="1:9" ht="21.6" customHeight="1" x14ac:dyDescent="0.3">
      <c r="A16" s="2">
        <f>WORKDAY(A15,1,Feriados!$A$2:$A$937)</f>
        <v>44546</v>
      </c>
      <c r="B16" s="1">
        <v>4.751630439103316E-3</v>
      </c>
      <c r="C16" s="1">
        <f t="shared" si="0"/>
        <v>2.7672713961008899E-3</v>
      </c>
      <c r="D16" s="1">
        <f t="shared" si="1"/>
        <v>7.5320508862031232E-3</v>
      </c>
      <c r="E16" s="1">
        <v>6.6860747433319379E-3</v>
      </c>
      <c r="F16" s="3">
        <f t="shared" si="2"/>
        <v>14</v>
      </c>
    </row>
    <row r="17" spans="1:6" ht="21.6" customHeight="1" x14ac:dyDescent="0.3">
      <c r="A17" s="2">
        <f>WORKDAY(A16,1,Feriados!$A$2:$A$937)</f>
        <v>44547</v>
      </c>
      <c r="B17" s="1">
        <v>5.0694217668625363E-3</v>
      </c>
      <c r="C17" s="1">
        <f t="shared" si="0"/>
        <v>2.9652264157411512E-3</v>
      </c>
      <c r="D17" s="1">
        <f t="shared" si="1"/>
        <v>8.0496801659393213E-3</v>
      </c>
      <c r="E17" s="1">
        <v>4.8103567877180176E-3</v>
      </c>
      <c r="F17" s="3">
        <f t="shared" si="2"/>
        <v>15</v>
      </c>
    </row>
    <row r="18" spans="1:6" ht="21.6" customHeight="1" x14ac:dyDescent="0.3">
      <c r="A18" s="2">
        <f>WORKDAY(A17,1,Feriados!$A$2:$A$937)</f>
        <v>44550</v>
      </c>
      <c r="B18" s="1">
        <v>5.3873136083455453E-3</v>
      </c>
      <c r="C18" s="1">
        <f t="shared" si="0"/>
        <v>3.1632205134313196E-3</v>
      </c>
      <c r="D18" s="1">
        <f t="shared" si="1"/>
        <v>8.5675753826950363E-3</v>
      </c>
      <c r="E18" s="1">
        <v>6.6604958708800233E-3</v>
      </c>
      <c r="F18" s="3">
        <f t="shared" si="2"/>
        <v>16</v>
      </c>
    </row>
    <row r="19" spans="1:6" ht="21.6" customHeight="1" x14ac:dyDescent="0.3">
      <c r="A19" s="2">
        <f>WORKDAY(A18,1,Feriados!$A$2:$A$937)</f>
        <v>44551</v>
      </c>
      <c r="B19" s="1">
        <v>5.7053059953438012E-3</v>
      </c>
      <c r="C19" s="1">
        <f t="shared" si="0"/>
        <v>3.3612536968863349E-3</v>
      </c>
      <c r="D19" s="1">
        <f t="shared" si="1"/>
        <v>9.0857366730987543E-3</v>
      </c>
      <c r="E19" s="1">
        <v>9.3546980266037139E-3</v>
      </c>
      <c r="F19" s="3">
        <f t="shared" si="2"/>
        <v>17</v>
      </c>
    </row>
    <row r="20" spans="1:6" ht="21.6" customHeight="1" x14ac:dyDescent="0.3">
      <c r="A20" s="2">
        <f>WORKDAY(A19,1,Feriados!$A$2:$A$937)</f>
        <v>44552</v>
      </c>
      <c r="B20" s="1">
        <v>6.0233989596587545E-3</v>
      </c>
      <c r="C20" s="1">
        <f t="shared" si="0"/>
        <v>3.559325973821581E-3</v>
      </c>
      <c r="D20" s="1">
        <f t="shared" si="1"/>
        <v>9.6041641738482397E-3</v>
      </c>
      <c r="E20" s="1">
        <v>1.0203382185588028E-2</v>
      </c>
      <c r="F20" s="3">
        <f t="shared" si="2"/>
        <v>18</v>
      </c>
    </row>
    <row r="21" spans="1:6" ht="21.6" customHeight="1" x14ac:dyDescent="0.3">
      <c r="A21" s="2">
        <f>WORKDAY(A20,1,Feriados!$A$2:$A$937)</f>
        <v>44553</v>
      </c>
      <c r="B21" s="1">
        <v>6.3415925331018475E-3</v>
      </c>
      <c r="C21" s="1">
        <f t="shared" si="0"/>
        <v>3.7574373519548843E-3</v>
      </c>
      <c r="D21" s="1">
        <f t="shared" si="1"/>
        <v>1.0122858021711423E-2</v>
      </c>
      <c r="E21" s="1">
        <v>1.0691380957152052E-2</v>
      </c>
      <c r="F21" s="3">
        <f t="shared" si="2"/>
        <v>19</v>
      </c>
    </row>
    <row r="22" spans="1:6" ht="21.6" customHeight="1" x14ac:dyDescent="0.3">
      <c r="A22" s="2">
        <f>WORKDAY(A21,1,Feriados!$A$2:$A$937)</f>
        <v>44554</v>
      </c>
      <c r="B22" s="1">
        <v>6.6598867474945145E-3</v>
      </c>
      <c r="C22" s="1">
        <f t="shared" si="0"/>
        <v>3.9555878390049592E-3</v>
      </c>
      <c r="D22" s="1">
        <f t="shared" si="1"/>
        <v>1.0641818353527066E-2</v>
      </c>
      <c r="E22" s="1">
        <v>1.0980260772473383E-2</v>
      </c>
      <c r="F22" s="3">
        <f t="shared" si="2"/>
        <v>20</v>
      </c>
    </row>
    <row r="23" spans="1:6" ht="21.6" customHeight="1" x14ac:dyDescent="0.3">
      <c r="A23" s="2">
        <f>WORKDAY(A22,1,Feriados!$A$2:$A$937)</f>
        <v>44557</v>
      </c>
      <c r="B23" s="1">
        <v>6.978281634668404E-3</v>
      </c>
      <c r="C23" s="1">
        <f t="shared" si="0"/>
        <v>4.1537774426920748E-3</v>
      </c>
      <c r="D23" s="1">
        <f t="shared" si="1"/>
        <v>1.116104530620321E-2</v>
      </c>
      <c r="E23" s="1">
        <v>1.175026471126861E-2</v>
      </c>
      <c r="F23" s="3">
        <f t="shared" si="2"/>
        <v>21</v>
      </c>
    </row>
    <row r="24" spans="1:6" ht="21.6" customHeight="1" x14ac:dyDescent="0.3">
      <c r="A24" s="2">
        <f>WORKDAY(A23,1,Feriados!$A$2:$A$937)</f>
        <v>44558</v>
      </c>
      <c r="B24" s="1">
        <v>7.2967772264649344E-3</v>
      </c>
      <c r="C24" s="1">
        <f t="shared" si="0"/>
        <v>4.3520061707384983E-3</v>
      </c>
      <c r="D24" s="1">
        <f t="shared" si="1"/>
        <v>1.1680539016719615E-2</v>
      </c>
      <c r="E24" s="1">
        <v>1.1888040114621079E-2</v>
      </c>
      <c r="F24" s="3">
        <f t="shared" si="2"/>
        <v>22</v>
      </c>
    </row>
    <row r="25" spans="1:6" ht="21.6" customHeight="1" x14ac:dyDescent="0.3">
      <c r="A25" s="2">
        <f>WORKDAY(A24,1,Feriados!$A$2:$A$937)</f>
        <v>44559</v>
      </c>
      <c r="B25" s="1">
        <v>7.6153735547357382E-3</v>
      </c>
      <c r="C25" s="1">
        <f t="shared" si="0"/>
        <v>4.5502740308676071E-3</v>
      </c>
      <c r="D25" s="1">
        <f t="shared" si="1"/>
        <v>1.2200299622124877E-2</v>
      </c>
      <c r="E25" s="1">
        <v>1.0853388703251143E-2</v>
      </c>
      <c r="F25" s="3">
        <f t="shared" si="2"/>
        <v>23</v>
      </c>
    </row>
    <row r="26" spans="1:6" ht="21.6" customHeight="1" x14ac:dyDescent="0.3">
      <c r="A26" s="2">
        <f>WORKDAY(A25,1,Feriados!$A$2:$A$937)</f>
        <v>44560</v>
      </c>
      <c r="B26" s="1">
        <v>7.9340706513431059E-3</v>
      </c>
      <c r="C26" s="1">
        <f t="shared" si="0"/>
        <v>4.748581030804111E-3</v>
      </c>
      <c r="D26" s="1">
        <f t="shared" si="1"/>
        <v>1.272032725953931E-2</v>
      </c>
      <c r="E26" s="1">
        <v>1.2680894561264866E-2</v>
      </c>
      <c r="F26" s="3">
        <f t="shared" si="2"/>
        <v>24</v>
      </c>
    </row>
    <row r="27" spans="1:6" ht="21.6" customHeight="1" x14ac:dyDescent="0.3">
      <c r="A27" s="2">
        <f>WORKDAY(A26,1,Feriados!$A$2:$A$937)</f>
        <v>44561</v>
      </c>
      <c r="B27" s="1">
        <v>8.2528685481586539E-3</v>
      </c>
      <c r="C27" s="1">
        <f t="shared" si="0"/>
        <v>4.9469271782751623E-3</v>
      </c>
      <c r="D27" s="1">
        <f t="shared" si="1"/>
        <v>1.3240622066153396E-2</v>
      </c>
      <c r="E27" s="1">
        <v>1.3154951675262261E-2</v>
      </c>
      <c r="F27" s="3">
        <f t="shared" si="2"/>
        <v>25</v>
      </c>
    </row>
    <row r="28" spans="1:6" ht="21.6" customHeight="1" x14ac:dyDescent="0.3">
      <c r="A28" s="2">
        <f>WORKDAY(A27,1,Feriados!$A$2:$A$937)</f>
        <v>44564</v>
      </c>
      <c r="B28" s="1">
        <v>8.5114692236216705E-3</v>
      </c>
      <c r="C28" s="1">
        <f t="shared" si="0"/>
        <v>5.1453124810081352E-3</v>
      </c>
      <c r="D28" s="1">
        <f t="shared" si="1"/>
        <v>1.3700575873457854E-2</v>
      </c>
      <c r="E28" s="1">
        <v>1.1930396222809225E-2</v>
      </c>
      <c r="F28" s="3">
        <f t="shared" si="2"/>
        <v>26</v>
      </c>
    </row>
    <row r="29" spans="1:6" ht="21.6" customHeight="1" x14ac:dyDescent="0.3">
      <c r="A29" s="2">
        <f>WORKDAY(A28,1,Feriados!$A$2:$A$937)</f>
        <v>44565</v>
      </c>
      <c r="B29" s="1">
        <v>8.7701362260066418E-3</v>
      </c>
      <c r="C29" s="1">
        <f t="shared" si="0"/>
        <v>5.3437369467332907E-3</v>
      </c>
      <c r="D29" s="1">
        <f t="shared" si="1"/>
        <v>1.4160738473718792E-2</v>
      </c>
      <c r="E29" s="1">
        <v>9.2000026091580978E-3</v>
      </c>
      <c r="F29" s="3">
        <f t="shared" si="2"/>
        <v>27</v>
      </c>
    </row>
    <row r="30" spans="1:6" ht="21.6" customHeight="1" x14ac:dyDescent="0.3">
      <c r="A30" s="2">
        <f>WORKDAY(A29,1,Feriados!$A$2:$A$937)</f>
        <v>44566</v>
      </c>
      <c r="B30" s="1">
        <v>9.0288695723255152E-3</v>
      </c>
      <c r="C30" s="1">
        <f t="shared" si="0"/>
        <v>5.5422005831813337E-3</v>
      </c>
      <c r="D30" s="1">
        <f t="shared" si="1"/>
        <v>1.462110996171595E-2</v>
      </c>
      <c r="E30" s="1">
        <v>6.72209279045477E-3</v>
      </c>
      <c r="F30" s="3">
        <f t="shared" si="2"/>
        <v>28</v>
      </c>
    </row>
    <row r="31" spans="1:6" ht="21.6" customHeight="1" x14ac:dyDescent="0.3">
      <c r="A31" s="2">
        <f>WORKDAY(A30,1,Feriados!$A$2:$A$937)</f>
        <v>44567</v>
      </c>
      <c r="B31" s="1">
        <v>9.287669279594013E-3</v>
      </c>
      <c r="C31" s="1">
        <f t="shared" si="0"/>
        <v>5.7407033980851896E-3</v>
      </c>
      <c r="D31" s="1">
        <f t="shared" si="1"/>
        <v>1.508169043227281E-2</v>
      </c>
      <c r="E31" s="1">
        <v>5.3896285709595926E-3</v>
      </c>
      <c r="F31" s="3">
        <f t="shared" si="2"/>
        <v>29</v>
      </c>
    </row>
    <row r="32" spans="1:6" ht="21.6" customHeight="1" x14ac:dyDescent="0.3">
      <c r="A32" s="2">
        <f>WORKDAY(A31,1,Feriados!$A$2:$A$937)</f>
        <v>44568</v>
      </c>
      <c r="B32" s="1">
        <v>9.5465353648334084E-3</v>
      </c>
      <c r="C32" s="1">
        <f t="shared" si="0"/>
        <v>5.939245399178672E-3</v>
      </c>
      <c r="D32" s="1">
        <f t="shared" si="1"/>
        <v>1.5542479980255708E-2</v>
      </c>
      <c r="E32" s="1">
        <v>3.8483362073500338E-3</v>
      </c>
      <c r="F32" s="3">
        <f t="shared" si="2"/>
        <v>30</v>
      </c>
    </row>
    <row r="33" spans="1:6" ht="21.6" customHeight="1" x14ac:dyDescent="0.3">
      <c r="A33" s="2">
        <f>WORKDAY(A32,1,Feriados!$A$2:$A$937)</f>
        <v>44571</v>
      </c>
      <c r="B33" s="1">
        <v>9.8054678450678612E-3</v>
      </c>
      <c r="C33" s="1">
        <f t="shared" si="0"/>
        <v>6.137826594197815E-3</v>
      </c>
      <c r="D33" s="1">
        <f t="shared" si="1"/>
        <v>1.6003478700573615E-2</v>
      </c>
      <c r="E33" s="1">
        <v>5.0290459839563706E-3</v>
      </c>
      <c r="F33" s="3">
        <f t="shared" si="2"/>
        <v>31</v>
      </c>
    </row>
    <row r="34" spans="1:6" ht="21.6" customHeight="1" x14ac:dyDescent="0.3">
      <c r="A34" s="2">
        <f>WORKDAY(A33,1,Feriados!$A$2:$A$937)</f>
        <v>44572</v>
      </c>
      <c r="B34" s="1">
        <v>1.006446673732686E-2</v>
      </c>
      <c r="C34" s="1">
        <f t="shared" si="0"/>
        <v>6.3364469908793186E-3</v>
      </c>
      <c r="D34" s="1">
        <f t="shared" si="1"/>
        <v>1.6464686688178798E-2</v>
      </c>
      <c r="E34" s="1">
        <v>5.2641798721579924E-3</v>
      </c>
      <c r="F34" s="3">
        <f t="shared" si="2"/>
        <v>32</v>
      </c>
    </row>
    <row r="35" spans="1:6" ht="21.6" customHeight="1" x14ac:dyDescent="0.3">
      <c r="A35" s="2">
        <f>WORKDAY(A34,1,Feriados!$A$2:$A$937)</f>
        <v>44573</v>
      </c>
      <c r="B35" s="1">
        <v>1.0323532058644114E-2</v>
      </c>
      <c r="C35" s="1">
        <f t="shared" si="0"/>
        <v>6.5351065969625477E-3</v>
      </c>
      <c r="D35" s="1">
        <f t="shared" si="1"/>
        <v>1.6926104038067047E-2</v>
      </c>
      <c r="E35" s="1">
        <v>8.711134706795411E-3</v>
      </c>
      <c r="F35" s="3">
        <f t="shared" si="2"/>
        <v>33</v>
      </c>
    </row>
    <row r="36" spans="1:6" ht="21.6" customHeight="1" x14ac:dyDescent="0.3">
      <c r="A36" s="2">
        <f>WORKDAY(A35,1,Feriados!$A$2:$A$937)</f>
        <v>44574</v>
      </c>
      <c r="B36" s="1">
        <v>1.0582663826057548E-2</v>
      </c>
      <c r="C36" s="1">
        <f t="shared" si="0"/>
        <v>6.733805420187533E-3</v>
      </c>
      <c r="D36" s="1">
        <f t="shared" si="1"/>
        <v>1.7387730845277005E-2</v>
      </c>
      <c r="E36" s="1">
        <v>9.3733498123687031E-3</v>
      </c>
      <c r="F36" s="3">
        <f t="shared" si="2"/>
        <v>34</v>
      </c>
    </row>
    <row r="37" spans="1:6" ht="21.6" customHeight="1" x14ac:dyDescent="0.3">
      <c r="A37" s="2">
        <f>WORKDAY(A36,1,Feriados!$A$2:$A$937)</f>
        <v>44575</v>
      </c>
      <c r="B37" s="1">
        <v>1.0841862056609752E-2</v>
      </c>
      <c r="C37" s="1">
        <f t="shared" si="0"/>
        <v>6.9325434682960818E-3</v>
      </c>
      <c r="D37" s="1">
        <f t="shared" si="1"/>
        <v>1.7849567204890615E-2</v>
      </c>
      <c r="E37" s="1">
        <v>1.0282782787487177E-2</v>
      </c>
      <c r="F37" s="3">
        <f t="shared" si="2"/>
        <v>35</v>
      </c>
    </row>
    <row r="38" spans="1:6" ht="21.6" customHeight="1" x14ac:dyDescent="0.3">
      <c r="A38" s="2">
        <f>WORKDAY(A37,1,Feriados!$A$2:$A$937)</f>
        <v>44578</v>
      </c>
      <c r="B38" s="1">
        <v>1.1101126767347091E-2</v>
      </c>
      <c r="C38" s="1">
        <f t="shared" si="0"/>
        <v>7.1313207490313335E-3</v>
      </c>
      <c r="D38" s="1">
        <f t="shared" si="1"/>
        <v>1.8311613212032007E-2</v>
      </c>
      <c r="E38" s="1">
        <v>7.0176878613004146E-3</v>
      </c>
      <c r="F38" s="3">
        <f t="shared" si="2"/>
        <v>36</v>
      </c>
    </row>
    <row r="39" spans="1:6" ht="21.6" customHeight="1" x14ac:dyDescent="0.3">
      <c r="A39" s="2">
        <f>WORKDAY(A38,1,Feriados!$A$2:$A$937)</f>
        <v>44579</v>
      </c>
      <c r="B39" s="1">
        <v>1.1360457975320815E-2</v>
      </c>
      <c r="C39" s="1">
        <f t="shared" si="0"/>
        <v>7.330137270138426E-3</v>
      </c>
      <c r="D39" s="1">
        <f t="shared" si="1"/>
        <v>1.8773868961869944E-2</v>
      </c>
      <c r="E39" s="1">
        <v>7.4190271792964335E-3</v>
      </c>
      <c r="F39" s="3">
        <f t="shared" si="2"/>
        <v>37</v>
      </c>
    </row>
    <row r="40" spans="1:6" ht="21.6" customHeight="1" x14ac:dyDescent="0.3">
      <c r="A40" s="2">
        <f>WORKDAY(A39,1,Feriados!$A$2:$A$937)</f>
        <v>44580</v>
      </c>
      <c r="B40" s="1">
        <v>1.1619855697586168E-2</v>
      </c>
      <c r="C40" s="1">
        <f t="shared" si="0"/>
        <v>7.5289930393636073E-3</v>
      </c>
      <c r="D40" s="1">
        <f t="shared" si="1"/>
        <v>1.9236334549615375E-2</v>
      </c>
      <c r="E40" s="1">
        <v>1.0917398057864958E-2</v>
      </c>
      <c r="F40" s="3">
        <f t="shared" si="2"/>
        <v>38</v>
      </c>
    </row>
    <row r="41" spans="1:6" ht="21.6" customHeight="1" x14ac:dyDescent="0.3">
      <c r="A41" s="2">
        <f>WORKDAY(A40,1,Feriados!$A$2:$A$937)</f>
        <v>44581</v>
      </c>
      <c r="B41" s="1">
        <v>1.1879319951203282E-2</v>
      </c>
      <c r="C41" s="1">
        <f t="shared" si="0"/>
        <v>7.727888064455124E-3</v>
      </c>
      <c r="D41" s="1">
        <f t="shared" si="1"/>
        <v>1.9699010070523215E-2</v>
      </c>
      <c r="E41" s="1">
        <v>1.4534387378234204E-2</v>
      </c>
      <c r="F41" s="3">
        <f t="shared" si="2"/>
        <v>39</v>
      </c>
    </row>
    <row r="42" spans="1:6" ht="21.6" customHeight="1" x14ac:dyDescent="0.3">
      <c r="A42" s="2">
        <f>WORKDAY(A41,1,Feriados!$A$2:$A$937)</f>
        <v>44582</v>
      </c>
      <c r="B42" s="1">
        <v>1.2138850753236285E-2</v>
      </c>
      <c r="C42" s="1">
        <f t="shared" si="0"/>
        <v>7.9268223531618887E-3</v>
      </c>
      <c r="D42" s="1">
        <f t="shared" si="1"/>
        <v>2.0161895619890569E-2</v>
      </c>
      <c r="E42" s="1">
        <v>1.4891166869001493E-2</v>
      </c>
      <c r="F42" s="3">
        <f t="shared" si="2"/>
        <v>40</v>
      </c>
    </row>
    <row r="43" spans="1:6" ht="21.6" customHeight="1" x14ac:dyDescent="0.3">
      <c r="A43" s="2">
        <f>WORKDAY(A42,1,Feriados!$A$2:$A$937)</f>
        <v>44585</v>
      </c>
      <c r="B43" s="1">
        <v>1.2398448120753969E-2</v>
      </c>
      <c r="C43" s="1">
        <f t="shared" si="0"/>
        <v>8.1257959132352564E-3</v>
      </c>
      <c r="D43" s="1">
        <f t="shared" si="1"/>
        <v>2.0624991293059391E-2</v>
      </c>
      <c r="E43" s="1">
        <v>1.5968106893336165E-2</v>
      </c>
      <c r="F43" s="3">
        <f t="shared" si="2"/>
        <v>41</v>
      </c>
    </row>
    <row r="44" spans="1:6" ht="21.6" customHeight="1" x14ac:dyDescent="0.3">
      <c r="A44" s="2">
        <f>WORKDAY(A43,1,Feriados!$A$2:$A$937)</f>
        <v>44586</v>
      </c>
      <c r="B44" s="1">
        <v>1.2658112070829119E-2</v>
      </c>
      <c r="C44" s="1">
        <f t="shared" si="0"/>
        <v>8.3248087524274705E-3</v>
      </c>
      <c r="D44" s="1">
        <f t="shared" si="1"/>
        <v>2.1088297185412941E-2</v>
      </c>
      <c r="E44" s="1">
        <v>1.5399129948826751E-2</v>
      </c>
      <c r="F44" s="3">
        <f t="shared" si="2"/>
        <v>42</v>
      </c>
    </row>
    <row r="45" spans="1:6" ht="21.6" customHeight="1" x14ac:dyDescent="0.3">
      <c r="A45" s="2">
        <f>WORKDAY(A44,1,Feriados!$A$2:$A$937)</f>
        <v>44587</v>
      </c>
      <c r="B45" s="1">
        <v>1.2917842620538966E-2</v>
      </c>
      <c r="C45" s="1">
        <f t="shared" si="0"/>
        <v>8.5238608784929948E-3</v>
      </c>
      <c r="D45" s="1">
        <f t="shared" si="1"/>
        <v>2.1551813392379771E-2</v>
      </c>
      <c r="E45" s="1">
        <v>1.472934784993063E-2</v>
      </c>
      <c r="F45" s="3">
        <f t="shared" si="2"/>
        <v>43</v>
      </c>
    </row>
    <row r="46" spans="1:6" ht="21.6" customHeight="1" x14ac:dyDescent="0.3">
      <c r="A46" s="2">
        <f>WORKDAY(A45,1,Feriados!$A$2:$A$937)</f>
        <v>44588</v>
      </c>
      <c r="B46" s="1">
        <v>1.3177639786965401E-2</v>
      </c>
      <c r="C46" s="1">
        <f t="shared" si="0"/>
        <v>8.722952299186959E-3</v>
      </c>
      <c r="D46" s="1">
        <f t="shared" si="1"/>
        <v>2.2015540009429957E-2</v>
      </c>
      <c r="E46" s="1">
        <v>1.230498822219972E-2</v>
      </c>
      <c r="F46" s="3">
        <f t="shared" si="2"/>
        <v>44</v>
      </c>
    </row>
    <row r="47" spans="1:6" ht="21.6" customHeight="1" x14ac:dyDescent="0.3">
      <c r="A47" s="2">
        <f>WORKDAY(A46,1,Feriados!$A$2:$A$937)</f>
        <v>44589</v>
      </c>
      <c r="B47" s="1">
        <v>1.3437503587194533E-2</v>
      </c>
      <c r="C47" s="1">
        <f t="shared" si="0"/>
        <v>8.9220830222669356E-3</v>
      </c>
      <c r="D47" s="1">
        <f t="shared" si="1"/>
        <v>2.2479477132078429E-2</v>
      </c>
      <c r="E47" s="1">
        <v>1.2638463689137458E-2</v>
      </c>
      <c r="F47" s="3">
        <f t="shared" si="2"/>
        <v>45</v>
      </c>
    </row>
    <row r="48" spans="1:6" ht="21.6" customHeight="1" x14ac:dyDescent="0.3">
      <c r="A48" s="2">
        <f>WORKDAY(A47,1,Feriados!$A$2:$A$937)</f>
        <v>44592</v>
      </c>
      <c r="B48" s="1">
        <v>1.3697434038316914E-2</v>
      </c>
      <c r="C48" s="1">
        <f t="shared" si="0"/>
        <v>9.121253055490941E-3</v>
      </c>
      <c r="D48" s="1">
        <f t="shared" si="1"/>
        <v>2.2943624855882305E-2</v>
      </c>
      <c r="E48" s="1">
        <v>1.1973658843765556E-2</v>
      </c>
      <c r="F48" s="3">
        <f t="shared" si="2"/>
        <v>46</v>
      </c>
    </row>
    <row r="49" spans="1:6" ht="21.6" customHeight="1" x14ac:dyDescent="0.3">
      <c r="A49" s="2">
        <f>WORKDAY(A48,1,Feriados!$A$2:$A$937)</f>
        <v>44593</v>
      </c>
      <c r="B49" s="1">
        <v>1.4134610652893231E-2</v>
      </c>
      <c r="C49" s="1">
        <f t="shared" si="0"/>
        <v>9.3204624066198782E-3</v>
      </c>
      <c r="D49" s="1">
        <f t="shared" si="1"/>
        <v>2.3586814166735692E-2</v>
      </c>
      <c r="E49" s="1">
        <v>1.4461279927116877E-2</v>
      </c>
      <c r="F49" s="3">
        <f t="shared" si="2"/>
        <v>47</v>
      </c>
    </row>
    <row r="50" spans="1:6" ht="21.6" customHeight="1" x14ac:dyDescent="0.3">
      <c r="A50" s="2">
        <f>WORKDAY(A49,1,Feriados!$A$2:$A$937)</f>
        <v>44594</v>
      </c>
      <c r="B50" s="1">
        <v>1.4571975808335802E-2</v>
      </c>
      <c r="C50" s="1">
        <f t="shared" si="0"/>
        <v>9.5197110834144283E-3</v>
      </c>
      <c r="D50" s="1">
        <f t="shared" si="1"/>
        <v>2.4230407891359995E-2</v>
      </c>
      <c r="E50" s="1">
        <v>1.723736650895713E-2</v>
      </c>
      <c r="F50" s="3">
        <f t="shared" si="2"/>
        <v>48</v>
      </c>
    </row>
    <row r="51" spans="1:6" ht="21.6" customHeight="1" x14ac:dyDescent="0.3">
      <c r="A51" s="2">
        <f>WORKDAY(A50,1,Feriados!$A$2:$A$937)</f>
        <v>44595</v>
      </c>
      <c r="B51" s="1">
        <v>1.5009529585956471E-2</v>
      </c>
      <c r="C51" s="1">
        <f t="shared" si="0"/>
        <v>9.7189990936388249E-3</v>
      </c>
      <c r="D51" s="1">
        <f t="shared" si="1"/>
        <v>2.4874406284037143E-2</v>
      </c>
      <c r="E51" s="1">
        <v>2.3773564474592446E-2</v>
      </c>
      <c r="F51" s="3">
        <f t="shared" si="2"/>
        <v>49</v>
      </c>
    </row>
    <row r="52" spans="1:6" ht="21.6" customHeight="1" x14ac:dyDescent="0.3">
      <c r="A52" s="2">
        <f>WORKDAY(A51,1,Feriados!$A$2:$A$937)</f>
        <v>44596</v>
      </c>
      <c r="B52" s="1">
        <v>1.5447272067102391E-2</v>
      </c>
      <c r="C52" s="1">
        <f t="shared" si="0"/>
        <v>9.9183264450573017E-3</v>
      </c>
      <c r="D52" s="1">
        <f t="shared" si="1"/>
        <v>2.5518809599206937E-2</v>
      </c>
      <c r="E52" s="1">
        <v>2.2224838550524373E-2</v>
      </c>
      <c r="F52" s="3">
        <f t="shared" si="2"/>
        <v>50</v>
      </c>
    </row>
    <row r="53" spans="1:6" ht="21.6" customHeight="1" x14ac:dyDescent="0.3">
      <c r="A53" s="2">
        <f>WORKDAY(A52,1,Feriados!$A$2:$A$937)</f>
        <v>44599</v>
      </c>
      <c r="B53" s="1">
        <v>1.5885203333155351E-2</v>
      </c>
      <c r="C53" s="1">
        <f t="shared" si="0"/>
        <v>1.0117693145436313E-2</v>
      </c>
      <c r="D53" s="1">
        <f t="shared" si="1"/>
        <v>2.6163618091469498E-2</v>
      </c>
      <c r="E53" s="1">
        <v>2.3277195776145065E-2</v>
      </c>
      <c r="F53" s="3">
        <f t="shared" si="2"/>
        <v>51</v>
      </c>
    </row>
    <row r="54" spans="1:6" ht="21.6" customHeight="1" x14ac:dyDescent="0.3">
      <c r="A54" s="2">
        <f>WORKDAY(A53,1,Feriados!$A$2:$A$937)</f>
        <v>44600</v>
      </c>
      <c r="B54" s="1">
        <v>1.6323323465532672E-2</v>
      </c>
      <c r="C54" s="1">
        <f t="shared" si="0"/>
        <v>1.0317099202543867E-2</v>
      </c>
      <c r="D54" s="1">
        <f t="shared" si="1"/>
        <v>2.6808832015585704E-2</v>
      </c>
      <c r="E54" s="1">
        <v>2.1565343762047107E-2</v>
      </c>
      <c r="F54" s="3">
        <f t="shared" si="2"/>
        <v>52</v>
      </c>
    </row>
    <row r="55" spans="1:6" ht="21.6" customHeight="1" x14ac:dyDescent="0.3">
      <c r="A55" s="2">
        <f>WORKDAY(A54,1,Feriados!$A$2:$A$937)</f>
        <v>44601</v>
      </c>
      <c r="B55" s="1">
        <v>1.6761632545686522E-2</v>
      </c>
      <c r="C55" s="1">
        <f t="shared" si="0"/>
        <v>1.051654462414886E-2</v>
      </c>
      <c r="D55" s="1">
        <f t="shared" si="1"/>
        <v>2.745445162647564E-2</v>
      </c>
      <c r="E55" s="1">
        <v>1.8914813871365732E-2</v>
      </c>
      <c r="F55" s="3">
        <f t="shared" si="2"/>
        <v>53</v>
      </c>
    </row>
    <row r="56" spans="1:6" ht="21.6" customHeight="1" x14ac:dyDescent="0.3">
      <c r="A56" s="2">
        <f>WORKDAY(A55,1,Feriados!$A$2:$A$937)</f>
        <v>44602</v>
      </c>
      <c r="B56" s="1">
        <v>1.7200130655104173E-2</v>
      </c>
      <c r="C56" s="1">
        <f t="shared" si="0"/>
        <v>1.0716029418022632E-2</v>
      </c>
      <c r="D56" s="1">
        <f t="shared" si="1"/>
        <v>2.8100477179220817E-2</v>
      </c>
      <c r="E56" s="1">
        <v>1.7629118649677308E-2</v>
      </c>
      <c r="F56" s="3">
        <f t="shared" si="2"/>
        <v>54</v>
      </c>
    </row>
    <row r="57" spans="1:6" ht="21.6" customHeight="1" x14ac:dyDescent="0.3">
      <c r="A57" s="2">
        <f>WORKDAY(A56,1,Feriados!$A$2:$A$937)</f>
        <v>44603</v>
      </c>
      <c r="B57" s="1">
        <v>1.763881787530841E-2</v>
      </c>
      <c r="C57" s="1">
        <f t="shared" si="0"/>
        <v>1.091555359193741E-2</v>
      </c>
      <c r="D57" s="1">
        <f t="shared" si="1"/>
        <v>2.8746908929062176E-2</v>
      </c>
      <c r="E57" s="1">
        <v>1.6093524180899266E-2</v>
      </c>
      <c r="F57" s="3">
        <f t="shared" si="2"/>
        <v>55</v>
      </c>
    </row>
    <row r="58" spans="1:6" ht="21.6" customHeight="1" x14ac:dyDescent="0.3">
      <c r="A58" s="2">
        <f>WORKDAY(A57,1,Feriados!$A$2:$A$937)</f>
        <v>44606</v>
      </c>
      <c r="B58" s="1">
        <v>1.807769428785666E-2</v>
      </c>
      <c r="C58" s="1">
        <f t="shared" si="0"/>
        <v>1.1115117153666976E-2</v>
      </c>
      <c r="D58" s="1">
        <f t="shared" si="1"/>
        <v>2.9393747131401415E-2</v>
      </c>
      <c r="E58" s="1">
        <v>1.727691870981074E-2</v>
      </c>
      <c r="F58" s="3">
        <f t="shared" si="2"/>
        <v>56</v>
      </c>
    </row>
    <row r="59" spans="1:6" ht="21.6" customHeight="1" x14ac:dyDescent="0.3">
      <c r="A59" s="2">
        <f>WORKDAY(A58,1,Feriados!$A$2:$A$937)</f>
        <v>44607</v>
      </c>
      <c r="B59" s="1">
        <v>1.8516759974341882E-2</v>
      </c>
      <c r="C59" s="1">
        <f t="shared" si="0"/>
        <v>1.1314720110987331E-2</v>
      </c>
      <c r="D59" s="1">
        <f t="shared" si="1"/>
        <v>3.0040992041801218E-2</v>
      </c>
      <c r="E59" s="1">
        <v>2.0883619421775856E-2</v>
      </c>
      <c r="F59" s="3">
        <f t="shared" si="2"/>
        <v>57</v>
      </c>
    </row>
    <row r="60" spans="1:6" ht="21.6" customHeight="1" x14ac:dyDescent="0.3">
      <c r="A60" s="2">
        <f>WORKDAY(A59,1,Feriados!$A$2:$A$937)</f>
        <v>44608</v>
      </c>
      <c r="B60" s="1">
        <v>1.8956015016392103E-2</v>
      </c>
      <c r="C60" s="1">
        <f t="shared" si="0"/>
        <v>1.1514362471674922E-2</v>
      </c>
      <c r="D60" s="1">
        <f t="shared" si="1"/>
        <v>3.0688643915984359E-2</v>
      </c>
      <c r="E60" s="1">
        <v>2.046282019251433E-2</v>
      </c>
      <c r="F60" s="3">
        <f t="shared" si="2"/>
        <v>58</v>
      </c>
    </row>
    <row r="61" spans="1:6" ht="21.6" customHeight="1" x14ac:dyDescent="0.3">
      <c r="A61" s="2">
        <f>WORKDAY(A60,1,Feriados!$A$2:$A$937)</f>
        <v>44609</v>
      </c>
      <c r="B61" s="1">
        <v>1.9395459495670675E-2</v>
      </c>
      <c r="C61" s="1">
        <f t="shared" si="0"/>
        <v>1.1714044243508859E-2</v>
      </c>
      <c r="D61" s="1">
        <f t="shared" si="1"/>
        <v>3.1336703009835043E-2</v>
      </c>
      <c r="E61" s="1">
        <v>1.9258062127443187E-2</v>
      </c>
      <c r="F61" s="3">
        <f t="shared" si="2"/>
        <v>59</v>
      </c>
    </row>
    <row r="62" spans="1:6" ht="21.6" customHeight="1" x14ac:dyDescent="0.3">
      <c r="A62" s="2">
        <f>WORKDAY(A61,1,Feriados!$A$2:$A$937)</f>
        <v>44610</v>
      </c>
      <c r="B62" s="1">
        <v>1.9835093493876018E-2</v>
      </c>
      <c r="C62" s="1">
        <f t="shared" si="0"/>
        <v>1.1913765434268697E-2</v>
      </c>
      <c r="D62" s="1">
        <f t="shared" si="1"/>
        <v>3.1985169579397565E-2</v>
      </c>
      <c r="E62" s="1">
        <v>1.9632115722628907E-2</v>
      </c>
      <c r="F62" s="3">
        <f t="shared" si="2"/>
        <v>60</v>
      </c>
    </row>
    <row r="63" spans="1:6" ht="21.6" customHeight="1" x14ac:dyDescent="0.3">
      <c r="A63" s="2">
        <f>WORKDAY(A62,1,Feriados!$A$2:$A$937)</f>
        <v>44613</v>
      </c>
      <c r="B63" s="1">
        <v>2.0274917092741873E-2</v>
      </c>
      <c r="C63" s="1">
        <f t="shared" si="0"/>
        <v>1.2113526051736878E-2</v>
      </c>
      <c r="D63" s="1">
        <f t="shared" si="1"/>
        <v>3.2634043880878538E-2</v>
      </c>
      <c r="E63" s="1">
        <v>2.0299697217648571E-2</v>
      </c>
      <c r="F63" s="3">
        <f t="shared" si="2"/>
        <v>61</v>
      </c>
    </row>
    <row r="64" spans="1:6" ht="21.6" customHeight="1" x14ac:dyDescent="0.3">
      <c r="A64" s="2">
        <f>WORKDAY(A63,1,Feriados!$A$2:$A$937)</f>
        <v>44614</v>
      </c>
      <c r="B64" s="1">
        <v>2.0714930374037044E-2</v>
      </c>
      <c r="C64" s="1">
        <f t="shared" si="0"/>
        <v>1.2313326103695621E-2</v>
      </c>
      <c r="D64" s="1">
        <f t="shared" si="1"/>
        <v>3.3283326170643557E-2</v>
      </c>
      <c r="E64" s="1">
        <v>1.9098286136862038E-2</v>
      </c>
      <c r="F64" s="3">
        <f t="shared" si="2"/>
        <v>62</v>
      </c>
    </row>
    <row r="65" spans="1:6" ht="21.6" customHeight="1" x14ac:dyDescent="0.3">
      <c r="A65" s="2">
        <f>WORKDAY(A64,1,Feriados!$A$2:$A$937)</f>
        <v>44615</v>
      </c>
      <c r="B65" s="1">
        <v>2.1155133419565875E-2</v>
      </c>
      <c r="C65" s="1">
        <f t="shared" si="0"/>
        <v>1.2513165597930476E-2</v>
      </c>
      <c r="D65" s="1">
        <f t="shared" si="1"/>
        <v>3.3933016705221641E-2</v>
      </c>
      <c r="E65" s="1">
        <v>2.0899868117994158E-2</v>
      </c>
      <c r="F65" s="3">
        <f t="shared" si="2"/>
        <v>63</v>
      </c>
    </row>
    <row r="66" spans="1:6" ht="21.6" customHeight="1" x14ac:dyDescent="0.3">
      <c r="A66" s="2">
        <f>WORKDAY(A65,1,Feriados!$A$2:$A$937)</f>
        <v>44616</v>
      </c>
      <c r="B66" s="1">
        <v>2.159552631116779E-2</v>
      </c>
      <c r="C66" s="1">
        <f t="shared" si="0"/>
        <v>1.271304454222677E-2</v>
      </c>
      <c r="D66" s="1">
        <f t="shared" si="1"/>
        <v>3.458311574130124E-2</v>
      </c>
      <c r="E66" s="1">
        <v>2.0272855405730317E-2</v>
      </c>
      <c r="F66" s="3">
        <f t="shared" si="2"/>
        <v>64</v>
      </c>
    </row>
    <row r="67" spans="1:6" ht="21.6" customHeight="1" x14ac:dyDescent="0.3">
      <c r="A67" s="2">
        <f>WORKDAY(A66,1,Feriados!$A$2:$A$937)</f>
        <v>44617</v>
      </c>
      <c r="B67" s="1">
        <v>2.2036109130717518E-2</v>
      </c>
      <c r="C67" s="1">
        <f t="shared" ref="C67:C73" si="3">(($I$2+1)^(1/252))^(F67)-1</f>
        <v>1.2912962944373163E-2</v>
      </c>
      <c r="D67" s="1">
        <f t="shared" ref="D67:D73" si="4">(B67+1)*(C67+1)-1</f>
        <v>3.5233623535733782E-2</v>
      </c>
      <c r="E67" s="1">
        <v>2.1213592146221538E-2</v>
      </c>
      <c r="F67" s="3">
        <f t="shared" si="2"/>
        <v>65</v>
      </c>
    </row>
    <row r="68" spans="1:6" ht="21.6" customHeight="1" x14ac:dyDescent="0.3">
      <c r="A68" s="2">
        <f>WORKDAY(A67,1,Feriados!$A$2:$A$937)</f>
        <v>44622</v>
      </c>
      <c r="B68" s="1">
        <v>2.2286790439162818E-2</v>
      </c>
      <c r="C68" s="1">
        <f t="shared" si="3"/>
        <v>1.3112920812158535E-2</v>
      </c>
      <c r="D68" s="1">
        <f t="shared" si="4"/>
        <v>3.5691956169507266E-2</v>
      </c>
      <c r="E68" s="1">
        <v>2.1405610604972924E-2</v>
      </c>
      <c r="F68" s="3">
        <f t="shared" ref="F68:F101" si="5">F67+1</f>
        <v>66</v>
      </c>
    </row>
    <row r="69" spans="1:6" ht="21.6" customHeight="1" x14ac:dyDescent="0.3">
      <c r="A69" s="2">
        <f>WORKDAY(A68,1,Feriados!$A$2:$A$937)</f>
        <v>44623</v>
      </c>
      <c r="B69" s="1">
        <v>2.2537533233810025E-2</v>
      </c>
      <c r="C69" s="1">
        <f t="shared" si="3"/>
        <v>1.3312918153373987E-2</v>
      </c>
      <c r="D69" s="1">
        <f t="shared" si="4"/>
        <v>3.6150491722504619E-2</v>
      </c>
      <c r="E69" s="1">
        <v>2.1008842530773508E-2</v>
      </c>
      <c r="F69" s="3">
        <f t="shared" si="5"/>
        <v>67</v>
      </c>
    </row>
    <row r="70" spans="1:6" ht="21.6" customHeight="1" x14ac:dyDescent="0.3">
      <c r="A70" s="2">
        <f>WORKDAY(A69,1,Feriados!$A$2:$A$937)</f>
        <v>44624</v>
      </c>
      <c r="B70" s="1">
        <v>2.2788337529739966E-2</v>
      </c>
      <c r="C70" s="1">
        <f t="shared" si="3"/>
        <v>1.3512954975811731E-2</v>
      </c>
      <c r="D70" s="1">
        <f t="shared" si="4"/>
        <v>3.6609230284564642E-2</v>
      </c>
      <c r="E70" s="1">
        <v>1.9755719465461622E-2</v>
      </c>
      <c r="F70" s="3">
        <f t="shared" si="5"/>
        <v>68</v>
      </c>
    </row>
    <row r="71" spans="1:6" ht="21.6" customHeight="1" x14ac:dyDescent="0.3">
      <c r="A71" s="2">
        <f>WORKDAY(A70,1,Feriados!$A$2:$A$937)</f>
        <v>44627</v>
      </c>
      <c r="B71" s="1">
        <v>2.3039203342037684E-2</v>
      </c>
      <c r="C71" s="1">
        <f t="shared" si="3"/>
        <v>1.3713031287265753E-2</v>
      </c>
      <c r="D71" s="1">
        <f t="shared" si="4"/>
        <v>3.7068171945566553E-2</v>
      </c>
      <c r="E71" s="1">
        <v>1.8987806321006495E-2</v>
      </c>
      <c r="F71" s="3">
        <f t="shared" si="5"/>
        <v>69</v>
      </c>
    </row>
    <row r="72" spans="1:6" ht="21.6" customHeight="1" x14ac:dyDescent="0.3">
      <c r="A72" s="2">
        <f>WORKDAY(A71,1,Feriados!$A$2:$A$937)</f>
        <v>44628</v>
      </c>
      <c r="B72" s="1">
        <v>2.3290130685791555E-2</v>
      </c>
      <c r="C72" s="1">
        <f t="shared" si="3"/>
        <v>1.3913147095531597E-2</v>
      </c>
      <c r="D72" s="1">
        <f t="shared" si="4"/>
        <v>3.7527316795428645E-2</v>
      </c>
      <c r="E72" s="1">
        <v>1.9120194307554517E-2</v>
      </c>
      <c r="F72" s="3">
        <f t="shared" si="5"/>
        <v>70</v>
      </c>
    </row>
    <row r="73" spans="1:6" ht="21.6" customHeight="1" x14ac:dyDescent="0.3">
      <c r="A73" s="2">
        <f>WORKDAY(A72,1,Feriados!$A$2:$A$937)</f>
        <v>44629</v>
      </c>
      <c r="B73" s="1">
        <v>2.3541119576093728E-2</v>
      </c>
      <c r="C73" s="1">
        <f t="shared" si="3"/>
        <v>1.4113302408406359E-2</v>
      </c>
      <c r="D73" s="1">
        <f t="shared" si="4"/>
        <v>3.7986664924109848E-2</v>
      </c>
      <c r="E73" s="1">
        <v>2.2928581390218028E-2</v>
      </c>
      <c r="F73" s="3">
        <f t="shared" si="5"/>
        <v>71</v>
      </c>
    </row>
    <row r="74" spans="1:6" ht="21.6" customHeight="1" x14ac:dyDescent="0.3">
      <c r="F74" s="3"/>
    </row>
    <row r="75" spans="1:6" ht="21.6" customHeight="1" x14ac:dyDescent="0.3">
      <c r="F75" s="3"/>
    </row>
    <row r="76" spans="1:6" ht="21.6" customHeight="1" x14ac:dyDescent="0.3">
      <c r="F76" s="3"/>
    </row>
    <row r="77" spans="1:6" ht="21.6" customHeight="1" x14ac:dyDescent="0.3">
      <c r="F77" s="3"/>
    </row>
    <row r="78" spans="1:6" ht="21.6" customHeight="1" x14ac:dyDescent="0.3">
      <c r="F78" s="3"/>
    </row>
    <row r="79" spans="1:6" ht="21.6" customHeight="1" x14ac:dyDescent="0.3">
      <c r="F79" s="3"/>
    </row>
    <row r="80" spans="1:6" ht="21.6" customHeight="1" x14ac:dyDescent="0.3">
      <c r="F80" s="3"/>
    </row>
    <row r="81" spans="6:6" ht="21.6" customHeight="1" x14ac:dyDescent="0.3">
      <c r="F81" s="3"/>
    </row>
    <row r="82" spans="6:6" ht="21.6" customHeight="1" x14ac:dyDescent="0.3">
      <c r="F82" s="3"/>
    </row>
    <row r="83" spans="6:6" ht="21.6" customHeight="1" x14ac:dyDescent="0.3">
      <c r="F83" s="3"/>
    </row>
    <row r="84" spans="6:6" ht="21.6" customHeight="1" x14ac:dyDescent="0.3">
      <c r="F84" s="3"/>
    </row>
    <row r="85" spans="6:6" ht="21.6" customHeight="1" x14ac:dyDescent="0.3">
      <c r="F85" s="3"/>
    </row>
    <row r="86" spans="6:6" ht="21.6" customHeight="1" x14ac:dyDescent="0.3">
      <c r="F86" s="3"/>
    </row>
    <row r="87" spans="6:6" ht="21.6" customHeight="1" x14ac:dyDescent="0.3">
      <c r="F87" s="3"/>
    </row>
    <row r="88" spans="6:6" ht="21.6" customHeight="1" x14ac:dyDescent="0.3">
      <c r="F88" s="3"/>
    </row>
    <row r="89" spans="6:6" ht="21.6" customHeight="1" x14ac:dyDescent="0.3">
      <c r="F89" s="3"/>
    </row>
    <row r="90" spans="6:6" ht="21.6" customHeight="1" x14ac:dyDescent="0.3">
      <c r="F90" s="3"/>
    </row>
    <row r="91" spans="6:6" ht="21.6" customHeight="1" x14ac:dyDescent="0.3">
      <c r="F91" s="3"/>
    </row>
    <row r="92" spans="6:6" ht="21.6" customHeight="1" x14ac:dyDescent="0.3">
      <c r="F92" s="3"/>
    </row>
    <row r="93" spans="6:6" ht="21.6" customHeight="1" x14ac:dyDescent="0.3">
      <c r="F93" s="3"/>
    </row>
    <row r="94" spans="6:6" ht="21.6" customHeight="1" x14ac:dyDescent="0.3">
      <c r="F94" s="3"/>
    </row>
    <row r="95" spans="6:6" ht="21.6" customHeight="1" x14ac:dyDescent="0.3">
      <c r="F95" s="3"/>
    </row>
    <row r="96" spans="6:6" ht="21.6" customHeight="1" x14ac:dyDescent="0.3">
      <c r="F96" s="3"/>
    </row>
    <row r="97" spans="6:6" ht="21.6" customHeight="1" x14ac:dyDescent="0.3">
      <c r="F97" s="3"/>
    </row>
    <row r="98" spans="6:6" ht="21.6" customHeight="1" x14ac:dyDescent="0.3">
      <c r="F98" s="3"/>
    </row>
    <row r="99" spans="6:6" ht="21.6" customHeight="1" x14ac:dyDescent="0.3">
      <c r="F99" s="3"/>
    </row>
    <row r="100" spans="6:6" ht="21.6" customHeight="1" x14ac:dyDescent="0.3">
      <c r="F100" s="3"/>
    </row>
    <row r="101" spans="6:6" ht="21.6" customHeight="1" x14ac:dyDescent="0.3">
      <c r="F101" s="3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6D21F-6737-4B40-86DC-25026CBFEDDD}">
  <dimension ref="A1:I112"/>
  <sheetViews>
    <sheetView workbookViewId="0">
      <selection activeCell="K2" sqref="K2"/>
    </sheetView>
  </sheetViews>
  <sheetFormatPr defaultColWidth="15.5546875" defaultRowHeight="21.6" customHeight="1" x14ac:dyDescent="0.3"/>
  <cols>
    <col min="1" max="16384" width="15.5546875" style="1"/>
  </cols>
  <sheetData>
    <row r="1" spans="1:9" ht="21.6" customHeight="1" x14ac:dyDescent="0.3">
      <c r="A1" s="1" t="s">
        <v>0</v>
      </c>
      <c r="B1" s="1" t="s">
        <v>2</v>
      </c>
      <c r="C1" s="1" t="s">
        <v>3</v>
      </c>
      <c r="D1" s="1" t="s">
        <v>5</v>
      </c>
      <c r="E1" s="1" t="s">
        <v>4</v>
      </c>
      <c r="F1" s="1" t="s">
        <v>7</v>
      </c>
      <c r="I1" s="1" t="s">
        <v>6</v>
      </c>
    </row>
    <row r="2" spans="1:9" ht="21.6" customHeight="1" x14ac:dyDescent="0.3">
      <c r="A2" s="2">
        <v>44484</v>
      </c>
      <c r="B2" s="1">
        <v>0</v>
      </c>
      <c r="C2" s="1">
        <f>(($I$2+1)^(1/252))^(F2)-1</f>
        <v>0</v>
      </c>
      <c r="D2" s="1">
        <f>(B2+1)*(C2+1)-1</f>
        <v>0</v>
      </c>
      <c r="E2" s="1">
        <v>0</v>
      </c>
      <c r="F2" s="3">
        <v>0</v>
      </c>
      <c r="I2" s="1">
        <v>4.7E-2</v>
      </c>
    </row>
    <row r="3" spans="1:9" ht="21.6" customHeight="1" x14ac:dyDescent="0.3">
      <c r="A3" s="2">
        <f>WORKDAY(A2,1,Feriados!$A$2:$A$937)</f>
        <v>44487</v>
      </c>
      <c r="B3" s="1">
        <v>6.2131893862638077E-4</v>
      </c>
      <c r="C3" s="1">
        <f t="shared" ref="C3:C66" si="0">(($I$2+1)^(1/252))^(F3)-1</f>
        <v>1.8227427616124281E-4</v>
      </c>
      <c r="D3" s="1">
        <f t="shared" ref="D3:D66" si="1">(B3+1)*(C3+1)-1</f>
        <v>8.0370646524752232E-4</v>
      </c>
      <c r="E3" s="1">
        <v>-1.2087894504936303E-3</v>
      </c>
      <c r="F3" s="3">
        <f>F2+1</f>
        <v>1</v>
      </c>
    </row>
    <row r="4" spans="1:9" ht="21.6" customHeight="1" x14ac:dyDescent="0.3">
      <c r="A4" s="2">
        <f>WORKDAY(A3,1,Feriados!$A$2:$A$937)</f>
        <v>44488</v>
      </c>
      <c r="B4" s="1">
        <v>1.2430239144758382E-3</v>
      </c>
      <c r="C4" s="1">
        <f t="shared" si="0"/>
        <v>3.6458177623432952E-4</v>
      </c>
      <c r="D4" s="1">
        <f t="shared" si="1"/>
        <v>1.6080588745768232E-3</v>
      </c>
      <c r="E4" s="1">
        <v>-8.5248514519929985E-3</v>
      </c>
      <c r="F4" s="3">
        <f t="shared" ref="F4:F67" si="2">F3+1</f>
        <v>2</v>
      </c>
    </row>
    <row r="5" spans="1:9" ht="21.6" customHeight="1" x14ac:dyDescent="0.3">
      <c r="A5" s="2">
        <f>WORKDAY(A4,1,Feriados!$A$2:$A$937)</f>
        <v>44489</v>
      </c>
      <c r="B5" s="1">
        <v>1.8651151674013988E-3</v>
      </c>
      <c r="C5" s="1">
        <f t="shared" si="0"/>
        <v>5.4692250627486061E-4</v>
      </c>
      <c r="D5" s="1">
        <f t="shared" si="1"/>
        <v>2.4130577471381809E-3</v>
      </c>
      <c r="E5" s="1">
        <v>-8.7526523562039271E-3</v>
      </c>
      <c r="F5" s="3">
        <f t="shared" si="2"/>
        <v>3</v>
      </c>
    </row>
    <row r="6" spans="1:9" ht="21.6" customHeight="1" x14ac:dyDescent="0.3">
      <c r="A6" s="2">
        <f>WORKDAY(A5,1,Feriados!$A$2:$A$937)</f>
        <v>44490</v>
      </c>
      <c r="B6" s="1">
        <v>2.4875929374035266E-3</v>
      </c>
      <c r="C6" s="1">
        <f t="shared" si="0"/>
        <v>7.2929647234021289E-4</v>
      </c>
      <c r="D6" s="1">
        <f t="shared" si="1"/>
        <v>3.2187036024975413E-3</v>
      </c>
      <c r="E6" s="1">
        <v>-1.166507897173652E-2</v>
      </c>
      <c r="F6" s="3">
        <f t="shared" si="2"/>
        <v>4</v>
      </c>
    </row>
    <row r="7" spans="1:9" ht="21.6" customHeight="1" x14ac:dyDescent="0.3">
      <c r="A7" s="2">
        <f>WORKDAY(A6,1,Feriados!$A$2:$A$937)</f>
        <v>44491</v>
      </c>
      <c r="B7" s="1">
        <v>3.1104574646332317E-3</v>
      </c>
      <c r="C7" s="1">
        <f t="shared" si="0"/>
        <v>9.1170368048798522E-4</v>
      </c>
      <c r="D7" s="1">
        <f t="shared" si="1"/>
        <v>4.0249969606396263E-3</v>
      </c>
      <c r="E7" s="1">
        <v>-1.1108807337654847E-2</v>
      </c>
      <c r="F7" s="3">
        <f t="shared" si="2"/>
        <v>5</v>
      </c>
    </row>
    <row r="8" spans="1:9" ht="21.6" customHeight="1" x14ac:dyDescent="0.3">
      <c r="A8" s="2">
        <f>WORKDAY(A7,1,Feriados!$A$2:$A$937)</f>
        <v>44494</v>
      </c>
      <c r="B8" s="1">
        <v>3.7337089893898501E-3</v>
      </c>
      <c r="C8" s="1">
        <f t="shared" si="0"/>
        <v>1.0941441367777749E-3</v>
      </c>
      <c r="D8" s="1">
        <f t="shared" si="1"/>
        <v>4.8319383419668238E-3</v>
      </c>
      <c r="E8" s="1">
        <v>-1.8843278878289293E-2</v>
      </c>
      <c r="F8" s="3">
        <f t="shared" si="2"/>
        <v>6</v>
      </c>
    </row>
    <row r="9" spans="1:9" ht="21.6" customHeight="1" x14ac:dyDescent="0.3">
      <c r="A9" s="2">
        <f>WORKDAY(A8,1,Feriados!$A$2:$A$937)</f>
        <v>44495</v>
      </c>
      <c r="B9" s="1">
        <v>4.3573477521225978E-3</v>
      </c>
      <c r="C9" s="1">
        <f t="shared" si="0"/>
        <v>1.2766178472696232E-3</v>
      </c>
      <c r="D9" s="1">
        <f t="shared" si="1"/>
        <v>5.6395282672994096E-3</v>
      </c>
      <c r="E9" s="1">
        <v>-2.2457102027010234E-2</v>
      </c>
      <c r="F9" s="3">
        <f t="shared" si="2"/>
        <v>7</v>
      </c>
    </row>
    <row r="10" spans="1:9" ht="21.6" customHeight="1" x14ac:dyDescent="0.3">
      <c r="A10" s="2">
        <f>WORKDAY(A9,1,Feriados!$A$2:$A$937)</f>
        <v>44496</v>
      </c>
      <c r="B10" s="1">
        <v>4.9813739934290169E-3</v>
      </c>
      <c r="C10" s="1">
        <f t="shared" si="0"/>
        <v>1.4591248180249039E-3</v>
      </c>
      <c r="D10" s="1">
        <f t="shared" si="1"/>
        <v>6.4477672578755474E-3</v>
      </c>
      <c r="E10" s="1">
        <v>-2.0239274870358481E-2</v>
      </c>
      <c r="F10" s="3">
        <f t="shared" si="2"/>
        <v>8</v>
      </c>
    </row>
    <row r="11" spans="1:9" ht="21.6" customHeight="1" x14ac:dyDescent="0.3">
      <c r="A11" s="2">
        <f>WORKDAY(A10,1,Feriados!$A$2:$A$937)</f>
        <v>44497</v>
      </c>
      <c r="B11" s="1">
        <v>5.6057879540576394E-3</v>
      </c>
      <c r="C11" s="1">
        <f t="shared" si="0"/>
        <v>1.6416650551061007E-3</v>
      </c>
      <c r="D11" s="1">
        <f t="shared" si="1"/>
        <v>7.2566558353541755E-3</v>
      </c>
      <c r="E11" s="1">
        <v>-3.0629380702438702E-2</v>
      </c>
      <c r="F11" s="3">
        <f t="shared" si="2"/>
        <v>9</v>
      </c>
    </row>
    <row r="12" spans="1:9" ht="21.6" customHeight="1" x14ac:dyDescent="0.3">
      <c r="A12" s="2">
        <f>WORKDAY(A11,1,Feriados!$A$2:$A$937)</f>
        <v>44498</v>
      </c>
      <c r="B12" s="1">
        <v>6.2305898749053235E-3</v>
      </c>
      <c r="C12" s="1">
        <f t="shared" si="0"/>
        <v>1.8242385645770298E-3</v>
      </c>
      <c r="D12" s="1">
        <f t="shared" si="1"/>
        <v>8.06619452181212E-3</v>
      </c>
      <c r="E12" s="1">
        <v>-1.9993626871569137E-2</v>
      </c>
      <c r="F12" s="3">
        <f t="shared" si="2"/>
        <v>10</v>
      </c>
    </row>
    <row r="13" spans="1:9" ht="21.6" customHeight="1" x14ac:dyDescent="0.3">
      <c r="A13" s="2">
        <f>WORKDAY(A12,1,Feriados!$A$2:$A$937)</f>
        <v>44501</v>
      </c>
      <c r="B13" s="1">
        <v>6.7064058382930725E-3</v>
      </c>
      <c r="C13" s="1">
        <f t="shared" si="0"/>
        <v>2.0068453525021734E-3</v>
      </c>
      <c r="D13" s="1">
        <f t="shared" si="1"/>
        <v>8.7267099101837609E-3</v>
      </c>
      <c r="E13" s="1">
        <v>-2.1230725479316037E-2</v>
      </c>
      <c r="F13" s="3">
        <f t="shared" si="2"/>
        <v>11</v>
      </c>
    </row>
    <row r="14" spans="1:9" ht="21.6" customHeight="1" x14ac:dyDescent="0.3">
      <c r="A14" s="2">
        <f>WORKDAY(A13,1,Feriados!$A$2:$A$937)</f>
        <v>44503</v>
      </c>
      <c r="B14" s="1">
        <v>7.1824468006356224E-3</v>
      </c>
      <c r="C14" s="1">
        <f t="shared" si="0"/>
        <v>2.1894854249475681E-3</v>
      </c>
      <c r="D14" s="1">
        <f t="shared" si="1"/>
        <v>9.38765808816866E-3</v>
      </c>
      <c r="E14" s="1">
        <v>-9.0434168807355091E-3</v>
      </c>
      <c r="F14" s="3">
        <f t="shared" si="2"/>
        <v>12</v>
      </c>
    </row>
    <row r="15" spans="1:9" ht="21.6" customHeight="1" x14ac:dyDescent="0.3">
      <c r="A15" s="2">
        <f>WORKDAY(A14,1,Feriados!$A$2:$A$937)</f>
        <v>44504</v>
      </c>
      <c r="B15" s="1">
        <v>7.6587128683283101E-3</v>
      </c>
      <c r="C15" s="1">
        <f t="shared" si="0"/>
        <v>2.3721587879796946E-3</v>
      </c>
      <c r="D15" s="1">
        <f t="shared" si="1"/>
        <v>1.0049039339343313E-2</v>
      </c>
      <c r="E15" s="1">
        <v>-1.1407711597724801E-2</v>
      </c>
      <c r="F15" s="3">
        <f t="shared" si="2"/>
        <v>13</v>
      </c>
    </row>
    <row r="16" spans="1:9" ht="21.6" customHeight="1" x14ac:dyDescent="0.3">
      <c r="A16" s="2">
        <f>WORKDAY(A15,1,Feriados!$A$2:$A$937)</f>
        <v>44505</v>
      </c>
      <c r="B16" s="1">
        <v>8.135204147816209E-3</v>
      </c>
      <c r="C16" s="1">
        <f t="shared" si="0"/>
        <v>2.5548654476672539E-3</v>
      </c>
      <c r="D16" s="1">
        <f t="shared" si="1"/>
        <v>1.0710853947470511E-2</v>
      </c>
      <c r="E16" s="1">
        <v>-1.1287439234197283E-2</v>
      </c>
      <c r="F16" s="3">
        <f t="shared" si="2"/>
        <v>14</v>
      </c>
    </row>
    <row r="17" spans="1:6" ht="21.6" customHeight="1" x14ac:dyDescent="0.3">
      <c r="A17" s="2">
        <f>WORKDAY(A16,1,Feriados!$A$2:$A$937)</f>
        <v>44508</v>
      </c>
      <c r="B17" s="1">
        <v>8.6119207455954711E-3</v>
      </c>
      <c r="C17" s="1">
        <f t="shared" si="0"/>
        <v>2.737605410078503E-3</v>
      </c>
      <c r="D17" s="1">
        <f t="shared" si="1"/>
        <v>1.137310219649823E-2</v>
      </c>
      <c r="E17" s="1">
        <v>-1.0790224674221083E-2</v>
      </c>
      <c r="F17" s="3">
        <f t="shared" si="2"/>
        <v>15</v>
      </c>
    </row>
    <row r="18" spans="1:6" ht="21.6" customHeight="1" x14ac:dyDescent="0.3">
      <c r="A18" s="2">
        <f>WORKDAY(A17,1,Feriados!$A$2:$A$937)</f>
        <v>44509</v>
      </c>
      <c r="B18" s="1">
        <v>9.0888627682124135E-3</v>
      </c>
      <c r="C18" s="1">
        <f t="shared" si="0"/>
        <v>2.9203786812843635E-3</v>
      </c>
      <c r="D18" s="1">
        <f t="shared" si="1"/>
        <v>1.2035784370562075E-2</v>
      </c>
      <c r="E18" s="1">
        <v>-6.5875187917352473E-3</v>
      </c>
      <c r="F18" s="3">
        <f t="shared" si="2"/>
        <v>16</v>
      </c>
    </row>
    <row r="19" spans="1:6" ht="21.6" customHeight="1" x14ac:dyDescent="0.3">
      <c r="A19" s="2">
        <f>WORKDAY(A18,1,Feriados!$A$2:$A$937)</f>
        <v>44510</v>
      </c>
      <c r="B19" s="1">
        <v>9.5660303222633303E-3</v>
      </c>
      <c r="C19" s="1">
        <f t="shared" si="0"/>
        <v>3.1031852673557569E-3</v>
      </c>
      <c r="D19" s="1">
        <f t="shared" si="1"/>
        <v>1.2698900753982167E-2</v>
      </c>
      <c r="E19" s="1">
        <v>-5.9225421749340423E-3</v>
      </c>
      <c r="F19" s="3">
        <f t="shared" si="2"/>
        <v>17</v>
      </c>
    </row>
    <row r="20" spans="1:6" ht="21.6" customHeight="1" x14ac:dyDescent="0.3">
      <c r="A20" s="2">
        <f>WORKDAY(A19,1,Feriados!$A$2:$A$937)</f>
        <v>44511</v>
      </c>
      <c r="B20" s="1">
        <v>1.0043423514395355E-2</v>
      </c>
      <c r="C20" s="1">
        <f t="shared" si="0"/>
        <v>3.2860251743656033E-3</v>
      </c>
      <c r="D20" s="1">
        <f t="shared" si="1"/>
        <v>1.3362451631266037E-2</v>
      </c>
      <c r="E20" s="1">
        <v>-4.9284328491222551E-3</v>
      </c>
      <c r="F20" s="3">
        <f t="shared" si="2"/>
        <v>18</v>
      </c>
    </row>
    <row r="21" spans="1:6" ht="21.6" customHeight="1" x14ac:dyDescent="0.3">
      <c r="A21" s="2">
        <f>WORKDAY(A20,1,Feriados!$A$2:$A$937)</f>
        <v>44512</v>
      </c>
      <c r="B21" s="1">
        <v>1.0521042451305807E-2</v>
      </c>
      <c r="C21" s="1">
        <f t="shared" si="0"/>
        <v>3.4688984083868224E-3</v>
      </c>
      <c r="D21" s="1">
        <f t="shared" si="1"/>
        <v>1.4026437287106619E-2</v>
      </c>
      <c r="E21" s="1">
        <v>-9.5018583768302634E-4</v>
      </c>
      <c r="F21" s="3">
        <f t="shared" si="2"/>
        <v>19</v>
      </c>
    </row>
    <row r="22" spans="1:6" ht="21.6" customHeight="1" x14ac:dyDescent="0.3">
      <c r="A22" s="2">
        <f>WORKDAY(A21,1,Feriados!$A$2:$A$937)</f>
        <v>44516</v>
      </c>
      <c r="B22" s="1">
        <v>1.0998887239742627E-2</v>
      </c>
      <c r="C22" s="1">
        <f t="shared" si="0"/>
        <v>3.6518049754947768E-3</v>
      </c>
      <c r="D22" s="1">
        <f t="shared" si="1"/>
        <v>1.4690858006384477E-2</v>
      </c>
      <c r="E22" s="1">
        <v>-3.065538992341299E-3</v>
      </c>
      <c r="F22" s="3">
        <f t="shared" si="2"/>
        <v>20</v>
      </c>
    </row>
    <row r="23" spans="1:6" ht="21.6" customHeight="1" x14ac:dyDescent="0.3">
      <c r="A23" s="2">
        <f>WORKDAY(A22,1,Feriados!$A$2:$A$937)</f>
        <v>44517</v>
      </c>
      <c r="B23" s="1">
        <v>1.1476957986504166E-2</v>
      </c>
      <c r="C23" s="1">
        <f t="shared" si="0"/>
        <v>3.8347448817643848E-3</v>
      </c>
      <c r="D23" s="1">
        <f t="shared" si="1"/>
        <v>1.5355714074165583E-2</v>
      </c>
      <c r="E23" s="1">
        <v>-2.1346906901323903E-3</v>
      </c>
      <c r="F23" s="3">
        <f t="shared" si="2"/>
        <v>21</v>
      </c>
    </row>
    <row r="24" spans="1:6" ht="21.6" customHeight="1" x14ac:dyDescent="0.3">
      <c r="A24" s="2">
        <f>WORKDAY(A23,1,Feriados!$A$2:$A$937)</f>
        <v>44518</v>
      </c>
      <c r="B24" s="1">
        <v>1.1955254798439174E-2</v>
      </c>
      <c r="C24" s="1">
        <f t="shared" si="0"/>
        <v>4.0177181332734513E-3</v>
      </c>
      <c r="D24" s="1">
        <f t="shared" si="1"/>
        <v>1.60210057757042E-2</v>
      </c>
      <c r="E24" s="1">
        <v>-1.1563821978743949E-3</v>
      </c>
      <c r="F24" s="3">
        <f t="shared" si="2"/>
        <v>22</v>
      </c>
    </row>
    <row r="25" spans="1:6" ht="21.6" customHeight="1" x14ac:dyDescent="0.3">
      <c r="A25" s="2">
        <f>WORKDAY(A24,1,Feriados!$A$2:$A$937)</f>
        <v>44519</v>
      </c>
      <c r="B25" s="1">
        <v>1.2433777782447475E-2</v>
      </c>
      <c r="C25" s="1">
        <f t="shared" si="0"/>
        <v>4.2007247360993372E-3</v>
      </c>
      <c r="D25" s="1">
        <f t="shared" si="1"/>
        <v>1.6686733396440667E-2</v>
      </c>
      <c r="E25" s="1">
        <v>2.672440079403593E-3</v>
      </c>
      <c r="F25" s="3">
        <f t="shared" si="2"/>
        <v>23</v>
      </c>
    </row>
    <row r="26" spans="1:6" ht="21.6" customHeight="1" x14ac:dyDescent="0.3">
      <c r="A26" s="2">
        <f>WORKDAY(A25,1,Feriados!$A$2:$A$937)</f>
        <v>44522</v>
      </c>
      <c r="B26" s="1">
        <v>1.2912527045478184E-2</v>
      </c>
      <c r="C26" s="1">
        <f t="shared" si="0"/>
        <v>4.3837646963211796E-3</v>
      </c>
      <c r="D26" s="1">
        <f t="shared" si="1"/>
        <v>1.7352897222001618E-2</v>
      </c>
      <c r="E26" s="1">
        <v>5.6999301545657133E-4</v>
      </c>
      <c r="F26" s="3">
        <f t="shared" si="2"/>
        <v>24</v>
      </c>
    </row>
    <row r="27" spans="1:6" ht="21.6" customHeight="1" x14ac:dyDescent="0.3">
      <c r="A27" s="2">
        <f>WORKDAY(A26,1,Feriados!$A$2:$A$937)</f>
        <v>44523</v>
      </c>
      <c r="B27" s="1">
        <v>1.3391502694532598E-2</v>
      </c>
      <c r="C27" s="1">
        <f t="shared" si="0"/>
        <v>4.566838020019226E-3</v>
      </c>
      <c r="D27" s="1">
        <f t="shared" si="1"/>
        <v>1.8019497538202423E-2</v>
      </c>
      <c r="E27" s="1">
        <v>4.1502446283852015E-3</v>
      </c>
      <c r="F27" s="3">
        <f t="shared" si="2"/>
        <v>25</v>
      </c>
    </row>
    <row r="28" spans="1:6" ht="21.6" customHeight="1" x14ac:dyDescent="0.3">
      <c r="A28" s="2">
        <f>WORKDAY(A27,1,Feriados!$A$2:$A$937)</f>
        <v>44524</v>
      </c>
      <c r="B28" s="1">
        <v>1.3870704836661307E-2</v>
      </c>
      <c r="C28" s="1">
        <f t="shared" si="0"/>
        <v>4.7499447132750561E-3</v>
      </c>
      <c r="D28" s="1">
        <f t="shared" si="1"/>
        <v>1.8686534631044749E-2</v>
      </c>
      <c r="E28" s="1">
        <v>5.8741497349152905E-3</v>
      </c>
      <c r="F28" s="3">
        <f t="shared" si="2"/>
        <v>26</v>
      </c>
    </row>
    <row r="29" spans="1:6" ht="21.6" customHeight="1" x14ac:dyDescent="0.3">
      <c r="A29" s="2">
        <f>WORKDAY(A28,1,Feriados!$A$2:$A$937)</f>
        <v>44525</v>
      </c>
      <c r="B29" s="1">
        <v>1.4350133578966195E-2</v>
      </c>
      <c r="C29" s="1">
        <f t="shared" si="0"/>
        <v>4.9330847821706936E-3</v>
      </c>
      <c r="D29" s="1">
        <f t="shared" si="1"/>
        <v>1.9354008786717447E-2</v>
      </c>
      <c r="E29" s="1">
        <v>5.2536558508560205E-3</v>
      </c>
      <c r="F29" s="3">
        <f t="shared" si="2"/>
        <v>27</v>
      </c>
    </row>
    <row r="30" spans="1:6" ht="21.6" customHeight="1" x14ac:dyDescent="0.3">
      <c r="A30" s="2">
        <f>WORKDAY(A29,1,Feriados!$A$2:$A$937)</f>
        <v>44526</v>
      </c>
      <c r="B30" s="1">
        <v>1.4829789028599549E-2</v>
      </c>
      <c r="C30" s="1">
        <f t="shared" si="0"/>
        <v>5.1162582327899386E-3</v>
      </c>
      <c r="D30" s="1">
        <f t="shared" si="1"/>
        <v>2.0021920291597661E-2</v>
      </c>
      <c r="E30" s="1">
        <v>6.1098079864287946E-3</v>
      </c>
      <c r="F30" s="3">
        <f t="shared" si="2"/>
        <v>28</v>
      </c>
    </row>
    <row r="31" spans="1:6" ht="21.6" customHeight="1" x14ac:dyDescent="0.3">
      <c r="A31" s="2">
        <f>WORKDAY(A30,1,Feriados!$A$2:$A$937)</f>
        <v>44529</v>
      </c>
      <c r="B31" s="1">
        <v>1.5309671292764726E-2</v>
      </c>
      <c r="C31" s="1">
        <f t="shared" si="0"/>
        <v>5.2994650712170355E-3</v>
      </c>
      <c r="D31" s="1">
        <f t="shared" si="1"/>
        <v>2.0690269432249497E-2</v>
      </c>
      <c r="E31" s="1">
        <v>9.265900087816803E-3</v>
      </c>
      <c r="F31" s="3">
        <f t="shared" si="2"/>
        <v>29</v>
      </c>
    </row>
    <row r="32" spans="1:6" ht="21.6" customHeight="1" x14ac:dyDescent="0.3">
      <c r="A32" s="2">
        <f>WORKDAY(A31,1,Feriados!$A$2:$A$937)</f>
        <v>44530</v>
      </c>
      <c r="B32" s="1">
        <v>1.5789780478714821E-2</v>
      </c>
      <c r="C32" s="1">
        <f t="shared" si="0"/>
        <v>5.4827053035384488E-3</v>
      </c>
      <c r="D32" s="1">
        <f t="shared" si="1"/>
        <v>2.1359056495425577E-2</v>
      </c>
      <c r="E32" s="1">
        <v>1.2370283267941984E-2</v>
      </c>
      <c r="F32" s="3">
        <f t="shared" si="2"/>
        <v>30</v>
      </c>
    </row>
    <row r="33" spans="1:6" ht="21.6" customHeight="1" x14ac:dyDescent="0.3">
      <c r="A33" s="2">
        <f>WORKDAY(A32,1,Feriados!$A$2:$A$937)</f>
        <v>44531</v>
      </c>
      <c r="B33" s="1">
        <v>1.6111063045752161E-2</v>
      </c>
      <c r="C33" s="1">
        <f t="shared" si="0"/>
        <v>5.6659789358401991E-3</v>
      </c>
      <c r="D33" s="1">
        <f t="shared" si="1"/>
        <v>2.1868326925443604E-2</v>
      </c>
      <c r="E33" s="1">
        <v>1.0106062516360703E-2</v>
      </c>
      <c r="F33" s="3">
        <f t="shared" si="2"/>
        <v>31</v>
      </c>
    </row>
    <row r="34" spans="1:6" ht="21.6" customHeight="1" x14ac:dyDescent="0.3">
      <c r="A34" s="2">
        <f>WORKDAY(A33,1,Feriados!$A$2:$A$937)</f>
        <v>44532</v>
      </c>
      <c r="B34" s="1">
        <v>1.6432447230752212E-2</v>
      </c>
      <c r="C34" s="1">
        <f t="shared" si="0"/>
        <v>5.8492859742107495E-3</v>
      </c>
      <c r="D34" s="1">
        <f t="shared" si="1"/>
        <v>2.2377851288071682E-2</v>
      </c>
      <c r="E34" s="1">
        <v>1.270461592451011E-2</v>
      </c>
      <c r="F34" s="3">
        <f t="shared" si="2"/>
        <v>32</v>
      </c>
    </row>
    <row r="35" spans="1:6" ht="21.6" customHeight="1" x14ac:dyDescent="0.3">
      <c r="A35" s="2">
        <f>WORKDAY(A34,1,Feriados!$A$2:$A$937)</f>
        <v>44533</v>
      </c>
      <c r="B35" s="1">
        <v>1.6753933065855264E-2</v>
      </c>
      <c r="C35" s="1">
        <f t="shared" si="0"/>
        <v>6.0326264247390071E-3</v>
      </c>
      <c r="D35" s="1">
        <f t="shared" si="1"/>
        <v>2.2887629709925639E-2</v>
      </c>
      <c r="E35" s="1">
        <v>2.0633582889643787E-2</v>
      </c>
      <c r="F35" s="3">
        <f t="shared" si="2"/>
        <v>33</v>
      </c>
    </row>
    <row r="36" spans="1:6" ht="21.6" customHeight="1" x14ac:dyDescent="0.3">
      <c r="A36" s="2">
        <f>WORKDAY(A35,1,Feriados!$A$2:$A$937)</f>
        <v>44536</v>
      </c>
      <c r="B36" s="1">
        <v>1.7075520583212267E-2</v>
      </c>
      <c r="C36" s="1">
        <f t="shared" si="0"/>
        <v>6.2160002935152114E-3</v>
      </c>
      <c r="D36" s="1">
        <f t="shared" si="1"/>
        <v>2.3397662317684587E-2</v>
      </c>
      <c r="E36" s="1">
        <v>1.8235712422112416E-2</v>
      </c>
      <c r="F36" s="3">
        <f t="shared" si="2"/>
        <v>34</v>
      </c>
    </row>
    <row r="37" spans="1:6" ht="21.6" customHeight="1" x14ac:dyDescent="0.3">
      <c r="A37" s="2">
        <f>WORKDAY(A36,1,Feriados!$A$2:$A$937)</f>
        <v>44537</v>
      </c>
      <c r="B37" s="1">
        <v>1.739720981498416E-2</v>
      </c>
      <c r="C37" s="1">
        <f t="shared" si="0"/>
        <v>6.39940758663049E-3</v>
      </c>
      <c r="D37" s="1">
        <f t="shared" si="1"/>
        <v>2.390794923809092E-2</v>
      </c>
      <c r="E37" s="1">
        <v>1.7819064911812843E-2</v>
      </c>
      <c r="F37" s="3">
        <f t="shared" si="2"/>
        <v>35</v>
      </c>
    </row>
    <row r="38" spans="1:6" ht="21.6" customHeight="1" x14ac:dyDescent="0.3">
      <c r="A38" s="2">
        <f>WORKDAY(A37,1,Feriados!$A$2:$A$937)</f>
        <v>44538</v>
      </c>
      <c r="B38" s="1">
        <v>1.7719000793341877E-2</v>
      </c>
      <c r="C38" s="1">
        <f t="shared" si="0"/>
        <v>6.5828483101777469E-3</v>
      </c>
      <c r="D38" s="1">
        <f t="shared" si="1"/>
        <v>2.4418490597950093E-2</v>
      </c>
      <c r="E38" s="1">
        <v>2.0611527630818527E-2</v>
      </c>
      <c r="F38" s="3">
        <f t="shared" si="2"/>
        <v>36</v>
      </c>
    </row>
    <row r="39" spans="1:6" ht="21.6" customHeight="1" x14ac:dyDescent="0.3">
      <c r="A39" s="2">
        <f>WORKDAY(A38,1,Feriados!$A$2:$A$937)</f>
        <v>44539</v>
      </c>
      <c r="B39" s="1">
        <v>1.8040893550466786E-2</v>
      </c>
      <c r="C39" s="1">
        <f t="shared" si="0"/>
        <v>6.7663224702496638E-3</v>
      </c>
      <c r="D39" s="1">
        <f t="shared" si="1"/>
        <v>2.4929286524130401E-2</v>
      </c>
      <c r="E39" s="1">
        <v>1.9144870304774964E-2</v>
      </c>
      <c r="F39" s="3">
        <f t="shared" si="2"/>
        <v>37</v>
      </c>
    </row>
    <row r="40" spans="1:6" ht="21.6" customHeight="1" x14ac:dyDescent="0.3">
      <c r="A40" s="2">
        <f>WORKDAY(A39,1,Feriados!$A$2:$A$937)</f>
        <v>44540</v>
      </c>
      <c r="B40" s="1">
        <v>1.8362888118550472E-2</v>
      </c>
      <c r="C40" s="1">
        <f t="shared" si="0"/>
        <v>6.9498300729415874E-3</v>
      </c>
      <c r="D40" s="1">
        <f t="shared" si="1"/>
        <v>2.5440337143564529E-2</v>
      </c>
      <c r="E40" s="1">
        <v>2.274807518165689E-2</v>
      </c>
      <c r="F40" s="3">
        <f t="shared" si="2"/>
        <v>38</v>
      </c>
    </row>
    <row r="41" spans="1:6" ht="21.6" customHeight="1" x14ac:dyDescent="0.3">
      <c r="A41" s="2">
        <f>WORKDAY(A40,1,Feriados!$A$2:$A$937)</f>
        <v>44543</v>
      </c>
      <c r="B41" s="1">
        <v>1.868498452979428E-2</v>
      </c>
      <c r="C41" s="1">
        <f t="shared" si="0"/>
        <v>7.133371124348864E-3</v>
      </c>
      <c r="D41" s="1">
        <f t="shared" si="1"/>
        <v>2.5951642583246892E-2</v>
      </c>
      <c r="E41" s="1">
        <v>1.9682959771669895E-2</v>
      </c>
      <c r="F41" s="3">
        <f t="shared" si="2"/>
        <v>39</v>
      </c>
    </row>
    <row r="42" spans="1:6" ht="21.6" customHeight="1" x14ac:dyDescent="0.3">
      <c r="A42" s="2">
        <f>WORKDAY(A41,1,Feriados!$A$2:$A$937)</f>
        <v>44544</v>
      </c>
      <c r="B42" s="1">
        <v>1.9007182816410451E-2</v>
      </c>
      <c r="C42" s="1">
        <f t="shared" si="0"/>
        <v>7.3169456305683944E-3</v>
      </c>
      <c r="D42" s="1">
        <f t="shared" si="1"/>
        <v>2.6463202970236743E-2</v>
      </c>
      <c r="E42" s="1">
        <v>2.0875981052920878E-2</v>
      </c>
      <c r="F42" s="3">
        <f t="shared" si="2"/>
        <v>40</v>
      </c>
    </row>
    <row r="43" spans="1:6" ht="21.6" customHeight="1" x14ac:dyDescent="0.3">
      <c r="A43" s="2">
        <f>WORKDAY(A42,1,Feriados!$A$2:$A$937)</f>
        <v>44545</v>
      </c>
      <c r="B43" s="1">
        <v>1.9329483010620322E-2</v>
      </c>
      <c r="C43" s="1">
        <f t="shared" si="0"/>
        <v>7.5005535976979676E-3</v>
      </c>
      <c r="D43" s="1">
        <f t="shared" si="1"/>
        <v>2.6975018431655284E-2</v>
      </c>
      <c r="E43" s="1">
        <v>2.1033257075681711E-2</v>
      </c>
      <c r="F43" s="3">
        <f t="shared" si="2"/>
        <v>41</v>
      </c>
    </row>
    <row r="44" spans="1:6" ht="21.6" customHeight="1" x14ac:dyDescent="0.3">
      <c r="A44" s="2">
        <f>WORKDAY(A43,1,Feriados!$A$2:$A$937)</f>
        <v>44546</v>
      </c>
      <c r="B44" s="1">
        <v>1.9651885144656545E-2</v>
      </c>
      <c r="C44" s="1">
        <f t="shared" si="0"/>
        <v>7.6841950318371488E-3</v>
      </c>
      <c r="D44" s="1">
        <f t="shared" si="1"/>
        <v>2.7487089094688555E-2</v>
      </c>
      <c r="E44" s="1">
        <v>1.8272120221094035E-2</v>
      </c>
      <c r="F44" s="3">
        <f t="shared" si="2"/>
        <v>42</v>
      </c>
    </row>
    <row r="45" spans="1:6" ht="21.6" customHeight="1" x14ac:dyDescent="0.3">
      <c r="A45" s="2">
        <f>WORKDAY(A44,1,Feriados!$A$2:$A$937)</f>
        <v>44547</v>
      </c>
      <c r="B45" s="1">
        <v>1.9974389250761559E-2</v>
      </c>
      <c r="C45" s="1">
        <f t="shared" si="0"/>
        <v>7.8678699390857254E-3</v>
      </c>
      <c r="D45" s="1">
        <f t="shared" si="1"/>
        <v>2.7999415086584989E-2</v>
      </c>
      <c r="E45" s="1">
        <v>1.6629375917117658E-2</v>
      </c>
      <c r="F45" s="3">
        <f t="shared" si="2"/>
        <v>43</v>
      </c>
    </row>
    <row r="46" spans="1:6" ht="21.6" customHeight="1" x14ac:dyDescent="0.3">
      <c r="A46" s="2">
        <f>WORKDAY(A45,1,Feriados!$A$2:$A$937)</f>
        <v>44550</v>
      </c>
      <c r="B46" s="1">
        <v>2.0296995361187786E-2</v>
      </c>
      <c r="C46" s="1">
        <f t="shared" si="0"/>
        <v>8.0515783255452611E-3</v>
      </c>
      <c r="D46" s="1">
        <f t="shared" si="1"/>
        <v>2.8511996534656969E-2</v>
      </c>
      <c r="E46" s="1">
        <v>1.7985369982318918E-2</v>
      </c>
      <c r="F46" s="3">
        <f t="shared" si="2"/>
        <v>44</v>
      </c>
    </row>
    <row r="47" spans="1:6" ht="21.6" customHeight="1" x14ac:dyDescent="0.3">
      <c r="A47" s="2">
        <f>WORKDAY(A46,1,Feriados!$A$2:$A$937)</f>
        <v>44551</v>
      </c>
      <c r="B47" s="1">
        <v>2.0619703508198084E-2</v>
      </c>
      <c r="C47" s="1">
        <f t="shared" si="0"/>
        <v>8.2353201973175416E-3</v>
      </c>
      <c r="D47" s="1">
        <f t="shared" si="1"/>
        <v>2.9024833566279495E-2</v>
      </c>
      <c r="E47" s="1">
        <v>2.0482179857298499E-2</v>
      </c>
      <c r="F47" s="3">
        <f t="shared" si="2"/>
        <v>45</v>
      </c>
    </row>
    <row r="48" spans="1:6" ht="21.6" customHeight="1" x14ac:dyDescent="0.3">
      <c r="A48" s="2">
        <f>WORKDAY(A47,1,Feriados!$A$2:$A$937)</f>
        <v>44552</v>
      </c>
      <c r="B48" s="1">
        <v>2.0942513724065304E-2</v>
      </c>
      <c r="C48" s="1">
        <f t="shared" si="0"/>
        <v>8.4190955605070172E-3</v>
      </c>
      <c r="D48" s="1">
        <f t="shared" si="1"/>
        <v>2.9537926308892404E-2</v>
      </c>
      <c r="E48" s="1">
        <v>2.2238432905071326E-2</v>
      </c>
      <c r="F48" s="3">
        <f t="shared" si="2"/>
        <v>46</v>
      </c>
    </row>
    <row r="49" spans="1:6" ht="21.6" customHeight="1" x14ac:dyDescent="0.3">
      <c r="A49" s="2">
        <f>WORKDAY(A48,1,Feriados!$A$2:$A$937)</f>
        <v>44553</v>
      </c>
      <c r="B49" s="1">
        <v>2.1265426041072732E-2</v>
      </c>
      <c r="C49" s="1">
        <f t="shared" si="0"/>
        <v>8.6029044212172501E-3</v>
      </c>
      <c r="D49" s="1">
        <f t="shared" si="1"/>
        <v>3.0051274889997703E-2</v>
      </c>
      <c r="E49" s="1">
        <v>2.2577876209185721E-2</v>
      </c>
      <c r="F49" s="3">
        <f t="shared" si="2"/>
        <v>47</v>
      </c>
    </row>
    <row r="50" spans="1:6" ht="21.6" customHeight="1" x14ac:dyDescent="0.3">
      <c r="A50" s="2">
        <f>WORKDAY(A49,1,Feriados!$A$2:$A$937)</f>
        <v>44554</v>
      </c>
      <c r="B50" s="1">
        <v>2.1588440491513872E-2</v>
      </c>
      <c r="C50" s="1">
        <f t="shared" si="0"/>
        <v>8.7867467855549108E-3</v>
      </c>
      <c r="D50" s="1">
        <f t="shared" si="1"/>
        <v>3.0564879437162684E-2</v>
      </c>
      <c r="E50" s="1">
        <v>2.2866962473033769E-2</v>
      </c>
      <c r="F50" s="3">
        <f t="shared" si="2"/>
        <v>48</v>
      </c>
    </row>
    <row r="51" spans="1:6" ht="21.6" customHeight="1" x14ac:dyDescent="0.3">
      <c r="A51" s="2">
        <f>WORKDAY(A50,1,Feriados!$A$2:$A$937)</f>
        <v>44557</v>
      </c>
      <c r="B51" s="1">
        <v>2.1911557107692214E-2</v>
      </c>
      <c r="C51" s="1">
        <f t="shared" si="0"/>
        <v>8.9706226596262262E-3</v>
      </c>
      <c r="D51" s="1">
        <f t="shared" si="1"/>
        <v>3.1078740078016365E-2</v>
      </c>
      <c r="E51" s="1">
        <v>2.3597578812852404E-2</v>
      </c>
      <c r="F51" s="3">
        <f t="shared" si="2"/>
        <v>49</v>
      </c>
    </row>
    <row r="52" spans="1:6" ht="21.6" customHeight="1" x14ac:dyDescent="0.3">
      <c r="A52" s="2">
        <f>WORKDAY(A51,1,Feriados!$A$2:$A$937)</f>
        <v>44558</v>
      </c>
      <c r="B52" s="1">
        <v>2.223477592192169E-2</v>
      </c>
      <c r="C52" s="1">
        <f t="shared" si="0"/>
        <v>9.1545320495396432E-3</v>
      </c>
      <c r="D52" s="1">
        <f t="shared" si="1"/>
        <v>3.1592856940252823E-2</v>
      </c>
      <c r="E52" s="1">
        <v>2.3055684217159644E-2</v>
      </c>
      <c r="F52" s="3">
        <f t="shared" si="2"/>
        <v>50</v>
      </c>
    </row>
    <row r="53" spans="1:6" ht="21.6" customHeight="1" x14ac:dyDescent="0.3">
      <c r="A53" s="2">
        <f>WORKDAY(A52,1,Feriados!$A$2:$A$937)</f>
        <v>44559</v>
      </c>
      <c r="B53" s="1">
        <v>2.255809696652622E-2</v>
      </c>
      <c r="C53" s="1">
        <f t="shared" si="0"/>
        <v>9.3384749614036089E-3</v>
      </c>
      <c r="D53" s="1">
        <f t="shared" si="1"/>
        <v>3.2107230151628752E-2</v>
      </c>
      <c r="E53" s="1">
        <v>2.114655192092596E-2</v>
      </c>
      <c r="F53" s="3">
        <f t="shared" si="2"/>
        <v>51</v>
      </c>
    </row>
    <row r="54" spans="1:6" ht="21.6" customHeight="1" x14ac:dyDescent="0.3">
      <c r="A54" s="2">
        <f>WORKDAY(A53,1,Feriados!$A$2:$A$937)</f>
        <v>44560</v>
      </c>
      <c r="B54" s="1">
        <v>2.2881520273840383E-2</v>
      </c>
      <c r="C54" s="1">
        <f t="shared" si="0"/>
        <v>9.522451401329235E-3</v>
      </c>
      <c r="D54" s="1">
        <f t="shared" si="1"/>
        <v>3.2621859839965683E-2</v>
      </c>
      <c r="E54" s="1">
        <v>2.3193101919424919E-2</v>
      </c>
      <c r="F54" s="3">
        <f t="shared" si="2"/>
        <v>52</v>
      </c>
    </row>
    <row r="55" spans="1:6" ht="21.6" customHeight="1" x14ac:dyDescent="0.3">
      <c r="A55" s="2">
        <f>WORKDAY(A54,1,Feriados!$A$2:$A$937)</f>
        <v>44561</v>
      </c>
      <c r="B55" s="1">
        <v>2.320504587620853E-2</v>
      </c>
      <c r="C55" s="1">
        <f t="shared" si="0"/>
        <v>9.7064613754267448E-3</v>
      </c>
      <c r="D55" s="1">
        <f t="shared" si="1"/>
        <v>3.3136746133147765E-2</v>
      </c>
      <c r="E55" s="1">
        <v>2.3669138151954483E-2</v>
      </c>
      <c r="F55" s="3">
        <f t="shared" si="2"/>
        <v>53</v>
      </c>
    </row>
    <row r="56" spans="1:6" ht="21.6" customHeight="1" x14ac:dyDescent="0.3">
      <c r="A56" s="2">
        <f>WORKDAY(A55,1,Feriados!$A$2:$A$937)</f>
        <v>44564</v>
      </c>
      <c r="B56" s="1">
        <v>2.346748154513123E-2</v>
      </c>
      <c r="C56" s="1">
        <f t="shared" si="0"/>
        <v>9.8905048898094705E-3</v>
      </c>
      <c r="D56" s="1">
        <f t="shared" si="1"/>
        <v>3.3590091675914424E-2</v>
      </c>
      <c r="E56" s="1">
        <v>2.1501249194808336E-2</v>
      </c>
      <c r="F56" s="3">
        <f t="shared" si="2"/>
        <v>54</v>
      </c>
    </row>
    <row r="57" spans="1:6" ht="21.6" customHeight="1" x14ac:dyDescent="0.3">
      <c r="A57" s="2">
        <f>WORKDAY(A56,1,Feriados!$A$2:$A$937)</f>
        <v>44565</v>
      </c>
      <c r="B57" s="1">
        <v>2.3729984524590186E-2</v>
      </c>
      <c r="C57" s="1">
        <f t="shared" si="0"/>
        <v>1.0074581950590522E-2</v>
      </c>
      <c r="D57" s="1">
        <f t="shared" si="1"/>
        <v>3.4043636148959999E-2</v>
      </c>
      <c r="E57" s="1">
        <v>1.8652301189336695E-2</v>
      </c>
      <c r="F57" s="3">
        <f t="shared" si="2"/>
        <v>55</v>
      </c>
    </row>
    <row r="58" spans="1:6" ht="21.6" customHeight="1" x14ac:dyDescent="0.3">
      <c r="A58" s="2">
        <f>WORKDAY(A57,1,Feriados!$A$2:$A$937)</f>
        <v>44566</v>
      </c>
      <c r="B58" s="1">
        <v>2.3992554831849588E-2</v>
      </c>
      <c r="C58" s="1">
        <f t="shared" si="0"/>
        <v>1.0258692563884342E-2</v>
      </c>
      <c r="D58" s="1">
        <f t="shared" si="1"/>
        <v>3.4497379639575998E-2</v>
      </c>
      <c r="E58" s="1">
        <v>1.542353889885395E-2</v>
      </c>
      <c r="F58" s="3">
        <f t="shared" si="2"/>
        <v>56</v>
      </c>
    </row>
    <row r="59" spans="1:6" ht="21.6" customHeight="1" x14ac:dyDescent="0.3">
      <c r="A59" s="2">
        <f>WORKDAY(A58,1,Feriados!$A$2:$A$937)</f>
        <v>44567</v>
      </c>
      <c r="B59" s="1">
        <v>2.4255192484177623E-2</v>
      </c>
      <c r="C59" s="1">
        <f t="shared" si="0"/>
        <v>1.0442836735806926E-2</v>
      </c>
      <c r="D59" s="1">
        <f t="shared" si="1"/>
        <v>3.4951322235092341E-2</v>
      </c>
      <c r="E59" s="1">
        <v>1.3526246625055638E-2</v>
      </c>
      <c r="F59" s="3">
        <f t="shared" si="2"/>
        <v>57</v>
      </c>
    </row>
    <row r="60" spans="1:6" ht="21.6" customHeight="1" x14ac:dyDescent="0.3">
      <c r="A60" s="2">
        <f>WORKDAY(A59,1,Feriados!$A$2:$A$937)</f>
        <v>44568</v>
      </c>
      <c r="B60" s="1">
        <v>2.4517897498847807E-2</v>
      </c>
      <c r="C60" s="1">
        <f t="shared" si="0"/>
        <v>1.0627014472475382E-2</v>
      </c>
      <c r="D60" s="1">
        <f t="shared" si="1"/>
        <v>3.540546402287803E-2</v>
      </c>
      <c r="E60" s="1">
        <v>1.2076923511225024E-2</v>
      </c>
      <c r="F60" s="3">
        <f t="shared" si="2"/>
        <v>58</v>
      </c>
    </row>
    <row r="61" spans="1:6" ht="21.6" customHeight="1" x14ac:dyDescent="0.3">
      <c r="A61" s="2">
        <f>WORKDAY(A60,1,Feriados!$A$2:$A$937)</f>
        <v>44571</v>
      </c>
      <c r="B61" s="1">
        <v>2.4780669893136764E-2</v>
      </c>
      <c r="C61" s="1">
        <f t="shared" si="0"/>
        <v>1.0811225780007483E-2</v>
      </c>
      <c r="D61" s="1">
        <f t="shared" si="1"/>
        <v>3.5859805090338703E-2</v>
      </c>
      <c r="E61" s="1">
        <v>1.3277314282489572E-2</v>
      </c>
      <c r="F61" s="3">
        <f t="shared" si="2"/>
        <v>59</v>
      </c>
    </row>
    <row r="62" spans="1:6" ht="21.6" customHeight="1" x14ac:dyDescent="0.3">
      <c r="A62" s="2">
        <f>WORKDAY(A61,1,Feriados!$A$2:$A$937)</f>
        <v>44572</v>
      </c>
      <c r="B62" s="1">
        <v>2.504350968432667E-2</v>
      </c>
      <c r="C62" s="1">
        <f t="shared" si="0"/>
        <v>1.0995470664522111E-2</v>
      </c>
      <c r="D62" s="1">
        <f t="shared" si="1"/>
        <v>3.6314345524919522E-2</v>
      </c>
      <c r="E62" s="1">
        <v>1.2027010336796096E-2</v>
      </c>
      <c r="F62" s="3">
        <f t="shared" si="2"/>
        <v>60</v>
      </c>
    </row>
    <row r="63" spans="1:6" ht="21.6" customHeight="1" x14ac:dyDescent="0.3">
      <c r="A63" s="2">
        <f>WORKDAY(A62,1,Feriados!$A$2:$A$937)</f>
        <v>44573</v>
      </c>
      <c r="B63" s="1">
        <v>2.5306416889703698E-2</v>
      </c>
      <c r="C63" s="1">
        <f t="shared" si="0"/>
        <v>1.1179749132139705E-2</v>
      </c>
      <c r="D63" s="1">
        <f t="shared" si="1"/>
        <v>3.6769085414103619E-2</v>
      </c>
      <c r="E63" s="1">
        <v>1.6106834662210412E-2</v>
      </c>
      <c r="F63" s="3">
        <f t="shared" si="2"/>
        <v>61</v>
      </c>
    </row>
    <row r="64" spans="1:6" ht="21.6" customHeight="1" x14ac:dyDescent="0.3">
      <c r="A64" s="2">
        <f>WORKDAY(A63,1,Feriados!$A$2:$A$937)</f>
        <v>44574</v>
      </c>
      <c r="B64" s="1">
        <v>2.556939152655846E-2</v>
      </c>
      <c r="C64" s="1">
        <f t="shared" si="0"/>
        <v>1.1364061188981811E-2</v>
      </c>
      <c r="D64" s="1">
        <f t="shared" si="1"/>
        <v>3.7224024845413206E-2</v>
      </c>
      <c r="E64" s="1">
        <v>1.7125495168990982E-2</v>
      </c>
      <c r="F64" s="3">
        <f t="shared" si="2"/>
        <v>62</v>
      </c>
    </row>
    <row r="65" spans="1:6" ht="21.6" customHeight="1" x14ac:dyDescent="0.3">
      <c r="A65" s="2">
        <f>WORKDAY(A64,1,Feriados!$A$2:$A$937)</f>
        <v>44575</v>
      </c>
      <c r="B65" s="1">
        <v>2.5832433612186234E-2</v>
      </c>
      <c r="C65" s="1">
        <f t="shared" si="0"/>
        <v>1.1548406841170422E-2</v>
      </c>
      <c r="D65" s="1">
        <f t="shared" si="1"/>
        <v>3.7679163906407798E-2</v>
      </c>
      <c r="E65" s="1">
        <v>1.8264023950162356E-2</v>
      </c>
      <c r="F65" s="3">
        <f t="shared" si="2"/>
        <v>63</v>
      </c>
    </row>
    <row r="66" spans="1:6" ht="21.6" customHeight="1" x14ac:dyDescent="0.3">
      <c r="A66" s="2">
        <f>WORKDAY(A65,1,Feriados!$A$2:$A$937)</f>
        <v>44578</v>
      </c>
      <c r="B66" s="1">
        <v>2.6095543163886292E-2</v>
      </c>
      <c r="C66" s="1">
        <f t="shared" si="0"/>
        <v>1.1732786094829528E-2</v>
      </c>
      <c r="D66" s="1">
        <f t="shared" si="1"/>
        <v>3.8134502684685989E-2</v>
      </c>
      <c r="E66" s="1">
        <v>1.4803343735186214E-2</v>
      </c>
      <c r="F66" s="3">
        <f t="shared" si="2"/>
        <v>64</v>
      </c>
    </row>
    <row r="67" spans="1:6" ht="21.6" customHeight="1" x14ac:dyDescent="0.3">
      <c r="A67" s="2">
        <f>WORKDAY(A66,1,Feriados!$A$2:$A$937)</f>
        <v>44579</v>
      </c>
      <c r="B67" s="1">
        <v>2.6358720198962793E-2</v>
      </c>
      <c r="C67" s="1">
        <f t="shared" ref="C67:C101" si="3">(($I$2+1)^(1/252))^(F67)-1</f>
        <v>1.1917198956083563E-2</v>
      </c>
      <c r="D67" s="1">
        <f t="shared" ref="D67:D101" si="4">(B67+1)*(C67+1)-1</f>
        <v>3.8590041267885233E-2</v>
      </c>
      <c r="E67" s="1">
        <v>1.5234847184820044E-2</v>
      </c>
      <c r="F67" s="3">
        <f t="shared" si="2"/>
        <v>65</v>
      </c>
    </row>
    <row r="68" spans="1:6" ht="21.6" customHeight="1" x14ac:dyDescent="0.3">
      <c r="A68" s="2">
        <f>WORKDAY(A67,1,Feriados!$A$2:$A$937)</f>
        <v>44580</v>
      </c>
      <c r="B68" s="1">
        <v>2.6621964734723891E-2</v>
      </c>
      <c r="C68" s="1">
        <f t="shared" si="3"/>
        <v>1.2101645431058516E-2</v>
      </c>
      <c r="D68" s="1">
        <f t="shared" si="4"/>
        <v>3.9045779743680287E-2</v>
      </c>
      <c r="E68" s="1">
        <v>1.9406174781937402E-2</v>
      </c>
      <c r="F68" s="3">
        <f t="shared" ref="F68:F101" si="5">F67+1</f>
        <v>66</v>
      </c>
    </row>
    <row r="69" spans="1:6" ht="21.6" customHeight="1" x14ac:dyDescent="0.3">
      <c r="A69" s="2">
        <f>WORKDAY(A68,1,Feriados!$A$2:$A$937)</f>
        <v>44581</v>
      </c>
      <c r="B69" s="1">
        <v>2.6885276788482626E-2</v>
      </c>
      <c r="C69" s="1">
        <f t="shared" si="3"/>
        <v>1.2286125525881042E-2</v>
      </c>
      <c r="D69" s="1">
        <f t="shared" si="4"/>
        <v>3.9501718199784985E-2</v>
      </c>
      <c r="E69" s="1">
        <v>2.3553992768128751E-2</v>
      </c>
      <c r="F69" s="3">
        <f t="shared" si="5"/>
        <v>67</v>
      </c>
    </row>
    <row r="70" spans="1:6" ht="21.6" customHeight="1" x14ac:dyDescent="0.3">
      <c r="A70" s="2">
        <f>WORKDAY(A69,1,Feriados!$A$2:$A$937)</f>
        <v>44582</v>
      </c>
      <c r="B70" s="1">
        <v>2.7148656377556257E-2</v>
      </c>
      <c r="C70" s="1">
        <f t="shared" si="3"/>
        <v>1.2470639246679349E-2</v>
      </c>
      <c r="D70" s="1">
        <f t="shared" si="4"/>
        <v>3.9957856723952245E-2</v>
      </c>
      <c r="E70" s="1">
        <v>2.3981677654449918E-2</v>
      </c>
      <c r="F70" s="3">
        <f t="shared" si="5"/>
        <v>68</v>
      </c>
    </row>
    <row r="71" spans="1:6" ht="21.6" customHeight="1" x14ac:dyDescent="0.3">
      <c r="A71" s="2">
        <f>WORKDAY(A70,1,Feriados!$A$2:$A$937)</f>
        <v>44585</v>
      </c>
      <c r="B71" s="1">
        <v>2.7412103519266484E-2</v>
      </c>
      <c r="C71" s="1">
        <f t="shared" si="3"/>
        <v>1.2655186599582535E-2</v>
      </c>
      <c r="D71" s="1">
        <f t="shared" si="4"/>
        <v>4.0414195403972508E-2</v>
      </c>
      <c r="E71" s="1">
        <v>2.5181813433352129E-2</v>
      </c>
      <c r="F71" s="3">
        <f t="shared" si="5"/>
        <v>69</v>
      </c>
    </row>
    <row r="72" spans="1:6" ht="21.6" customHeight="1" x14ac:dyDescent="0.3">
      <c r="A72" s="2">
        <f>WORKDAY(A71,1,Feriados!$A$2:$A$937)</f>
        <v>44586</v>
      </c>
      <c r="B72" s="1">
        <v>2.7675618230939447E-2</v>
      </c>
      <c r="C72" s="1">
        <f t="shared" si="3"/>
        <v>1.283976759072103E-2</v>
      </c>
      <c r="D72" s="1">
        <f t="shared" si="4"/>
        <v>4.0870734327675295E-2</v>
      </c>
      <c r="E72" s="1">
        <v>2.3878413913714036E-2</v>
      </c>
      <c r="F72" s="3">
        <f t="shared" si="5"/>
        <v>70</v>
      </c>
    </row>
    <row r="73" spans="1:6" ht="21.6" customHeight="1" x14ac:dyDescent="0.3">
      <c r="A73" s="2">
        <f>WORKDAY(A72,1,Feriados!$A$2:$A$937)</f>
        <v>44587</v>
      </c>
      <c r="B73" s="1">
        <v>2.793920052990595E-2</v>
      </c>
      <c r="C73" s="1">
        <f t="shared" si="3"/>
        <v>1.3024382226225928E-2</v>
      </c>
      <c r="D73" s="1">
        <f t="shared" si="4"/>
        <v>4.1327473582928542E-2</v>
      </c>
      <c r="E73" s="1">
        <v>2.3076872554636862E-2</v>
      </c>
      <c r="F73" s="3">
        <f t="shared" si="5"/>
        <v>71</v>
      </c>
    </row>
    <row r="74" spans="1:6" ht="21.6" customHeight="1" x14ac:dyDescent="0.3">
      <c r="A74" s="2">
        <f>WORKDAY(A73,1,Feriados!$A$2:$A$937)</f>
        <v>44588</v>
      </c>
      <c r="B74" s="1">
        <v>2.8202850433500792E-2</v>
      </c>
      <c r="C74" s="1">
        <f t="shared" si="3"/>
        <v>1.320903051222988E-2</v>
      </c>
      <c r="D74" s="1">
        <f t="shared" si="4"/>
        <v>4.1784413257638597E-2</v>
      </c>
      <c r="E74" s="1">
        <v>2.1326359205817047E-2</v>
      </c>
      <c r="F74" s="3">
        <f t="shared" si="5"/>
        <v>72</v>
      </c>
    </row>
    <row r="75" spans="1:6" ht="21.6" customHeight="1" x14ac:dyDescent="0.3">
      <c r="A75" s="2">
        <f>WORKDAY(A74,1,Feriados!$A$2:$A$937)</f>
        <v>44589</v>
      </c>
      <c r="B75" s="1">
        <v>2.846656795906366E-2</v>
      </c>
      <c r="C75" s="1">
        <f t="shared" si="3"/>
        <v>1.3393712454866646E-2</v>
      </c>
      <c r="D75" s="1">
        <f t="shared" si="4"/>
        <v>4.224155343975089E-2</v>
      </c>
      <c r="E75" s="1">
        <v>2.2464700694044382E-2</v>
      </c>
      <c r="F75" s="3">
        <f t="shared" si="5"/>
        <v>73</v>
      </c>
    </row>
    <row r="76" spans="1:6" ht="21.6" customHeight="1" x14ac:dyDescent="0.3">
      <c r="A76" s="2">
        <f>WORKDAY(A75,1,Feriados!$A$2:$A$937)</f>
        <v>44592</v>
      </c>
      <c r="B76" s="1">
        <v>2.8730353123938235E-2</v>
      </c>
      <c r="C76" s="1">
        <f t="shared" si="3"/>
        <v>1.3578428060270653E-2</v>
      </c>
      <c r="D76" s="1">
        <f t="shared" si="4"/>
        <v>4.2698894217248373E-2</v>
      </c>
      <c r="E76" s="1">
        <v>2.2279361286627442E-2</v>
      </c>
      <c r="F76" s="3">
        <f t="shared" si="5"/>
        <v>74</v>
      </c>
    </row>
    <row r="77" spans="1:6" ht="21.6" customHeight="1" x14ac:dyDescent="0.3">
      <c r="A77" s="2">
        <f>WORKDAY(A76,1,Feriados!$A$2:$A$937)</f>
        <v>44593</v>
      </c>
      <c r="B77" s="1">
        <v>2.9174012975476948E-2</v>
      </c>
      <c r="C77" s="1">
        <f t="shared" si="3"/>
        <v>1.3763177334578103E-2</v>
      </c>
      <c r="D77" s="1">
        <f t="shared" si="4"/>
        <v>4.3338717424197926E-2</v>
      </c>
      <c r="E77" s="1">
        <v>2.4470457709823812E-2</v>
      </c>
      <c r="F77" s="3">
        <f t="shared" si="5"/>
        <v>75</v>
      </c>
    </row>
    <row r="78" spans="1:6" ht="21.6" customHeight="1" x14ac:dyDescent="0.3">
      <c r="A78" s="2">
        <f>WORKDAY(A77,1,Feriados!$A$2:$A$937)</f>
        <v>44594</v>
      </c>
      <c r="B78" s="1">
        <v>2.9617864163903107E-2</v>
      </c>
      <c r="C78" s="1">
        <f t="shared" si="3"/>
        <v>1.3947960283925642E-2</v>
      </c>
      <c r="D78" s="1">
        <f t="shared" si="4"/>
        <v>4.3978933240881535E-2</v>
      </c>
      <c r="E78" s="1">
        <v>2.7227243888937158E-2</v>
      </c>
      <c r="F78" s="3">
        <f t="shared" si="5"/>
        <v>76</v>
      </c>
    </row>
    <row r="79" spans="1:6" ht="21.6" customHeight="1" x14ac:dyDescent="0.3">
      <c r="A79" s="2">
        <f>WORKDAY(A78,1,Feriados!$A$2:$A$937)</f>
        <v>44595</v>
      </c>
      <c r="B79" s="1">
        <v>3.0061906771734481E-2</v>
      </c>
      <c r="C79" s="1">
        <f t="shared" si="3"/>
        <v>1.4132776914451473E-2</v>
      </c>
      <c r="D79" s="1">
        <f t="shared" si="4"/>
        <v>4.4619541908213822E-2</v>
      </c>
      <c r="E79" s="1">
        <v>3.4258120377522294E-2</v>
      </c>
      <c r="F79" s="3">
        <f t="shared" si="5"/>
        <v>77</v>
      </c>
    </row>
    <row r="80" spans="1:6" ht="21.6" customHeight="1" x14ac:dyDescent="0.3">
      <c r="A80" s="2">
        <f>WORKDAY(A79,1,Feriados!$A$2:$A$937)</f>
        <v>44596</v>
      </c>
      <c r="B80" s="1">
        <v>3.050614088152459E-2</v>
      </c>
      <c r="C80" s="1">
        <f t="shared" si="3"/>
        <v>1.4317627232295349E-2</v>
      </c>
      <c r="D80" s="1">
        <f t="shared" si="4"/>
        <v>4.5260543667257513E-2</v>
      </c>
      <c r="E80" s="1">
        <v>3.1645302148697096E-2</v>
      </c>
      <c r="F80" s="3">
        <f t="shared" si="5"/>
        <v>78</v>
      </c>
    </row>
    <row r="81" spans="1:6" ht="21.6" customHeight="1" x14ac:dyDescent="0.3">
      <c r="A81" s="2">
        <f>WORKDAY(A80,1,Feriados!$A$2:$A$937)</f>
        <v>44599</v>
      </c>
      <c r="B81" s="1">
        <v>3.0950566575862037E-2</v>
      </c>
      <c r="C81" s="1">
        <f t="shared" si="3"/>
        <v>1.4502511243596583E-2</v>
      </c>
      <c r="D81" s="1">
        <f t="shared" si="4"/>
        <v>4.5901938759220773E-2</v>
      </c>
      <c r="E81" s="1">
        <v>3.3170581375930208E-2</v>
      </c>
      <c r="F81" s="3">
        <f t="shared" si="5"/>
        <v>79</v>
      </c>
    </row>
    <row r="82" spans="1:6" ht="21.6" customHeight="1" x14ac:dyDescent="0.3">
      <c r="A82" s="2">
        <f>WORKDAY(A81,1,Feriados!$A$2:$A$937)</f>
        <v>44600</v>
      </c>
      <c r="B82" s="1">
        <v>3.1395183937371618E-2</v>
      </c>
      <c r="C82" s="1">
        <f t="shared" si="3"/>
        <v>1.4687428954497372E-2</v>
      </c>
      <c r="D82" s="1">
        <f t="shared" si="4"/>
        <v>4.6543727425462533E-2</v>
      </c>
      <c r="E82" s="1">
        <v>3.1062708348467805E-2</v>
      </c>
      <c r="F82" s="3">
        <f t="shared" si="5"/>
        <v>80</v>
      </c>
    </row>
    <row r="83" spans="1:6" ht="21.6" customHeight="1" x14ac:dyDescent="0.3">
      <c r="A83" s="2">
        <f>WORKDAY(A82,1,Feriados!$A$2:$A$937)</f>
        <v>44601</v>
      </c>
      <c r="B83" s="1">
        <v>3.1839993048713426E-2</v>
      </c>
      <c r="C83" s="1">
        <f t="shared" si="3"/>
        <v>1.4872380371139693E-2</v>
      </c>
      <c r="D83" s="1">
        <f t="shared" si="4"/>
        <v>4.7185909907488055E-2</v>
      </c>
      <c r="E83" s="1">
        <v>2.7415884235707955E-2</v>
      </c>
      <c r="F83" s="3">
        <f t="shared" si="5"/>
        <v>81</v>
      </c>
    </row>
    <row r="84" spans="1:6" ht="21.6" customHeight="1" x14ac:dyDescent="0.3">
      <c r="A84" s="2">
        <f>WORKDAY(A83,1,Feriados!$A$2:$A$937)</f>
        <v>44602</v>
      </c>
      <c r="B84" s="1">
        <v>3.2284993992583326E-2</v>
      </c>
      <c r="C84" s="1">
        <f t="shared" si="3"/>
        <v>1.5057365499668185E-2</v>
      </c>
      <c r="D84" s="1">
        <f t="shared" si="4"/>
        <v>4.7828486446952478E-2</v>
      </c>
      <c r="E84" s="1">
        <v>2.6580681777405468E-2</v>
      </c>
      <c r="F84" s="3">
        <f t="shared" si="5"/>
        <v>82</v>
      </c>
    </row>
    <row r="85" spans="1:6" ht="21.6" customHeight="1" x14ac:dyDescent="0.3">
      <c r="A85" s="2">
        <f>WORKDAY(A84,1,Feriados!$A$2:$A$937)</f>
        <v>44603</v>
      </c>
      <c r="B85" s="1">
        <v>3.2730186851712695E-2</v>
      </c>
      <c r="C85" s="1">
        <f t="shared" si="3"/>
        <v>1.5242384346226601E-2</v>
      </c>
      <c r="D85" s="1">
        <f t="shared" si="4"/>
        <v>4.8471457285656827E-2</v>
      </c>
      <c r="E85" s="1">
        <v>2.5079918432611592E-2</v>
      </c>
      <c r="F85" s="3">
        <f t="shared" si="5"/>
        <v>83</v>
      </c>
    </row>
    <row r="86" spans="1:6" ht="21.6" customHeight="1" x14ac:dyDescent="0.3">
      <c r="A86" s="2">
        <f>WORKDAY(A85,1,Feriados!$A$2:$A$937)</f>
        <v>44606</v>
      </c>
      <c r="B86" s="1">
        <v>3.3175571708868645E-2</v>
      </c>
      <c r="C86" s="1">
        <f t="shared" si="3"/>
        <v>1.5427436916961801E-2</v>
      </c>
      <c r="D86" s="1">
        <f t="shared" si="4"/>
        <v>4.9114822665553115E-2</v>
      </c>
      <c r="E86" s="1">
        <v>2.693765791381697E-2</v>
      </c>
      <c r="F86" s="3">
        <f t="shared" si="5"/>
        <v>84</v>
      </c>
    </row>
    <row r="87" spans="1:6" ht="21.6" customHeight="1" x14ac:dyDescent="0.3">
      <c r="A87" s="2">
        <f>WORKDAY(A86,1,Feriados!$A$2:$A$937)</f>
        <v>44607</v>
      </c>
      <c r="B87" s="1">
        <v>3.3621148646854282E-2</v>
      </c>
      <c r="C87" s="1">
        <f t="shared" si="3"/>
        <v>1.561252321801998E-2</v>
      </c>
      <c r="D87" s="1">
        <f t="shared" si="4"/>
        <v>4.9758582828739684E-2</v>
      </c>
      <c r="E87" s="1">
        <v>3.1180850419396888E-2</v>
      </c>
      <c r="F87" s="3">
        <f t="shared" si="5"/>
        <v>85</v>
      </c>
    </row>
    <row r="88" spans="1:6" ht="21.6" customHeight="1" x14ac:dyDescent="0.3">
      <c r="A88" s="2">
        <f>WORKDAY(A87,1,Feriados!$A$2:$A$937)</f>
        <v>44608</v>
      </c>
      <c r="B88" s="1">
        <v>3.4066917748508015E-2</v>
      </c>
      <c r="C88" s="1">
        <f t="shared" si="3"/>
        <v>1.5797643255549998E-2</v>
      </c>
      <c r="D88" s="1">
        <f t="shared" si="4"/>
        <v>5.0402738017465198E-2</v>
      </c>
      <c r="E88" s="1">
        <v>3.0448199145693522E-2</v>
      </c>
      <c r="F88" s="3">
        <f t="shared" si="5"/>
        <v>86</v>
      </c>
    </row>
    <row r="89" spans="1:6" ht="21.6" customHeight="1" x14ac:dyDescent="0.3">
      <c r="A89" s="2">
        <f>WORKDAY(A88,1,Feriados!$A$2:$A$937)</f>
        <v>44609</v>
      </c>
      <c r="B89" s="1">
        <v>3.4512879096704197E-2</v>
      </c>
      <c r="C89" s="1">
        <f t="shared" si="3"/>
        <v>1.5982797035700713E-2</v>
      </c>
      <c r="D89" s="1">
        <f t="shared" si="4"/>
        <v>5.1047288474125319E-2</v>
      </c>
      <c r="E89" s="1">
        <v>2.8710729130375201E-2</v>
      </c>
      <c r="F89" s="3">
        <f t="shared" si="5"/>
        <v>87</v>
      </c>
    </row>
    <row r="90" spans="1:6" ht="21.6" customHeight="1" x14ac:dyDescent="0.3">
      <c r="A90" s="2">
        <f>WORKDAY(A89,1,Feriados!$A$2:$A$937)</f>
        <v>44610</v>
      </c>
      <c r="B90" s="1">
        <v>3.495903277435275E-2</v>
      </c>
      <c r="C90" s="1">
        <f t="shared" si="3"/>
        <v>1.6167984564622762E-2</v>
      </c>
      <c r="D90" s="1">
        <f t="shared" si="4"/>
        <v>5.1692234441265361E-2</v>
      </c>
      <c r="E90" s="1">
        <v>2.8262163846733745E-2</v>
      </c>
      <c r="F90" s="3">
        <f t="shared" si="5"/>
        <v>88</v>
      </c>
    </row>
    <row r="91" spans="1:6" ht="21.6" customHeight="1" x14ac:dyDescent="0.3">
      <c r="A91" s="2">
        <f>WORKDAY(A90,1,Feriados!$A$2:$A$937)</f>
        <v>44613</v>
      </c>
      <c r="B91" s="1">
        <v>3.5405378864399539E-2</v>
      </c>
      <c r="C91" s="1">
        <f t="shared" si="3"/>
        <v>1.6353205848467445E-2</v>
      </c>
      <c r="D91" s="1">
        <f t="shared" si="4"/>
        <v>5.2337576161579413E-2</v>
      </c>
      <c r="E91" s="1">
        <v>2.8864012994816113E-2</v>
      </c>
      <c r="F91" s="3">
        <f t="shared" si="5"/>
        <v>89</v>
      </c>
    </row>
    <row r="92" spans="1:6" ht="21.6" customHeight="1" x14ac:dyDescent="0.3">
      <c r="A92" s="2">
        <f>WORKDAY(A91,1,Feriados!$A$2:$A$937)</f>
        <v>44614</v>
      </c>
      <c r="B92" s="1">
        <v>3.5851917449826194E-2</v>
      </c>
      <c r="C92" s="1">
        <f t="shared" si="3"/>
        <v>1.6538460893387619E-2</v>
      </c>
      <c r="D92" s="1">
        <f t="shared" si="4"/>
        <v>5.2983313877910776E-2</v>
      </c>
      <c r="E92" s="1">
        <v>2.6914133287845088E-2</v>
      </c>
      <c r="F92" s="3">
        <f t="shared" si="5"/>
        <v>90</v>
      </c>
    </row>
    <row r="93" spans="1:6" ht="21.6" customHeight="1" x14ac:dyDescent="0.3">
      <c r="A93" s="2">
        <f>WORKDAY(A92,1,Feriados!$A$2:$A$937)</f>
        <v>44615</v>
      </c>
      <c r="B93" s="1">
        <v>3.6298648613649842E-2</v>
      </c>
      <c r="C93" s="1">
        <f t="shared" si="3"/>
        <v>1.6723749705537028E-2</v>
      </c>
      <c r="D93" s="1">
        <f t="shared" si="4"/>
        <v>5.3629447833250854E-2</v>
      </c>
      <c r="E93" s="1">
        <v>2.8866582675080688E-2</v>
      </c>
      <c r="F93" s="3">
        <f t="shared" si="5"/>
        <v>91</v>
      </c>
    </row>
    <row r="94" spans="1:6" ht="21.6" customHeight="1" x14ac:dyDescent="0.3">
      <c r="A94" s="2">
        <f>WORKDAY(A93,1,Feriados!$A$2:$A$937)</f>
        <v>44616</v>
      </c>
      <c r="B94" s="1">
        <v>3.6745572438923846E-2</v>
      </c>
      <c r="C94" s="1">
        <f t="shared" si="3"/>
        <v>1.6909072291070748E-2</v>
      </c>
      <c r="D94" s="1">
        <f t="shared" si="4"/>
        <v>5.4275978270741154E-2</v>
      </c>
      <c r="E94" s="1">
        <v>2.7614925004437962E-2</v>
      </c>
      <c r="F94" s="3">
        <f t="shared" si="5"/>
        <v>92</v>
      </c>
    </row>
    <row r="95" spans="1:6" ht="21.6" customHeight="1" x14ac:dyDescent="0.3">
      <c r="A95" s="2">
        <f>WORKDAY(A94,1,Feriados!$A$2:$A$937)</f>
        <v>44617</v>
      </c>
      <c r="B95" s="1">
        <v>3.719268900873729E-2</v>
      </c>
      <c r="C95" s="1">
        <f t="shared" si="3"/>
        <v>1.7094428656144078E-2</v>
      </c>
      <c r="D95" s="1">
        <f t="shared" si="4"/>
        <v>5.4922905433671287E-2</v>
      </c>
      <c r="E95" s="1">
        <v>2.8601813673587717E-2</v>
      </c>
      <c r="F95" s="3">
        <f t="shared" si="5"/>
        <v>93</v>
      </c>
    </row>
    <row r="96" spans="1:6" ht="21.6" customHeight="1" x14ac:dyDescent="0.3">
      <c r="A96" s="2">
        <f>WORKDAY(A95,1,Feriados!$A$2:$A$937)</f>
        <v>44622</v>
      </c>
      <c r="B96" s="1">
        <v>3.7447087868100359E-2</v>
      </c>
      <c r="C96" s="1">
        <f t="shared" si="3"/>
        <v>1.7279818806915426E-2</v>
      </c>
      <c r="D96" s="1">
        <f t="shared" si="4"/>
        <v>5.537398556822315E-2</v>
      </c>
      <c r="E96" s="1">
        <v>2.8565751220667623E-2</v>
      </c>
      <c r="F96" s="3">
        <f t="shared" si="5"/>
        <v>94</v>
      </c>
    </row>
    <row r="97" spans="1:6" ht="21.6" customHeight="1" x14ac:dyDescent="0.3">
      <c r="A97" s="2">
        <f>WORKDAY(A96,1,Feriados!$A$2:$A$937)</f>
        <v>44623</v>
      </c>
      <c r="B97" s="1">
        <v>3.7701549125492624E-2</v>
      </c>
      <c r="C97" s="1">
        <f t="shared" si="3"/>
        <v>1.7465242749541643E-2</v>
      </c>
      <c r="D97" s="1">
        <f t="shared" si="4"/>
        <v>5.5825258582544723E-2</v>
      </c>
      <c r="E97" s="1">
        <v>2.7924925383604693E-2</v>
      </c>
      <c r="F97" s="3">
        <f t="shared" si="5"/>
        <v>95</v>
      </c>
    </row>
    <row r="98" spans="1:6" ht="21.6" customHeight="1" x14ac:dyDescent="0.3">
      <c r="A98" s="2">
        <f>WORKDAY(A97,1,Feriados!$A$2:$A$937)</f>
        <v>44624</v>
      </c>
      <c r="B98" s="1">
        <v>3.7956072796218709E-2</v>
      </c>
      <c r="C98" s="1">
        <f t="shared" si="3"/>
        <v>1.7650700490183135E-2</v>
      </c>
      <c r="D98" s="1">
        <f t="shared" si="4"/>
        <v>5.6276724559111591E-2</v>
      </c>
      <c r="E98" s="1">
        <v>2.5385069742141164E-2</v>
      </c>
      <c r="F98" s="3">
        <f t="shared" si="5"/>
        <v>96</v>
      </c>
    </row>
    <row r="99" spans="1:6" ht="21.6" customHeight="1" x14ac:dyDescent="0.3">
      <c r="A99" s="2">
        <f>WORKDAY(A98,1,Feriados!$A$2:$A$937)</f>
        <v>44627</v>
      </c>
      <c r="B99" s="1">
        <v>3.8210658895587279E-2</v>
      </c>
      <c r="C99" s="1">
        <f t="shared" si="3"/>
        <v>1.7836192035000087E-2</v>
      </c>
      <c r="D99" s="1">
        <f t="shared" si="4"/>
        <v>5.6728383580432862E-2</v>
      </c>
      <c r="E99" s="1">
        <v>2.3915069065824079E-2</v>
      </c>
      <c r="F99" s="3">
        <f t="shared" si="5"/>
        <v>97</v>
      </c>
    </row>
    <row r="100" spans="1:6" ht="21.6" customHeight="1" x14ac:dyDescent="0.3">
      <c r="A100" s="2">
        <f>WORKDAY(A99,1,Feriados!$A$2:$A$937)</f>
        <v>44628</v>
      </c>
      <c r="B100" s="1">
        <v>3.8465307438910516E-2</v>
      </c>
      <c r="C100" s="1">
        <f t="shared" si="3"/>
        <v>1.8021717390154013E-2</v>
      </c>
      <c r="D100" s="1">
        <f t="shared" si="4"/>
        <v>5.7180235729054063E-2</v>
      </c>
      <c r="E100" s="1">
        <v>2.2758591509235204E-2</v>
      </c>
      <c r="F100" s="3">
        <f t="shared" si="5"/>
        <v>98</v>
      </c>
    </row>
    <row r="101" spans="1:6" ht="21.6" customHeight="1" x14ac:dyDescent="0.3">
      <c r="A101" s="2">
        <f>WORKDAY(A100,1,Feriados!$A$2:$A$937)</f>
        <v>44629</v>
      </c>
      <c r="B101" s="1">
        <v>3.8720018441504411E-2</v>
      </c>
      <c r="C101" s="1">
        <f t="shared" si="3"/>
        <v>1.8207276561807539E-2</v>
      </c>
      <c r="D101" s="1">
        <f t="shared" si="4"/>
        <v>5.7632281087554693E-2</v>
      </c>
      <c r="E101" s="1">
        <v>2.7593990078792041E-2</v>
      </c>
      <c r="F101" s="3">
        <f t="shared" si="5"/>
        <v>99</v>
      </c>
    </row>
    <row r="102" spans="1:6" ht="21.6" customHeight="1" x14ac:dyDescent="0.3">
      <c r="A102" s="2"/>
    </row>
    <row r="103" spans="1:6" ht="21.6" customHeight="1" x14ac:dyDescent="0.3">
      <c r="A103" s="2"/>
    </row>
    <row r="104" spans="1:6" ht="21.6" customHeight="1" x14ac:dyDescent="0.3">
      <c r="A104" s="2"/>
    </row>
    <row r="105" spans="1:6" ht="21.6" customHeight="1" x14ac:dyDescent="0.3">
      <c r="A105" s="2"/>
    </row>
    <row r="106" spans="1:6" ht="21.6" customHeight="1" x14ac:dyDescent="0.3">
      <c r="A106" s="2"/>
    </row>
    <row r="107" spans="1:6" ht="21.6" customHeight="1" x14ac:dyDescent="0.3">
      <c r="A107" s="2"/>
    </row>
    <row r="108" spans="1:6" ht="21.6" customHeight="1" x14ac:dyDescent="0.3">
      <c r="A108" s="2"/>
    </row>
    <row r="109" spans="1:6" ht="21.6" customHeight="1" x14ac:dyDescent="0.3">
      <c r="A109" s="2"/>
    </row>
    <row r="110" spans="1:6" ht="21.6" customHeight="1" x14ac:dyDescent="0.3">
      <c r="A110" s="2"/>
    </row>
    <row r="111" spans="1:6" ht="21.6" customHeight="1" x14ac:dyDescent="0.3">
      <c r="A111" s="2"/>
    </row>
    <row r="112" spans="1:6" ht="21.6" customHeight="1" x14ac:dyDescent="0.3">
      <c r="A112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589F9-E9B7-4A28-AC59-07E71BA01D89}">
  <dimension ref="A1:I123"/>
  <sheetViews>
    <sheetView workbookViewId="0">
      <selection activeCell="M5" sqref="M5"/>
    </sheetView>
  </sheetViews>
  <sheetFormatPr defaultColWidth="15.5546875" defaultRowHeight="21.6" customHeight="1" x14ac:dyDescent="0.3"/>
  <cols>
    <col min="1" max="16384" width="15.5546875" style="1"/>
  </cols>
  <sheetData>
    <row r="1" spans="1:9" ht="21.6" customHeight="1" x14ac:dyDescent="0.3">
      <c r="A1" s="1" t="s">
        <v>0</v>
      </c>
      <c r="B1" s="1" t="s">
        <v>2</v>
      </c>
      <c r="C1" s="1" t="s">
        <v>3</v>
      </c>
      <c r="D1" s="1" t="s">
        <v>5</v>
      </c>
      <c r="E1" s="1" t="s">
        <v>4</v>
      </c>
      <c r="F1" s="1" t="s">
        <v>7</v>
      </c>
      <c r="I1" s="1" t="s">
        <v>6</v>
      </c>
    </row>
    <row r="2" spans="1:9" ht="21.6" customHeight="1" x14ac:dyDescent="0.3">
      <c r="A2" s="2">
        <v>44484</v>
      </c>
      <c r="B2" s="1">
        <v>0</v>
      </c>
      <c r="C2" s="1">
        <f>(($I$2+1)^(1/252))^(F2)-1</f>
        <v>0</v>
      </c>
      <c r="D2" s="1">
        <f>(B2+1)*(C2+1)-1</f>
        <v>0</v>
      </c>
      <c r="E2" s="1">
        <v>0</v>
      </c>
      <c r="F2" s="3">
        <v>0</v>
      </c>
      <c r="I2" s="1">
        <v>4.8500000000000001E-2</v>
      </c>
    </row>
    <row r="3" spans="1:9" ht="21.6" customHeight="1" x14ac:dyDescent="0.3">
      <c r="A3" s="2">
        <f>WORKDAY(A2,1,Feriados!$A$2:$A$937)</f>
        <v>44487</v>
      </c>
      <c r="B3" s="1">
        <v>6.2131893862638077E-4</v>
      </c>
      <c r="C3" s="1">
        <f t="shared" ref="C3:C66" si="0">(($I$2+1)^(1/252))^(F3)-1</f>
        <v>1.8795643683544583E-4</v>
      </c>
      <c r="D3" s="1">
        <f t="shared" ref="D3:D66" si="1">(B3+1)*(C3+1)-1</f>
        <v>8.0939215635567052E-4</v>
      </c>
      <c r="E3" s="1">
        <v>-1.0472480401889639E-3</v>
      </c>
      <c r="F3" s="3">
        <f>F2+1</f>
        <v>1</v>
      </c>
    </row>
    <row r="4" spans="1:9" ht="21.6" customHeight="1" x14ac:dyDescent="0.3">
      <c r="A4" s="2">
        <f>WORKDAY(A3,1,Feriados!$A$2:$A$937)</f>
        <v>44488</v>
      </c>
      <c r="B4" s="1">
        <v>1.2430239144758382E-3</v>
      </c>
      <c r="C4" s="1">
        <f t="shared" si="0"/>
        <v>3.7594820129305262E-4</v>
      </c>
      <c r="D4" s="1">
        <f t="shared" si="1"/>
        <v>1.6194394283737257E-3</v>
      </c>
      <c r="E4" s="1">
        <v>-8.8052744362852042E-3</v>
      </c>
      <c r="F4" s="3">
        <f t="shared" ref="F4:F67" si="2">F3+1</f>
        <v>2</v>
      </c>
    </row>
    <row r="5" spans="1:9" ht="21.6" customHeight="1" x14ac:dyDescent="0.3">
      <c r="A5" s="2">
        <f>WORKDAY(A4,1,Feriados!$A$2:$A$937)</f>
        <v>44489</v>
      </c>
      <c r="B5" s="1">
        <v>1.8651151674013988E-3</v>
      </c>
      <c r="C5" s="1">
        <f t="shared" si="0"/>
        <v>5.6397530001284224E-4</v>
      </c>
      <c r="D5" s="1">
        <f t="shared" si="1"/>
        <v>2.4301423463002347E-3</v>
      </c>
      <c r="E5" s="1">
        <v>-1.0144584674037227E-2</v>
      </c>
      <c r="F5" s="3">
        <f t="shared" si="2"/>
        <v>3</v>
      </c>
    </row>
    <row r="6" spans="1:9" ht="21.6" customHeight="1" x14ac:dyDescent="0.3">
      <c r="A6" s="2">
        <f>WORKDAY(A5,1,Feriados!$A$2:$A$937)</f>
        <v>44490</v>
      </c>
      <c r="B6" s="1">
        <v>2.4875929374035266E-3</v>
      </c>
      <c r="C6" s="1">
        <f t="shared" si="0"/>
        <v>7.5203773963616882E-4</v>
      </c>
      <c r="D6" s="1">
        <f t="shared" si="1"/>
        <v>3.241501440809369E-3</v>
      </c>
      <c r="E6" s="1">
        <v>-1.3557890673082662E-2</v>
      </c>
      <c r="F6" s="3">
        <f t="shared" si="2"/>
        <v>4</v>
      </c>
    </row>
    <row r="7" spans="1:9" ht="21.6" customHeight="1" x14ac:dyDescent="0.3">
      <c r="A7" s="2">
        <f>WORKDAY(A6,1,Feriados!$A$2:$A$937)</f>
        <v>44491</v>
      </c>
      <c r="B7" s="1">
        <v>3.1104574646332317E-3</v>
      </c>
      <c r="C7" s="1">
        <f t="shared" si="0"/>
        <v>9.4013552680549672E-4</v>
      </c>
      <c r="D7" s="1">
        <f t="shared" si="1"/>
        <v>4.0535172430058442E-3</v>
      </c>
      <c r="E7" s="1">
        <v>-1.3008845390656942E-2</v>
      </c>
      <c r="F7" s="3">
        <f t="shared" si="2"/>
        <v>5</v>
      </c>
    </row>
    <row r="8" spans="1:9" ht="21.6" customHeight="1" x14ac:dyDescent="0.3">
      <c r="A8" s="2">
        <f>WORKDAY(A7,1,Feriados!$A$2:$A$937)</f>
        <v>44494</v>
      </c>
      <c r="B8" s="1">
        <v>3.7337089893898501E-3</v>
      </c>
      <c r="C8" s="1">
        <f t="shared" si="0"/>
        <v>1.1282686681648446E-3</v>
      </c>
      <c r="D8" s="1">
        <f t="shared" si="1"/>
        <v>4.8661902844233662E-3</v>
      </c>
      <c r="E8" s="1">
        <v>-1.9592584523253964E-2</v>
      </c>
      <c r="F8" s="3">
        <f t="shared" si="2"/>
        <v>6</v>
      </c>
    </row>
    <row r="9" spans="1:9" ht="21.6" customHeight="1" x14ac:dyDescent="0.3">
      <c r="A9" s="2">
        <f>WORKDAY(A8,1,Feriados!$A$2:$A$937)</f>
        <v>44495</v>
      </c>
      <c r="B9" s="1">
        <v>4.3573477521225978E-3</v>
      </c>
      <c r="C9" s="1">
        <f t="shared" si="0"/>
        <v>1.3164371703588973E-3</v>
      </c>
      <c r="D9" s="1">
        <f t="shared" si="1"/>
        <v>5.6795210970266297E-3</v>
      </c>
      <c r="E9" s="1">
        <v>-2.4364378107390228E-2</v>
      </c>
      <c r="F9" s="3">
        <f t="shared" si="2"/>
        <v>7</v>
      </c>
    </row>
    <row r="10" spans="1:9" ht="21.6" customHeight="1" x14ac:dyDescent="0.3">
      <c r="A10" s="2">
        <f>WORKDAY(A9,1,Feriados!$A$2:$A$937)</f>
        <v>44496</v>
      </c>
      <c r="B10" s="1">
        <v>4.9813739934290169E-3</v>
      </c>
      <c r="C10" s="1">
        <f t="shared" si="0"/>
        <v>1.5046410400341159E-3</v>
      </c>
      <c r="D10" s="1">
        <f t="shared" si="1"/>
        <v>6.4935102132093192E-3</v>
      </c>
      <c r="E10" s="1">
        <v>-2.27384549686791E-2</v>
      </c>
      <c r="F10" s="3">
        <f t="shared" si="2"/>
        <v>8</v>
      </c>
    </row>
    <row r="11" spans="1:9" ht="21.6" customHeight="1" x14ac:dyDescent="0.3">
      <c r="A11" s="2">
        <f>WORKDAY(A10,1,Feriados!$A$2:$A$937)</f>
        <v>44497</v>
      </c>
      <c r="B11" s="1">
        <v>5.6057879540576394E-3</v>
      </c>
      <c r="C11" s="1">
        <f t="shared" si="0"/>
        <v>1.6928802838380719E-3</v>
      </c>
      <c r="D11" s="1">
        <f t="shared" si="1"/>
        <v>7.3081581657985506E-3</v>
      </c>
      <c r="E11" s="1">
        <v>-3.3043933159580874E-2</v>
      </c>
      <c r="F11" s="3">
        <f t="shared" si="2"/>
        <v>9</v>
      </c>
    </row>
    <row r="12" spans="1:9" ht="21.6" customHeight="1" x14ac:dyDescent="0.3">
      <c r="A12" s="2">
        <f>WORKDAY(A11,1,Feriados!$A$2:$A$937)</f>
        <v>44498</v>
      </c>
      <c r="B12" s="1">
        <v>6.2305898749053235E-3</v>
      </c>
      <c r="C12" s="1">
        <f t="shared" si="0"/>
        <v>1.8811549084196688E-3</v>
      </c>
      <c r="D12" s="1">
        <f t="shared" si="1"/>
        <v>8.1234654880504298E-3</v>
      </c>
      <c r="E12" s="1">
        <v>-2.1286760004035621E-2</v>
      </c>
      <c r="F12" s="3">
        <f t="shared" si="2"/>
        <v>10</v>
      </c>
    </row>
    <row r="13" spans="1:9" ht="21.6" customHeight="1" x14ac:dyDescent="0.3">
      <c r="A13" s="2">
        <f>WORKDAY(A12,1,Feriados!$A$2:$A$937)</f>
        <v>44501</v>
      </c>
      <c r="B13" s="1">
        <v>6.7064058382930725E-3</v>
      </c>
      <c r="C13" s="1">
        <f t="shared" si="0"/>
        <v>2.0694649204289206E-3</v>
      </c>
      <c r="D13" s="1">
        <f t="shared" si="1"/>
        <v>8.7897494303466051E-3</v>
      </c>
      <c r="E13" s="1">
        <v>-2.3546122432177019E-2</v>
      </c>
      <c r="F13" s="3">
        <f t="shared" si="2"/>
        <v>11</v>
      </c>
    </row>
    <row r="14" spans="1:9" ht="21.6" customHeight="1" x14ac:dyDescent="0.3">
      <c r="A14" s="2">
        <f>WORKDAY(A13,1,Feriados!$A$2:$A$937)</f>
        <v>44503</v>
      </c>
      <c r="B14" s="1">
        <v>7.1824468006356224E-3</v>
      </c>
      <c r="C14" s="1">
        <f t="shared" si="0"/>
        <v>2.2578103265169513E-3</v>
      </c>
      <c r="D14" s="1">
        <f t="shared" si="1"/>
        <v>9.4564737297087031E-3</v>
      </c>
      <c r="E14" s="1">
        <v>-6.9940856548112995E-3</v>
      </c>
      <c r="F14" s="3">
        <f t="shared" si="2"/>
        <v>12</v>
      </c>
    </row>
    <row r="15" spans="1:9" ht="21.6" customHeight="1" x14ac:dyDescent="0.3">
      <c r="A15" s="2">
        <f>WORKDAY(A14,1,Feriados!$A$2:$A$937)</f>
        <v>44504</v>
      </c>
      <c r="B15" s="1">
        <v>7.6587128683283101E-3</v>
      </c>
      <c r="C15" s="1">
        <f t="shared" si="0"/>
        <v>2.4461911333364394E-3</v>
      </c>
      <c r="D15" s="1">
        <f t="shared" si="1"/>
        <v>1.0123638677175917E-2</v>
      </c>
      <c r="E15" s="1">
        <v>-1.0725352563499047E-2</v>
      </c>
      <c r="F15" s="3">
        <f t="shared" si="2"/>
        <v>13</v>
      </c>
    </row>
    <row r="16" spans="1:9" ht="21.6" customHeight="1" x14ac:dyDescent="0.3">
      <c r="A16" s="2">
        <f>WORKDAY(A15,1,Feriados!$A$2:$A$937)</f>
        <v>44505</v>
      </c>
      <c r="B16" s="1">
        <v>8.135204147816209E-3</v>
      </c>
      <c r="C16" s="1">
        <f t="shared" si="0"/>
        <v>2.6346073475411735E-3</v>
      </c>
      <c r="D16" s="1">
        <f t="shared" si="1"/>
        <v>1.0791244563979063E-2</v>
      </c>
      <c r="E16" s="1">
        <v>-1.1103704731718511E-2</v>
      </c>
      <c r="F16" s="3">
        <f t="shared" si="2"/>
        <v>14</v>
      </c>
    </row>
    <row r="17" spans="1:6" ht="21.6" customHeight="1" x14ac:dyDescent="0.3">
      <c r="A17" s="2">
        <f>WORKDAY(A16,1,Feriados!$A$2:$A$937)</f>
        <v>44508</v>
      </c>
      <c r="B17" s="1">
        <v>8.6119207455954711E-3</v>
      </c>
      <c r="C17" s="1">
        <f t="shared" si="0"/>
        <v>2.8230589757860525E-3</v>
      </c>
      <c r="D17" s="1">
        <f t="shared" si="1"/>
        <v>1.1459291681541028E-2</v>
      </c>
      <c r="E17" s="1">
        <v>-1.0361561437893019E-2</v>
      </c>
      <c r="F17" s="3">
        <f t="shared" si="2"/>
        <v>15</v>
      </c>
    </row>
    <row r="18" spans="1:6" ht="21.6" customHeight="1" x14ac:dyDescent="0.3">
      <c r="A18" s="2">
        <f>WORKDAY(A17,1,Feriados!$A$2:$A$937)</f>
        <v>44509</v>
      </c>
      <c r="B18" s="1">
        <v>9.0888627682124135E-3</v>
      </c>
      <c r="C18" s="1">
        <f t="shared" si="0"/>
        <v>3.0115460247275294E-3</v>
      </c>
      <c r="D18" s="1">
        <f t="shared" si="1"/>
        <v>1.2127780321478765E-2</v>
      </c>
      <c r="E18" s="1">
        <v>-4.7477837875166129E-3</v>
      </c>
      <c r="F18" s="3">
        <f t="shared" si="2"/>
        <v>16</v>
      </c>
    </row>
    <row r="19" spans="1:6" ht="21.6" customHeight="1" x14ac:dyDescent="0.3">
      <c r="A19" s="2">
        <f>WORKDAY(A18,1,Feriados!$A$2:$A$937)</f>
        <v>44510</v>
      </c>
      <c r="B19" s="1">
        <v>9.5660303222633303E-3</v>
      </c>
      <c r="C19" s="1">
        <f t="shared" si="0"/>
        <v>3.2000685010231678E-3</v>
      </c>
      <c r="D19" s="1">
        <f t="shared" si="1"/>
        <v>1.2796710775600628E-2</v>
      </c>
      <c r="E19" s="1">
        <v>-5.4748034885879759E-3</v>
      </c>
      <c r="F19" s="3">
        <f t="shared" si="2"/>
        <v>17</v>
      </c>
    </row>
    <row r="20" spans="1:6" ht="21.6" customHeight="1" x14ac:dyDescent="0.3">
      <c r="A20" s="2">
        <f>WORKDAY(A19,1,Feriados!$A$2:$A$937)</f>
        <v>44511</v>
      </c>
      <c r="B20" s="1">
        <v>1.0043423514395355E-2</v>
      </c>
      <c r="C20" s="1">
        <f t="shared" si="0"/>
        <v>3.3886264113316411E-3</v>
      </c>
      <c r="D20" s="1">
        <f t="shared" si="1"/>
        <v>1.3466083335908152E-2</v>
      </c>
      <c r="E20" s="1">
        <v>-3.8263049908544566E-3</v>
      </c>
      <c r="F20" s="3">
        <f t="shared" si="2"/>
        <v>18</v>
      </c>
    </row>
    <row r="21" spans="1:6" ht="21.6" customHeight="1" x14ac:dyDescent="0.3">
      <c r="A21" s="2">
        <f>WORKDAY(A20,1,Feriados!$A$2:$A$937)</f>
        <v>44512</v>
      </c>
      <c r="B21" s="1">
        <v>1.0521042451305807E-2</v>
      </c>
      <c r="C21" s="1">
        <f t="shared" si="0"/>
        <v>3.5772197623131774E-3</v>
      </c>
      <c r="D21" s="1">
        <f t="shared" si="1"/>
        <v>1.4135898294595828E-2</v>
      </c>
      <c r="E21" s="1">
        <v>1.0499203491394216E-3</v>
      </c>
      <c r="F21" s="3">
        <f t="shared" si="2"/>
        <v>19</v>
      </c>
    </row>
    <row r="22" spans="1:6" ht="21.6" customHeight="1" x14ac:dyDescent="0.3">
      <c r="A22" s="2">
        <f>WORKDAY(A21,1,Feriados!$A$2:$A$937)</f>
        <v>44516</v>
      </c>
      <c r="B22" s="1">
        <v>1.0998887239742627E-2</v>
      </c>
      <c r="C22" s="1">
        <f t="shared" si="0"/>
        <v>3.7658485606288927E-3</v>
      </c>
      <c r="D22" s="1">
        <f t="shared" si="1"/>
        <v>1.4806155944051769E-2</v>
      </c>
      <c r="E22" s="1">
        <v>-2.2078628553563458E-3</v>
      </c>
      <c r="F22" s="3">
        <f t="shared" si="2"/>
        <v>20</v>
      </c>
    </row>
    <row r="23" spans="1:6" ht="21.6" customHeight="1" x14ac:dyDescent="0.3">
      <c r="A23" s="2">
        <f>WORKDAY(A22,1,Feriados!$A$2:$A$937)</f>
        <v>44517</v>
      </c>
      <c r="B23" s="1">
        <v>1.1476957986504166E-2</v>
      </c>
      <c r="C23" s="1">
        <f t="shared" si="0"/>
        <v>3.9545128129414575E-3</v>
      </c>
      <c r="D23" s="1">
        <f t="shared" si="1"/>
        <v>1.5476856576856823E-2</v>
      </c>
      <c r="E23" s="1">
        <v>-1.1804398130391691E-3</v>
      </c>
      <c r="F23" s="3">
        <f t="shared" si="2"/>
        <v>21</v>
      </c>
    </row>
    <row r="24" spans="1:6" ht="21.6" customHeight="1" x14ac:dyDescent="0.3">
      <c r="A24" s="2">
        <f>WORKDAY(A23,1,Feriados!$A$2:$A$937)</f>
        <v>44518</v>
      </c>
      <c r="B24" s="1">
        <v>1.1955254798439174E-2</v>
      </c>
      <c r="C24" s="1">
        <f t="shared" si="0"/>
        <v>4.1432125259148744E-3</v>
      </c>
      <c r="D24" s="1">
        <f t="shared" si="1"/>
        <v>1.6148000485785463E-2</v>
      </c>
      <c r="E24" s="1">
        <v>-1.5227201176581939E-4</v>
      </c>
      <c r="F24" s="3">
        <f t="shared" si="2"/>
        <v>22</v>
      </c>
    </row>
    <row r="25" spans="1:6" ht="21.6" customHeight="1" x14ac:dyDescent="0.3">
      <c r="A25" s="2">
        <f>WORKDAY(A24,1,Feriados!$A$2:$A$937)</f>
        <v>44519</v>
      </c>
      <c r="B25" s="1">
        <v>1.2433777782447475E-2</v>
      </c>
      <c r="C25" s="1">
        <f t="shared" si="0"/>
        <v>4.3319477062135903E-3</v>
      </c>
      <c r="D25" s="1">
        <f t="shared" si="1"/>
        <v>1.6819587963805338E-2</v>
      </c>
      <c r="E25" s="1">
        <v>3.7512315651793138E-3</v>
      </c>
      <c r="F25" s="3">
        <f t="shared" si="2"/>
        <v>23</v>
      </c>
    </row>
    <row r="26" spans="1:6" ht="21.6" customHeight="1" x14ac:dyDescent="0.3">
      <c r="A26" s="2">
        <f>WORKDAY(A25,1,Feriados!$A$2:$A$937)</f>
        <v>44522</v>
      </c>
      <c r="B26" s="1">
        <v>1.2912527045478184E-2</v>
      </c>
      <c r="C26" s="1">
        <f t="shared" si="0"/>
        <v>4.5207183605044943E-3</v>
      </c>
      <c r="D26" s="1">
        <f t="shared" si="1"/>
        <v>1.7491619304077721E-2</v>
      </c>
      <c r="E26" s="1">
        <v>3.0771231636528285E-4</v>
      </c>
      <c r="F26" s="3">
        <f t="shared" si="2"/>
        <v>24</v>
      </c>
    </row>
    <row r="27" spans="1:6" ht="21.6" customHeight="1" x14ac:dyDescent="0.3">
      <c r="A27" s="2">
        <f>WORKDAY(A26,1,Feriados!$A$2:$A$937)</f>
        <v>44523</v>
      </c>
      <c r="B27" s="1">
        <v>1.3391502694532598E-2</v>
      </c>
      <c r="C27" s="1">
        <f t="shared" si="0"/>
        <v>4.7095244954546978E-3</v>
      </c>
      <c r="D27" s="1">
        <f t="shared" si="1"/>
        <v>1.8164094799958175E-2</v>
      </c>
      <c r="E27" s="1">
        <v>4.5275069035335402E-3</v>
      </c>
      <c r="F27" s="3">
        <f t="shared" si="2"/>
        <v>25</v>
      </c>
    </row>
    <row r="28" spans="1:6" ht="21.6" customHeight="1" x14ac:dyDescent="0.3">
      <c r="A28" s="2">
        <f>WORKDAY(A27,1,Feriados!$A$2:$A$937)</f>
        <v>44524</v>
      </c>
      <c r="B28" s="1">
        <v>1.3870704836661307E-2</v>
      </c>
      <c r="C28" s="1">
        <f t="shared" si="0"/>
        <v>4.8983661177335325E-3</v>
      </c>
      <c r="D28" s="1">
        <f t="shared" si="1"/>
        <v>1.8837014744995884E-2</v>
      </c>
      <c r="E28" s="1">
        <v>6.790532042125097E-3</v>
      </c>
      <c r="F28" s="3">
        <f t="shared" si="2"/>
        <v>26</v>
      </c>
    </row>
    <row r="29" spans="1:6" ht="21.6" customHeight="1" x14ac:dyDescent="0.3">
      <c r="A29" s="2">
        <f>WORKDAY(A28,1,Feriados!$A$2:$A$937)</f>
        <v>44525</v>
      </c>
      <c r="B29" s="1">
        <v>1.4350133578966195E-2</v>
      </c>
      <c r="C29" s="1">
        <f t="shared" si="0"/>
        <v>5.0872432340107743E-3</v>
      </c>
      <c r="D29" s="1">
        <f t="shared" si="1"/>
        <v>1.9510379432933656E-2</v>
      </c>
      <c r="E29" s="1">
        <v>6.1792653205954284E-3</v>
      </c>
      <c r="F29" s="3">
        <f t="shared" si="2"/>
        <v>27</v>
      </c>
    </row>
    <row r="30" spans="1:6" ht="21.6" customHeight="1" x14ac:dyDescent="0.3">
      <c r="A30" s="2">
        <f>WORKDAY(A29,1,Feriados!$A$2:$A$937)</f>
        <v>44526</v>
      </c>
      <c r="B30" s="1">
        <v>1.4829789028599549E-2</v>
      </c>
      <c r="C30" s="1">
        <f t="shared" si="0"/>
        <v>5.2761558509579753E-3</v>
      </c>
      <c r="D30" s="1">
        <f t="shared" si="1"/>
        <v>2.0184189157709254E-2</v>
      </c>
      <c r="E30" s="1">
        <v>6.5087017310136996E-3</v>
      </c>
      <c r="F30" s="3">
        <f t="shared" si="2"/>
        <v>28</v>
      </c>
    </row>
    <row r="31" spans="1:6" ht="21.6" customHeight="1" x14ac:dyDescent="0.3">
      <c r="A31" s="2">
        <f>WORKDAY(A30,1,Feriados!$A$2:$A$937)</f>
        <v>44529</v>
      </c>
      <c r="B31" s="1">
        <v>1.5309671292764726E-2</v>
      </c>
      <c r="C31" s="1">
        <f t="shared" si="0"/>
        <v>5.465103975247354E-3</v>
      </c>
      <c r="D31" s="1">
        <f t="shared" si="1"/>
        <v>2.0858444213453842E-2</v>
      </c>
      <c r="E31" s="1">
        <v>1.0456688797159552E-2</v>
      </c>
      <c r="F31" s="3">
        <f t="shared" si="2"/>
        <v>29</v>
      </c>
    </row>
    <row r="32" spans="1:6" ht="21.6" customHeight="1" x14ac:dyDescent="0.3">
      <c r="A32" s="2">
        <f>WORKDAY(A31,1,Feriados!$A$2:$A$937)</f>
        <v>44530</v>
      </c>
      <c r="B32" s="1">
        <v>1.5789780478714821E-2</v>
      </c>
      <c r="C32" s="1">
        <f t="shared" si="0"/>
        <v>5.654087613552905E-3</v>
      </c>
      <c r="D32" s="1">
        <f t="shared" si="1"/>
        <v>2.1533144894493095E-2</v>
      </c>
      <c r="E32" s="1">
        <v>1.432764565069089E-2</v>
      </c>
      <c r="F32" s="3">
        <f t="shared" si="2"/>
        <v>30</v>
      </c>
    </row>
    <row r="33" spans="1:6" ht="21.6" customHeight="1" x14ac:dyDescent="0.3">
      <c r="A33" s="2">
        <f>WORKDAY(A32,1,Feriados!$A$2:$A$937)</f>
        <v>44531</v>
      </c>
      <c r="B33" s="1">
        <v>1.6111063045752161E-2</v>
      </c>
      <c r="C33" s="1">
        <f t="shared" si="0"/>
        <v>5.8431067725497332E-3</v>
      </c>
      <c r="D33" s="1">
        <f t="shared" si="1"/>
        <v>2.2048308479897472E-2</v>
      </c>
      <c r="E33" s="1">
        <v>1.1178043318115893E-2</v>
      </c>
      <c r="F33" s="3">
        <f t="shared" si="2"/>
        <v>31</v>
      </c>
    </row>
    <row r="34" spans="1:6" ht="21.6" customHeight="1" x14ac:dyDescent="0.3">
      <c r="A34" s="2">
        <f>WORKDAY(A33,1,Feriados!$A$2:$A$937)</f>
        <v>44532</v>
      </c>
      <c r="B34" s="1">
        <v>1.6432447230752212E-2</v>
      </c>
      <c r="C34" s="1">
        <f t="shared" si="0"/>
        <v>6.0321614589140538E-3</v>
      </c>
      <c r="D34" s="1">
        <f t="shared" si="1"/>
        <v>2.2563731864527314E-2</v>
      </c>
      <c r="E34" s="1">
        <v>1.2850710849399372E-2</v>
      </c>
      <c r="F34" s="3">
        <f t="shared" si="2"/>
        <v>32</v>
      </c>
    </row>
    <row r="35" spans="1:6" ht="21.6" customHeight="1" x14ac:dyDescent="0.3">
      <c r="A35" s="2">
        <f>WORKDAY(A34,1,Feriados!$A$2:$A$937)</f>
        <v>44533</v>
      </c>
      <c r="B35" s="1">
        <v>1.6753933065855264E-2</v>
      </c>
      <c r="C35" s="1">
        <f t="shared" si="0"/>
        <v>6.2212516793236361E-3</v>
      </c>
      <c r="D35" s="1">
        <f t="shared" si="1"/>
        <v>2.3079415179400042E-2</v>
      </c>
      <c r="E35" s="1">
        <v>2.124968703612784E-2</v>
      </c>
      <c r="F35" s="3">
        <f t="shared" si="2"/>
        <v>33</v>
      </c>
    </row>
    <row r="36" spans="1:6" ht="21.6" customHeight="1" x14ac:dyDescent="0.3">
      <c r="A36" s="2">
        <f>WORKDAY(A35,1,Feriados!$A$2:$A$937)</f>
        <v>44536</v>
      </c>
      <c r="B36" s="1">
        <v>1.7075520583212267E-2</v>
      </c>
      <c r="C36" s="1">
        <f t="shared" si="0"/>
        <v>6.410377440457582E-3</v>
      </c>
      <c r="D36" s="1">
        <f t="shared" si="1"/>
        <v>2.3595358555600576E-2</v>
      </c>
      <c r="E36" s="1">
        <v>1.8632408019902288E-2</v>
      </c>
      <c r="F36" s="3">
        <f t="shared" si="2"/>
        <v>34</v>
      </c>
    </row>
    <row r="37" spans="1:6" ht="21.6" customHeight="1" x14ac:dyDescent="0.3">
      <c r="A37" s="2">
        <f>WORKDAY(A36,1,Feriados!$A$2:$A$937)</f>
        <v>44537</v>
      </c>
      <c r="B37" s="1">
        <v>1.739720981498416E-2</v>
      </c>
      <c r="C37" s="1">
        <f t="shared" si="0"/>
        <v>6.5995387489954371E-3</v>
      </c>
      <c r="D37" s="1">
        <f t="shared" si="1"/>
        <v>2.4111562124278008E-2</v>
      </c>
      <c r="E37" s="1">
        <v>1.960727608794155E-2</v>
      </c>
      <c r="F37" s="3">
        <f t="shared" si="2"/>
        <v>35</v>
      </c>
    </row>
    <row r="38" spans="1:6" ht="21.6" customHeight="1" x14ac:dyDescent="0.3">
      <c r="A38" s="2">
        <f>WORKDAY(A37,1,Feriados!$A$2:$A$937)</f>
        <v>44538</v>
      </c>
      <c r="B38" s="1">
        <v>1.7719000793341877E-2</v>
      </c>
      <c r="C38" s="1">
        <f t="shared" si="0"/>
        <v>6.7887356116189679E-3</v>
      </c>
      <c r="D38" s="1">
        <f t="shared" si="1"/>
        <v>2.462802601664893E-2</v>
      </c>
      <c r="E38" s="1">
        <v>2.3311089766644644E-2</v>
      </c>
      <c r="F38" s="3">
        <f t="shared" si="2"/>
        <v>36</v>
      </c>
    </row>
    <row r="39" spans="1:6" ht="21.6" customHeight="1" x14ac:dyDescent="0.3">
      <c r="A39" s="2">
        <f>WORKDAY(A38,1,Feriados!$A$2:$A$937)</f>
        <v>44539</v>
      </c>
      <c r="B39" s="1">
        <v>1.8040893550466786E-2</v>
      </c>
      <c r="C39" s="1">
        <f t="shared" si="0"/>
        <v>6.9779680350106066E-3</v>
      </c>
      <c r="D39" s="1">
        <f t="shared" si="1"/>
        <v>2.514475036399566E-2</v>
      </c>
      <c r="E39" s="1">
        <v>2.2667842004371552E-2</v>
      </c>
      <c r="F39" s="3">
        <f t="shared" si="2"/>
        <v>37</v>
      </c>
    </row>
    <row r="40" spans="1:6" ht="21.6" customHeight="1" x14ac:dyDescent="0.3">
      <c r="A40" s="2">
        <f>WORKDAY(A39,1,Feriados!$A$2:$A$937)</f>
        <v>44540</v>
      </c>
      <c r="B40" s="1">
        <v>1.8362888118550472E-2</v>
      </c>
      <c r="C40" s="1">
        <f t="shared" si="0"/>
        <v>7.1672360258543399E-3</v>
      </c>
      <c r="D40" s="1">
        <f t="shared" si="1"/>
        <v>2.566173529766691E-2</v>
      </c>
      <c r="E40" s="1">
        <v>2.83692231995607E-2</v>
      </c>
      <c r="F40" s="3">
        <f t="shared" si="2"/>
        <v>38</v>
      </c>
    </row>
    <row r="41" spans="1:6" ht="21.6" customHeight="1" x14ac:dyDescent="0.3">
      <c r="A41" s="2">
        <f>WORKDAY(A40,1,Feriados!$A$2:$A$937)</f>
        <v>44543</v>
      </c>
      <c r="B41" s="1">
        <v>1.868498452979428E-2</v>
      </c>
      <c r="C41" s="1">
        <f t="shared" si="0"/>
        <v>7.3565395908350428E-3</v>
      </c>
      <c r="D41" s="1">
        <f t="shared" si="1"/>
        <v>2.6178980949076891E-2</v>
      </c>
      <c r="E41" s="1">
        <v>2.4351717466178924E-2</v>
      </c>
      <c r="F41" s="3">
        <f t="shared" si="2"/>
        <v>39</v>
      </c>
    </row>
    <row r="42" spans="1:6" ht="21.6" customHeight="1" x14ac:dyDescent="0.3">
      <c r="A42" s="2">
        <f>WORKDAY(A41,1,Feriados!$A$2:$A$937)</f>
        <v>44544</v>
      </c>
      <c r="B42" s="1">
        <v>1.9007182816410451E-2</v>
      </c>
      <c r="C42" s="1">
        <f t="shared" si="0"/>
        <v>7.5458787366393665E-3</v>
      </c>
      <c r="D42" s="1">
        <f t="shared" si="1"/>
        <v>2.669648744970754E-2</v>
      </c>
      <c r="E42" s="1">
        <v>2.4656547594098299E-2</v>
      </c>
      <c r="F42" s="3">
        <f t="shared" si="2"/>
        <v>40</v>
      </c>
    </row>
    <row r="43" spans="1:6" ht="21.6" customHeight="1" x14ac:dyDescent="0.3">
      <c r="A43" s="2">
        <f>WORKDAY(A42,1,Feriados!$A$2:$A$937)</f>
        <v>44545</v>
      </c>
      <c r="B43" s="1">
        <v>1.9329483010620322E-2</v>
      </c>
      <c r="C43" s="1">
        <f t="shared" si="0"/>
        <v>7.7352534699548503E-3</v>
      </c>
      <c r="D43" s="1">
        <f t="shared" si="1"/>
        <v>2.7214254931105408E-2</v>
      </c>
      <c r="E43" s="1">
        <v>2.5289896562253222E-2</v>
      </c>
      <c r="F43" s="3">
        <f t="shared" si="2"/>
        <v>41</v>
      </c>
    </row>
    <row r="44" spans="1:6" ht="21.6" customHeight="1" x14ac:dyDescent="0.3">
      <c r="A44" s="2">
        <f>WORKDAY(A43,1,Feriados!$A$2:$A$937)</f>
        <v>44546</v>
      </c>
      <c r="B44" s="1">
        <v>1.9651885144656545E-2</v>
      </c>
      <c r="C44" s="1">
        <f t="shared" si="0"/>
        <v>7.924663797470588E-3</v>
      </c>
      <c r="D44" s="1">
        <f t="shared" si="1"/>
        <v>2.7732283524884993E-2</v>
      </c>
      <c r="E44" s="1">
        <v>2.1718822788979519E-2</v>
      </c>
      <c r="F44" s="3">
        <f t="shared" si="2"/>
        <v>42</v>
      </c>
    </row>
    <row r="45" spans="1:6" ht="21.6" customHeight="1" x14ac:dyDescent="0.3">
      <c r="A45" s="2">
        <f>WORKDAY(A44,1,Feriados!$A$2:$A$937)</f>
        <v>44547</v>
      </c>
      <c r="B45" s="1">
        <v>1.9974389250761559E-2</v>
      </c>
      <c r="C45" s="1">
        <f t="shared" si="0"/>
        <v>8.1141097258765615E-3</v>
      </c>
      <c r="D45" s="1">
        <f t="shared" si="1"/>
        <v>2.8250573362726072E-2</v>
      </c>
      <c r="E45" s="1">
        <v>1.9356933183089176E-2</v>
      </c>
      <c r="F45" s="3">
        <f t="shared" si="2"/>
        <v>43</v>
      </c>
    </row>
    <row r="46" spans="1:6" ht="21.6" customHeight="1" x14ac:dyDescent="0.3">
      <c r="A46" s="2">
        <f>WORKDAY(A45,1,Feriados!$A$2:$A$937)</f>
        <v>44550</v>
      </c>
      <c r="B46" s="1">
        <v>2.0296995361187786E-2</v>
      </c>
      <c r="C46" s="1">
        <f t="shared" si="0"/>
        <v>8.303591261864085E-3</v>
      </c>
      <c r="D46" s="1">
        <f t="shared" si="1"/>
        <v>2.8769124576375038E-2</v>
      </c>
      <c r="E46" s="1">
        <v>2.1318845723483193E-2</v>
      </c>
      <c r="F46" s="3">
        <f t="shared" si="2"/>
        <v>44</v>
      </c>
    </row>
    <row r="47" spans="1:6" ht="21.6" customHeight="1" x14ac:dyDescent="0.3">
      <c r="A47" s="2">
        <f>WORKDAY(A46,1,Feriados!$A$2:$A$937)</f>
        <v>44551</v>
      </c>
      <c r="B47" s="1">
        <v>2.0619703508198084E-2</v>
      </c>
      <c r="C47" s="1">
        <f t="shared" si="0"/>
        <v>8.493108412126249E-3</v>
      </c>
      <c r="D47" s="1">
        <f t="shared" si="1"/>
        <v>2.9287937297645339E-2</v>
      </c>
      <c r="E47" s="1">
        <v>2.4276021450208685E-2</v>
      </c>
      <c r="F47" s="3">
        <f t="shared" si="2"/>
        <v>45</v>
      </c>
    </row>
    <row r="48" spans="1:6" ht="21.6" customHeight="1" x14ac:dyDescent="0.3">
      <c r="A48" s="2">
        <f>WORKDAY(A47,1,Feriados!$A$2:$A$937)</f>
        <v>44552</v>
      </c>
      <c r="B48" s="1">
        <v>2.0942513724065304E-2</v>
      </c>
      <c r="C48" s="1">
        <f t="shared" si="0"/>
        <v>8.6826611833563661E-3</v>
      </c>
      <c r="D48" s="1">
        <f t="shared" si="1"/>
        <v>2.9807011658415483E-2</v>
      </c>
      <c r="E48" s="1">
        <v>2.6599938530055045E-2</v>
      </c>
      <c r="F48" s="3">
        <f t="shared" si="2"/>
        <v>46</v>
      </c>
    </row>
    <row r="49" spans="1:6" ht="21.6" customHeight="1" x14ac:dyDescent="0.3">
      <c r="A49" s="2">
        <f>WORKDAY(A48,1,Feriados!$A$2:$A$937)</f>
        <v>44553</v>
      </c>
      <c r="B49" s="1">
        <v>2.1265426041072732E-2</v>
      </c>
      <c r="C49" s="1">
        <f t="shared" si="0"/>
        <v>8.8722495822501912E-3</v>
      </c>
      <c r="D49" s="1">
        <f t="shared" si="1"/>
        <v>3.0326347790632147E-2</v>
      </c>
      <c r="E49" s="1">
        <v>2.5356395470777615E-2</v>
      </c>
      <c r="F49" s="3">
        <f t="shared" si="2"/>
        <v>47</v>
      </c>
    </row>
    <row r="50" spans="1:6" ht="21.6" customHeight="1" x14ac:dyDescent="0.3">
      <c r="A50" s="2">
        <f>WORKDAY(A49,1,Feriados!$A$2:$A$937)</f>
        <v>44554</v>
      </c>
      <c r="B50" s="1">
        <v>2.1588440491513872E-2</v>
      </c>
      <c r="C50" s="1">
        <f t="shared" si="0"/>
        <v>9.0618736155037016E-3</v>
      </c>
      <c r="D50" s="1">
        <f t="shared" si="1"/>
        <v>3.0845945826307508E-2</v>
      </c>
      <c r="E50" s="1">
        <v>2.5647768250743885E-2</v>
      </c>
      <c r="F50" s="3">
        <f t="shared" si="2"/>
        <v>48</v>
      </c>
    </row>
    <row r="51" spans="1:6" ht="21.6" customHeight="1" x14ac:dyDescent="0.3">
      <c r="A51" s="2">
        <f>WORKDAY(A50,1,Feriados!$A$2:$A$937)</f>
        <v>44557</v>
      </c>
      <c r="B51" s="1">
        <v>2.1911557107692214E-2</v>
      </c>
      <c r="C51" s="1">
        <f t="shared" si="0"/>
        <v>9.2515332898148728E-3</v>
      </c>
      <c r="D51" s="1">
        <f t="shared" si="1"/>
        <v>3.1365805897520582E-2</v>
      </c>
      <c r="E51" s="1">
        <v>2.6247805114041345E-2</v>
      </c>
      <c r="F51" s="3">
        <f t="shared" si="2"/>
        <v>49</v>
      </c>
    </row>
    <row r="52" spans="1:6" ht="21.6" customHeight="1" x14ac:dyDescent="0.3">
      <c r="A52" s="2">
        <f>WORKDAY(A51,1,Feriados!$A$2:$A$937)</f>
        <v>44558</v>
      </c>
      <c r="B52" s="1">
        <v>2.223477592192169E-2</v>
      </c>
      <c r="C52" s="1">
        <f t="shared" si="0"/>
        <v>9.4412286118827904E-3</v>
      </c>
      <c r="D52" s="1">
        <f t="shared" si="1"/>
        <v>3.1885928136417441E-2</v>
      </c>
      <c r="E52" s="1">
        <v>2.5600014661492976E-2</v>
      </c>
      <c r="F52" s="3">
        <f t="shared" si="2"/>
        <v>50</v>
      </c>
    </row>
    <row r="53" spans="1:6" ht="21.6" customHeight="1" x14ac:dyDescent="0.3">
      <c r="A53" s="2">
        <f>WORKDAY(A52,1,Feriados!$A$2:$A$937)</f>
        <v>44559</v>
      </c>
      <c r="B53" s="1">
        <v>2.255809696652622E-2</v>
      </c>
      <c r="C53" s="1">
        <f t="shared" si="0"/>
        <v>9.6309595884074284E-3</v>
      </c>
      <c r="D53" s="1">
        <f t="shared" si="1"/>
        <v>3.2406312675209659E-2</v>
      </c>
      <c r="E53" s="1">
        <v>2.168046861639028E-2</v>
      </c>
      <c r="F53" s="3">
        <f t="shared" si="2"/>
        <v>51</v>
      </c>
    </row>
    <row r="54" spans="1:6" ht="21.6" customHeight="1" x14ac:dyDescent="0.3">
      <c r="A54" s="2">
        <f>WORKDAY(A53,1,Feriados!$A$2:$A$937)</f>
        <v>44560</v>
      </c>
      <c r="B54" s="1">
        <v>2.2881520273840383E-2</v>
      </c>
      <c r="C54" s="1">
        <f t="shared" si="0"/>
        <v>9.820726226090537E-3</v>
      </c>
      <c r="D54" s="1">
        <f t="shared" si="1"/>
        <v>3.2926959646176979E-2</v>
      </c>
      <c r="E54" s="1">
        <v>2.2143717301600585E-2</v>
      </c>
      <c r="F54" s="3">
        <f t="shared" si="2"/>
        <v>52</v>
      </c>
    </row>
    <row r="55" spans="1:6" ht="21.6" customHeight="1" x14ac:dyDescent="0.3">
      <c r="A55" s="2">
        <f>WORKDAY(A54,1,Feriados!$A$2:$A$937)</f>
        <v>44561</v>
      </c>
      <c r="B55" s="1">
        <v>2.320504587620853E-2</v>
      </c>
      <c r="C55" s="1">
        <f t="shared" si="0"/>
        <v>1.0010528531634533E-2</v>
      </c>
      <c r="D55" s="1">
        <f t="shared" si="1"/>
        <v>3.3447869181664647E-2</v>
      </c>
      <c r="E55" s="1">
        <v>2.2623425342473746E-2</v>
      </c>
      <c r="F55" s="3">
        <f t="shared" si="2"/>
        <v>53</v>
      </c>
    </row>
    <row r="56" spans="1:6" ht="21.6" customHeight="1" x14ac:dyDescent="0.3">
      <c r="A56" s="2">
        <f>WORKDAY(A55,1,Feriados!$A$2:$A$937)</f>
        <v>44564</v>
      </c>
      <c r="B56" s="1">
        <v>2.346748154513123E-2</v>
      </c>
      <c r="C56" s="1">
        <f t="shared" si="0"/>
        <v>1.020036651174383E-2</v>
      </c>
      <c r="D56" s="1">
        <f t="shared" si="1"/>
        <v>3.3907224969742966E-2</v>
      </c>
      <c r="E56" s="1">
        <v>2.0702212717389479E-2</v>
      </c>
      <c r="F56" s="3">
        <f t="shared" si="2"/>
        <v>54</v>
      </c>
    </row>
    <row r="57" spans="1:6" ht="21.6" customHeight="1" x14ac:dyDescent="0.3">
      <c r="A57" s="2">
        <f>WORKDAY(A56,1,Feriados!$A$2:$A$937)</f>
        <v>44565</v>
      </c>
      <c r="B57" s="1">
        <v>2.3729984524590186E-2</v>
      </c>
      <c r="C57" s="1">
        <f t="shared" si="0"/>
        <v>1.0390240173123066E-2</v>
      </c>
      <c r="D57" s="1">
        <f t="shared" si="1"/>
        <v>3.4366784936228134E-2</v>
      </c>
      <c r="E57" s="1">
        <v>1.7634606179225187E-2</v>
      </c>
      <c r="F57" s="3">
        <f t="shared" si="2"/>
        <v>55</v>
      </c>
    </row>
    <row r="58" spans="1:6" ht="21.6" customHeight="1" x14ac:dyDescent="0.3">
      <c r="A58" s="2">
        <f>WORKDAY(A57,1,Feriados!$A$2:$A$937)</f>
        <v>44566</v>
      </c>
      <c r="B58" s="1">
        <v>2.3992554831849588E-2</v>
      </c>
      <c r="C58" s="1">
        <f t="shared" si="0"/>
        <v>1.0580149522479321E-2</v>
      </c>
      <c r="D58" s="1">
        <f t="shared" si="1"/>
        <v>3.482654917187622E-2</v>
      </c>
      <c r="E58" s="1">
        <v>1.3136877364865018E-2</v>
      </c>
      <c r="F58" s="3">
        <f t="shared" si="2"/>
        <v>56</v>
      </c>
    </row>
    <row r="59" spans="1:6" ht="21.6" customHeight="1" x14ac:dyDescent="0.3">
      <c r="A59" s="2">
        <f>WORKDAY(A58,1,Feriados!$A$2:$A$937)</f>
        <v>44567</v>
      </c>
      <c r="B59" s="1">
        <v>2.4255192484177623E-2</v>
      </c>
      <c r="C59" s="1">
        <f t="shared" si="0"/>
        <v>1.0770094566520116E-2</v>
      </c>
      <c r="D59" s="1">
        <f t="shared" si="1"/>
        <v>3.5286517767481484E-2</v>
      </c>
      <c r="E59" s="1">
        <v>1.0753941857619687E-2</v>
      </c>
      <c r="F59" s="3">
        <f t="shared" si="2"/>
        <v>57</v>
      </c>
    </row>
    <row r="60" spans="1:6" ht="21.6" customHeight="1" x14ac:dyDescent="0.3">
      <c r="A60" s="2">
        <f>WORKDAY(A59,1,Feriados!$A$2:$A$937)</f>
        <v>44568</v>
      </c>
      <c r="B60" s="1">
        <v>2.4517897498847807E-2</v>
      </c>
      <c r="C60" s="1">
        <f t="shared" si="0"/>
        <v>1.0960075311954531E-2</v>
      </c>
      <c r="D60" s="1">
        <f t="shared" si="1"/>
        <v>3.5746690813880599E-2</v>
      </c>
      <c r="E60" s="1">
        <v>8.5864249417069161E-3</v>
      </c>
      <c r="F60" s="3">
        <f t="shared" si="2"/>
        <v>58</v>
      </c>
    </row>
    <row r="61" spans="1:6" ht="21.6" customHeight="1" x14ac:dyDescent="0.3">
      <c r="A61" s="2">
        <f>WORKDAY(A60,1,Feriados!$A$2:$A$937)</f>
        <v>44571</v>
      </c>
      <c r="B61" s="1">
        <v>2.4780669893136764E-2</v>
      </c>
      <c r="C61" s="1">
        <f t="shared" si="0"/>
        <v>1.1150091765493197E-2</v>
      </c>
      <c r="D61" s="1">
        <f t="shared" si="1"/>
        <v>3.6207068401948872E-2</v>
      </c>
      <c r="E61" s="1">
        <v>7.8865580088052223E-3</v>
      </c>
      <c r="F61" s="3">
        <f t="shared" si="2"/>
        <v>59</v>
      </c>
    </row>
    <row r="62" spans="1:6" ht="21.6" customHeight="1" x14ac:dyDescent="0.3">
      <c r="A62" s="2">
        <f>WORKDAY(A61,1,Feriados!$A$2:$A$937)</f>
        <v>44572</v>
      </c>
      <c r="B62" s="1">
        <v>2.504350968432667E-2</v>
      </c>
      <c r="C62" s="1">
        <f t="shared" si="0"/>
        <v>1.1340143933847413E-2</v>
      </c>
      <c r="D62" s="1">
        <f t="shared" si="1"/>
        <v>3.6667650622603132E-2</v>
      </c>
      <c r="E62" s="1">
        <v>4.2964032134833454E-3</v>
      </c>
      <c r="F62" s="3">
        <f t="shared" si="2"/>
        <v>60</v>
      </c>
    </row>
    <row r="63" spans="1:6" ht="21.6" customHeight="1" x14ac:dyDescent="0.3">
      <c r="A63" s="2">
        <f>WORKDAY(A62,1,Feriados!$A$2:$A$937)</f>
        <v>44573</v>
      </c>
      <c r="B63" s="1">
        <v>2.5306416889703698E-2</v>
      </c>
      <c r="C63" s="1">
        <f t="shared" si="0"/>
        <v>1.1530231823729808E-2</v>
      </c>
      <c r="D63" s="1">
        <f t="shared" si="1"/>
        <v>3.7128437566799732E-2</v>
      </c>
      <c r="E63" s="1">
        <v>9.1838753795792111E-3</v>
      </c>
      <c r="F63" s="3">
        <f t="shared" si="2"/>
        <v>61</v>
      </c>
    </row>
    <row r="64" spans="1:6" ht="21.6" customHeight="1" x14ac:dyDescent="0.3">
      <c r="A64" s="2">
        <f>WORKDAY(A63,1,Feriados!$A$2:$A$937)</f>
        <v>44574</v>
      </c>
      <c r="B64" s="1">
        <v>2.556939152655846E-2</v>
      </c>
      <c r="C64" s="1">
        <f t="shared" si="0"/>
        <v>1.1720355441854791E-2</v>
      </c>
      <c r="D64" s="1">
        <f t="shared" si="1"/>
        <v>3.758942932553655E-2</v>
      </c>
      <c r="E64" s="1">
        <v>9.9778643907304509E-3</v>
      </c>
      <c r="F64" s="3">
        <f t="shared" si="2"/>
        <v>62</v>
      </c>
    </row>
    <row r="65" spans="1:6" ht="21.6" customHeight="1" x14ac:dyDescent="0.3">
      <c r="A65" s="2">
        <f>WORKDAY(A64,1,Feriados!$A$2:$A$937)</f>
        <v>44575</v>
      </c>
      <c r="B65" s="1">
        <v>2.5832433612186234E-2</v>
      </c>
      <c r="C65" s="1">
        <f t="shared" si="0"/>
        <v>1.1910514794937432E-2</v>
      </c>
      <c r="D65" s="1">
        <f t="shared" si="1"/>
        <v>3.8050625989850761E-2</v>
      </c>
      <c r="E65" s="1">
        <v>1.2882673878097606E-2</v>
      </c>
      <c r="F65" s="3">
        <f t="shared" si="2"/>
        <v>63</v>
      </c>
    </row>
    <row r="66" spans="1:6" ht="21.6" customHeight="1" x14ac:dyDescent="0.3">
      <c r="A66" s="2">
        <f>WORKDAY(A65,1,Feriados!$A$2:$A$937)</f>
        <v>44578</v>
      </c>
      <c r="B66" s="1">
        <v>2.6095543163886292E-2</v>
      </c>
      <c r="C66" s="1">
        <f t="shared" si="0"/>
        <v>1.2100709889694583E-2</v>
      </c>
      <c r="D66" s="1">
        <f t="shared" si="1"/>
        <v>3.8512027650821068E-2</v>
      </c>
      <c r="E66" s="1">
        <v>8.5663232370376541E-3</v>
      </c>
      <c r="F66" s="3">
        <f t="shared" si="2"/>
        <v>64</v>
      </c>
    </row>
    <row r="67" spans="1:6" ht="21.6" customHeight="1" x14ac:dyDescent="0.3">
      <c r="A67" s="2">
        <f>WORKDAY(A66,1,Feriados!$A$2:$A$937)</f>
        <v>44579</v>
      </c>
      <c r="B67" s="1">
        <v>2.6358720198962793E-2</v>
      </c>
      <c r="C67" s="1">
        <f t="shared" ref="C67:C101" si="3">(($I$2+1)^(1/252))^(F67)-1</f>
        <v>1.229094073284398E-2</v>
      </c>
      <c r="D67" s="1">
        <f t="shared" ref="D67:D101" si="4">(B67+1)*(C67+1)-1</f>
        <v>3.8973634399565915E-2</v>
      </c>
      <c r="E67" s="1">
        <v>8.2394280914066531E-3</v>
      </c>
      <c r="F67" s="3">
        <f t="shared" si="2"/>
        <v>65</v>
      </c>
    </row>
    <row r="68" spans="1:6" ht="21.6" customHeight="1" x14ac:dyDescent="0.3">
      <c r="A68" s="2">
        <f>WORKDAY(A67,1,Feriados!$A$2:$A$937)</f>
        <v>44580</v>
      </c>
      <c r="B68" s="1">
        <v>2.6621964734723891E-2</v>
      </c>
      <c r="C68" s="1">
        <f t="shared" si="3"/>
        <v>1.2481207331105137E-2</v>
      </c>
      <c r="D68" s="1">
        <f t="shared" si="4"/>
        <v>3.9435446327244383E-2</v>
      </c>
      <c r="E68" s="1">
        <v>1.304847371973672E-2</v>
      </c>
      <c r="F68" s="3">
        <f t="shared" ref="F68:F101" si="5">F67+1</f>
        <v>66</v>
      </c>
    </row>
    <row r="69" spans="1:6" ht="21.6" customHeight="1" x14ac:dyDescent="0.3">
      <c r="A69" s="2">
        <f>WORKDAY(A68,1,Feriados!$A$2:$A$937)</f>
        <v>44581</v>
      </c>
      <c r="B69" s="1">
        <v>2.6885276788482626E-2</v>
      </c>
      <c r="C69" s="1">
        <f t="shared" si="3"/>
        <v>1.2671509691197791E-2</v>
      </c>
      <c r="D69" s="1">
        <f t="shared" si="4"/>
        <v>3.9897463525056187E-2</v>
      </c>
      <c r="E69" s="1">
        <v>1.8913343993760989E-2</v>
      </c>
      <c r="F69" s="3">
        <f t="shared" si="5"/>
        <v>67</v>
      </c>
    </row>
    <row r="70" spans="1:6" ht="21.6" customHeight="1" x14ac:dyDescent="0.3">
      <c r="A70" s="2">
        <f>WORKDAY(A69,1,Feriados!$A$2:$A$937)</f>
        <v>44582</v>
      </c>
      <c r="B70" s="1">
        <v>2.7148656377556257E-2</v>
      </c>
      <c r="C70" s="1">
        <f t="shared" si="3"/>
        <v>1.2861847819844119E-2</v>
      </c>
      <c r="D70" s="1">
        <f t="shared" si="4"/>
        <v>4.0359686084241675E-2</v>
      </c>
      <c r="E70" s="1">
        <v>1.8288947012596868E-2</v>
      </c>
      <c r="F70" s="3">
        <f t="shared" si="5"/>
        <v>68</v>
      </c>
    </row>
    <row r="71" spans="1:6" ht="21.6" customHeight="1" x14ac:dyDescent="0.3">
      <c r="A71" s="2">
        <f>WORKDAY(A70,1,Feriados!$A$2:$A$937)</f>
        <v>44585</v>
      </c>
      <c r="B71" s="1">
        <v>2.7412103519266484E-2</v>
      </c>
      <c r="C71" s="1">
        <f t="shared" si="3"/>
        <v>1.3052221723766966E-2</v>
      </c>
      <c r="D71" s="1">
        <f t="shared" si="4"/>
        <v>4.082211409608183E-2</v>
      </c>
      <c r="E71" s="1">
        <v>1.9967251531227026E-2</v>
      </c>
      <c r="F71" s="3">
        <f t="shared" si="5"/>
        <v>69</v>
      </c>
    </row>
    <row r="72" spans="1:6" ht="21.6" customHeight="1" x14ac:dyDescent="0.3">
      <c r="A72" s="2">
        <f>WORKDAY(A71,1,Feriados!$A$2:$A$937)</f>
        <v>44586</v>
      </c>
      <c r="B72" s="1">
        <v>2.7675618230939447E-2</v>
      </c>
      <c r="C72" s="1">
        <f t="shared" si="3"/>
        <v>1.3242631409690508E-2</v>
      </c>
      <c r="D72" s="1">
        <f t="shared" si="4"/>
        <v>4.1284747651897602E-2</v>
      </c>
      <c r="E72" s="1">
        <v>1.9051892131498382E-2</v>
      </c>
      <c r="F72" s="3">
        <f t="shared" si="5"/>
        <v>70</v>
      </c>
    </row>
    <row r="73" spans="1:6" ht="21.6" customHeight="1" x14ac:dyDescent="0.3">
      <c r="A73" s="2">
        <f>WORKDAY(A72,1,Feriados!$A$2:$A$937)</f>
        <v>44587</v>
      </c>
      <c r="B73" s="1">
        <v>2.793920052990595E-2</v>
      </c>
      <c r="C73" s="1">
        <f t="shared" si="3"/>
        <v>1.3433076884340034E-2</v>
      </c>
      <c r="D73" s="1">
        <f t="shared" si="4"/>
        <v>4.1747586843051243E-2</v>
      </c>
      <c r="E73" s="1">
        <v>1.7041887166548312E-2</v>
      </c>
      <c r="F73" s="3">
        <f t="shared" si="5"/>
        <v>71</v>
      </c>
    </row>
    <row r="74" spans="1:6" ht="21.6" customHeight="1" x14ac:dyDescent="0.3">
      <c r="A74" s="2">
        <f>WORKDAY(A73,1,Feriados!$A$2:$A$937)</f>
        <v>44588</v>
      </c>
      <c r="B74" s="1">
        <v>2.8202850433500792E-2</v>
      </c>
      <c r="C74" s="1">
        <f t="shared" si="3"/>
        <v>1.3623558154442383E-2</v>
      </c>
      <c r="D74" s="1">
        <f t="shared" si="4"/>
        <v>4.2210631760944972E-2</v>
      </c>
      <c r="E74" s="1">
        <v>1.5141125523204346E-2</v>
      </c>
      <c r="F74" s="3">
        <f t="shared" si="5"/>
        <v>72</v>
      </c>
    </row>
    <row r="75" spans="1:6" ht="21.6" customHeight="1" x14ac:dyDescent="0.3">
      <c r="A75" s="2">
        <f>WORKDAY(A74,1,Feriados!$A$2:$A$937)</f>
        <v>44589</v>
      </c>
      <c r="B75" s="1">
        <v>2.846656795906366E-2</v>
      </c>
      <c r="C75" s="1">
        <f t="shared" si="3"/>
        <v>1.3814075226725286E-2</v>
      </c>
      <c r="D75" s="1">
        <f t="shared" si="4"/>
        <v>4.2673882497022086E-2</v>
      </c>
      <c r="E75" s="1">
        <v>1.6632552973542269E-2</v>
      </c>
      <c r="F75" s="3">
        <f t="shared" si="5"/>
        <v>73</v>
      </c>
    </row>
    <row r="76" spans="1:6" ht="21.6" customHeight="1" x14ac:dyDescent="0.3">
      <c r="A76" s="2">
        <f>WORKDAY(A75,1,Feriados!$A$2:$A$937)</f>
        <v>44592</v>
      </c>
      <c r="B76" s="1">
        <v>2.8730353123938235E-2</v>
      </c>
      <c r="C76" s="1">
        <f t="shared" si="3"/>
        <v>1.4004628107918693E-2</v>
      </c>
      <c r="D76" s="1">
        <f t="shared" si="4"/>
        <v>4.3137339142766962E-2</v>
      </c>
      <c r="E76" s="1">
        <v>1.7576011948567727E-2</v>
      </c>
      <c r="F76" s="3">
        <f t="shared" si="5"/>
        <v>74</v>
      </c>
    </row>
    <row r="77" spans="1:6" ht="21.6" customHeight="1" x14ac:dyDescent="0.3">
      <c r="A77" s="2">
        <f>WORKDAY(A76,1,Feriados!$A$2:$A$937)</f>
        <v>44593</v>
      </c>
      <c r="B77" s="1">
        <v>2.9174012975476948E-2</v>
      </c>
      <c r="C77" s="1">
        <f t="shared" si="3"/>
        <v>1.4195216804752553E-2</v>
      </c>
      <c r="D77" s="1">
        <f t="shared" si="4"/>
        <v>4.3783361219481121E-2</v>
      </c>
      <c r="E77" s="1">
        <v>1.9567382276963974E-2</v>
      </c>
      <c r="F77" s="3">
        <f t="shared" si="5"/>
        <v>75</v>
      </c>
    </row>
    <row r="78" spans="1:6" ht="21.6" customHeight="1" x14ac:dyDescent="0.3">
      <c r="A78" s="2">
        <f>WORKDAY(A77,1,Feriados!$A$2:$A$937)</f>
        <v>44594</v>
      </c>
      <c r="B78" s="1">
        <v>2.9617864163903107E-2</v>
      </c>
      <c r="C78" s="1">
        <f t="shared" si="3"/>
        <v>1.4385841323958592E-2</v>
      </c>
      <c r="D78" s="1">
        <f t="shared" si="4"/>
        <v>4.4429783382078147E-2</v>
      </c>
      <c r="E78" s="1">
        <v>2.3051287927065012E-2</v>
      </c>
      <c r="F78" s="3">
        <f t="shared" si="5"/>
        <v>76</v>
      </c>
    </row>
    <row r="79" spans="1:6" ht="21.6" customHeight="1" x14ac:dyDescent="0.3">
      <c r="A79" s="2">
        <f>WORKDAY(A78,1,Feriados!$A$2:$A$937)</f>
        <v>44595</v>
      </c>
      <c r="B79" s="1">
        <v>3.0061906771734481E-2</v>
      </c>
      <c r="C79" s="1">
        <f t="shared" si="3"/>
        <v>1.4576501672270314E-2</v>
      </c>
      <c r="D79" s="1">
        <f t="shared" si="4"/>
        <v>4.5076605878334508E-2</v>
      </c>
      <c r="E79" s="1">
        <v>2.8762330627240873E-2</v>
      </c>
      <c r="F79" s="3">
        <f t="shared" si="5"/>
        <v>77</v>
      </c>
    </row>
    <row r="80" spans="1:6" ht="21.6" customHeight="1" x14ac:dyDescent="0.3">
      <c r="A80" s="2">
        <f>WORKDAY(A79,1,Feriados!$A$2:$A$937)</f>
        <v>44596</v>
      </c>
      <c r="B80" s="1">
        <v>3.050614088152459E-2</v>
      </c>
      <c r="C80" s="1">
        <f t="shared" si="3"/>
        <v>1.4767197856421665E-2</v>
      </c>
      <c r="D80" s="1">
        <f t="shared" si="4"/>
        <v>4.5723828956179657E-2</v>
      </c>
      <c r="E80" s="1">
        <v>2.5055985603428033E-2</v>
      </c>
      <c r="F80" s="3">
        <f t="shared" si="5"/>
        <v>78</v>
      </c>
    </row>
    <row r="81" spans="1:6" ht="21.6" customHeight="1" x14ac:dyDescent="0.3">
      <c r="A81" s="2">
        <f>WORKDAY(A80,1,Feriados!$A$2:$A$937)</f>
        <v>44599</v>
      </c>
      <c r="B81" s="1">
        <v>3.0950566575862037E-2</v>
      </c>
      <c r="C81" s="1">
        <f t="shared" si="3"/>
        <v>1.4957929883148147E-2</v>
      </c>
      <c r="D81" s="1">
        <f t="shared" si="4"/>
        <v>4.6371452863695595E-2</v>
      </c>
      <c r="E81" s="1">
        <v>2.6580892748967022E-2</v>
      </c>
      <c r="F81" s="3">
        <f t="shared" si="5"/>
        <v>79</v>
      </c>
    </row>
    <row r="82" spans="1:6" ht="21.6" customHeight="1" x14ac:dyDescent="0.3">
      <c r="A82" s="2">
        <f>WORKDAY(A81,1,Feriados!$A$2:$A$937)</f>
        <v>44600</v>
      </c>
      <c r="B82" s="1">
        <v>3.1395183937371618E-2</v>
      </c>
      <c r="C82" s="1">
        <f t="shared" si="3"/>
        <v>1.5148697759186813E-2</v>
      </c>
      <c r="D82" s="1">
        <f t="shared" si="4"/>
        <v>4.7019477849119751E-2</v>
      </c>
      <c r="E82" s="1">
        <v>2.3763332830546879E-2</v>
      </c>
      <c r="F82" s="3">
        <f t="shared" si="5"/>
        <v>80</v>
      </c>
    </row>
    <row r="83" spans="1:6" ht="21.6" customHeight="1" x14ac:dyDescent="0.3">
      <c r="A83" s="2">
        <f>WORKDAY(A82,1,Feriados!$A$2:$A$937)</f>
        <v>44601</v>
      </c>
      <c r="B83" s="1">
        <v>3.1839993048713426E-2</v>
      </c>
      <c r="C83" s="1">
        <f t="shared" si="3"/>
        <v>1.5339501491275831E-2</v>
      </c>
      <c r="D83" s="1">
        <f t="shared" si="4"/>
        <v>4.7667904160842323E-2</v>
      </c>
      <c r="E83" s="1">
        <v>2.1449585247600877E-2</v>
      </c>
      <c r="F83" s="3">
        <f t="shared" si="5"/>
        <v>81</v>
      </c>
    </row>
    <row r="84" spans="1:6" ht="21.6" customHeight="1" x14ac:dyDescent="0.3">
      <c r="A84" s="2">
        <f>WORKDAY(A83,1,Feriados!$A$2:$A$937)</f>
        <v>44602</v>
      </c>
      <c r="B84" s="1">
        <v>3.2284993992583326E-2</v>
      </c>
      <c r="C84" s="1">
        <f t="shared" si="3"/>
        <v>1.5530341086154253E-2</v>
      </c>
      <c r="D84" s="1">
        <f t="shared" si="4"/>
        <v>4.8316732047406941E-2</v>
      </c>
      <c r="E84" s="1">
        <v>2.0540525365268181E-2</v>
      </c>
      <c r="F84" s="3">
        <f t="shared" si="5"/>
        <v>82</v>
      </c>
    </row>
    <row r="85" spans="1:6" ht="21.6" customHeight="1" x14ac:dyDescent="0.3">
      <c r="A85" s="2">
        <f>WORKDAY(A84,1,Feriados!$A$2:$A$937)</f>
        <v>44603</v>
      </c>
      <c r="B85" s="1">
        <v>3.2730186851712695E-2</v>
      </c>
      <c r="C85" s="1">
        <f t="shared" si="3"/>
        <v>1.5721216550563133E-2</v>
      </c>
      <c r="D85" s="1">
        <f t="shared" si="4"/>
        <v>4.8965961757512E-2</v>
      </c>
      <c r="E85" s="1">
        <v>1.9197954164010822E-2</v>
      </c>
      <c r="F85" s="3">
        <f t="shared" si="5"/>
        <v>83</v>
      </c>
    </row>
    <row r="86" spans="1:6" ht="21.6" customHeight="1" x14ac:dyDescent="0.3">
      <c r="A86" s="2">
        <f>WORKDAY(A85,1,Feriados!$A$2:$A$937)</f>
        <v>44606</v>
      </c>
      <c r="B86" s="1">
        <v>3.3175571708868645E-2</v>
      </c>
      <c r="C86" s="1">
        <f t="shared" si="3"/>
        <v>1.5912127891244188E-2</v>
      </c>
      <c r="D86" s="1">
        <f t="shared" si="4"/>
        <v>4.961559354000955E-2</v>
      </c>
      <c r="E86" s="1">
        <v>2.1530082387553717E-2</v>
      </c>
      <c r="F86" s="3">
        <f t="shared" si="5"/>
        <v>84</v>
      </c>
    </row>
    <row r="87" spans="1:6" ht="21.6" customHeight="1" x14ac:dyDescent="0.3">
      <c r="A87" s="2">
        <f>WORKDAY(A86,1,Feriados!$A$2:$A$937)</f>
        <v>44607</v>
      </c>
      <c r="B87" s="1">
        <v>3.3621148646854282E-2</v>
      </c>
      <c r="C87" s="1">
        <f t="shared" si="3"/>
        <v>1.6103075114940468E-2</v>
      </c>
      <c r="D87" s="1">
        <f t="shared" si="4"/>
        <v>5.0265627643905519E-2</v>
      </c>
      <c r="E87" s="1">
        <v>2.5014733579743487E-2</v>
      </c>
      <c r="F87" s="3">
        <f t="shared" si="5"/>
        <v>85</v>
      </c>
    </row>
    <row r="88" spans="1:6" ht="21.6" customHeight="1" x14ac:dyDescent="0.3">
      <c r="A88" s="2">
        <f>WORKDAY(A87,1,Feriados!$A$2:$A$937)</f>
        <v>44608</v>
      </c>
      <c r="B88" s="1">
        <v>3.4066917748508015E-2</v>
      </c>
      <c r="C88" s="1">
        <f t="shared" si="3"/>
        <v>1.6294058228396802E-2</v>
      </c>
      <c r="D88" s="1">
        <f t="shared" si="4"/>
        <v>5.0916064318361043E-2</v>
      </c>
      <c r="E88" s="1">
        <v>2.5500517945265422E-2</v>
      </c>
      <c r="F88" s="3">
        <f t="shared" si="5"/>
        <v>86</v>
      </c>
    </row>
    <row r="89" spans="1:6" ht="21.6" customHeight="1" x14ac:dyDescent="0.3">
      <c r="A89" s="2">
        <f>WORKDAY(A88,1,Feriados!$A$2:$A$937)</f>
        <v>44609</v>
      </c>
      <c r="B89" s="1">
        <v>3.4512879096704197E-2</v>
      </c>
      <c r="C89" s="1">
        <f t="shared" si="3"/>
        <v>1.6485077238358459E-2</v>
      </c>
      <c r="D89" s="1">
        <f t="shared" si="4"/>
        <v>5.1566903812690024E-2</v>
      </c>
      <c r="E89" s="1">
        <v>2.3113699928396514E-2</v>
      </c>
      <c r="F89" s="3">
        <f t="shared" si="5"/>
        <v>87</v>
      </c>
    </row>
    <row r="90" spans="1:6" ht="21.6" customHeight="1" x14ac:dyDescent="0.3">
      <c r="A90" s="2">
        <f>WORKDAY(A89,1,Feriados!$A$2:$A$937)</f>
        <v>44610</v>
      </c>
      <c r="B90" s="1">
        <v>3.495903277435275E-2</v>
      </c>
      <c r="C90" s="1">
        <f t="shared" si="3"/>
        <v>1.6676132151572487E-2</v>
      </c>
      <c r="D90" s="1">
        <f t="shared" si="4"/>
        <v>5.2218146376361574E-2</v>
      </c>
      <c r="E90" s="1">
        <v>2.215891555298044E-2</v>
      </c>
      <c r="F90" s="3">
        <f t="shared" si="5"/>
        <v>88</v>
      </c>
    </row>
    <row r="91" spans="1:6" ht="21.6" customHeight="1" x14ac:dyDescent="0.3">
      <c r="A91" s="2">
        <f>WORKDAY(A90,1,Feriados!$A$2:$A$937)</f>
        <v>44613</v>
      </c>
      <c r="B91" s="1">
        <v>3.5405378864399539E-2</v>
      </c>
      <c r="C91" s="1">
        <f t="shared" si="3"/>
        <v>1.6867222974787266E-2</v>
      </c>
      <c r="D91" s="1">
        <f t="shared" si="4"/>
        <v>5.2869792258999349E-2</v>
      </c>
      <c r="E91" s="1">
        <v>2.288049561608152E-2</v>
      </c>
      <c r="F91" s="3">
        <f t="shared" si="5"/>
        <v>89</v>
      </c>
    </row>
    <row r="92" spans="1:6" ht="21.6" customHeight="1" x14ac:dyDescent="0.3">
      <c r="A92" s="2">
        <f>WORKDAY(A91,1,Feriados!$A$2:$A$937)</f>
        <v>44614</v>
      </c>
      <c r="B92" s="1">
        <v>3.5851917449826194E-2</v>
      </c>
      <c r="C92" s="1">
        <f t="shared" si="3"/>
        <v>1.7058349714752286E-2</v>
      </c>
      <c r="D92" s="1">
        <f t="shared" si="4"/>
        <v>5.352184171038199E-2</v>
      </c>
      <c r="E92" s="1">
        <v>2.0429275919379153E-2</v>
      </c>
      <c r="F92" s="3">
        <f t="shared" si="5"/>
        <v>90</v>
      </c>
    </row>
    <row r="93" spans="1:6" ht="21.6" customHeight="1" x14ac:dyDescent="0.3">
      <c r="A93" s="2">
        <f>WORKDAY(A92,1,Feriados!$A$2:$A$937)</f>
        <v>44615</v>
      </c>
      <c r="B93" s="1">
        <v>3.6298648613649842E-2</v>
      </c>
      <c r="C93" s="1">
        <f t="shared" si="3"/>
        <v>1.7249512378218368E-2</v>
      </c>
      <c r="D93" s="1">
        <f t="shared" si="4"/>
        <v>5.4174294980442017E-2</v>
      </c>
      <c r="E93" s="1">
        <v>2.09576543365535E-2</v>
      </c>
      <c r="F93" s="3">
        <f t="shared" si="5"/>
        <v>91</v>
      </c>
    </row>
    <row r="94" spans="1:6" ht="21.6" customHeight="1" x14ac:dyDescent="0.3">
      <c r="A94" s="2">
        <f>WORKDAY(A93,1,Feriados!$A$2:$A$937)</f>
        <v>44616</v>
      </c>
      <c r="B94" s="1">
        <v>3.6745572438923846E-2</v>
      </c>
      <c r="C94" s="1">
        <f t="shared" si="3"/>
        <v>1.7440710971937889E-2</v>
      </c>
      <c r="D94" s="1">
        <f t="shared" si="4"/>
        <v>5.482715231926738E-2</v>
      </c>
      <c r="E94" s="1">
        <v>2.0096643284404081E-2</v>
      </c>
      <c r="F94" s="3">
        <f t="shared" si="5"/>
        <v>92</v>
      </c>
    </row>
    <row r="95" spans="1:6" ht="21.6" customHeight="1" x14ac:dyDescent="0.3">
      <c r="A95" s="2">
        <f>WORKDAY(A94,1,Feriados!$A$2:$A$937)</f>
        <v>44617</v>
      </c>
      <c r="B95" s="1">
        <v>3.719268900873729E-2</v>
      </c>
      <c r="C95" s="1">
        <f t="shared" si="3"/>
        <v>1.7631945502663449E-2</v>
      </c>
      <c r="D95" s="1">
        <f t="shared" si="4"/>
        <v>5.5480413977100351E-2</v>
      </c>
      <c r="E95" s="1">
        <v>2.0190469860677185E-2</v>
      </c>
      <c r="F95" s="3">
        <f t="shared" si="5"/>
        <v>93</v>
      </c>
    </row>
    <row r="96" spans="1:6" ht="21.6" customHeight="1" x14ac:dyDescent="0.3">
      <c r="A96" s="2">
        <f>WORKDAY(A95,1,Feriados!$A$2:$A$937)</f>
        <v>44622</v>
      </c>
      <c r="B96" s="1">
        <v>3.7447087868100359E-2</v>
      </c>
      <c r="C96" s="1">
        <f t="shared" si="3"/>
        <v>1.7823215977150086E-2</v>
      </c>
      <c r="D96" s="1">
        <f t="shared" si="4"/>
        <v>5.593773138003888E-2</v>
      </c>
      <c r="E96" s="1">
        <v>1.9366607218194828E-2</v>
      </c>
      <c r="F96" s="3">
        <f t="shared" si="5"/>
        <v>94</v>
      </c>
    </row>
    <row r="97" spans="1:6" ht="21.6" customHeight="1" x14ac:dyDescent="0.3">
      <c r="A97" s="2">
        <f>WORKDAY(A96,1,Feriados!$A$2:$A$937)</f>
        <v>44623</v>
      </c>
      <c r="B97" s="1">
        <v>3.7701549125492624E-2</v>
      </c>
      <c r="C97" s="1">
        <f t="shared" si="3"/>
        <v>1.801452240215351E-2</v>
      </c>
      <c r="D97" s="1">
        <f t="shared" si="4"/>
        <v>5.639524692896325E-2</v>
      </c>
      <c r="E97" s="1">
        <v>1.8556612285066887E-2</v>
      </c>
      <c r="F97" s="3">
        <f t="shared" si="5"/>
        <v>95</v>
      </c>
    </row>
    <row r="98" spans="1:6" ht="21.6" customHeight="1" x14ac:dyDescent="0.3">
      <c r="A98" s="2">
        <f>WORKDAY(A97,1,Feriados!$A$2:$A$937)</f>
        <v>44624</v>
      </c>
      <c r="B98" s="1">
        <v>3.7956072796218709E-2</v>
      </c>
      <c r="C98" s="1">
        <f t="shared" si="3"/>
        <v>1.8205864784430759E-2</v>
      </c>
      <c r="D98" s="1">
        <f t="shared" si="4"/>
        <v>5.6852960709725453E-2</v>
      </c>
      <c r="E98" s="1">
        <v>1.6015622899206106E-2</v>
      </c>
      <c r="F98" s="3">
        <f t="shared" si="5"/>
        <v>96</v>
      </c>
    </row>
    <row r="99" spans="1:6" ht="21.6" customHeight="1" x14ac:dyDescent="0.3">
      <c r="A99" s="2">
        <f>WORKDAY(A98,1,Feriados!$A$2:$A$937)</f>
        <v>44627</v>
      </c>
      <c r="B99" s="1">
        <v>3.8210658895587279E-2</v>
      </c>
      <c r="C99" s="1">
        <f t="shared" si="3"/>
        <v>1.8397243130740426E-2</v>
      </c>
      <c r="D99" s="1">
        <f t="shared" si="4"/>
        <v>5.7310872808215674E-2</v>
      </c>
      <c r="E99" s="1">
        <v>1.3219457376079768E-2</v>
      </c>
      <c r="F99" s="3">
        <f t="shared" si="5"/>
        <v>97</v>
      </c>
    </row>
    <row r="100" spans="1:6" ht="21.6" customHeight="1" x14ac:dyDescent="0.3">
      <c r="A100" s="2">
        <f>WORKDAY(A99,1,Feriados!$A$2:$A$937)</f>
        <v>44628</v>
      </c>
      <c r="B100" s="1">
        <v>3.8465307438910516E-2</v>
      </c>
      <c r="C100" s="1">
        <f t="shared" si="3"/>
        <v>1.858865744784266E-2</v>
      </c>
      <c r="D100" s="1">
        <f t="shared" si="4"/>
        <v>5.7768983310360955E-2</v>
      </c>
      <c r="E100" s="1">
        <v>1.1271424814115472E-2</v>
      </c>
      <c r="F100" s="3">
        <f t="shared" si="5"/>
        <v>98</v>
      </c>
    </row>
    <row r="101" spans="1:6" ht="21.6" customHeight="1" x14ac:dyDescent="0.3">
      <c r="A101" s="2">
        <f>WORKDAY(A100,1,Feriados!$A$2:$A$937)</f>
        <v>44629</v>
      </c>
      <c r="B101" s="1">
        <v>3.8720018441504411E-2</v>
      </c>
      <c r="C101" s="1">
        <f t="shared" si="3"/>
        <v>1.8780107742497387E-2</v>
      </c>
      <c r="D101" s="1">
        <f t="shared" si="4"/>
        <v>5.8227292302124756E-2</v>
      </c>
      <c r="E101" s="1">
        <v>1.6644206767471026E-2</v>
      </c>
      <c r="F101" s="3">
        <f t="shared" si="5"/>
        <v>99</v>
      </c>
    </row>
    <row r="102" spans="1:6" ht="21.6" customHeight="1" x14ac:dyDescent="0.3">
      <c r="A102" s="2"/>
    </row>
    <row r="103" spans="1:6" ht="21.6" customHeight="1" x14ac:dyDescent="0.3">
      <c r="A103" s="2"/>
    </row>
    <row r="104" spans="1:6" ht="21.6" customHeight="1" x14ac:dyDescent="0.3">
      <c r="A104" s="2"/>
    </row>
    <row r="105" spans="1:6" ht="21.6" customHeight="1" x14ac:dyDescent="0.3">
      <c r="A105" s="2"/>
    </row>
    <row r="106" spans="1:6" ht="21.6" customHeight="1" x14ac:dyDescent="0.3">
      <c r="A106" s="2"/>
    </row>
    <row r="107" spans="1:6" ht="21.6" customHeight="1" x14ac:dyDescent="0.3">
      <c r="A107" s="2"/>
    </row>
    <row r="108" spans="1:6" ht="21.6" customHeight="1" x14ac:dyDescent="0.3">
      <c r="A108" s="2"/>
    </row>
    <row r="109" spans="1:6" ht="21.6" customHeight="1" x14ac:dyDescent="0.3">
      <c r="A109" s="2"/>
    </row>
    <row r="110" spans="1:6" ht="21.6" customHeight="1" x14ac:dyDescent="0.3">
      <c r="A110" s="2"/>
    </row>
    <row r="111" spans="1:6" ht="21.6" customHeight="1" x14ac:dyDescent="0.3">
      <c r="A111" s="2"/>
    </row>
    <row r="112" spans="1:6" ht="21.6" customHeight="1" x14ac:dyDescent="0.3">
      <c r="A112" s="2"/>
    </row>
    <row r="113" spans="1:1" ht="21.6" customHeight="1" x14ac:dyDescent="0.3">
      <c r="A113" s="2"/>
    </row>
    <row r="114" spans="1:1" ht="21.6" customHeight="1" x14ac:dyDescent="0.3">
      <c r="A114" s="2"/>
    </row>
    <row r="115" spans="1:1" ht="21.6" customHeight="1" x14ac:dyDescent="0.3">
      <c r="A115" s="2"/>
    </row>
    <row r="116" spans="1:1" ht="21.6" customHeight="1" x14ac:dyDescent="0.3">
      <c r="A116" s="2"/>
    </row>
    <row r="117" spans="1:1" ht="21.6" customHeight="1" x14ac:dyDescent="0.3">
      <c r="A117" s="2"/>
    </row>
    <row r="118" spans="1:1" ht="21.6" customHeight="1" x14ac:dyDescent="0.3">
      <c r="A118" s="2"/>
    </row>
    <row r="119" spans="1:1" ht="21.6" customHeight="1" x14ac:dyDescent="0.3">
      <c r="A119" s="2"/>
    </row>
    <row r="120" spans="1:1" ht="21.6" customHeight="1" x14ac:dyDescent="0.3">
      <c r="A120" s="2"/>
    </row>
    <row r="121" spans="1:1" ht="21.6" customHeight="1" x14ac:dyDescent="0.3">
      <c r="A121" s="2"/>
    </row>
    <row r="122" spans="1:1" ht="21.6" customHeight="1" x14ac:dyDescent="0.3">
      <c r="A122" s="2"/>
    </row>
    <row r="123" spans="1:1" ht="21.6" customHeight="1" x14ac:dyDescent="0.3">
      <c r="A123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80C36-B1D6-45F6-971D-067BADBA1F41}">
  <dimension ref="A1:A937"/>
  <sheetViews>
    <sheetView workbookViewId="0"/>
  </sheetViews>
  <sheetFormatPr defaultColWidth="15.5546875" defaultRowHeight="21.6" customHeight="1" x14ac:dyDescent="0.3"/>
  <cols>
    <col min="1" max="16384" width="15.5546875" style="1"/>
  </cols>
  <sheetData>
    <row r="1" spans="1:1" ht="21.6" customHeight="1" x14ac:dyDescent="0.3">
      <c r="A1" s="1" t="s">
        <v>1</v>
      </c>
    </row>
    <row r="2" spans="1:1" ht="21.6" customHeight="1" x14ac:dyDescent="0.3">
      <c r="A2" s="2">
        <v>36892</v>
      </c>
    </row>
    <row r="3" spans="1:1" ht="21.6" customHeight="1" x14ac:dyDescent="0.3">
      <c r="A3" s="2">
        <v>36948</v>
      </c>
    </row>
    <row r="4" spans="1:1" ht="21.6" customHeight="1" x14ac:dyDescent="0.3">
      <c r="A4" s="2">
        <v>36949</v>
      </c>
    </row>
    <row r="5" spans="1:1" ht="21.6" customHeight="1" x14ac:dyDescent="0.3">
      <c r="A5" s="2">
        <v>36994</v>
      </c>
    </row>
    <row r="6" spans="1:1" ht="21.6" customHeight="1" x14ac:dyDescent="0.3">
      <c r="A6" s="2">
        <v>37002</v>
      </c>
    </row>
    <row r="7" spans="1:1" ht="21.6" customHeight="1" x14ac:dyDescent="0.3">
      <c r="A7" s="2">
        <v>37012</v>
      </c>
    </row>
    <row r="8" spans="1:1" ht="21.6" customHeight="1" x14ac:dyDescent="0.3">
      <c r="A8" s="2">
        <v>37056</v>
      </c>
    </row>
    <row r="9" spans="1:1" ht="21.6" customHeight="1" x14ac:dyDescent="0.3">
      <c r="A9" s="2">
        <v>37141</v>
      </c>
    </row>
    <row r="10" spans="1:1" ht="21.6" customHeight="1" x14ac:dyDescent="0.3">
      <c r="A10" s="2">
        <v>37176</v>
      </c>
    </row>
    <row r="11" spans="1:1" ht="21.6" customHeight="1" x14ac:dyDescent="0.3">
      <c r="A11" s="2">
        <v>37197</v>
      </c>
    </row>
    <row r="12" spans="1:1" ht="21.6" customHeight="1" x14ac:dyDescent="0.3">
      <c r="A12" s="2">
        <v>37210</v>
      </c>
    </row>
    <row r="13" spans="1:1" ht="21.6" customHeight="1" x14ac:dyDescent="0.3">
      <c r="A13" s="2">
        <v>37250</v>
      </c>
    </row>
    <row r="14" spans="1:1" ht="21.6" customHeight="1" x14ac:dyDescent="0.3">
      <c r="A14" s="2">
        <v>37257</v>
      </c>
    </row>
    <row r="15" spans="1:1" ht="21.6" customHeight="1" x14ac:dyDescent="0.3">
      <c r="A15" s="2">
        <v>37298</v>
      </c>
    </row>
    <row r="16" spans="1:1" ht="21.6" customHeight="1" x14ac:dyDescent="0.3">
      <c r="A16" s="2">
        <v>37299</v>
      </c>
    </row>
    <row r="17" spans="1:1" ht="21.6" customHeight="1" x14ac:dyDescent="0.3">
      <c r="A17" s="2">
        <v>37344</v>
      </c>
    </row>
    <row r="18" spans="1:1" ht="21.6" customHeight="1" x14ac:dyDescent="0.3">
      <c r="A18" s="2">
        <v>37367</v>
      </c>
    </row>
    <row r="19" spans="1:1" ht="21.6" customHeight="1" x14ac:dyDescent="0.3">
      <c r="A19" s="2">
        <v>37377</v>
      </c>
    </row>
    <row r="20" spans="1:1" ht="21.6" customHeight="1" x14ac:dyDescent="0.3">
      <c r="A20" s="2">
        <v>37406</v>
      </c>
    </row>
    <row r="21" spans="1:1" ht="21.6" customHeight="1" x14ac:dyDescent="0.3">
      <c r="A21" s="2">
        <v>37506</v>
      </c>
    </row>
    <row r="22" spans="1:1" ht="21.6" customHeight="1" x14ac:dyDescent="0.3">
      <c r="A22" s="2">
        <v>37541</v>
      </c>
    </row>
    <row r="23" spans="1:1" ht="21.6" customHeight="1" x14ac:dyDescent="0.3">
      <c r="A23" s="2">
        <v>37562</v>
      </c>
    </row>
    <row r="24" spans="1:1" ht="21.6" customHeight="1" x14ac:dyDescent="0.3">
      <c r="A24" s="2">
        <v>37575</v>
      </c>
    </row>
    <row r="25" spans="1:1" ht="21.6" customHeight="1" x14ac:dyDescent="0.3">
      <c r="A25" s="2">
        <v>37615</v>
      </c>
    </row>
    <row r="26" spans="1:1" ht="21.6" customHeight="1" x14ac:dyDescent="0.3">
      <c r="A26" s="2">
        <v>37622</v>
      </c>
    </row>
    <row r="27" spans="1:1" ht="21.6" customHeight="1" x14ac:dyDescent="0.3">
      <c r="A27" s="2">
        <v>37683</v>
      </c>
    </row>
    <row r="28" spans="1:1" ht="21.6" customHeight="1" x14ac:dyDescent="0.3">
      <c r="A28" s="2">
        <v>37684</v>
      </c>
    </row>
    <row r="29" spans="1:1" ht="21.6" customHeight="1" x14ac:dyDescent="0.3">
      <c r="A29" s="2">
        <v>37729</v>
      </c>
    </row>
    <row r="30" spans="1:1" ht="21.6" customHeight="1" x14ac:dyDescent="0.3">
      <c r="A30" s="2">
        <v>37732</v>
      </c>
    </row>
    <row r="31" spans="1:1" ht="21.6" customHeight="1" x14ac:dyDescent="0.3">
      <c r="A31" s="2">
        <v>37742</v>
      </c>
    </row>
    <row r="32" spans="1:1" ht="21.6" customHeight="1" x14ac:dyDescent="0.3">
      <c r="A32" s="2">
        <v>37791</v>
      </c>
    </row>
    <row r="33" spans="1:1" ht="21.6" customHeight="1" x14ac:dyDescent="0.3">
      <c r="A33" s="2">
        <v>37871</v>
      </c>
    </row>
    <row r="34" spans="1:1" ht="21.6" customHeight="1" x14ac:dyDescent="0.3">
      <c r="A34" s="2">
        <v>37906</v>
      </c>
    </row>
    <row r="35" spans="1:1" ht="21.6" customHeight="1" x14ac:dyDescent="0.3">
      <c r="A35" s="2">
        <v>37927</v>
      </c>
    </row>
    <row r="36" spans="1:1" ht="21.6" customHeight="1" x14ac:dyDescent="0.3">
      <c r="A36" s="2">
        <v>37940</v>
      </c>
    </row>
    <row r="37" spans="1:1" ht="21.6" customHeight="1" x14ac:dyDescent="0.3">
      <c r="A37" s="2">
        <v>37980</v>
      </c>
    </row>
    <row r="38" spans="1:1" ht="21.6" customHeight="1" x14ac:dyDescent="0.3">
      <c r="A38" s="2">
        <v>37987</v>
      </c>
    </row>
    <row r="39" spans="1:1" ht="21.6" customHeight="1" x14ac:dyDescent="0.3">
      <c r="A39" s="2">
        <v>38040</v>
      </c>
    </row>
    <row r="40" spans="1:1" ht="21.6" customHeight="1" x14ac:dyDescent="0.3">
      <c r="A40" s="2">
        <v>38041</v>
      </c>
    </row>
    <row r="41" spans="1:1" ht="21.6" customHeight="1" x14ac:dyDescent="0.3">
      <c r="A41" s="2">
        <v>38086</v>
      </c>
    </row>
    <row r="42" spans="1:1" ht="21.6" customHeight="1" x14ac:dyDescent="0.3">
      <c r="A42" s="2">
        <v>38098</v>
      </c>
    </row>
    <row r="43" spans="1:1" ht="21.6" customHeight="1" x14ac:dyDescent="0.3">
      <c r="A43" s="2">
        <v>38108</v>
      </c>
    </row>
    <row r="44" spans="1:1" ht="21.6" customHeight="1" x14ac:dyDescent="0.3">
      <c r="A44" s="2">
        <v>38148</v>
      </c>
    </row>
    <row r="45" spans="1:1" ht="21.6" customHeight="1" x14ac:dyDescent="0.3">
      <c r="A45" s="2">
        <v>38237</v>
      </c>
    </row>
    <row r="46" spans="1:1" ht="21.6" customHeight="1" x14ac:dyDescent="0.3">
      <c r="A46" s="2">
        <v>38272</v>
      </c>
    </row>
    <row r="47" spans="1:1" ht="21.6" customHeight="1" x14ac:dyDescent="0.3">
      <c r="A47" s="2">
        <v>38293</v>
      </c>
    </row>
    <row r="48" spans="1:1" ht="21.6" customHeight="1" x14ac:dyDescent="0.3">
      <c r="A48" s="2">
        <v>38306</v>
      </c>
    </row>
    <row r="49" spans="1:1" ht="21.6" customHeight="1" x14ac:dyDescent="0.3">
      <c r="A49" s="2">
        <v>38346</v>
      </c>
    </row>
    <row r="50" spans="1:1" ht="21.6" customHeight="1" x14ac:dyDescent="0.3">
      <c r="A50" s="2">
        <v>38353</v>
      </c>
    </row>
    <row r="51" spans="1:1" ht="21.6" customHeight="1" x14ac:dyDescent="0.3">
      <c r="A51" s="2">
        <v>38390</v>
      </c>
    </row>
    <row r="52" spans="1:1" ht="21.6" customHeight="1" x14ac:dyDescent="0.3">
      <c r="A52" s="2">
        <v>38391</v>
      </c>
    </row>
    <row r="53" spans="1:1" ht="21.6" customHeight="1" x14ac:dyDescent="0.3">
      <c r="A53" s="2">
        <v>38436</v>
      </c>
    </row>
    <row r="54" spans="1:1" ht="21.6" customHeight="1" x14ac:dyDescent="0.3">
      <c r="A54" s="2">
        <v>38463</v>
      </c>
    </row>
    <row r="55" spans="1:1" ht="21.6" customHeight="1" x14ac:dyDescent="0.3">
      <c r="A55" s="2">
        <v>38473</v>
      </c>
    </row>
    <row r="56" spans="1:1" ht="21.6" customHeight="1" x14ac:dyDescent="0.3">
      <c r="A56" s="2">
        <v>38498</v>
      </c>
    </row>
    <row r="57" spans="1:1" ht="21.6" customHeight="1" x14ac:dyDescent="0.3">
      <c r="A57" s="2">
        <v>38602</v>
      </c>
    </row>
    <row r="58" spans="1:1" ht="21.6" customHeight="1" x14ac:dyDescent="0.3">
      <c r="A58" s="2">
        <v>38637</v>
      </c>
    </row>
    <row r="59" spans="1:1" ht="21.6" customHeight="1" x14ac:dyDescent="0.3">
      <c r="A59" s="2">
        <v>38658</v>
      </c>
    </row>
    <row r="60" spans="1:1" ht="21.6" customHeight="1" x14ac:dyDescent="0.3">
      <c r="A60" s="2">
        <v>38671</v>
      </c>
    </row>
    <row r="61" spans="1:1" ht="21.6" customHeight="1" x14ac:dyDescent="0.3">
      <c r="A61" s="2">
        <v>38711</v>
      </c>
    </row>
    <row r="62" spans="1:1" ht="21.6" customHeight="1" x14ac:dyDescent="0.3">
      <c r="A62" s="2">
        <v>38718</v>
      </c>
    </row>
    <row r="63" spans="1:1" ht="21.6" customHeight="1" x14ac:dyDescent="0.3">
      <c r="A63" s="2">
        <v>38775</v>
      </c>
    </row>
    <row r="64" spans="1:1" ht="21.6" customHeight="1" x14ac:dyDescent="0.3">
      <c r="A64" s="2">
        <v>38776</v>
      </c>
    </row>
    <row r="65" spans="1:1" ht="21.6" customHeight="1" x14ac:dyDescent="0.3">
      <c r="A65" s="2">
        <v>38821</v>
      </c>
    </row>
    <row r="66" spans="1:1" ht="21.6" customHeight="1" x14ac:dyDescent="0.3">
      <c r="A66" s="2">
        <v>38828</v>
      </c>
    </row>
    <row r="67" spans="1:1" ht="21.6" customHeight="1" x14ac:dyDescent="0.3">
      <c r="A67" s="2">
        <v>38838</v>
      </c>
    </row>
    <row r="68" spans="1:1" ht="21.6" customHeight="1" x14ac:dyDescent="0.3">
      <c r="A68" s="2">
        <v>38883</v>
      </c>
    </row>
    <row r="69" spans="1:1" ht="21.6" customHeight="1" x14ac:dyDescent="0.3">
      <c r="A69" s="2">
        <v>38967</v>
      </c>
    </row>
    <row r="70" spans="1:1" ht="21.6" customHeight="1" x14ac:dyDescent="0.3">
      <c r="A70" s="2">
        <v>39002</v>
      </c>
    </row>
    <row r="71" spans="1:1" ht="21.6" customHeight="1" x14ac:dyDescent="0.3">
      <c r="A71" s="2">
        <v>39023</v>
      </c>
    </row>
    <row r="72" spans="1:1" ht="21.6" customHeight="1" x14ac:dyDescent="0.3">
      <c r="A72" s="2">
        <v>39036</v>
      </c>
    </row>
    <row r="73" spans="1:1" ht="21.6" customHeight="1" x14ac:dyDescent="0.3">
      <c r="A73" s="2">
        <v>39076</v>
      </c>
    </row>
    <row r="74" spans="1:1" ht="21.6" customHeight="1" x14ac:dyDescent="0.3">
      <c r="A74" s="2">
        <v>39083</v>
      </c>
    </row>
    <row r="75" spans="1:1" ht="21.6" customHeight="1" x14ac:dyDescent="0.3">
      <c r="A75" s="2">
        <v>39132</v>
      </c>
    </row>
    <row r="76" spans="1:1" ht="21.6" customHeight="1" x14ac:dyDescent="0.3">
      <c r="A76" s="2">
        <v>39133</v>
      </c>
    </row>
    <row r="77" spans="1:1" ht="21.6" customHeight="1" x14ac:dyDescent="0.3">
      <c r="A77" s="2">
        <v>39178</v>
      </c>
    </row>
    <row r="78" spans="1:1" ht="21.6" customHeight="1" x14ac:dyDescent="0.3">
      <c r="A78" s="2">
        <v>39193</v>
      </c>
    </row>
    <row r="79" spans="1:1" ht="21.6" customHeight="1" x14ac:dyDescent="0.3">
      <c r="A79" s="2">
        <v>39203</v>
      </c>
    </row>
    <row r="80" spans="1:1" ht="21.6" customHeight="1" x14ac:dyDescent="0.3">
      <c r="A80" s="2">
        <v>39240</v>
      </c>
    </row>
    <row r="81" spans="1:1" ht="21.6" customHeight="1" x14ac:dyDescent="0.3">
      <c r="A81" s="2">
        <v>39332</v>
      </c>
    </row>
    <row r="82" spans="1:1" ht="21.6" customHeight="1" x14ac:dyDescent="0.3">
      <c r="A82" s="2">
        <v>39367</v>
      </c>
    </row>
    <row r="83" spans="1:1" ht="21.6" customHeight="1" x14ac:dyDescent="0.3">
      <c r="A83" s="2">
        <v>39388</v>
      </c>
    </row>
    <row r="84" spans="1:1" ht="21.6" customHeight="1" x14ac:dyDescent="0.3">
      <c r="A84" s="2">
        <v>39401</v>
      </c>
    </row>
    <row r="85" spans="1:1" ht="21.6" customHeight="1" x14ac:dyDescent="0.3">
      <c r="A85" s="2">
        <v>39441</v>
      </c>
    </row>
    <row r="86" spans="1:1" ht="21.6" customHeight="1" x14ac:dyDescent="0.3">
      <c r="A86" s="2">
        <v>39448</v>
      </c>
    </row>
    <row r="87" spans="1:1" ht="21.6" customHeight="1" x14ac:dyDescent="0.3">
      <c r="A87" s="2">
        <v>39482</v>
      </c>
    </row>
    <row r="88" spans="1:1" ht="21.6" customHeight="1" x14ac:dyDescent="0.3">
      <c r="A88" s="2">
        <v>39483</v>
      </c>
    </row>
    <row r="89" spans="1:1" ht="21.6" customHeight="1" x14ac:dyDescent="0.3">
      <c r="A89" s="2">
        <v>39528</v>
      </c>
    </row>
    <row r="90" spans="1:1" ht="21.6" customHeight="1" x14ac:dyDescent="0.3">
      <c r="A90" s="2">
        <v>39559</v>
      </c>
    </row>
    <row r="91" spans="1:1" ht="21.6" customHeight="1" x14ac:dyDescent="0.3">
      <c r="A91" s="2">
        <v>39569</v>
      </c>
    </row>
    <row r="92" spans="1:1" ht="21.6" customHeight="1" x14ac:dyDescent="0.3">
      <c r="A92" s="2">
        <v>39590</v>
      </c>
    </row>
    <row r="93" spans="1:1" ht="21.6" customHeight="1" x14ac:dyDescent="0.3">
      <c r="A93" s="2">
        <v>39698</v>
      </c>
    </row>
    <row r="94" spans="1:1" ht="21.6" customHeight="1" x14ac:dyDescent="0.3">
      <c r="A94" s="2">
        <v>39733</v>
      </c>
    </row>
    <row r="95" spans="1:1" ht="21.6" customHeight="1" x14ac:dyDescent="0.3">
      <c r="A95" s="2">
        <v>39754</v>
      </c>
    </row>
    <row r="96" spans="1:1" ht="21.6" customHeight="1" x14ac:dyDescent="0.3">
      <c r="A96" s="2">
        <v>39767</v>
      </c>
    </row>
    <row r="97" spans="1:1" ht="21.6" customHeight="1" x14ac:dyDescent="0.3">
      <c r="A97" s="2">
        <v>39807</v>
      </c>
    </row>
    <row r="98" spans="1:1" ht="21.6" customHeight="1" x14ac:dyDescent="0.3">
      <c r="A98" s="2">
        <v>39814</v>
      </c>
    </row>
    <row r="99" spans="1:1" ht="21.6" customHeight="1" x14ac:dyDescent="0.3">
      <c r="A99" s="2">
        <v>39867</v>
      </c>
    </row>
    <row r="100" spans="1:1" ht="21.6" customHeight="1" x14ac:dyDescent="0.3">
      <c r="A100" s="2">
        <v>39868</v>
      </c>
    </row>
    <row r="101" spans="1:1" ht="21.6" customHeight="1" x14ac:dyDescent="0.3">
      <c r="A101" s="2">
        <v>39913</v>
      </c>
    </row>
    <row r="102" spans="1:1" ht="21.6" customHeight="1" x14ac:dyDescent="0.3">
      <c r="A102" s="2">
        <v>39924</v>
      </c>
    </row>
    <row r="103" spans="1:1" ht="21.6" customHeight="1" x14ac:dyDescent="0.3">
      <c r="A103" s="2">
        <v>39934</v>
      </c>
    </row>
    <row r="104" spans="1:1" ht="21.6" customHeight="1" x14ac:dyDescent="0.3">
      <c r="A104" s="2">
        <v>39975</v>
      </c>
    </row>
    <row r="105" spans="1:1" ht="21.6" customHeight="1" x14ac:dyDescent="0.3">
      <c r="A105" s="2">
        <v>40063</v>
      </c>
    </row>
    <row r="106" spans="1:1" ht="21.6" customHeight="1" x14ac:dyDescent="0.3">
      <c r="A106" s="2">
        <v>40098</v>
      </c>
    </row>
    <row r="107" spans="1:1" ht="21.6" customHeight="1" x14ac:dyDescent="0.3">
      <c r="A107" s="2">
        <v>40119</v>
      </c>
    </row>
    <row r="108" spans="1:1" ht="21.6" customHeight="1" x14ac:dyDescent="0.3">
      <c r="A108" s="2">
        <v>40132</v>
      </c>
    </row>
    <row r="109" spans="1:1" ht="21.6" customHeight="1" x14ac:dyDescent="0.3">
      <c r="A109" s="2">
        <v>40172</v>
      </c>
    </row>
    <row r="110" spans="1:1" ht="21.6" customHeight="1" x14ac:dyDescent="0.3">
      <c r="A110" s="2">
        <v>40179</v>
      </c>
    </row>
    <row r="111" spans="1:1" ht="21.6" customHeight="1" x14ac:dyDescent="0.3">
      <c r="A111" s="2">
        <v>40224</v>
      </c>
    </row>
    <row r="112" spans="1:1" ht="21.6" customHeight="1" x14ac:dyDescent="0.3">
      <c r="A112" s="2">
        <v>40225</v>
      </c>
    </row>
    <row r="113" spans="1:1" ht="21.6" customHeight="1" x14ac:dyDescent="0.3">
      <c r="A113" s="2">
        <v>40270</v>
      </c>
    </row>
    <row r="114" spans="1:1" ht="21.6" customHeight="1" x14ac:dyDescent="0.3">
      <c r="A114" s="2">
        <v>40289</v>
      </c>
    </row>
    <row r="115" spans="1:1" ht="21.6" customHeight="1" x14ac:dyDescent="0.3">
      <c r="A115" s="2">
        <v>40299</v>
      </c>
    </row>
    <row r="116" spans="1:1" ht="21.6" customHeight="1" x14ac:dyDescent="0.3">
      <c r="A116" s="2">
        <v>40332</v>
      </c>
    </row>
    <row r="117" spans="1:1" ht="21.6" customHeight="1" x14ac:dyDescent="0.3">
      <c r="A117" s="2">
        <v>40428</v>
      </c>
    </row>
    <row r="118" spans="1:1" ht="21.6" customHeight="1" x14ac:dyDescent="0.3">
      <c r="A118" s="2">
        <v>40463</v>
      </c>
    </row>
    <row r="119" spans="1:1" ht="21.6" customHeight="1" x14ac:dyDescent="0.3">
      <c r="A119" s="2">
        <v>40484</v>
      </c>
    </row>
    <row r="120" spans="1:1" ht="21.6" customHeight="1" x14ac:dyDescent="0.3">
      <c r="A120" s="2">
        <v>40497</v>
      </c>
    </row>
    <row r="121" spans="1:1" ht="21.6" customHeight="1" x14ac:dyDescent="0.3">
      <c r="A121" s="2">
        <v>40537</v>
      </c>
    </row>
    <row r="122" spans="1:1" ht="21.6" customHeight="1" x14ac:dyDescent="0.3">
      <c r="A122" s="2">
        <v>40544</v>
      </c>
    </row>
    <row r="123" spans="1:1" ht="21.6" customHeight="1" x14ac:dyDescent="0.3">
      <c r="A123" s="2">
        <v>40609</v>
      </c>
    </row>
    <row r="124" spans="1:1" ht="21.6" customHeight="1" x14ac:dyDescent="0.3">
      <c r="A124" s="2">
        <v>40610</v>
      </c>
    </row>
    <row r="125" spans="1:1" ht="21.6" customHeight="1" x14ac:dyDescent="0.3">
      <c r="A125" s="2">
        <v>40654</v>
      </c>
    </row>
    <row r="126" spans="1:1" ht="21.6" customHeight="1" x14ac:dyDescent="0.3">
      <c r="A126" s="2">
        <v>40655</v>
      </c>
    </row>
    <row r="127" spans="1:1" ht="21.6" customHeight="1" x14ac:dyDescent="0.3">
      <c r="A127" s="2">
        <v>40664</v>
      </c>
    </row>
    <row r="128" spans="1:1" ht="21.6" customHeight="1" x14ac:dyDescent="0.3">
      <c r="A128" s="2">
        <v>40717</v>
      </c>
    </row>
    <row r="129" spans="1:1" ht="21.6" customHeight="1" x14ac:dyDescent="0.3">
      <c r="A129" s="2">
        <v>40793</v>
      </c>
    </row>
    <row r="130" spans="1:1" ht="21.6" customHeight="1" x14ac:dyDescent="0.3">
      <c r="A130" s="2">
        <v>40828</v>
      </c>
    </row>
    <row r="131" spans="1:1" ht="21.6" customHeight="1" x14ac:dyDescent="0.3">
      <c r="A131" s="2">
        <v>40849</v>
      </c>
    </row>
    <row r="132" spans="1:1" ht="21.6" customHeight="1" x14ac:dyDescent="0.3">
      <c r="A132" s="2">
        <v>40862</v>
      </c>
    </row>
    <row r="133" spans="1:1" ht="21.6" customHeight="1" x14ac:dyDescent="0.3">
      <c r="A133" s="2">
        <v>40902</v>
      </c>
    </row>
    <row r="134" spans="1:1" ht="21.6" customHeight="1" x14ac:dyDescent="0.3">
      <c r="A134" s="2">
        <v>40909</v>
      </c>
    </row>
    <row r="135" spans="1:1" ht="21.6" customHeight="1" x14ac:dyDescent="0.3">
      <c r="A135" s="2">
        <v>40959</v>
      </c>
    </row>
    <row r="136" spans="1:1" ht="21.6" customHeight="1" x14ac:dyDescent="0.3">
      <c r="A136" s="2">
        <v>40960</v>
      </c>
    </row>
    <row r="137" spans="1:1" ht="21.6" customHeight="1" x14ac:dyDescent="0.3">
      <c r="A137" s="2">
        <v>41005</v>
      </c>
    </row>
    <row r="138" spans="1:1" ht="21.6" customHeight="1" x14ac:dyDescent="0.3">
      <c r="A138" s="2">
        <v>41020</v>
      </c>
    </row>
    <row r="139" spans="1:1" ht="21.6" customHeight="1" x14ac:dyDescent="0.3">
      <c r="A139" s="2">
        <v>41030</v>
      </c>
    </row>
    <row r="140" spans="1:1" ht="21.6" customHeight="1" x14ac:dyDescent="0.3">
      <c r="A140" s="2">
        <v>41067</v>
      </c>
    </row>
    <row r="141" spans="1:1" ht="21.6" customHeight="1" x14ac:dyDescent="0.3">
      <c r="A141" s="2">
        <v>41159</v>
      </c>
    </row>
    <row r="142" spans="1:1" ht="21.6" customHeight="1" x14ac:dyDescent="0.3">
      <c r="A142" s="2">
        <v>41194</v>
      </c>
    </row>
    <row r="143" spans="1:1" ht="21.6" customHeight="1" x14ac:dyDescent="0.3">
      <c r="A143" s="2">
        <v>41215</v>
      </c>
    </row>
    <row r="144" spans="1:1" ht="21.6" customHeight="1" x14ac:dyDescent="0.3">
      <c r="A144" s="2">
        <v>41228</v>
      </c>
    </row>
    <row r="145" spans="1:1" ht="21.6" customHeight="1" x14ac:dyDescent="0.3">
      <c r="A145" s="2">
        <v>41268</v>
      </c>
    </row>
    <row r="146" spans="1:1" ht="21.6" customHeight="1" x14ac:dyDescent="0.3">
      <c r="A146" s="2">
        <v>41275</v>
      </c>
    </row>
    <row r="147" spans="1:1" ht="21.6" customHeight="1" x14ac:dyDescent="0.3">
      <c r="A147" s="2">
        <v>41316</v>
      </c>
    </row>
    <row r="148" spans="1:1" ht="21.6" customHeight="1" x14ac:dyDescent="0.3">
      <c r="A148" s="2">
        <v>41317</v>
      </c>
    </row>
    <row r="149" spans="1:1" ht="21.6" customHeight="1" x14ac:dyDescent="0.3">
      <c r="A149" s="2">
        <v>41362</v>
      </c>
    </row>
    <row r="150" spans="1:1" ht="21.6" customHeight="1" x14ac:dyDescent="0.3">
      <c r="A150" s="2">
        <v>41385</v>
      </c>
    </row>
    <row r="151" spans="1:1" ht="21.6" customHeight="1" x14ac:dyDescent="0.3">
      <c r="A151" s="2">
        <v>41395</v>
      </c>
    </row>
    <row r="152" spans="1:1" ht="21.6" customHeight="1" x14ac:dyDescent="0.3">
      <c r="A152" s="2">
        <v>41424</v>
      </c>
    </row>
    <row r="153" spans="1:1" ht="21.6" customHeight="1" x14ac:dyDescent="0.3">
      <c r="A153" s="2">
        <v>41524</v>
      </c>
    </row>
    <row r="154" spans="1:1" ht="21.6" customHeight="1" x14ac:dyDescent="0.3">
      <c r="A154" s="2">
        <v>41559</v>
      </c>
    </row>
    <row r="155" spans="1:1" ht="21.6" customHeight="1" x14ac:dyDescent="0.3">
      <c r="A155" s="2">
        <v>41580</v>
      </c>
    </row>
    <row r="156" spans="1:1" ht="21.6" customHeight="1" x14ac:dyDescent="0.3">
      <c r="A156" s="2">
        <v>41593</v>
      </c>
    </row>
    <row r="157" spans="1:1" ht="21.6" customHeight="1" x14ac:dyDescent="0.3">
      <c r="A157" s="2">
        <v>41633</v>
      </c>
    </row>
    <row r="158" spans="1:1" ht="21.6" customHeight="1" x14ac:dyDescent="0.3">
      <c r="A158" s="2">
        <v>41640</v>
      </c>
    </row>
    <row r="159" spans="1:1" ht="21.6" customHeight="1" x14ac:dyDescent="0.3">
      <c r="A159" s="2">
        <v>41701</v>
      </c>
    </row>
    <row r="160" spans="1:1" ht="21.6" customHeight="1" x14ac:dyDescent="0.3">
      <c r="A160" s="2">
        <v>41702</v>
      </c>
    </row>
    <row r="161" spans="1:1" ht="21.6" customHeight="1" x14ac:dyDescent="0.3">
      <c r="A161" s="2">
        <v>41747</v>
      </c>
    </row>
    <row r="162" spans="1:1" ht="21.6" customHeight="1" x14ac:dyDescent="0.3">
      <c r="A162" s="2">
        <v>41750</v>
      </c>
    </row>
    <row r="163" spans="1:1" ht="21.6" customHeight="1" x14ac:dyDescent="0.3">
      <c r="A163" s="2">
        <v>41760</v>
      </c>
    </row>
    <row r="164" spans="1:1" ht="21.6" customHeight="1" x14ac:dyDescent="0.3">
      <c r="A164" s="2">
        <v>41809</v>
      </c>
    </row>
    <row r="165" spans="1:1" ht="21.6" customHeight="1" x14ac:dyDescent="0.3">
      <c r="A165" s="2">
        <v>41889</v>
      </c>
    </row>
    <row r="166" spans="1:1" ht="21.6" customHeight="1" x14ac:dyDescent="0.3">
      <c r="A166" s="2">
        <v>41924</v>
      </c>
    </row>
    <row r="167" spans="1:1" ht="21.6" customHeight="1" x14ac:dyDescent="0.3">
      <c r="A167" s="2">
        <v>41945</v>
      </c>
    </row>
    <row r="168" spans="1:1" ht="21.6" customHeight="1" x14ac:dyDescent="0.3">
      <c r="A168" s="2">
        <v>41958</v>
      </c>
    </row>
    <row r="169" spans="1:1" ht="21.6" customHeight="1" x14ac:dyDescent="0.3">
      <c r="A169" s="2">
        <v>41998</v>
      </c>
    </row>
    <row r="170" spans="1:1" ht="21.6" customHeight="1" x14ac:dyDescent="0.3">
      <c r="A170" s="2">
        <v>42005</v>
      </c>
    </row>
    <row r="171" spans="1:1" ht="21.6" customHeight="1" x14ac:dyDescent="0.3">
      <c r="A171" s="2">
        <v>42051</v>
      </c>
    </row>
    <row r="172" spans="1:1" ht="21.6" customHeight="1" x14ac:dyDescent="0.3">
      <c r="A172" s="2">
        <v>42052</v>
      </c>
    </row>
    <row r="173" spans="1:1" ht="21.6" customHeight="1" x14ac:dyDescent="0.3">
      <c r="A173" s="2">
        <v>42097</v>
      </c>
    </row>
    <row r="174" spans="1:1" ht="21.6" customHeight="1" x14ac:dyDescent="0.3">
      <c r="A174" s="2">
        <v>42115</v>
      </c>
    </row>
    <row r="175" spans="1:1" ht="21.6" customHeight="1" x14ac:dyDescent="0.3">
      <c r="A175" s="2">
        <v>42125</v>
      </c>
    </row>
    <row r="176" spans="1:1" ht="21.6" customHeight="1" x14ac:dyDescent="0.3">
      <c r="A176" s="2">
        <v>42159</v>
      </c>
    </row>
    <row r="177" spans="1:1" ht="21.6" customHeight="1" x14ac:dyDescent="0.3">
      <c r="A177" s="2">
        <v>42254</v>
      </c>
    </row>
    <row r="178" spans="1:1" ht="21.6" customHeight="1" x14ac:dyDescent="0.3">
      <c r="A178" s="2">
        <v>42289</v>
      </c>
    </row>
    <row r="179" spans="1:1" ht="21.6" customHeight="1" x14ac:dyDescent="0.3">
      <c r="A179" s="2">
        <v>42310</v>
      </c>
    </row>
    <row r="180" spans="1:1" ht="21.6" customHeight="1" x14ac:dyDescent="0.3">
      <c r="A180" s="2">
        <v>42323</v>
      </c>
    </row>
    <row r="181" spans="1:1" ht="21.6" customHeight="1" x14ac:dyDescent="0.3">
      <c r="A181" s="2">
        <v>42363</v>
      </c>
    </row>
    <row r="182" spans="1:1" ht="21.6" customHeight="1" x14ac:dyDescent="0.3">
      <c r="A182" s="2">
        <v>42370</v>
      </c>
    </row>
    <row r="183" spans="1:1" ht="21.6" customHeight="1" x14ac:dyDescent="0.3">
      <c r="A183" s="2">
        <v>42408</v>
      </c>
    </row>
    <row r="184" spans="1:1" ht="21.6" customHeight="1" x14ac:dyDescent="0.3">
      <c r="A184" s="2">
        <v>42409</v>
      </c>
    </row>
    <row r="185" spans="1:1" ht="21.6" customHeight="1" x14ac:dyDescent="0.3">
      <c r="A185" s="2">
        <v>42454</v>
      </c>
    </row>
    <row r="186" spans="1:1" ht="21.6" customHeight="1" x14ac:dyDescent="0.3">
      <c r="A186" s="2">
        <v>42481</v>
      </c>
    </row>
    <row r="187" spans="1:1" ht="21.6" customHeight="1" x14ac:dyDescent="0.3">
      <c r="A187" s="2">
        <v>42491</v>
      </c>
    </row>
    <row r="188" spans="1:1" ht="21.6" customHeight="1" x14ac:dyDescent="0.3">
      <c r="A188" s="2">
        <v>42516</v>
      </c>
    </row>
    <row r="189" spans="1:1" ht="21.6" customHeight="1" x14ac:dyDescent="0.3">
      <c r="A189" s="2">
        <v>42620</v>
      </c>
    </row>
    <row r="190" spans="1:1" ht="21.6" customHeight="1" x14ac:dyDescent="0.3">
      <c r="A190" s="2">
        <v>42655</v>
      </c>
    </row>
    <row r="191" spans="1:1" ht="21.6" customHeight="1" x14ac:dyDescent="0.3">
      <c r="A191" s="2">
        <v>42676</v>
      </c>
    </row>
    <row r="192" spans="1:1" ht="21.6" customHeight="1" x14ac:dyDescent="0.3">
      <c r="A192" s="2">
        <v>42689</v>
      </c>
    </row>
    <row r="193" spans="1:1" ht="21.6" customHeight="1" x14ac:dyDescent="0.3">
      <c r="A193" s="2">
        <v>42729</v>
      </c>
    </row>
    <row r="194" spans="1:1" ht="21.6" customHeight="1" x14ac:dyDescent="0.3">
      <c r="A194" s="2">
        <v>42736</v>
      </c>
    </row>
    <row r="195" spans="1:1" ht="21.6" customHeight="1" x14ac:dyDescent="0.3">
      <c r="A195" s="2">
        <v>42793</v>
      </c>
    </row>
    <row r="196" spans="1:1" ht="21.6" customHeight="1" x14ac:dyDescent="0.3">
      <c r="A196" s="2">
        <v>42794</v>
      </c>
    </row>
    <row r="197" spans="1:1" ht="21.6" customHeight="1" x14ac:dyDescent="0.3">
      <c r="A197" s="2">
        <v>42839</v>
      </c>
    </row>
    <row r="198" spans="1:1" ht="21.6" customHeight="1" x14ac:dyDescent="0.3">
      <c r="A198" s="2">
        <v>42846</v>
      </c>
    </row>
    <row r="199" spans="1:1" ht="21.6" customHeight="1" x14ac:dyDescent="0.3">
      <c r="A199" s="2">
        <v>42856</v>
      </c>
    </row>
    <row r="200" spans="1:1" ht="21.6" customHeight="1" x14ac:dyDescent="0.3">
      <c r="A200" s="2">
        <v>42901</v>
      </c>
    </row>
    <row r="201" spans="1:1" ht="21.6" customHeight="1" x14ac:dyDescent="0.3">
      <c r="A201" s="2">
        <v>42985</v>
      </c>
    </row>
    <row r="202" spans="1:1" ht="21.6" customHeight="1" x14ac:dyDescent="0.3">
      <c r="A202" s="2">
        <v>43020</v>
      </c>
    </row>
    <row r="203" spans="1:1" ht="21.6" customHeight="1" x14ac:dyDescent="0.3">
      <c r="A203" s="2">
        <v>43041</v>
      </c>
    </row>
    <row r="204" spans="1:1" ht="21.6" customHeight="1" x14ac:dyDescent="0.3">
      <c r="A204" s="2">
        <v>43054</v>
      </c>
    </row>
    <row r="205" spans="1:1" ht="21.6" customHeight="1" x14ac:dyDescent="0.3">
      <c r="A205" s="2">
        <v>43094</v>
      </c>
    </row>
    <row r="206" spans="1:1" ht="21.6" customHeight="1" x14ac:dyDescent="0.3">
      <c r="A206" s="2">
        <v>43101</v>
      </c>
    </row>
    <row r="207" spans="1:1" ht="21.6" customHeight="1" x14ac:dyDescent="0.3">
      <c r="A207" s="2">
        <v>43143</v>
      </c>
    </row>
    <row r="208" spans="1:1" ht="21.6" customHeight="1" x14ac:dyDescent="0.3">
      <c r="A208" s="2">
        <v>43144</v>
      </c>
    </row>
    <row r="209" spans="1:1" ht="21.6" customHeight="1" x14ac:dyDescent="0.3">
      <c r="A209" s="2">
        <v>43189</v>
      </c>
    </row>
    <row r="210" spans="1:1" ht="21.6" customHeight="1" x14ac:dyDescent="0.3">
      <c r="A210" s="2">
        <v>43211</v>
      </c>
    </row>
    <row r="211" spans="1:1" ht="21.6" customHeight="1" x14ac:dyDescent="0.3">
      <c r="A211" s="2">
        <v>43221</v>
      </c>
    </row>
    <row r="212" spans="1:1" ht="21.6" customHeight="1" x14ac:dyDescent="0.3">
      <c r="A212" s="2">
        <v>43251</v>
      </c>
    </row>
    <row r="213" spans="1:1" ht="21.6" customHeight="1" x14ac:dyDescent="0.3">
      <c r="A213" s="2">
        <v>43350</v>
      </c>
    </row>
    <row r="214" spans="1:1" ht="21.6" customHeight="1" x14ac:dyDescent="0.3">
      <c r="A214" s="2">
        <v>43385</v>
      </c>
    </row>
    <row r="215" spans="1:1" ht="21.6" customHeight="1" x14ac:dyDescent="0.3">
      <c r="A215" s="2">
        <v>43406</v>
      </c>
    </row>
    <row r="216" spans="1:1" ht="21.6" customHeight="1" x14ac:dyDescent="0.3">
      <c r="A216" s="2">
        <v>43419</v>
      </c>
    </row>
    <row r="217" spans="1:1" ht="21.6" customHeight="1" x14ac:dyDescent="0.3">
      <c r="A217" s="2">
        <v>43459</v>
      </c>
    </row>
    <row r="218" spans="1:1" ht="21.6" customHeight="1" x14ac:dyDescent="0.3">
      <c r="A218" s="2">
        <v>43466</v>
      </c>
    </row>
    <row r="219" spans="1:1" ht="21.6" customHeight="1" x14ac:dyDescent="0.3">
      <c r="A219" s="2">
        <v>43528</v>
      </c>
    </row>
    <row r="220" spans="1:1" ht="21.6" customHeight="1" x14ac:dyDescent="0.3">
      <c r="A220" s="2">
        <v>43529</v>
      </c>
    </row>
    <row r="221" spans="1:1" ht="21.6" customHeight="1" x14ac:dyDescent="0.3">
      <c r="A221" s="2">
        <v>43574</v>
      </c>
    </row>
    <row r="222" spans="1:1" ht="21.6" customHeight="1" x14ac:dyDescent="0.3">
      <c r="A222" s="2">
        <v>43576</v>
      </c>
    </row>
    <row r="223" spans="1:1" ht="21.6" customHeight="1" x14ac:dyDescent="0.3">
      <c r="A223" s="2">
        <v>43586</v>
      </c>
    </row>
    <row r="224" spans="1:1" ht="21.6" customHeight="1" x14ac:dyDescent="0.3">
      <c r="A224" s="2">
        <v>43636</v>
      </c>
    </row>
    <row r="225" spans="1:1" ht="21.6" customHeight="1" x14ac:dyDescent="0.3">
      <c r="A225" s="2">
        <v>43715</v>
      </c>
    </row>
    <row r="226" spans="1:1" ht="21.6" customHeight="1" x14ac:dyDescent="0.3">
      <c r="A226" s="2">
        <v>43750</v>
      </c>
    </row>
    <row r="227" spans="1:1" ht="21.6" customHeight="1" x14ac:dyDescent="0.3">
      <c r="A227" s="2">
        <v>43771</v>
      </c>
    </row>
    <row r="228" spans="1:1" ht="21.6" customHeight="1" x14ac:dyDescent="0.3">
      <c r="A228" s="2">
        <v>43784</v>
      </c>
    </row>
    <row r="229" spans="1:1" ht="21.6" customHeight="1" x14ac:dyDescent="0.3">
      <c r="A229" s="2">
        <v>43824</v>
      </c>
    </row>
    <row r="230" spans="1:1" ht="21.6" customHeight="1" x14ac:dyDescent="0.3">
      <c r="A230" s="2">
        <v>43831</v>
      </c>
    </row>
    <row r="231" spans="1:1" ht="21.6" customHeight="1" x14ac:dyDescent="0.3">
      <c r="A231" s="2">
        <v>43885</v>
      </c>
    </row>
    <row r="232" spans="1:1" ht="21.6" customHeight="1" x14ac:dyDescent="0.3">
      <c r="A232" s="2">
        <v>43886</v>
      </c>
    </row>
    <row r="233" spans="1:1" ht="21.6" customHeight="1" x14ac:dyDescent="0.3">
      <c r="A233" s="2">
        <v>43931</v>
      </c>
    </row>
    <row r="234" spans="1:1" ht="21.6" customHeight="1" x14ac:dyDescent="0.3">
      <c r="A234" s="2">
        <v>43942</v>
      </c>
    </row>
    <row r="235" spans="1:1" ht="21.6" customHeight="1" x14ac:dyDescent="0.3">
      <c r="A235" s="2">
        <v>43952</v>
      </c>
    </row>
    <row r="236" spans="1:1" ht="21.6" customHeight="1" x14ac:dyDescent="0.3">
      <c r="A236" s="2">
        <v>43993</v>
      </c>
    </row>
    <row r="237" spans="1:1" ht="21.6" customHeight="1" x14ac:dyDescent="0.3">
      <c r="A237" s="2">
        <v>44081</v>
      </c>
    </row>
    <row r="238" spans="1:1" ht="21.6" customHeight="1" x14ac:dyDescent="0.3">
      <c r="A238" s="2">
        <v>44116</v>
      </c>
    </row>
    <row r="239" spans="1:1" ht="21.6" customHeight="1" x14ac:dyDescent="0.3">
      <c r="A239" s="2">
        <v>44137</v>
      </c>
    </row>
    <row r="240" spans="1:1" ht="21.6" customHeight="1" x14ac:dyDescent="0.3">
      <c r="A240" s="2">
        <v>44150</v>
      </c>
    </row>
    <row r="241" spans="1:1" ht="21.6" customHeight="1" x14ac:dyDescent="0.3">
      <c r="A241" s="2">
        <v>44190</v>
      </c>
    </row>
    <row r="242" spans="1:1" ht="21.6" customHeight="1" x14ac:dyDescent="0.3">
      <c r="A242" s="2">
        <v>44197</v>
      </c>
    </row>
    <row r="243" spans="1:1" ht="21.6" customHeight="1" x14ac:dyDescent="0.3">
      <c r="A243" s="2">
        <v>44242</v>
      </c>
    </row>
    <row r="244" spans="1:1" ht="21.6" customHeight="1" x14ac:dyDescent="0.3">
      <c r="A244" s="2">
        <v>44243</v>
      </c>
    </row>
    <row r="245" spans="1:1" ht="21.6" customHeight="1" x14ac:dyDescent="0.3">
      <c r="A245" s="2">
        <v>44288</v>
      </c>
    </row>
    <row r="246" spans="1:1" ht="21.6" customHeight="1" x14ac:dyDescent="0.3">
      <c r="A246" s="2">
        <v>44307</v>
      </c>
    </row>
    <row r="247" spans="1:1" ht="21.6" customHeight="1" x14ac:dyDescent="0.3">
      <c r="A247" s="2">
        <v>44317</v>
      </c>
    </row>
    <row r="248" spans="1:1" ht="21.6" customHeight="1" x14ac:dyDescent="0.3">
      <c r="A248" s="2">
        <v>44350</v>
      </c>
    </row>
    <row r="249" spans="1:1" ht="21.6" customHeight="1" x14ac:dyDescent="0.3">
      <c r="A249" s="2">
        <v>44446</v>
      </c>
    </row>
    <row r="250" spans="1:1" ht="21.6" customHeight="1" x14ac:dyDescent="0.3">
      <c r="A250" s="2">
        <v>44481</v>
      </c>
    </row>
    <row r="251" spans="1:1" ht="21.6" customHeight="1" x14ac:dyDescent="0.3">
      <c r="A251" s="2">
        <v>44502</v>
      </c>
    </row>
    <row r="252" spans="1:1" ht="21.6" customHeight="1" x14ac:dyDescent="0.3">
      <c r="A252" s="2">
        <v>44515</v>
      </c>
    </row>
    <row r="253" spans="1:1" ht="21.6" customHeight="1" x14ac:dyDescent="0.3">
      <c r="A253" s="2">
        <v>44555</v>
      </c>
    </row>
    <row r="254" spans="1:1" ht="21.6" customHeight="1" x14ac:dyDescent="0.3">
      <c r="A254" s="2">
        <v>44562</v>
      </c>
    </row>
    <row r="255" spans="1:1" ht="21.6" customHeight="1" x14ac:dyDescent="0.3">
      <c r="A255" s="2">
        <v>44620</v>
      </c>
    </row>
    <row r="256" spans="1:1" ht="21.6" customHeight="1" x14ac:dyDescent="0.3">
      <c r="A256" s="2">
        <v>44621</v>
      </c>
    </row>
    <row r="257" spans="1:1" ht="21.6" customHeight="1" x14ac:dyDescent="0.3">
      <c r="A257" s="2">
        <v>44666</v>
      </c>
    </row>
    <row r="258" spans="1:1" ht="21.6" customHeight="1" x14ac:dyDescent="0.3">
      <c r="A258" s="2">
        <v>44672</v>
      </c>
    </row>
    <row r="259" spans="1:1" ht="21.6" customHeight="1" x14ac:dyDescent="0.3">
      <c r="A259" s="2">
        <v>44682</v>
      </c>
    </row>
    <row r="260" spans="1:1" ht="21.6" customHeight="1" x14ac:dyDescent="0.3">
      <c r="A260" s="2">
        <v>44728</v>
      </c>
    </row>
    <row r="261" spans="1:1" ht="21.6" customHeight="1" x14ac:dyDescent="0.3">
      <c r="A261" s="2">
        <v>44811</v>
      </c>
    </row>
    <row r="262" spans="1:1" ht="21.6" customHeight="1" x14ac:dyDescent="0.3">
      <c r="A262" s="2">
        <v>44846</v>
      </c>
    </row>
    <row r="263" spans="1:1" ht="21.6" customHeight="1" x14ac:dyDescent="0.3">
      <c r="A263" s="2">
        <v>44867</v>
      </c>
    </row>
    <row r="264" spans="1:1" ht="21.6" customHeight="1" x14ac:dyDescent="0.3">
      <c r="A264" s="2">
        <v>44880</v>
      </c>
    </row>
    <row r="265" spans="1:1" ht="21.6" customHeight="1" x14ac:dyDescent="0.3">
      <c r="A265" s="2">
        <v>44920</v>
      </c>
    </row>
    <row r="266" spans="1:1" ht="21.6" customHeight="1" x14ac:dyDescent="0.3">
      <c r="A266" s="2">
        <v>44927</v>
      </c>
    </row>
    <row r="267" spans="1:1" ht="21.6" customHeight="1" x14ac:dyDescent="0.3">
      <c r="A267" s="2">
        <v>44977</v>
      </c>
    </row>
    <row r="268" spans="1:1" ht="21.6" customHeight="1" x14ac:dyDescent="0.3">
      <c r="A268" s="2">
        <v>44978</v>
      </c>
    </row>
    <row r="269" spans="1:1" ht="21.6" customHeight="1" x14ac:dyDescent="0.3">
      <c r="A269" s="2">
        <v>45023</v>
      </c>
    </row>
    <row r="270" spans="1:1" ht="21.6" customHeight="1" x14ac:dyDescent="0.3">
      <c r="A270" s="2">
        <v>45037</v>
      </c>
    </row>
    <row r="271" spans="1:1" ht="21.6" customHeight="1" x14ac:dyDescent="0.3">
      <c r="A271" s="2">
        <v>45047</v>
      </c>
    </row>
    <row r="272" spans="1:1" ht="21.6" customHeight="1" x14ac:dyDescent="0.3">
      <c r="A272" s="2">
        <v>45085</v>
      </c>
    </row>
    <row r="273" spans="1:1" ht="21.6" customHeight="1" x14ac:dyDescent="0.3">
      <c r="A273" s="2">
        <v>45176</v>
      </c>
    </row>
    <row r="274" spans="1:1" ht="21.6" customHeight="1" x14ac:dyDescent="0.3">
      <c r="A274" s="2">
        <v>45211</v>
      </c>
    </row>
    <row r="275" spans="1:1" ht="21.6" customHeight="1" x14ac:dyDescent="0.3">
      <c r="A275" s="2">
        <v>45232</v>
      </c>
    </row>
    <row r="276" spans="1:1" ht="21.6" customHeight="1" x14ac:dyDescent="0.3">
      <c r="A276" s="2">
        <v>45245</v>
      </c>
    </row>
    <row r="277" spans="1:1" ht="21.6" customHeight="1" x14ac:dyDescent="0.3">
      <c r="A277" s="2">
        <v>45285</v>
      </c>
    </row>
    <row r="278" spans="1:1" ht="21.6" customHeight="1" x14ac:dyDescent="0.3">
      <c r="A278" s="2">
        <v>45292</v>
      </c>
    </row>
    <row r="279" spans="1:1" ht="21.6" customHeight="1" x14ac:dyDescent="0.3">
      <c r="A279" s="2">
        <v>45334</v>
      </c>
    </row>
    <row r="280" spans="1:1" ht="21.6" customHeight="1" x14ac:dyDescent="0.3">
      <c r="A280" s="2">
        <v>45335</v>
      </c>
    </row>
    <row r="281" spans="1:1" ht="21.6" customHeight="1" x14ac:dyDescent="0.3">
      <c r="A281" s="2">
        <v>45380</v>
      </c>
    </row>
    <row r="282" spans="1:1" ht="21.6" customHeight="1" x14ac:dyDescent="0.3">
      <c r="A282" s="2">
        <v>45403</v>
      </c>
    </row>
    <row r="283" spans="1:1" ht="21.6" customHeight="1" x14ac:dyDescent="0.3">
      <c r="A283" s="2">
        <v>45413</v>
      </c>
    </row>
    <row r="284" spans="1:1" ht="21.6" customHeight="1" x14ac:dyDescent="0.3">
      <c r="A284" s="2">
        <v>45442</v>
      </c>
    </row>
    <row r="285" spans="1:1" ht="21.6" customHeight="1" x14ac:dyDescent="0.3">
      <c r="A285" s="2">
        <v>45542</v>
      </c>
    </row>
    <row r="286" spans="1:1" ht="21.6" customHeight="1" x14ac:dyDescent="0.3">
      <c r="A286" s="2">
        <v>45577</v>
      </c>
    </row>
    <row r="287" spans="1:1" ht="21.6" customHeight="1" x14ac:dyDescent="0.3">
      <c r="A287" s="2">
        <v>45598</v>
      </c>
    </row>
    <row r="288" spans="1:1" ht="21.6" customHeight="1" x14ac:dyDescent="0.3">
      <c r="A288" s="2">
        <v>45611</v>
      </c>
    </row>
    <row r="289" spans="1:1" ht="21.6" customHeight="1" x14ac:dyDescent="0.3">
      <c r="A289" s="2">
        <v>45651</v>
      </c>
    </row>
    <row r="290" spans="1:1" ht="21.6" customHeight="1" x14ac:dyDescent="0.3">
      <c r="A290" s="2">
        <v>45658</v>
      </c>
    </row>
    <row r="291" spans="1:1" ht="21.6" customHeight="1" x14ac:dyDescent="0.3">
      <c r="A291" s="2">
        <v>45719</v>
      </c>
    </row>
    <row r="292" spans="1:1" ht="21.6" customHeight="1" x14ac:dyDescent="0.3">
      <c r="A292" s="2">
        <v>45720</v>
      </c>
    </row>
    <row r="293" spans="1:1" ht="21.6" customHeight="1" x14ac:dyDescent="0.3">
      <c r="A293" s="2">
        <v>45765</v>
      </c>
    </row>
    <row r="294" spans="1:1" ht="21.6" customHeight="1" x14ac:dyDescent="0.3">
      <c r="A294" s="2">
        <v>45768</v>
      </c>
    </row>
    <row r="295" spans="1:1" ht="21.6" customHeight="1" x14ac:dyDescent="0.3">
      <c r="A295" s="2">
        <v>45778</v>
      </c>
    </row>
    <row r="296" spans="1:1" ht="21.6" customHeight="1" x14ac:dyDescent="0.3">
      <c r="A296" s="2">
        <v>45827</v>
      </c>
    </row>
    <row r="297" spans="1:1" ht="21.6" customHeight="1" x14ac:dyDescent="0.3">
      <c r="A297" s="2">
        <v>45907</v>
      </c>
    </row>
    <row r="298" spans="1:1" ht="21.6" customHeight="1" x14ac:dyDescent="0.3">
      <c r="A298" s="2">
        <v>45942</v>
      </c>
    </row>
    <row r="299" spans="1:1" ht="21.6" customHeight="1" x14ac:dyDescent="0.3">
      <c r="A299" s="2">
        <v>45963</v>
      </c>
    </row>
    <row r="300" spans="1:1" ht="21.6" customHeight="1" x14ac:dyDescent="0.3">
      <c r="A300" s="2">
        <v>45976</v>
      </c>
    </row>
    <row r="301" spans="1:1" ht="21.6" customHeight="1" x14ac:dyDescent="0.3">
      <c r="A301" s="2">
        <v>46016</v>
      </c>
    </row>
    <row r="302" spans="1:1" ht="21.6" customHeight="1" x14ac:dyDescent="0.3">
      <c r="A302" s="2">
        <v>46023</v>
      </c>
    </row>
    <row r="303" spans="1:1" ht="21.6" customHeight="1" x14ac:dyDescent="0.3">
      <c r="A303" s="2">
        <v>46069</v>
      </c>
    </row>
    <row r="304" spans="1:1" ht="21.6" customHeight="1" x14ac:dyDescent="0.3">
      <c r="A304" s="2">
        <v>46070</v>
      </c>
    </row>
    <row r="305" spans="1:1" ht="21.6" customHeight="1" x14ac:dyDescent="0.3">
      <c r="A305" s="2">
        <v>46115</v>
      </c>
    </row>
    <row r="306" spans="1:1" ht="21.6" customHeight="1" x14ac:dyDescent="0.3">
      <c r="A306" s="2">
        <v>46133</v>
      </c>
    </row>
    <row r="307" spans="1:1" ht="21.6" customHeight="1" x14ac:dyDescent="0.3">
      <c r="A307" s="2">
        <v>46143</v>
      </c>
    </row>
    <row r="308" spans="1:1" ht="21.6" customHeight="1" x14ac:dyDescent="0.3">
      <c r="A308" s="2">
        <v>46177</v>
      </c>
    </row>
    <row r="309" spans="1:1" ht="21.6" customHeight="1" x14ac:dyDescent="0.3">
      <c r="A309" s="2">
        <v>46272</v>
      </c>
    </row>
    <row r="310" spans="1:1" ht="21.6" customHeight="1" x14ac:dyDescent="0.3">
      <c r="A310" s="2">
        <v>46307</v>
      </c>
    </row>
    <row r="311" spans="1:1" ht="21.6" customHeight="1" x14ac:dyDescent="0.3">
      <c r="A311" s="2">
        <v>46328</v>
      </c>
    </row>
    <row r="312" spans="1:1" ht="21.6" customHeight="1" x14ac:dyDescent="0.3">
      <c r="A312" s="2">
        <v>46341</v>
      </c>
    </row>
    <row r="313" spans="1:1" ht="21.6" customHeight="1" x14ac:dyDescent="0.3">
      <c r="A313" s="2">
        <v>46381</v>
      </c>
    </row>
    <row r="314" spans="1:1" ht="21.6" customHeight="1" x14ac:dyDescent="0.3">
      <c r="A314" s="2">
        <v>46388</v>
      </c>
    </row>
    <row r="315" spans="1:1" ht="21.6" customHeight="1" x14ac:dyDescent="0.3">
      <c r="A315" s="2">
        <v>46426</v>
      </c>
    </row>
    <row r="316" spans="1:1" ht="21.6" customHeight="1" x14ac:dyDescent="0.3">
      <c r="A316" s="2">
        <v>46427</v>
      </c>
    </row>
    <row r="317" spans="1:1" ht="21.6" customHeight="1" x14ac:dyDescent="0.3">
      <c r="A317" s="2">
        <v>46472</v>
      </c>
    </row>
    <row r="318" spans="1:1" ht="21.6" customHeight="1" x14ac:dyDescent="0.3">
      <c r="A318" s="2">
        <v>46498</v>
      </c>
    </row>
    <row r="319" spans="1:1" ht="21.6" customHeight="1" x14ac:dyDescent="0.3">
      <c r="A319" s="2">
        <v>46508</v>
      </c>
    </row>
    <row r="320" spans="1:1" ht="21.6" customHeight="1" x14ac:dyDescent="0.3">
      <c r="A320" s="2">
        <v>46534</v>
      </c>
    </row>
    <row r="321" spans="1:1" ht="21.6" customHeight="1" x14ac:dyDescent="0.3">
      <c r="A321" s="2">
        <v>46637</v>
      </c>
    </row>
    <row r="322" spans="1:1" ht="21.6" customHeight="1" x14ac:dyDescent="0.3">
      <c r="A322" s="2">
        <v>46672</v>
      </c>
    </row>
    <row r="323" spans="1:1" ht="21.6" customHeight="1" x14ac:dyDescent="0.3">
      <c r="A323" s="2">
        <v>46693</v>
      </c>
    </row>
    <row r="324" spans="1:1" ht="21.6" customHeight="1" x14ac:dyDescent="0.3">
      <c r="A324" s="2">
        <v>46706</v>
      </c>
    </row>
    <row r="325" spans="1:1" ht="21.6" customHeight="1" x14ac:dyDescent="0.3">
      <c r="A325" s="2">
        <v>46746</v>
      </c>
    </row>
    <row r="326" spans="1:1" ht="21.6" customHeight="1" x14ac:dyDescent="0.3">
      <c r="A326" s="2">
        <v>46753</v>
      </c>
    </row>
    <row r="327" spans="1:1" ht="21.6" customHeight="1" x14ac:dyDescent="0.3">
      <c r="A327" s="2">
        <v>46811</v>
      </c>
    </row>
    <row r="328" spans="1:1" ht="21.6" customHeight="1" x14ac:dyDescent="0.3">
      <c r="A328" s="2">
        <v>46812</v>
      </c>
    </row>
    <row r="329" spans="1:1" ht="21.6" customHeight="1" x14ac:dyDescent="0.3">
      <c r="A329" s="2">
        <v>46857</v>
      </c>
    </row>
    <row r="330" spans="1:1" ht="21.6" customHeight="1" x14ac:dyDescent="0.3">
      <c r="A330" s="2">
        <v>46864</v>
      </c>
    </row>
    <row r="331" spans="1:1" ht="21.6" customHeight="1" x14ac:dyDescent="0.3">
      <c r="A331" s="2">
        <v>46874</v>
      </c>
    </row>
    <row r="332" spans="1:1" ht="21.6" customHeight="1" x14ac:dyDescent="0.3">
      <c r="A332" s="2">
        <v>46919</v>
      </c>
    </row>
    <row r="333" spans="1:1" ht="21.6" customHeight="1" x14ac:dyDescent="0.3">
      <c r="A333" s="2">
        <v>47003</v>
      </c>
    </row>
    <row r="334" spans="1:1" ht="21.6" customHeight="1" x14ac:dyDescent="0.3">
      <c r="A334" s="2">
        <v>47038</v>
      </c>
    </row>
    <row r="335" spans="1:1" ht="21.6" customHeight="1" x14ac:dyDescent="0.3">
      <c r="A335" s="2">
        <v>47059</v>
      </c>
    </row>
    <row r="336" spans="1:1" ht="21.6" customHeight="1" x14ac:dyDescent="0.3">
      <c r="A336" s="2">
        <v>47072</v>
      </c>
    </row>
    <row r="337" spans="1:1" ht="21.6" customHeight="1" x14ac:dyDescent="0.3">
      <c r="A337" s="2">
        <v>47112</v>
      </c>
    </row>
    <row r="338" spans="1:1" ht="21.6" customHeight="1" x14ac:dyDescent="0.3">
      <c r="A338" s="2">
        <v>47119</v>
      </c>
    </row>
    <row r="339" spans="1:1" ht="21.6" customHeight="1" x14ac:dyDescent="0.3">
      <c r="A339" s="2">
        <v>47161</v>
      </c>
    </row>
    <row r="340" spans="1:1" ht="21.6" customHeight="1" x14ac:dyDescent="0.3">
      <c r="A340" s="2">
        <v>47162</v>
      </c>
    </row>
    <row r="341" spans="1:1" ht="21.6" customHeight="1" x14ac:dyDescent="0.3">
      <c r="A341" s="2">
        <v>47207</v>
      </c>
    </row>
    <row r="342" spans="1:1" ht="21.6" customHeight="1" x14ac:dyDescent="0.3">
      <c r="A342" s="2">
        <v>47229</v>
      </c>
    </row>
    <row r="343" spans="1:1" ht="21.6" customHeight="1" x14ac:dyDescent="0.3">
      <c r="A343" s="2">
        <v>47239</v>
      </c>
    </row>
    <row r="344" spans="1:1" ht="21.6" customHeight="1" x14ac:dyDescent="0.3">
      <c r="A344" s="2">
        <v>47269</v>
      </c>
    </row>
    <row r="345" spans="1:1" ht="21.6" customHeight="1" x14ac:dyDescent="0.3">
      <c r="A345" s="2">
        <v>47368</v>
      </c>
    </row>
    <row r="346" spans="1:1" ht="21.6" customHeight="1" x14ac:dyDescent="0.3">
      <c r="A346" s="2">
        <v>47403</v>
      </c>
    </row>
    <row r="347" spans="1:1" ht="21.6" customHeight="1" x14ac:dyDescent="0.3">
      <c r="A347" s="2">
        <v>47424</v>
      </c>
    </row>
    <row r="348" spans="1:1" ht="21.6" customHeight="1" x14ac:dyDescent="0.3">
      <c r="A348" s="2">
        <v>47437</v>
      </c>
    </row>
    <row r="349" spans="1:1" ht="21.6" customHeight="1" x14ac:dyDescent="0.3">
      <c r="A349" s="2">
        <v>47477</v>
      </c>
    </row>
    <row r="350" spans="1:1" ht="21.6" customHeight="1" x14ac:dyDescent="0.3">
      <c r="A350" s="2">
        <v>47484</v>
      </c>
    </row>
    <row r="351" spans="1:1" ht="21.6" customHeight="1" x14ac:dyDescent="0.3">
      <c r="A351" s="2">
        <v>47546</v>
      </c>
    </row>
    <row r="352" spans="1:1" ht="21.6" customHeight="1" x14ac:dyDescent="0.3">
      <c r="A352" s="2">
        <v>47547</v>
      </c>
    </row>
    <row r="353" spans="1:1" ht="21.6" customHeight="1" x14ac:dyDescent="0.3">
      <c r="A353" s="2">
        <v>47592</v>
      </c>
    </row>
    <row r="354" spans="1:1" ht="21.6" customHeight="1" x14ac:dyDescent="0.3">
      <c r="A354" s="2">
        <v>47594</v>
      </c>
    </row>
    <row r="355" spans="1:1" ht="21.6" customHeight="1" x14ac:dyDescent="0.3">
      <c r="A355" s="2">
        <v>47604</v>
      </c>
    </row>
    <row r="356" spans="1:1" ht="21.6" customHeight="1" x14ac:dyDescent="0.3">
      <c r="A356" s="2">
        <v>47654</v>
      </c>
    </row>
    <row r="357" spans="1:1" ht="21.6" customHeight="1" x14ac:dyDescent="0.3">
      <c r="A357" s="2">
        <v>47733</v>
      </c>
    </row>
    <row r="358" spans="1:1" ht="21.6" customHeight="1" x14ac:dyDescent="0.3">
      <c r="A358" s="2">
        <v>47768</v>
      </c>
    </row>
    <row r="359" spans="1:1" ht="21.6" customHeight="1" x14ac:dyDescent="0.3">
      <c r="A359" s="2">
        <v>47789</v>
      </c>
    </row>
    <row r="360" spans="1:1" ht="21.6" customHeight="1" x14ac:dyDescent="0.3">
      <c r="A360" s="2">
        <v>47802</v>
      </c>
    </row>
    <row r="361" spans="1:1" ht="21.6" customHeight="1" x14ac:dyDescent="0.3">
      <c r="A361" s="2">
        <v>47842</v>
      </c>
    </row>
    <row r="362" spans="1:1" ht="21.6" customHeight="1" x14ac:dyDescent="0.3">
      <c r="A362" s="2">
        <v>47849</v>
      </c>
    </row>
    <row r="363" spans="1:1" ht="21.6" customHeight="1" x14ac:dyDescent="0.3">
      <c r="A363" s="2">
        <v>47903</v>
      </c>
    </row>
    <row r="364" spans="1:1" ht="21.6" customHeight="1" x14ac:dyDescent="0.3">
      <c r="A364" s="2">
        <v>47904</v>
      </c>
    </row>
    <row r="365" spans="1:1" ht="21.6" customHeight="1" x14ac:dyDescent="0.3">
      <c r="A365" s="2">
        <v>47949</v>
      </c>
    </row>
    <row r="366" spans="1:1" ht="21.6" customHeight="1" x14ac:dyDescent="0.3">
      <c r="A366" s="2">
        <v>47959</v>
      </c>
    </row>
    <row r="367" spans="1:1" ht="21.6" customHeight="1" x14ac:dyDescent="0.3">
      <c r="A367" s="2">
        <v>47969</v>
      </c>
    </row>
    <row r="368" spans="1:1" ht="21.6" customHeight="1" x14ac:dyDescent="0.3">
      <c r="A368" s="2">
        <v>48011</v>
      </c>
    </row>
    <row r="369" spans="1:1" ht="21.6" customHeight="1" x14ac:dyDescent="0.3">
      <c r="A369" s="2">
        <v>48098</v>
      </c>
    </row>
    <row r="370" spans="1:1" ht="21.6" customHeight="1" x14ac:dyDescent="0.3">
      <c r="A370" s="2">
        <v>48133</v>
      </c>
    </row>
    <row r="371" spans="1:1" ht="21.6" customHeight="1" x14ac:dyDescent="0.3">
      <c r="A371" s="2">
        <v>48154</v>
      </c>
    </row>
    <row r="372" spans="1:1" ht="21.6" customHeight="1" x14ac:dyDescent="0.3">
      <c r="A372" s="2">
        <v>48167</v>
      </c>
    </row>
    <row r="373" spans="1:1" ht="21.6" customHeight="1" x14ac:dyDescent="0.3">
      <c r="A373" s="2">
        <v>48207</v>
      </c>
    </row>
    <row r="374" spans="1:1" ht="21.6" customHeight="1" x14ac:dyDescent="0.3">
      <c r="A374" s="2">
        <v>48214</v>
      </c>
    </row>
    <row r="375" spans="1:1" ht="21.6" customHeight="1" x14ac:dyDescent="0.3">
      <c r="A375" s="2">
        <v>48253</v>
      </c>
    </row>
    <row r="376" spans="1:1" ht="21.6" customHeight="1" x14ac:dyDescent="0.3">
      <c r="A376" s="2">
        <v>48254</v>
      </c>
    </row>
    <row r="377" spans="1:1" ht="21.6" customHeight="1" x14ac:dyDescent="0.3">
      <c r="A377" s="2">
        <v>48299</v>
      </c>
    </row>
    <row r="378" spans="1:1" ht="21.6" customHeight="1" x14ac:dyDescent="0.3">
      <c r="A378" s="2">
        <v>48325</v>
      </c>
    </row>
    <row r="379" spans="1:1" ht="21.6" customHeight="1" x14ac:dyDescent="0.3">
      <c r="A379" s="2">
        <v>48335</v>
      </c>
    </row>
    <row r="380" spans="1:1" ht="21.6" customHeight="1" x14ac:dyDescent="0.3">
      <c r="A380" s="2">
        <v>48361</v>
      </c>
    </row>
    <row r="381" spans="1:1" ht="21.6" customHeight="1" x14ac:dyDescent="0.3">
      <c r="A381" s="2">
        <v>48464</v>
      </c>
    </row>
    <row r="382" spans="1:1" ht="21.6" customHeight="1" x14ac:dyDescent="0.3">
      <c r="A382" s="2">
        <v>48499</v>
      </c>
    </row>
    <row r="383" spans="1:1" ht="21.6" customHeight="1" x14ac:dyDescent="0.3">
      <c r="A383" s="2">
        <v>48520</v>
      </c>
    </row>
    <row r="384" spans="1:1" ht="21.6" customHeight="1" x14ac:dyDescent="0.3">
      <c r="A384" s="2">
        <v>48533</v>
      </c>
    </row>
    <row r="385" spans="1:1" ht="21.6" customHeight="1" x14ac:dyDescent="0.3">
      <c r="A385" s="2">
        <v>48573</v>
      </c>
    </row>
    <row r="386" spans="1:1" ht="21.6" customHeight="1" x14ac:dyDescent="0.3">
      <c r="A386" s="2">
        <v>48580</v>
      </c>
    </row>
    <row r="387" spans="1:1" ht="21.6" customHeight="1" x14ac:dyDescent="0.3">
      <c r="A387" s="2">
        <v>48638</v>
      </c>
    </row>
    <row r="388" spans="1:1" ht="21.6" customHeight="1" x14ac:dyDescent="0.3">
      <c r="A388" s="2">
        <v>48639</v>
      </c>
    </row>
    <row r="389" spans="1:1" ht="21.6" customHeight="1" x14ac:dyDescent="0.3">
      <c r="A389" s="2">
        <v>48684</v>
      </c>
    </row>
    <row r="390" spans="1:1" ht="21.6" customHeight="1" x14ac:dyDescent="0.3">
      <c r="A390" s="2">
        <v>48690</v>
      </c>
    </row>
    <row r="391" spans="1:1" ht="21.6" customHeight="1" x14ac:dyDescent="0.3">
      <c r="A391" s="2">
        <v>48700</v>
      </c>
    </row>
    <row r="392" spans="1:1" ht="21.6" customHeight="1" x14ac:dyDescent="0.3">
      <c r="A392" s="2">
        <v>48746</v>
      </c>
    </row>
    <row r="393" spans="1:1" ht="21.6" customHeight="1" x14ac:dyDescent="0.3">
      <c r="A393" s="2">
        <v>48829</v>
      </c>
    </row>
    <row r="394" spans="1:1" ht="21.6" customHeight="1" x14ac:dyDescent="0.3">
      <c r="A394" s="2">
        <v>48864</v>
      </c>
    </row>
    <row r="395" spans="1:1" ht="21.6" customHeight="1" x14ac:dyDescent="0.3">
      <c r="A395" s="2">
        <v>48885</v>
      </c>
    </row>
    <row r="396" spans="1:1" ht="21.6" customHeight="1" x14ac:dyDescent="0.3">
      <c r="A396" s="2">
        <v>48898</v>
      </c>
    </row>
    <row r="397" spans="1:1" ht="21.6" customHeight="1" x14ac:dyDescent="0.3">
      <c r="A397" s="2">
        <v>48938</v>
      </c>
    </row>
    <row r="398" spans="1:1" ht="21.6" customHeight="1" x14ac:dyDescent="0.3">
      <c r="A398" s="2">
        <v>48945</v>
      </c>
    </row>
    <row r="399" spans="1:1" ht="21.6" customHeight="1" x14ac:dyDescent="0.3">
      <c r="A399" s="2">
        <v>48995</v>
      </c>
    </row>
    <row r="400" spans="1:1" ht="21.6" customHeight="1" x14ac:dyDescent="0.3">
      <c r="A400" s="2">
        <v>48996</v>
      </c>
    </row>
    <row r="401" spans="1:1" ht="21.6" customHeight="1" x14ac:dyDescent="0.3">
      <c r="A401" s="2">
        <v>49041</v>
      </c>
    </row>
    <row r="402" spans="1:1" ht="21.6" customHeight="1" x14ac:dyDescent="0.3">
      <c r="A402" s="2">
        <v>49055</v>
      </c>
    </row>
    <row r="403" spans="1:1" ht="21.6" customHeight="1" x14ac:dyDescent="0.3">
      <c r="A403" s="2">
        <v>49065</v>
      </c>
    </row>
    <row r="404" spans="1:1" ht="21.6" customHeight="1" x14ac:dyDescent="0.3">
      <c r="A404" s="2">
        <v>49103</v>
      </c>
    </row>
    <row r="405" spans="1:1" ht="21.6" customHeight="1" x14ac:dyDescent="0.3">
      <c r="A405" s="2">
        <v>49194</v>
      </c>
    </row>
    <row r="406" spans="1:1" ht="21.6" customHeight="1" x14ac:dyDescent="0.3">
      <c r="A406" s="2">
        <v>49229</v>
      </c>
    </row>
    <row r="407" spans="1:1" ht="21.6" customHeight="1" x14ac:dyDescent="0.3">
      <c r="A407" s="2">
        <v>49250</v>
      </c>
    </row>
    <row r="408" spans="1:1" ht="21.6" customHeight="1" x14ac:dyDescent="0.3">
      <c r="A408" s="2">
        <v>49263</v>
      </c>
    </row>
    <row r="409" spans="1:1" ht="21.6" customHeight="1" x14ac:dyDescent="0.3">
      <c r="A409" s="2">
        <v>49303</v>
      </c>
    </row>
    <row r="410" spans="1:1" ht="21.6" customHeight="1" x14ac:dyDescent="0.3">
      <c r="A410" s="2">
        <v>49310</v>
      </c>
    </row>
    <row r="411" spans="1:1" ht="21.6" customHeight="1" x14ac:dyDescent="0.3">
      <c r="A411" s="2">
        <v>49345</v>
      </c>
    </row>
    <row r="412" spans="1:1" ht="21.6" customHeight="1" x14ac:dyDescent="0.3">
      <c r="A412" s="2">
        <v>49346</v>
      </c>
    </row>
    <row r="413" spans="1:1" ht="21.6" customHeight="1" x14ac:dyDescent="0.3">
      <c r="A413" s="2">
        <v>49391</v>
      </c>
    </row>
    <row r="414" spans="1:1" ht="21.6" customHeight="1" x14ac:dyDescent="0.3">
      <c r="A414" s="2">
        <v>49420</v>
      </c>
    </row>
    <row r="415" spans="1:1" ht="21.6" customHeight="1" x14ac:dyDescent="0.3">
      <c r="A415" s="2">
        <v>49430</v>
      </c>
    </row>
    <row r="416" spans="1:1" ht="21.6" customHeight="1" x14ac:dyDescent="0.3">
      <c r="A416" s="2">
        <v>49453</v>
      </c>
    </row>
    <row r="417" spans="1:1" ht="21.6" customHeight="1" x14ac:dyDescent="0.3">
      <c r="A417" s="2">
        <v>49559</v>
      </c>
    </row>
    <row r="418" spans="1:1" ht="21.6" customHeight="1" x14ac:dyDescent="0.3">
      <c r="A418" s="2">
        <v>49594</v>
      </c>
    </row>
    <row r="419" spans="1:1" ht="21.6" customHeight="1" x14ac:dyDescent="0.3">
      <c r="A419" s="2">
        <v>49615</v>
      </c>
    </row>
    <row r="420" spans="1:1" ht="21.6" customHeight="1" x14ac:dyDescent="0.3">
      <c r="A420" s="2">
        <v>49628</v>
      </c>
    </row>
    <row r="421" spans="1:1" ht="21.6" customHeight="1" x14ac:dyDescent="0.3">
      <c r="A421" s="2">
        <v>49668</v>
      </c>
    </row>
    <row r="422" spans="1:1" ht="21.6" customHeight="1" x14ac:dyDescent="0.3">
      <c r="A422" s="2">
        <v>49675</v>
      </c>
    </row>
    <row r="423" spans="1:1" ht="21.6" customHeight="1" x14ac:dyDescent="0.3">
      <c r="A423" s="2">
        <v>49730</v>
      </c>
    </row>
    <row r="424" spans="1:1" ht="21.6" customHeight="1" x14ac:dyDescent="0.3">
      <c r="A424" s="2">
        <v>49731</v>
      </c>
    </row>
    <row r="425" spans="1:1" ht="21.6" customHeight="1" x14ac:dyDescent="0.3">
      <c r="A425" s="2">
        <v>49776</v>
      </c>
    </row>
    <row r="426" spans="1:1" ht="21.6" customHeight="1" x14ac:dyDescent="0.3">
      <c r="A426" s="2">
        <v>49786</v>
      </c>
    </row>
    <row r="427" spans="1:1" ht="21.6" customHeight="1" x14ac:dyDescent="0.3">
      <c r="A427" s="2">
        <v>49796</v>
      </c>
    </row>
    <row r="428" spans="1:1" ht="21.6" customHeight="1" x14ac:dyDescent="0.3">
      <c r="A428" s="2">
        <v>49838</v>
      </c>
    </row>
    <row r="429" spans="1:1" ht="21.6" customHeight="1" x14ac:dyDescent="0.3">
      <c r="A429" s="2">
        <v>49925</v>
      </c>
    </row>
    <row r="430" spans="1:1" ht="21.6" customHeight="1" x14ac:dyDescent="0.3">
      <c r="A430" s="2">
        <v>49960</v>
      </c>
    </row>
    <row r="431" spans="1:1" ht="21.6" customHeight="1" x14ac:dyDescent="0.3">
      <c r="A431" s="2">
        <v>49981</v>
      </c>
    </row>
    <row r="432" spans="1:1" ht="21.6" customHeight="1" x14ac:dyDescent="0.3">
      <c r="A432" s="2">
        <v>49994</v>
      </c>
    </row>
    <row r="433" spans="1:1" ht="21.6" customHeight="1" x14ac:dyDescent="0.3">
      <c r="A433" s="2">
        <v>50034</v>
      </c>
    </row>
    <row r="434" spans="1:1" ht="21.6" customHeight="1" x14ac:dyDescent="0.3">
      <c r="A434" s="2">
        <v>50041</v>
      </c>
    </row>
    <row r="435" spans="1:1" ht="21.6" customHeight="1" x14ac:dyDescent="0.3">
      <c r="A435" s="2">
        <v>50087</v>
      </c>
    </row>
    <row r="436" spans="1:1" ht="21.6" customHeight="1" x14ac:dyDescent="0.3">
      <c r="A436" s="2">
        <v>50088</v>
      </c>
    </row>
    <row r="437" spans="1:1" ht="21.6" customHeight="1" x14ac:dyDescent="0.3">
      <c r="A437" s="2">
        <v>50133</v>
      </c>
    </row>
    <row r="438" spans="1:1" ht="21.6" customHeight="1" x14ac:dyDescent="0.3">
      <c r="A438" s="2">
        <v>50151</v>
      </c>
    </row>
    <row r="439" spans="1:1" ht="21.6" customHeight="1" x14ac:dyDescent="0.3">
      <c r="A439" s="2">
        <v>50161</v>
      </c>
    </row>
    <row r="440" spans="1:1" ht="21.6" customHeight="1" x14ac:dyDescent="0.3">
      <c r="A440" s="2">
        <v>50195</v>
      </c>
    </row>
    <row r="441" spans="1:1" ht="21.6" customHeight="1" x14ac:dyDescent="0.3">
      <c r="A441" s="2">
        <v>50290</v>
      </c>
    </row>
    <row r="442" spans="1:1" ht="21.6" customHeight="1" x14ac:dyDescent="0.3">
      <c r="A442" s="2">
        <v>50325</v>
      </c>
    </row>
    <row r="443" spans="1:1" ht="21.6" customHeight="1" x14ac:dyDescent="0.3">
      <c r="A443" s="2">
        <v>50346</v>
      </c>
    </row>
    <row r="444" spans="1:1" ht="21.6" customHeight="1" x14ac:dyDescent="0.3">
      <c r="A444" s="2">
        <v>50359</v>
      </c>
    </row>
    <row r="445" spans="1:1" ht="21.6" customHeight="1" x14ac:dyDescent="0.3">
      <c r="A445" s="2">
        <v>50399</v>
      </c>
    </row>
    <row r="446" spans="1:1" ht="21.6" customHeight="1" x14ac:dyDescent="0.3">
      <c r="A446" s="2">
        <v>50406</v>
      </c>
    </row>
    <row r="447" spans="1:1" ht="21.6" customHeight="1" x14ac:dyDescent="0.3">
      <c r="A447" s="2">
        <v>50472</v>
      </c>
    </row>
    <row r="448" spans="1:1" ht="21.6" customHeight="1" x14ac:dyDescent="0.3">
      <c r="A448" s="2">
        <v>50473</v>
      </c>
    </row>
    <row r="449" spans="1:1" ht="21.6" customHeight="1" x14ac:dyDescent="0.3">
      <c r="A449" s="2">
        <v>50516</v>
      </c>
    </row>
    <row r="450" spans="1:1" ht="21.6" customHeight="1" x14ac:dyDescent="0.3">
      <c r="A450" s="2">
        <v>50518</v>
      </c>
    </row>
    <row r="451" spans="1:1" ht="21.6" customHeight="1" x14ac:dyDescent="0.3">
      <c r="A451" s="2">
        <v>50526</v>
      </c>
    </row>
    <row r="452" spans="1:1" ht="21.6" customHeight="1" x14ac:dyDescent="0.3">
      <c r="A452" s="2">
        <v>50580</v>
      </c>
    </row>
    <row r="453" spans="1:1" ht="21.6" customHeight="1" x14ac:dyDescent="0.3">
      <c r="A453" s="2">
        <v>50655</v>
      </c>
    </row>
    <row r="454" spans="1:1" ht="21.6" customHeight="1" x14ac:dyDescent="0.3">
      <c r="A454" s="2">
        <v>50690</v>
      </c>
    </row>
    <row r="455" spans="1:1" ht="21.6" customHeight="1" x14ac:dyDescent="0.3">
      <c r="A455" s="2">
        <v>50711</v>
      </c>
    </row>
    <row r="456" spans="1:1" ht="21.6" customHeight="1" x14ac:dyDescent="0.3">
      <c r="A456" s="2">
        <v>50724</v>
      </c>
    </row>
    <row r="457" spans="1:1" ht="21.6" customHeight="1" x14ac:dyDescent="0.3">
      <c r="A457" s="2">
        <v>50764</v>
      </c>
    </row>
    <row r="458" spans="1:1" ht="21.6" customHeight="1" x14ac:dyDescent="0.3">
      <c r="A458" s="2">
        <v>50771</v>
      </c>
    </row>
    <row r="459" spans="1:1" ht="21.6" customHeight="1" x14ac:dyDescent="0.3">
      <c r="A459" s="2">
        <v>50822</v>
      </c>
    </row>
    <row r="460" spans="1:1" ht="21.6" customHeight="1" x14ac:dyDescent="0.3">
      <c r="A460" s="2">
        <v>50823</v>
      </c>
    </row>
    <row r="461" spans="1:1" ht="21.6" customHeight="1" x14ac:dyDescent="0.3">
      <c r="A461" s="2">
        <v>50868</v>
      </c>
    </row>
    <row r="462" spans="1:1" ht="21.6" customHeight="1" x14ac:dyDescent="0.3">
      <c r="A462" s="2">
        <v>50881</v>
      </c>
    </row>
    <row r="463" spans="1:1" ht="21.6" customHeight="1" x14ac:dyDescent="0.3">
      <c r="A463" s="2">
        <v>50891</v>
      </c>
    </row>
    <row r="464" spans="1:1" ht="21.6" customHeight="1" x14ac:dyDescent="0.3">
      <c r="A464" s="2">
        <v>50930</v>
      </c>
    </row>
    <row r="465" spans="1:1" ht="21.6" customHeight="1" x14ac:dyDescent="0.3">
      <c r="A465" s="2">
        <v>51020</v>
      </c>
    </row>
    <row r="466" spans="1:1" ht="21.6" customHeight="1" x14ac:dyDescent="0.3">
      <c r="A466" s="2">
        <v>51055</v>
      </c>
    </row>
    <row r="467" spans="1:1" ht="21.6" customHeight="1" x14ac:dyDescent="0.3">
      <c r="A467" s="2">
        <v>51076</v>
      </c>
    </row>
    <row r="468" spans="1:1" ht="21.6" customHeight="1" x14ac:dyDescent="0.3">
      <c r="A468" s="2">
        <v>51089</v>
      </c>
    </row>
    <row r="469" spans="1:1" ht="21.6" customHeight="1" x14ac:dyDescent="0.3">
      <c r="A469" s="2">
        <v>51129</v>
      </c>
    </row>
    <row r="470" spans="1:1" ht="21.6" customHeight="1" x14ac:dyDescent="0.3">
      <c r="A470" s="2">
        <v>51136</v>
      </c>
    </row>
    <row r="471" spans="1:1" ht="21.6" customHeight="1" x14ac:dyDescent="0.3">
      <c r="A471" s="2">
        <v>51179</v>
      </c>
    </row>
    <row r="472" spans="1:1" ht="21.6" customHeight="1" x14ac:dyDescent="0.3">
      <c r="A472" s="2">
        <v>51180</v>
      </c>
    </row>
    <row r="473" spans="1:1" ht="21.6" customHeight="1" x14ac:dyDescent="0.3">
      <c r="A473" s="2">
        <v>51225</v>
      </c>
    </row>
    <row r="474" spans="1:1" ht="21.6" customHeight="1" x14ac:dyDescent="0.3">
      <c r="A474" s="2">
        <v>51247</v>
      </c>
    </row>
    <row r="475" spans="1:1" ht="21.6" customHeight="1" x14ac:dyDescent="0.3">
      <c r="A475" s="2">
        <v>51257</v>
      </c>
    </row>
    <row r="476" spans="1:1" ht="21.6" customHeight="1" x14ac:dyDescent="0.3">
      <c r="A476" s="2">
        <v>51287</v>
      </c>
    </row>
    <row r="477" spans="1:1" ht="21.6" customHeight="1" x14ac:dyDescent="0.3">
      <c r="A477" s="2">
        <v>51386</v>
      </c>
    </row>
    <row r="478" spans="1:1" ht="21.6" customHeight="1" x14ac:dyDescent="0.3">
      <c r="A478" s="2">
        <v>51421</v>
      </c>
    </row>
    <row r="479" spans="1:1" ht="21.6" customHeight="1" x14ac:dyDescent="0.3">
      <c r="A479" s="2">
        <v>51442</v>
      </c>
    </row>
    <row r="480" spans="1:1" ht="21.6" customHeight="1" x14ac:dyDescent="0.3">
      <c r="A480" s="2">
        <v>51455</v>
      </c>
    </row>
    <row r="481" spans="1:1" ht="21.6" customHeight="1" x14ac:dyDescent="0.3">
      <c r="A481" s="2">
        <v>51495</v>
      </c>
    </row>
    <row r="482" spans="1:1" ht="21.6" customHeight="1" x14ac:dyDescent="0.3">
      <c r="A482" s="2">
        <v>51502</v>
      </c>
    </row>
    <row r="483" spans="1:1" ht="21.6" customHeight="1" x14ac:dyDescent="0.3">
      <c r="A483" s="2">
        <v>51564</v>
      </c>
    </row>
    <row r="484" spans="1:1" ht="21.6" customHeight="1" x14ac:dyDescent="0.3">
      <c r="A484" s="2">
        <v>51565</v>
      </c>
    </row>
    <row r="485" spans="1:1" ht="21.6" customHeight="1" x14ac:dyDescent="0.3">
      <c r="A485" s="2">
        <v>51610</v>
      </c>
    </row>
    <row r="486" spans="1:1" ht="21.6" customHeight="1" x14ac:dyDescent="0.3">
      <c r="A486" s="2">
        <v>51612</v>
      </c>
    </row>
    <row r="487" spans="1:1" ht="21.6" customHeight="1" x14ac:dyDescent="0.3">
      <c r="A487" s="2">
        <v>51622</v>
      </c>
    </row>
    <row r="488" spans="1:1" ht="21.6" customHeight="1" x14ac:dyDescent="0.3">
      <c r="A488" s="2">
        <v>51672</v>
      </c>
    </row>
    <row r="489" spans="1:1" ht="21.6" customHeight="1" x14ac:dyDescent="0.3">
      <c r="A489" s="2">
        <v>51751</v>
      </c>
    </row>
    <row r="490" spans="1:1" ht="21.6" customHeight="1" x14ac:dyDescent="0.3">
      <c r="A490" s="2">
        <v>51786</v>
      </c>
    </row>
    <row r="491" spans="1:1" ht="21.6" customHeight="1" x14ac:dyDescent="0.3">
      <c r="A491" s="2">
        <v>51807</v>
      </c>
    </row>
    <row r="492" spans="1:1" ht="21.6" customHeight="1" x14ac:dyDescent="0.3">
      <c r="A492" s="2">
        <v>51820</v>
      </c>
    </row>
    <row r="493" spans="1:1" ht="21.6" customHeight="1" x14ac:dyDescent="0.3">
      <c r="A493" s="2">
        <v>51860</v>
      </c>
    </row>
    <row r="494" spans="1:1" ht="21.6" customHeight="1" x14ac:dyDescent="0.3">
      <c r="A494" s="2">
        <v>51867</v>
      </c>
    </row>
    <row r="495" spans="1:1" ht="21.6" customHeight="1" x14ac:dyDescent="0.3">
      <c r="A495" s="2">
        <v>51914</v>
      </c>
    </row>
    <row r="496" spans="1:1" ht="21.6" customHeight="1" x14ac:dyDescent="0.3">
      <c r="A496" s="2">
        <v>51915</v>
      </c>
    </row>
    <row r="497" spans="1:1" ht="21.6" customHeight="1" x14ac:dyDescent="0.3">
      <c r="A497" s="2">
        <v>51960</v>
      </c>
    </row>
    <row r="498" spans="1:1" ht="21.6" customHeight="1" x14ac:dyDescent="0.3">
      <c r="A498" s="2">
        <v>51977</v>
      </c>
    </row>
    <row r="499" spans="1:1" ht="21.6" customHeight="1" x14ac:dyDescent="0.3">
      <c r="A499" s="2">
        <v>51987</v>
      </c>
    </row>
    <row r="500" spans="1:1" ht="21.6" customHeight="1" x14ac:dyDescent="0.3">
      <c r="A500" s="2">
        <v>52022</v>
      </c>
    </row>
    <row r="501" spans="1:1" ht="21.6" customHeight="1" x14ac:dyDescent="0.3">
      <c r="A501" s="2">
        <v>52116</v>
      </c>
    </row>
    <row r="502" spans="1:1" ht="21.6" customHeight="1" x14ac:dyDescent="0.3">
      <c r="A502" s="2">
        <v>52151</v>
      </c>
    </row>
    <row r="503" spans="1:1" ht="21.6" customHeight="1" x14ac:dyDescent="0.3">
      <c r="A503" s="2">
        <v>52172</v>
      </c>
    </row>
    <row r="504" spans="1:1" ht="21.6" customHeight="1" x14ac:dyDescent="0.3">
      <c r="A504" s="2">
        <v>52185</v>
      </c>
    </row>
    <row r="505" spans="1:1" ht="21.6" customHeight="1" x14ac:dyDescent="0.3">
      <c r="A505" s="2">
        <v>52225</v>
      </c>
    </row>
    <row r="506" spans="1:1" ht="21.6" customHeight="1" x14ac:dyDescent="0.3">
      <c r="A506" s="2">
        <v>52232</v>
      </c>
    </row>
    <row r="507" spans="1:1" ht="21.6" customHeight="1" x14ac:dyDescent="0.3">
      <c r="A507" s="2">
        <v>52271</v>
      </c>
    </row>
    <row r="508" spans="1:1" ht="21.6" customHeight="1" x14ac:dyDescent="0.3">
      <c r="A508" s="2">
        <v>52272</v>
      </c>
    </row>
    <row r="509" spans="1:1" ht="21.6" customHeight="1" x14ac:dyDescent="0.3">
      <c r="A509" s="2">
        <v>52317</v>
      </c>
    </row>
    <row r="510" spans="1:1" ht="21.6" customHeight="1" x14ac:dyDescent="0.3">
      <c r="A510" s="2">
        <v>52342</v>
      </c>
    </row>
    <row r="511" spans="1:1" ht="21.6" customHeight="1" x14ac:dyDescent="0.3">
      <c r="A511" s="2">
        <v>52352</v>
      </c>
    </row>
    <row r="512" spans="1:1" ht="21.6" customHeight="1" x14ac:dyDescent="0.3">
      <c r="A512" s="2">
        <v>52379</v>
      </c>
    </row>
    <row r="513" spans="1:1" ht="21.6" customHeight="1" x14ac:dyDescent="0.3">
      <c r="A513" s="2">
        <v>52481</v>
      </c>
    </row>
    <row r="514" spans="1:1" ht="21.6" customHeight="1" x14ac:dyDescent="0.3">
      <c r="A514" s="2">
        <v>52516</v>
      </c>
    </row>
    <row r="515" spans="1:1" ht="21.6" customHeight="1" x14ac:dyDescent="0.3">
      <c r="A515" s="2">
        <v>52537</v>
      </c>
    </row>
    <row r="516" spans="1:1" ht="21.6" customHeight="1" x14ac:dyDescent="0.3">
      <c r="A516" s="2">
        <v>52550</v>
      </c>
    </row>
    <row r="517" spans="1:1" ht="21.6" customHeight="1" x14ac:dyDescent="0.3">
      <c r="A517" s="2">
        <v>52590</v>
      </c>
    </row>
    <row r="518" spans="1:1" ht="21.6" customHeight="1" x14ac:dyDescent="0.3">
      <c r="A518" s="2">
        <v>52597</v>
      </c>
    </row>
    <row r="519" spans="1:1" ht="21.6" customHeight="1" x14ac:dyDescent="0.3">
      <c r="A519" s="2">
        <v>52656</v>
      </c>
    </row>
    <row r="520" spans="1:1" ht="21.6" customHeight="1" x14ac:dyDescent="0.3">
      <c r="A520" s="2">
        <v>52657</v>
      </c>
    </row>
    <row r="521" spans="1:1" ht="21.6" customHeight="1" x14ac:dyDescent="0.3">
      <c r="A521" s="2">
        <v>52702</v>
      </c>
    </row>
    <row r="522" spans="1:1" ht="21.6" customHeight="1" x14ac:dyDescent="0.3">
      <c r="A522" s="2">
        <v>52708</v>
      </c>
    </row>
    <row r="523" spans="1:1" ht="21.6" customHeight="1" x14ac:dyDescent="0.3">
      <c r="A523" s="2">
        <v>52718</v>
      </c>
    </row>
    <row r="524" spans="1:1" ht="21.6" customHeight="1" x14ac:dyDescent="0.3">
      <c r="A524" s="2">
        <v>52764</v>
      </c>
    </row>
    <row r="525" spans="1:1" ht="21.6" customHeight="1" x14ac:dyDescent="0.3">
      <c r="A525" s="2">
        <v>52847</v>
      </c>
    </row>
    <row r="526" spans="1:1" ht="21.6" customHeight="1" x14ac:dyDescent="0.3">
      <c r="A526" s="2">
        <v>52882</v>
      </c>
    </row>
    <row r="527" spans="1:1" ht="21.6" customHeight="1" x14ac:dyDescent="0.3">
      <c r="A527" s="2">
        <v>52903</v>
      </c>
    </row>
    <row r="528" spans="1:1" ht="21.6" customHeight="1" x14ac:dyDescent="0.3">
      <c r="A528" s="2">
        <v>52916</v>
      </c>
    </row>
    <row r="529" spans="1:1" ht="21.6" customHeight="1" x14ac:dyDescent="0.3">
      <c r="A529" s="2">
        <v>52956</v>
      </c>
    </row>
    <row r="530" spans="1:1" ht="21.6" customHeight="1" x14ac:dyDescent="0.3">
      <c r="A530" s="2">
        <v>52963</v>
      </c>
    </row>
    <row r="531" spans="1:1" ht="21.6" customHeight="1" x14ac:dyDescent="0.3">
      <c r="A531" s="2">
        <v>53013</v>
      </c>
    </row>
    <row r="532" spans="1:1" ht="21.6" customHeight="1" x14ac:dyDescent="0.3">
      <c r="A532" s="2">
        <v>53014</v>
      </c>
    </row>
    <row r="533" spans="1:1" ht="21.6" customHeight="1" x14ac:dyDescent="0.3">
      <c r="A533" s="2">
        <v>53059</v>
      </c>
    </row>
    <row r="534" spans="1:1" ht="21.6" customHeight="1" x14ac:dyDescent="0.3">
      <c r="A534" s="2">
        <v>53073</v>
      </c>
    </row>
    <row r="535" spans="1:1" ht="21.6" customHeight="1" x14ac:dyDescent="0.3">
      <c r="A535" s="2">
        <v>53083</v>
      </c>
    </row>
    <row r="536" spans="1:1" ht="21.6" customHeight="1" x14ac:dyDescent="0.3">
      <c r="A536" s="2">
        <v>53121</v>
      </c>
    </row>
    <row r="537" spans="1:1" ht="21.6" customHeight="1" x14ac:dyDescent="0.3">
      <c r="A537" s="2">
        <v>53212</v>
      </c>
    </row>
    <row r="538" spans="1:1" ht="21.6" customHeight="1" x14ac:dyDescent="0.3">
      <c r="A538" s="2">
        <v>53247</v>
      </c>
    </row>
    <row r="539" spans="1:1" ht="21.6" customHeight="1" x14ac:dyDescent="0.3">
      <c r="A539" s="2">
        <v>53268</v>
      </c>
    </row>
    <row r="540" spans="1:1" ht="21.6" customHeight="1" x14ac:dyDescent="0.3">
      <c r="A540" s="2">
        <v>53281</v>
      </c>
    </row>
    <row r="541" spans="1:1" ht="21.6" customHeight="1" x14ac:dyDescent="0.3">
      <c r="A541" s="2">
        <v>53321</v>
      </c>
    </row>
    <row r="542" spans="1:1" ht="21.6" customHeight="1" x14ac:dyDescent="0.3">
      <c r="A542" s="2">
        <v>53328</v>
      </c>
    </row>
    <row r="543" spans="1:1" ht="21.6" customHeight="1" x14ac:dyDescent="0.3">
      <c r="A543" s="2">
        <v>53363</v>
      </c>
    </row>
    <row r="544" spans="1:1" ht="21.6" customHeight="1" x14ac:dyDescent="0.3">
      <c r="A544" s="2">
        <v>53364</v>
      </c>
    </row>
    <row r="545" spans="1:1" ht="21.6" customHeight="1" x14ac:dyDescent="0.3">
      <c r="A545" s="2">
        <v>53409</v>
      </c>
    </row>
    <row r="546" spans="1:1" ht="21.6" customHeight="1" x14ac:dyDescent="0.3">
      <c r="A546" s="2">
        <v>53438</v>
      </c>
    </row>
    <row r="547" spans="1:1" ht="21.6" customHeight="1" x14ac:dyDescent="0.3">
      <c r="A547" s="2">
        <v>53448</v>
      </c>
    </row>
    <row r="548" spans="1:1" ht="21.6" customHeight="1" x14ac:dyDescent="0.3">
      <c r="A548" s="2">
        <v>53471</v>
      </c>
    </row>
    <row r="549" spans="1:1" ht="21.6" customHeight="1" x14ac:dyDescent="0.3">
      <c r="A549" s="2">
        <v>53577</v>
      </c>
    </row>
    <row r="550" spans="1:1" ht="21.6" customHeight="1" x14ac:dyDescent="0.3">
      <c r="A550" s="2">
        <v>53612</v>
      </c>
    </row>
    <row r="551" spans="1:1" ht="21.6" customHeight="1" x14ac:dyDescent="0.3">
      <c r="A551" s="2">
        <v>53633</v>
      </c>
    </row>
    <row r="552" spans="1:1" ht="21.6" customHeight="1" x14ac:dyDescent="0.3">
      <c r="A552" s="2">
        <v>53646</v>
      </c>
    </row>
    <row r="553" spans="1:1" ht="21.6" customHeight="1" x14ac:dyDescent="0.3">
      <c r="A553" s="2">
        <v>53686</v>
      </c>
    </row>
    <row r="554" spans="1:1" ht="21.6" customHeight="1" x14ac:dyDescent="0.3">
      <c r="A554" s="2">
        <v>53693</v>
      </c>
    </row>
    <row r="555" spans="1:1" ht="21.6" customHeight="1" x14ac:dyDescent="0.3">
      <c r="A555" s="2">
        <v>53748</v>
      </c>
    </row>
    <row r="556" spans="1:1" ht="21.6" customHeight="1" x14ac:dyDescent="0.3">
      <c r="A556" s="2">
        <v>53749</v>
      </c>
    </row>
    <row r="557" spans="1:1" ht="21.6" customHeight="1" x14ac:dyDescent="0.3">
      <c r="A557" s="2">
        <v>53794</v>
      </c>
    </row>
    <row r="558" spans="1:1" ht="21.6" customHeight="1" x14ac:dyDescent="0.3">
      <c r="A558" s="2">
        <v>53803</v>
      </c>
    </row>
    <row r="559" spans="1:1" ht="21.6" customHeight="1" x14ac:dyDescent="0.3">
      <c r="A559" s="2">
        <v>53813</v>
      </c>
    </row>
    <row r="560" spans="1:1" ht="21.6" customHeight="1" x14ac:dyDescent="0.3">
      <c r="A560" s="2">
        <v>53856</v>
      </c>
    </row>
    <row r="561" spans="1:1" ht="21.6" customHeight="1" x14ac:dyDescent="0.3">
      <c r="A561" s="2">
        <v>53942</v>
      </c>
    </row>
    <row r="562" spans="1:1" ht="21.6" customHeight="1" x14ac:dyDescent="0.3">
      <c r="A562" s="2">
        <v>53977</v>
      </c>
    </row>
    <row r="563" spans="1:1" ht="21.6" customHeight="1" x14ac:dyDescent="0.3">
      <c r="A563" s="2">
        <v>53998</v>
      </c>
    </row>
    <row r="564" spans="1:1" ht="21.6" customHeight="1" x14ac:dyDescent="0.3">
      <c r="A564" s="2">
        <v>54011</v>
      </c>
    </row>
    <row r="565" spans="1:1" ht="21.6" customHeight="1" x14ac:dyDescent="0.3">
      <c r="A565" s="2">
        <v>54051</v>
      </c>
    </row>
    <row r="566" spans="1:1" ht="21.6" customHeight="1" x14ac:dyDescent="0.3">
      <c r="A566" s="2">
        <v>54058</v>
      </c>
    </row>
    <row r="567" spans="1:1" ht="21.6" customHeight="1" x14ac:dyDescent="0.3">
      <c r="A567" s="2">
        <v>54105</v>
      </c>
    </row>
    <row r="568" spans="1:1" ht="21.6" customHeight="1" x14ac:dyDescent="0.3">
      <c r="A568" s="2">
        <v>54106</v>
      </c>
    </row>
    <row r="569" spans="1:1" ht="21.6" customHeight="1" x14ac:dyDescent="0.3">
      <c r="A569" s="2">
        <v>54151</v>
      </c>
    </row>
    <row r="570" spans="1:1" ht="21.6" customHeight="1" x14ac:dyDescent="0.3">
      <c r="A570" s="2">
        <v>54169</v>
      </c>
    </row>
    <row r="571" spans="1:1" ht="21.6" customHeight="1" x14ac:dyDescent="0.3">
      <c r="A571" s="2">
        <v>54179</v>
      </c>
    </row>
    <row r="572" spans="1:1" ht="21.6" customHeight="1" x14ac:dyDescent="0.3">
      <c r="A572" s="2">
        <v>54213</v>
      </c>
    </row>
    <row r="573" spans="1:1" ht="21.6" customHeight="1" x14ac:dyDescent="0.3">
      <c r="A573" s="2">
        <v>54308</v>
      </c>
    </row>
    <row r="574" spans="1:1" ht="21.6" customHeight="1" x14ac:dyDescent="0.3">
      <c r="A574" s="2">
        <v>54343</v>
      </c>
    </row>
    <row r="575" spans="1:1" ht="21.6" customHeight="1" x14ac:dyDescent="0.3">
      <c r="A575" s="2">
        <v>54364</v>
      </c>
    </row>
    <row r="576" spans="1:1" ht="21.6" customHeight="1" x14ac:dyDescent="0.3">
      <c r="A576" s="2">
        <v>54377</v>
      </c>
    </row>
    <row r="577" spans="1:1" ht="21.6" customHeight="1" x14ac:dyDescent="0.3">
      <c r="A577" s="2">
        <v>54417</v>
      </c>
    </row>
    <row r="578" spans="1:1" ht="21.6" customHeight="1" x14ac:dyDescent="0.3">
      <c r="A578" s="2">
        <v>54424</v>
      </c>
    </row>
    <row r="579" spans="1:1" ht="21.6" customHeight="1" x14ac:dyDescent="0.3">
      <c r="A579" s="2">
        <v>54483</v>
      </c>
    </row>
    <row r="580" spans="1:1" ht="21.6" customHeight="1" x14ac:dyDescent="0.3">
      <c r="A580" s="2">
        <v>54484</v>
      </c>
    </row>
    <row r="581" spans="1:1" ht="21.6" customHeight="1" x14ac:dyDescent="0.3">
      <c r="A581" s="2">
        <v>54529</v>
      </c>
    </row>
    <row r="582" spans="1:1" ht="21.6" customHeight="1" x14ac:dyDescent="0.3">
      <c r="A582" s="2">
        <v>54534</v>
      </c>
    </row>
    <row r="583" spans="1:1" ht="21.6" customHeight="1" x14ac:dyDescent="0.3">
      <c r="A583" s="2">
        <v>54544</v>
      </c>
    </row>
    <row r="584" spans="1:1" ht="21.6" customHeight="1" x14ac:dyDescent="0.3">
      <c r="A584" s="2">
        <v>54591</v>
      </c>
    </row>
    <row r="585" spans="1:1" ht="21.6" customHeight="1" x14ac:dyDescent="0.3">
      <c r="A585" s="2">
        <v>54673</v>
      </c>
    </row>
    <row r="586" spans="1:1" ht="21.6" customHeight="1" x14ac:dyDescent="0.3">
      <c r="A586" s="2">
        <v>54708</v>
      </c>
    </row>
    <row r="587" spans="1:1" ht="21.6" customHeight="1" x14ac:dyDescent="0.3">
      <c r="A587" s="2">
        <v>54729</v>
      </c>
    </row>
    <row r="588" spans="1:1" ht="21.6" customHeight="1" x14ac:dyDescent="0.3">
      <c r="A588" s="2">
        <v>54742</v>
      </c>
    </row>
    <row r="589" spans="1:1" ht="21.6" customHeight="1" x14ac:dyDescent="0.3">
      <c r="A589" s="2">
        <v>54782</v>
      </c>
    </row>
    <row r="590" spans="1:1" ht="21.6" customHeight="1" x14ac:dyDescent="0.3">
      <c r="A590" s="2">
        <v>54789</v>
      </c>
    </row>
    <row r="591" spans="1:1" ht="21.6" customHeight="1" x14ac:dyDescent="0.3">
      <c r="A591" s="2">
        <v>54840</v>
      </c>
    </row>
    <row r="592" spans="1:1" ht="21.6" customHeight="1" x14ac:dyDescent="0.3">
      <c r="A592" s="2">
        <v>54841</v>
      </c>
    </row>
    <row r="593" spans="1:1" ht="21.6" customHeight="1" x14ac:dyDescent="0.3">
      <c r="A593" s="2">
        <v>54886</v>
      </c>
    </row>
    <row r="594" spans="1:1" ht="21.6" customHeight="1" x14ac:dyDescent="0.3">
      <c r="A594" s="2">
        <v>54899</v>
      </c>
    </row>
    <row r="595" spans="1:1" ht="21.6" customHeight="1" x14ac:dyDescent="0.3">
      <c r="A595" s="2">
        <v>54909</v>
      </c>
    </row>
    <row r="596" spans="1:1" ht="21.6" customHeight="1" x14ac:dyDescent="0.3">
      <c r="A596" s="2">
        <v>54948</v>
      </c>
    </row>
    <row r="597" spans="1:1" ht="21.6" customHeight="1" x14ac:dyDescent="0.3">
      <c r="A597" s="2">
        <v>55038</v>
      </c>
    </row>
    <row r="598" spans="1:1" ht="21.6" customHeight="1" x14ac:dyDescent="0.3">
      <c r="A598" s="2">
        <v>55073</v>
      </c>
    </row>
    <row r="599" spans="1:1" ht="21.6" customHeight="1" x14ac:dyDescent="0.3">
      <c r="A599" s="2">
        <v>55094</v>
      </c>
    </row>
    <row r="600" spans="1:1" ht="21.6" customHeight="1" x14ac:dyDescent="0.3">
      <c r="A600" s="2">
        <v>55107</v>
      </c>
    </row>
    <row r="601" spans="1:1" ht="21.6" customHeight="1" x14ac:dyDescent="0.3">
      <c r="A601" s="2">
        <v>55147</v>
      </c>
    </row>
    <row r="602" spans="1:1" ht="21.6" customHeight="1" x14ac:dyDescent="0.3">
      <c r="A602" s="2">
        <v>55154</v>
      </c>
    </row>
    <row r="603" spans="1:1" ht="21.6" customHeight="1" x14ac:dyDescent="0.3">
      <c r="A603" s="2">
        <v>55197</v>
      </c>
    </row>
    <row r="604" spans="1:1" ht="21.6" customHeight="1" x14ac:dyDescent="0.3">
      <c r="A604" s="2">
        <v>55198</v>
      </c>
    </row>
    <row r="605" spans="1:1" ht="21.6" customHeight="1" x14ac:dyDescent="0.3">
      <c r="A605" s="2">
        <v>55243</v>
      </c>
    </row>
    <row r="606" spans="1:1" ht="21.6" customHeight="1" x14ac:dyDescent="0.3">
      <c r="A606" s="2">
        <v>55264</v>
      </c>
    </row>
    <row r="607" spans="1:1" ht="21.6" customHeight="1" x14ac:dyDescent="0.3">
      <c r="A607" s="2">
        <v>55274</v>
      </c>
    </row>
    <row r="608" spans="1:1" ht="21.6" customHeight="1" x14ac:dyDescent="0.3">
      <c r="A608" s="2">
        <v>55305</v>
      </c>
    </row>
    <row r="609" spans="1:1" ht="21.6" customHeight="1" x14ac:dyDescent="0.3">
      <c r="A609" s="2">
        <v>55403</v>
      </c>
    </row>
    <row r="610" spans="1:1" ht="21.6" customHeight="1" x14ac:dyDescent="0.3">
      <c r="A610" s="2">
        <v>55438</v>
      </c>
    </row>
    <row r="611" spans="1:1" ht="21.6" customHeight="1" x14ac:dyDescent="0.3">
      <c r="A611" s="2">
        <v>55459</v>
      </c>
    </row>
    <row r="612" spans="1:1" ht="21.6" customHeight="1" x14ac:dyDescent="0.3">
      <c r="A612" s="2">
        <v>55472</v>
      </c>
    </row>
    <row r="613" spans="1:1" ht="21.6" customHeight="1" x14ac:dyDescent="0.3">
      <c r="A613" s="2">
        <v>55512</v>
      </c>
    </row>
    <row r="614" spans="1:1" ht="21.6" customHeight="1" x14ac:dyDescent="0.3">
      <c r="A614" s="2">
        <v>55519</v>
      </c>
    </row>
    <row r="615" spans="1:1" ht="21.6" customHeight="1" x14ac:dyDescent="0.3">
      <c r="A615" s="2">
        <v>55582</v>
      </c>
    </row>
    <row r="616" spans="1:1" ht="21.6" customHeight="1" x14ac:dyDescent="0.3">
      <c r="A616" s="2">
        <v>55583</v>
      </c>
    </row>
    <row r="617" spans="1:1" ht="21.6" customHeight="1" x14ac:dyDescent="0.3">
      <c r="A617" s="2">
        <v>55628</v>
      </c>
    </row>
    <row r="618" spans="1:1" ht="21.6" customHeight="1" x14ac:dyDescent="0.3">
      <c r="A618" s="2">
        <v>55630</v>
      </c>
    </row>
    <row r="619" spans="1:1" ht="21.6" customHeight="1" x14ac:dyDescent="0.3">
      <c r="A619" s="2">
        <v>55640</v>
      </c>
    </row>
    <row r="620" spans="1:1" ht="21.6" customHeight="1" x14ac:dyDescent="0.3">
      <c r="A620" s="2">
        <v>55690</v>
      </c>
    </row>
    <row r="621" spans="1:1" ht="21.6" customHeight="1" x14ac:dyDescent="0.3">
      <c r="A621" s="2">
        <v>55769</v>
      </c>
    </row>
    <row r="622" spans="1:1" ht="21.6" customHeight="1" x14ac:dyDescent="0.3">
      <c r="A622" s="2">
        <v>55804</v>
      </c>
    </row>
    <row r="623" spans="1:1" ht="21.6" customHeight="1" x14ac:dyDescent="0.3">
      <c r="A623" s="2">
        <v>55825</v>
      </c>
    </row>
    <row r="624" spans="1:1" ht="21.6" customHeight="1" x14ac:dyDescent="0.3">
      <c r="A624" s="2">
        <v>55838</v>
      </c>
    </row>
    <row r="625" spans="1:1" ht="21.6" customHeight="1" x14ac:dyDescent="0.3">
      <c r="A625" s="2">
        <v>55878</v>
      </c>
    </row>
    <row r="626" spans="1:1" ht="21.6" customHeight="1" x14ac:dyDescent="0.3">
      <c r="A626" s="2">
        <v>55885</v>
      </c>
    </row>
    <row r="627" spans="1:1" ht="21.6" customHeight="1" x14ac:dyDescent="0.3">
      <c r="A627" s="2">
        <v>55932</v>
      </c>
    </row>
    <row r="628" spans="1:1" ht="21.6" customHeight="1" x14ac:dyDescent="0.3">
      <c r="A628" s="2">
        <v>55933</v>
      </c>
    </row>
    <row r="629" spans="1:1" ht="21.6" customHeight="1" x14ac:dyDescent="0.3">
      <c r="A629" s="2">
        <v>55978</v>
      </c>
    </row>
    <row r="630" spans="1:1" ht="21.6" customHeight="1" x14ac:dyDescent="0.3">
      <c r="A630" s="2">
        <v>55995</v>
      </c>
    </row>
    <row r="631" spans="1:1" ht="21.6" customHeight="1" x14ac:dyDescent="0.3">
      <c r="A631" s="2">
        <v>56005</v>
      </c>
    </row>
    <row r="632" spans="1:1" ht="21.6" customHeight="1" x14ac:dyDescent="0.3">
      <c r="A632" s="2">
        <v>56040</v>
      </c>
    </row>
    <row r="633" spans="1:1" ht="21.6" customHeight="1" x14ac:dyDescent="0.3">
      <c r="A633" s="2">
        <v>56134</v>
      </c>
    </row>
    <row r="634" spans="1:1" ht="21.6" customHeight="1" x14ac:dyDescent="0.3">
      <c r="A634" s="2">
        <v>56169</v>
      </c>
    </row>
    <row r="635" spans="1:1" ht="21.6" customHeight="1" x14ac:dyDescent="0.3">
      <c r="A635" s="2">
        <v>56190</v>
      </c>
    </row>
    <row r="636" spans="1:1" ht="21.6" customHeight="1" x14ac:dyDescent="0.3">
      <c r="A636" s="2">
        <v>56203</v>
      </c>
    </row>
    <row r="637" spans="1:1" ht="21.6" customHeight="1" x14ac:dyDescent="0.3">
      <c r="A637" s="2">
        <v>56243</v>
      </c>
    </row>
    <row r="638" spans="1:1" ht="21.6" customHeight="1" x14ac:dyDescent="0.3">
      <c r="A638" s="2">
        <v>56250</v>
      </c>
    </row>
    <row r="639" spans="1:1" ht="21.6" customHeight="1" x14ac:dyDescent="0.3">
      <c r="A639" s="2">
        <v>56289</v>
      </c>
    </row>
    <row r="640" spans="1:1" ht="21.6" customHeight="1" x14ac:dyDescent="0.3">
      <c r="A640" s="2">
        <v>56290</v>
      </c>
    </row>
    <row r="641" spans="1:1" ht="21.6" customHeight="1" x14ac:dyDescent="0.3">
      <c r="A641" s="2">
        <v>56335</v>
      </c>
    </row>
    <row r="642" spans="1:1" ht="21.6" customHeight="1" x14ac:dyDescent="0.3">
      <c r="A642" s="2">
        <v>56360</v>
      </c>
    </row>
    <row r="643" spans="1:1" ht="21.6" customHeight="1" x14ac:dyDescent="0.3">
      <c r="A643" s="2">
        <v>56370</v>
      </c>
    </row>
    <row r="644" spans="1:1" ht="21.6" customHeight="1" x14ac:dyDescent="0.3">
      <c r="A644" s="2">
        <v>56397</v>
      </c>
    </row>
    <row r="645" spans="1:1" ht="21.6" customHeight="1" x14ac:dyDescent="0.3">
      <c r="A645" s="2">
        <v>56499</v>
      </c>
    </row>
    <row r="646" spans="1:1" ht="21.6" customHeight="1" x14ac:dyDescent="0.3">
      <c r="A646" s="2">
        <v>56534</v>
      </c>
    </row>
    <row r="647" spans="1:1" ht="21.6" customHeight="1" x14ac:dyDescent="0.3">
      <c r="A647" s="2">
        <v>56555</v>
      </c>
    </row>
    <row r="648" spans="1:1" ht="21.6" customHeight="1" x14ac:dyDescent="0.3">
      <c r="A648" s="2">
        <v>56568</v>
      </c>
    </row>
    <row r="649" spans="1:1" ht="21.6" customHeight="1" x14ac:dyDescent="0.3">
      <c r="A649" s="2">
        <v>56608</v>
      </c>
    </row>
    <row r="650" spans="1:1" ht="21.6" customHeight="1" x14ac:dyDescent="0.3">
      <c r="A650" s="2">
        <v>56615</v>
      </c>
    </row>
    <row r="651" spans="1:1" ht="21.6" customHeight="1" x14ac:dyDescent="0.3">
      <c r="A651" s="2">
        <v>56674</v>
      </c>
    </row>
    <row r="652" spans="1:1" ht="21.6" customHeight="1" x14ac:dyDescent="0.3">
      <c r="A652" s="2">
        <v>56675</v>
      </c>
    </row>
    <row r="653" spans="1:1" ht="21.6" customHeight="1" x14ac:dyDescent="0.3">
      <c r="A653" s="2">
        <v>56720</v>
      </c>
    </row>
    <row r="654" spans="1:1" ht="21.6" customHeight="1" x14ac:dyDescent="0.3">
      <c r="A654" s="2">
        <v>56725</v>
      </c>
    </row>
    <row r="655" spans="1:1" ht="21.6" customHeight="1" x14ac:dyDescent="0.3">
      <c r="A655" s="2">
        <v>56735</v>
      </c>
    </row>
    <row r="656" spans="1:1" ht="21.6" customHeight="1" x14ac:dyDescent="0.3">
      <c r="A656" s="2">
        <v>56782</v>
      </c>
    </row>
    <row r="657" spans="1:1" ht="21.6" customHeight="1" x14ac:dyDescent="0.3">
      <c r="A657" s="2">
        <v>56864</v>
      </c>
    </row>
    <row r="658" spans="1:1" ht="21.6" customHeight="1" x14ac:dyDescent="0.3">
      <c r="A658" s="2">
        <v>56899</v>
      </c>
    </row>
    <row r="659" spans="1:1" ht="21.6" customHeight="1" x14ac:dyDescent="0.3">
      <c r="A659" s="2">
        <v>56920</v>
      </c>
    </row>
    <row r="660" spans="1:1" ht="21.6" customHeight="1" x14ac:dyDescent="0.3">
      <c r="A660" s="2">
        <v>56933</v>
      </c>
    </row>
    <row r="661" spans="1:1" ht="21.6" customHeight="1" x14ac:dyDescent="0.3">
      <c r="A661" s="2">
        <v>56973</v>
      </c>
    </row>
    <row r="662" spans="1:1" ht="21.6" customHeight="1" x14ac:dyDescent="0.3">
      <c r="A662" s="2">
        <v>56980</v>
      </c>
    </row>
    <row r="663" spans="1:1" ht="21.6" customHeight="1" x14ac:dyDescent="0.3">
      <c r="A663" s="2">
        <v>57024</v>
      </c>
    </row>
    <row r="664" spans="1:1" ht="21.6" customHeight="1" x14ac:dyDescent="0.3">
      <c r="A664" s="2">
        <v>57025</v>
      </c>
    </row>
    <row r="665" spans="1:1" ht="21.6" customHeight="1" x14ac:dyDescent="0.3">
      <c r="A665" s="2">
        <v>57070</v>
      </c>
    </row>
    <row r="666" spans="1:1" ht="21.6" customHeight="1" x14ac:dyDescent="0.3">
      <c r="A666" s="2">
        <v>57091</v>
      </c>
    </row>
    <row r="667" spans="1:1" ht="21.6" customHeight="1" x14ac:dyDescent="0.3">
      <c r="A667" s="2">
        <v>57101</v>
      </c>
    </row>
    <row r="668" spans="1:1" ht="21.6" customHeight="1" x14ac:dyDescent="0.3">
      <c r="A668" s="2">
        <v>57132</v>
      </c>
    </row>
    <row r="669" spans="1:1" ht="21.6" customHeight="1" x14ac:dyDescent="0.3">
      <c r="A669" s="2">
        <v>57230</v>
      </c>
    </row>
    <row r="670" spans="1:1" ht="21.6" customHeight="1" x14ac:dyDescent="0.3">
      <c r="A670" s="2">
        <v>57265</v>
      </c>
    </row>
    <row r="671" spans="1:1" ht="21.6" customHeight="1" x14ac:dyDescent="0.3">
      <c r="A671" s="2">
        <v>57286</v>
      </c>
    </row>
    <row r="672" spans="1:1" ht="21.6" customHeight="1" x14ac:dyDescent="0.3">
      <c r="A672" s="2">
        <v>57299</v>
      </c>
    </row>
    <row r="673" spans="1:1" ht="21.6" customHeight="1" x14ac:dyDescent="0.3">
      <c r="A673" s="2">
        <v>57339</v>
      </c>
    </row>
    <row r="674" spans="1:1" ht="21.6" customHeight="1" x14ac:dyDescent="0.3">
      <c r="A674" s="2">
        <v>57346</v>
      </c>
    </row>
    <row r="675" spans="1:1" ht="21.6" customHeight="1" x14ac:dyDescent="0.3">
      <c r="A675" s="2">
        <v>57409</v>
      </c>
    </row>
    <row r="676" spans="1:1" ht="21.6" customHeight="1" x14ac:dyDescent="0.3">
      <c r="A676" s="2">
        <v>57410</v>
      </c>
    </row>
    <row r="677" spans="1:1" ht="21.6" customHeight="1" x14ac:dyDescent="0.3">
      <c r="A677" s="2">
        <v>57455</v>
      </c>
    </row>
    <row r="678" spans="1:1" ht="21.6" customHeight="1" x14ac:dyDescent="0.3">
      <c r="A678" s="2">
        <v>57456</v>
      </c>
    </row>
    <row r="679" spans="1:1" ht="21.6" customHeight="1" x14ac:dyDescent="0.3">
      <c r="A679" s="2">
        <v>57466</v>
      </c>
    </row>
    <row r="680" spans="1:1" ht="21.6" customHeight="1" x14ac:dyDescent="0.3">
      <c r="A680" s="2">
        <v>57517</v>
      </c>
    </row>
    <row r="681" spans="1:1" ht="21.6" customHeight="1" x14ac:dyDescent="0.3">
      <c r="A681" s="2">
        <v>57595</v>
      </c>
    </row>
    <row r="682" spans="1:1" ht="21.6" customHeight="1" x14ac:dyDescent="0.3">
      <c r="A682" s="2">
        <v>57630</v>
      </c>
    </row>
    <row r="683" spans="1:1" ht="21.6" customHeight="1" x14ac:dyDescent="0.3">
      <c r="A683" s="2">
        <v>57651</v>
      </c>
    </row>
    <row r="684" spans="1:1" ht="21.6" customHeight="1" x14ac:dyDescent="0.3">
      <c r="A684" s="2">
        <v>57664</v>
      </c>
    </row>
    <row r="685" spans="1:1" ht="21.6" customHeight="1" x14ac:dyDescent="0.3">
      <c r="A685" s="2">
        <v>57704</v>
      </c>
    </row>
    <row r="686" spans="1:1" ht="21.6" customHeight="1" x14ac:dyDescent="0.3">
      <c r="A686" s="2">
        <v>57711</v>
      </c>
    </row>
    <row r="687" spans="1:1" ht="21.6" customHeight="1" x14ac:dyDescent="0.3">
      <c r="A687" s="2">
        <v>57766</v>
      </c>
    </row>
    <row r="688" spans="1:1" ht="21.6" customHeight="1" x14ac:dyDescent="0.3">
      <c r="A688" s="2">
        <v>57767</v>
      </c>
    </row>
    <row r="689" spans="1:1" ht="21.6" customHeight="1" x14ac:dyDescent="0.3">
      <c r="A689" s="2">
        <v>57812</v>
      </c>
    </row>
    <row r="690" spans="1:1" ht="21.6" customHeight="1" x14ac:dyDescent="0.3">
      <c r="A690" s="2">
        <v>57821</v>
      </c>
    </row>
    <row r="691" spans="1:1" ht="21.6" customHeight="1" x14ac:dyDescent="0.3">
      <c r="A691" s="2">
        <v>57831</v>
      </c>
    </row>
    <row r="692" spans="1:1" ht="21.6" customHeight="1" x14ac:dyDescent="0.3">
      <c r="A692" s="2">
        <v>57874</v>
      </c>
    </row>
    <row r="693" spans="1:1" ht="21.6" customHeight="1" x14ac:dyDescent="0.3">
      <c r="A693" s="2">
        <v>57960</v>
      </c>
    </row>
    <row r="694" spans="1:1" ht="21.6" customHeight="1" x14ac:dyDescent="0.3">
      <c r="A694" s="2">
        <v>57995</v>
      </c>
    </row>
    <row r="695" spans="1:1" ht="21.6" customHeight="1" x14ac:dyDescent="0.3">
      <c r="A695" s="2">
        <v>58016</v>
      </c>
    </row>
    <row r="696" spans="1:1" ht="21.6" customHeight="1" x14ac:dyDescent="0.3">
      <c r="A696" s="2">
        <v>58029</v>
      </c>
    </row>
    <row r="697" spans="1:1" ht="21.6" customHeight="1" x14ac:dyDescent="0.3">
      <c r="A697" s="2">
        <v>58069</v>
      </c>
    </row>
    <row r="698" spans="1:1" ht="21.6" customHeight="1" x14ac:dyDescent="0.3">
      <c r="A698" s="2">
        <v>58076</v>
      </c>
    </row>
    <row r="699" spans="1:1" ht="21.6" customHeight="1" x14ac:dyDescent="0.3">
      <c r="A699" s="2">
        <v>58116</v>
      </c>
    </row>
    <row r="700" spans="1:1" ht="21.6" customHeight="1" x14ac:dyDescent="0.3">
      <c r="A700" s="2">
        <v>58117</v>
      </c>
    </row>
    <row r="701" spans="1:1" ht="21.6" customHeight="1" x14ac:dyDescent="0.3">
      <c r="A701" s="2">
        <v>58162</v>
      </c>
    </row>
    <row r="702" spans="1:1" ht="21.6" customHeight="1" x14ac:dyDescent="0.3">
      <c r="A702" s="2">
        <v>58186</v>
      </c>
    </row>
    <row r="703" spans="1:1" ht="21.6" customHeight="1" x14ac:dyDescent="0.3">
      <c r="A703" s="2">
        <v>58196</v>
      </c>
    </row>
    <row r="704" spans="1:1" ht="21.6" customHeight="1" x14ac:dyDescent="0.3">
      <c r="A704" s="2">
        <v>58224</v>
      </c>
    </row>
    <row r="705" spans="1:1" ht="21.6" customHeight="1" x14ac:dyDescent="0.3">
      <c r="A705" s="2">
        <v>58325</v>
      </c>
    </row>
    <row r="706" spans="1:1" ht="21.6" customHeight="1" x14ac:dyDescent="0.3">
      <c r="A706" s="2">
        <v>58360</v>
      </c>
    </row>
    <row r="707" spans="1:1" ht="21.6" customHeight="1" x14ac:dyDescent="0.3">
      <c r="A707" s="2">
        <v>58381</v>
      </c>
    </row>
    <row r="708" spans="1:1" ht="21.6" customHeight="1" x14ac:dyDescent="0.3">
      <c r="A708" s="2">
        <v>58394</v>
      </c>
    </row>
    <row r="709" spans="1:1" ht="21.6" customHeight="1" x14ac:dyDescent="0.3">
      <c r="A709" s="2">
        <v>58434</v>
      </c>
    </row>
    <row r="710" spans="1:1" ht="21.6" customHeight="1" x14ac:dyDescent="0.3">
      <c r="A710" s="2">
        <v>58441</v>
      </c>
    </row>
    <row r="711" spans="1:1" ht="21.6" customHeight="1" x14ac:dyDescent="0.3">
      <c r="A711" s="2">
        <v>58501</v>
      </c>
    </row>
    <row r="712" spans="1:1" ht="21.6" customHeight="1" x14ac:dyDescent="0.3">
      <c r="A712" s="2">
        <v>58502</v>
      </c>
    </row>
    <row r="713" spans="1:1" ht="21.6" customHeight="1" x14ac:dyDescent="0.3">
      <c r="A713" s="2">
        <v>58547</v>
      </c>
    </row>
    <row r="714" spans="1:1" ht="21.6" customHeight="1" x14ac:dyDescent="0.3">
      <c r="A714" s="2">
        <v>58552</v>
      </c>
    </row>
    <row r="715" spans="1:1" ht="21.6" customHeight="1" x14ac:dyDescent="0.3">
      <c r="A715" s="2">
        <v>58562</v>
      </c>
    </row>
    <row r="716" spans="1:1" ht="21.6" customHeight="1" x14ac:dyDescent="0.3">
      <c r="A716" s="2">
        <v>58609</v>
      </c>
    </row>
    <row r="717" spans="1:1" ht="21.6" customHeight="1" x14ac:dyDescent="0.3">
      <c r="A717" s="2">
        <v>58691</v>
      </c>
    </row>
    <row r="718" spans="1:1" ht="21.6" customHeight="1" x14ac:dyDescent="0.3">
      <c r="A718" s="2">
        <v>58726</v>
      </c>
    </row>
    <row r="719" spans="1:1" ht="21.6" customHeight="1" x14ac:dyDescent="0.3">
      <c r="A719" s="2">
        <v>58747</v>
      </c>
    </row>
    <row r="720" spans="1:1" ht="21.6" customHeight="1" x14ac:dyDescent="0.3">
      <c r="A720" s="2">
        <v>58760</v>
      </c>
    </row>
    <row r="721" spans="1:1" ht="21.6" customHeight="1" x14ac:dyDescent="0.3">
      <c r="A721" s="2">
        <v>58800</v>
      </c>
    </row>
    <row r="722" spans="1:1" ht="21.6" customHeight="1" x14ac:dyDescent="0.3">
      <c r="A722" s="2">
        <v>58807</v>
      </c>
    </row>
    <row r="723" spans="1:1" ht="21.6" customHeight="1" x14ac:dyDescent="0.3">
      <c r="A723" s="2">
        <v>58858</v>
      </c>
    </row>
    <row r="724" spans="1:1" ht="21.6" customHeight="1" x14ac:dyDescent="0.3">
      <c r="A724" s="2">
        <v>58859</v>
      </c>
    </row>
    <row r="725" spans="1:1" ht="21.6" customHeight="1" x14ac:dyDescent="0.3">
      <c r="A725" s="2">
        <v>58904</v>
      </c>
    </row>
    <row r="726" spans="1:1" ht="21.6" customHeight="1" x14ac:dyDescent="0.3">
      <c r="A726" s="2">
        <v>58917</v>
      </c>
    </row>
    <row r="727" spans="1:1" ht="21.6" customHeight="1" x14ac:dyDescent="0.3">
      <c r="A727" s="2">
        <v>58927</v>
      </c>
    </row>
    <row r="728" spans="1:1" ht="21.6" customHeight="1" x14ac:dyDescent="0.3">
      <c r="A728" s="2">
        <v>58966</v>
      </c>
    </row>
    <row r="729" spans="1:1" ht="21.6" customHeight="1" x14ac:dyDescent="0.3">
      <c r="A729" s="2">
        <v>59056</v>
      </c>
    </row>
    <row r="730" spans="1:1" ht="21.6" customHeight="1" x14ac:dyDescent="0.3">
      <c r="A730" s="2">
        <v>59091</v>
      </c>
    </row>
    <row r="731" spans="1:1" ht="21.6" customHeight="1" x14ac:dyDescent="0.3">
      <c r="A731" s="2">
        <v>59112</v>
      </c>
    </row>
    <row r="732" spans="1:1" ht="21.6" customHeight="1" x14ac:dyDescent="0.3">
      <c r="A732" s="2">
        <v>59125</v>
      </c>
    </row>
    <row r="733" spans="1:1" ht="21.6" customHeight="1" x14ac:dyDescent="0.3">
      <c r="A733" s="2">
        <v>59165</v>
      </c>
    </row>
    <row r="734" spans="1:1" ht="21.6" customHeight="1" x14ac:dyDescent="0.3">
      <c r="A734" s="2">
        <v>59172</v>
      </c>
    </row>
    <row r="735" spans="1:1" ht="21.6" customHeight="1" x14ac:dyDescent="0.3">
      <c r="A735" s="2">
        <v>59208</v>
      </c>
    </row>
    <row r="736" spans="1:1" ht="21.6" customHeight="1" x14ac:dyDescent="0.3">
      <c r="A736" s="2">
        <v>59209</v>
      </c>
    </row>
    <row r="737" spans="1:1" ht="21.6" customHeight="1" x14ac:dyDescent="0.3">
      <c r="A737" s="2">
        <v>59254</v>
      </c>
    </row>
    <row r="738" spans="1:1" ht="21.6" customHeight="1" x14ac:dyDescent="0.3">
      <c r="A738" s="2">
        <v>59282</v>
      </c>
    </row>
    <row r="739" spans="1:1" ht="21.6" customHeight="1" x14ac:dyDescent="0.3">
      <c r="A739" s="2">
        <v>59292</v>
      </c>
    </row>
    <row r="740" spans="1:1" ht="21.6" customHeight="1" x14ac:dyDescent="0.3">
      <c r="A740" s="2">
        <v>59316</v>
      </c>
    </row>
    <row r="741" spans="1:1" ht="21.6" customHeight="1" x14ac:dyDescent="0.3">
      <c r="A741" s="2">
        <v>59421</v>
      </c>
    </row>
    <row r="742" spans="1:1" ht="21.6" customHeight="1" x14ac:dyDescent="0.3">
      <c r="A742" s="2">
        <v>59456</v>
      </c>
    </row>
    <row r="743" spans="1:1" ht="21.6" customHeight="1" x14ac:dyDescent="0.3">
      <c r="A743" s="2">
        <v>59477</v>
      </c>
    </row>
    <row r="744" spans="1:1" ht="21.6" customHeight="1" x14ac:dyDescent="0.3">
      <c r="A744" s="2">
        <v>59490</v>
      </c>
    </row>
    <row r="745" spans="1:1" ht="21.6" customHeight="1" x14ac:dyDescent="0.3">
      <c r="A745" s="2">
        <v>59530</v>
      </c>
    </row>
    <row r="746" spans="1:1" ht="21.6" customHeight="1" x14ac:dyDescent="0.3">
      <c r="A746" s="2">
        <v>59537</v>
      </c>
    </row>
    <row r="747" spans="1:1" ht="21.6" customHeight="1" x14ac:dyDescent="0.3">
      <c r="A747" s="2">
        <v>59593</v>
      </c>
    </row>
    <row r="748" spans="1:1" ht="21.6" customHeight="1" x14ac:dyDescent="0.3">
      <c r="A748" s="2">
        <v>59594</v>
      </c>
    </row>
    <row r="749" spans="1:1" ht="21.6" customHeight="1" x14ac:dyDescent="0.3">
      <c r="A749" s="2">
        <v>59639</v>
      </c>
    </row>
    <row r="750" spans="1:1" ht="21.6" customHeight="1" x14ac:dyDescent="0.3">
      <c r="A750" s="2">
        <v>59647</v>
      </c>
    </row>
    <row r="751" spans="1:1" ht="21.6" customHeight="1" x14ac:dyDescent="0.3">
      <c r="A751" s="2">
        <v>59657</v>
      </c>
    </row>
    <row r="752" spans="1:1" ht="21.6" customHeight="1" x14ac:dyDescent="0.3">
      <c r="A752" s="2">
        <v>59701</v>
      </c>
    </row>
    <row r="753" spans="1:1" ht="21.6" customHeight="1" x14ac:dyDescent="0.3">
      <c r="A753" s="2">
        <v>59786</v>
      </c>
    </row>
    <row r="754" spans="1:1" ht="21.6" customHeight="1" x14ac:dyDescent="0.3">
      <c r="A754" s="2">
        <v>59821</v>
      </c>
    </row>
    <row r="755" spans="1:1" ht="21.6" customHeight="1" x14ac:dyDescent="0.3">
      <c r="A755" s="2">
        <v>59842</v>
      </c>
    </row>
    <row r="756" spans="1:1" ht="21.6" customHeight="1" x14ac:dyDescent="0.3">
      <c r="A756" s="2">
        <v>59855</v>
      </c>
    </row>
    <row r="757" spans="1:1" ht="21.6" customHeight="1" x14ac:dyDescent="0.3">
      <c r="A757" s="2">
        <v>59895</v>
      </c>
    </row>
    <row r="758" spans="1:1" ht="21.6" customHeight="1" x14ac:dyDescent="0.3">
      <c r="A758" s="2">
        <v>59902</v>
      </c>
    </row>
    <row r="759" spans="1:1" ht="21.6" customHeight="1" x14ac:dyDescent="0.3">
      <c r="A759" s="2">
        <v>59950</v>
      </c>
    </row>
    <row r="760" spans="1:1" ht="21.6" customHeight="1" x14ac:dyDescent="0.3">
      <c r="A760" s="2">
        <v>59951</v>
      </c>
    </row>
    <row r="761" spans="1:1" ht="21.6" customHeight="1" x14ac:dyDescent="0.3">
      <c r="A761" s="2">
        <v>59996</v>
      </c>
    </row>
    <row r="762" spans="1:1" ht="21.6" customHeight="1" x14ac:dyDescent="0.3">
      <c r="A762" s="2">
        <v>60013</v>
      </c>
    </row>
    <row r="763" spans="1:1" ht="21.6" customHeight="1" x14ac:dyDescent="0.3">
      <c r="A763" s="2">
        <v>60023</v>
      </c>
    </row>
    <row r="764" spans="1:1" ht="21.6" customHeight="1" x14ac:dyDescent="0.3">
      <c r="A764" s="2">
        <v>60058</v>
      </c>
    </row>
    <row r="765" spans="1:1" ht="21.6" customHeight="1" x14ac:dyDescent="0.3">
      <c r="A765" s="2">
        <v>60152</v>
      </c>
    </row>
    <row r="766" spans="1:1" ht="21.6" customHeight="1" x14ac:dyDescent="0.3">
      <c r="A766" s="2">
        <v>60187</v>
      </c>
    </row>
    <row r="767" spans="1:1" ht="21.6" customHeight="1" x14ac:dyDescent="0.3">
      <c r="A767" s="2">
        <v>60208</v>
      </c>
    </row>
    <row r="768" spans="1:1" ht="21.6" customHeight="1" x14ac:dyDescent="0.3">
      <c r="A768" s="2">
        <v>60221</v>
      </c>
    </row>
    <row r="769" spans="1:1" ht="21.6" customHeight="1" x14ac:dyDescent="0.3">
      <c r="A769" s="2">
        <v>60261</v>
      </c>
    </row>
    <row r="770" spans="1:1" ht="21.6" customHeight="1" x14ac:dyDescent="0.3">
      <c r="A770" s="2">
        <v>60268</v>
      </c>
    </row>
    <row r="771" spans="1:1" ht="21.6" customHeight="1" x14ac:dyDescent="0.3">
      <c r="A771" s="2">
        <v>60307</v>
      </c>
    </row>
    <row r="772" spans="1:1" ht="21.6" customHeight="1" x14ac:dyDescent="0.3">
      <c r="A772" s="2">
        <v>60308</v>
      </c>
    </row>
    <row r="773" spans="1:1" ht="21.6" customHeight="1" x14ac:dyDescent="0.3">
      <c r="A773" s="2">
        <v>60353</v>
      </c>
    </row>
    <row r="774" spans="1:1" ht="21.6" customHeight="1" x14ac:dyDescent="0.3">
      <c r="A774" s="2">
        <v>60378</v>
      </c>
    </row>
    <row r="775" spans="1:1" ht="21.6" customHeight="1" x14ac:dyDescent="0.3">
      <c r="A775" s="2">
        <v>60388</v>
      </c>
    </row>
    <row r="776" spans="1:1" ht="21.6" customHeight="1" x14ac:dyDescent="0.3">
      <c r="A776" s="2">
        <v>60415</v>
      </c>
    </row>
    <row r="777" spans="1:1" ht="21.6" customHeight="1" x14ac:dyDescent="0.3">
      <c r="A777" s="2">
        <v>60517</v>
      </c>
    </row>
    <row r="778" spans="1:1" ht="21.6" customHeight="1" x14ac:dyDescent="0.3">
      <c r="A778" s="2">
        <v>60552</v>
      </c>
    </row>
    <row r="779" spans="1:1" ht="21.6" customHeight="1" x14ac:dyDescent="0.3">
      <c r="A779" s="2">
        <v>60573</v>
      </c>
    </row>
    <row r="780" spans="1:1" ht="21.6" customHeight="1" x14ac:dyDescent="0.3">
      <c r="A780" s="2">
        <v>60586</v>
      </c>
    </row>
    <row r="781" spans="1:1" ht="21.6" customHeight="1" x14ac:dyDescent="0.3">
      <c r="A781" s="2">
        <v>60626</v>
      </c>
    </row>
    <row r="782" spans="1:1" ht="21.6" customHeight="1" x14ac:dyDescent="0.3">
      <c r="A782" s="2">
        <v>60633</v>
      </c>
    </row>
    <row r="783" spans="1:1" ht="21.6" customHeight="1" x14ac:dyDescent="0.3">
      <c r="A783" s="2">
        <v>60685</v>
      </c>
    </row>
    <row r="784" spans="1:1" ht="21.6" customHeight="1" x14ac:dyDescent="0.3">
      <c r="A784" s="2">
        <v>60686</v>
      </c>
    </row>
    <row r="785" spans="1:1" ht="21.6" customHeight="1" x14ac:dyDescent="0.3">
      <c r="A785" s="2">
        <v>60731</v>
      </c>
    </row>
    <row r="786" spans="1:1" ht="21.6" customHeight="1" x14ac:dyDescent="0.3">
      <c r="A786" s="2">
        <v>60743</v>
      </c>
    </row>
    <row r="787" spans="1:1" ht="21.6" customHeight="1" x14ac:dyDescent="0.3">
      <c r="A787" s="2">
        <v>60753</v>
      </c>
    </row>
    <row r="788" spans="1:1" ht="21.6" customHeight="1" x14ac:dyDescent="0.3">
      <c r="A788" s="2">
        <v>60793</v>
      </c>
    </row>
    <row r="789" spans="1:1" ht="21.6" customHeight="1" x14ac:dyDescent="0.3">
      <c r="A789" s="2">
        <v>60882</v>
      </c>
    </row>
    <row r="790" spans="1:1" ht="21.6" customHeight="1" x14ac:dyDescent="0.3">
      <c r="A790" s="2">
        <v>60917</v>
      </c>
    </row>
    <row r="791" spans="1:1" ht="21.6" customHeight="1" x14ac:dyDescent="0.3">
      <c r="A791" s="2">
        <v>60938</v>
      </c>
    </row>
    <row r="792" spans="1:1" ht="21.6" customHeight="1" x14ac:dyDescent="0.3">
      <c r="A792" s="2">
        <v>60951</v>
      </c>
    </row>
    <row r="793" spans="1:1" ht="21.6" customHeight="1" x14ac:dyDescent="0.3">
      <c r="A793" s="2">
        <v>60991</v>
      </c>
    </row>
    <row r="794" spans="1:1" ht="21.6" customHeight="1" x14ac:dyDescent="0.3">
      <c r="A794" s="2">
        <v>60998</v>
      </c>
    </row>
    <row r="795" spans="1:1" ht="21.6" customHeight="1" x14ac:dyDescent="0.3">
      <c r="A795" s="2">
        <v>61042</v>
      </c>
    </row>
    <row r="796" spans="1:1" ht="21.6" customHeight="1" x14ac:dyDescent="0.3">
      <c r="A796" s="2">
        <v>61043</v>
      </c>
    </row>
    <row r="797" spans="1:1" ht="21.6" customHeight="1" x14ac:dyDescent="0.3">
      <c r="A797" s="2">
        <v>61088</v>
      </c>
    </row>
    <row r="798" spans="1:1" ht="21.6" customHeight="1" x14ac:dyDescent="0.3">
      <c r="A798" s="2">
        <v>61108</v>
      </c>
    </row>
    <row r="799" spans="1:1" ht="21.6" customHeight="1" x14ac:dyDescent="0.3">
      <c r="A799" s="2">
        <v>61118</v>
      </c>
    </row>
    <row r="800" spans="1:1" ht="21.6" customHeight="1" x14ac:dyDescent="0.3">
      <c r="A800" s="2">
        <v>61150</v>
      </c>
    </row>
    <row r="801" spans="1:1" ht="21.6" customHeight="1" x14ac:dyDescent="0.3">
      <c r="A801" s="2">
        <v>61247</v>
      </c>
    </row>
    <row r="802" spans="1:1" ht="21.6" customHeight="1" x14ac:dyDescent="0.3">
      <c r="A802" s="2">
        <v>61282</v>
      </c>
    </row>
    <row r="803" spans="1:1" ht="21.6" customHeight="1" x14ac:dyDescent="0.3">
      <c r="A803" s="2">
        <v>61303</v>
      </c>
    </row>
    <row r="804" spans="1:1" ht="21.6" customHeight="1" x14ac:dyDescent="0.3">
      <c r="A804" s="2">
        <v>61316</v>
      </c>
    </row>
    <row r="805" spans="1:1" ht="21.6" customHeight="1" x14ac:dyDescent="0.3">
      <c r="A805" s="2">
        <v>61356</v>
      </c>
    </row>
    <row r="806" spans="1:1" ht="21.6" customHeight="1" x14ac:dyDescent="0.3">
      <c r="A806" s="2">
        <v>61363</v>
      </c>
    </row>
    <row r="807" spans="1:1" ht="21.6" customHeight="1" x14ac:dyDescent="0.3">
      <c r="A807" s="2">
        <v>61427</v>
      </c>
    </row>
    <row r="808" spans="1:1" ht="21.6" customHeight="1" x14ac:dyDescent="0.3">
      <c r="A808" s="2">
        <v>61428</v>
      </c>
    </row>
    <row r="809" spans="1:1" ht="21.6" customHeight="1" x14ac:dyDescent="0.3">
      <c r="A809" s="2">
        <v>61473</v>
      </c>
    </row>
    <row r="810" spans="1:1" ht="21.6" customHeight="1" x14ac:dyDescent="0.3">
      <c r="A810" s="2">
        <v>61474</v>
      </c>
    </row>
    <row r="811" spans="1:1" ht="21.6" customHeight="1" x14ac:dyDescent="0.3">
      <c r="A811" s="2">
        <v>61484</v>
      </c>
    </row>
    <row r="812" spans="1:1" ht="21.6" customHeight="1" x14ac:dyDescent="0.3">
      <c r="A812" s="2">
        <v>61535</v>
      </c>
    </row>
    <row r="813" spans="1:1" ht="21.6" customHeight="1" x14ac:dyDescent="0.3">
      <c r="A813" s="2">
        <v>61613</v>
      </c>
    </row>
    <row r="814" spans="1:1" ht="21.6" customHeight="1" x14ac:dyDescent="0.3">
      <c r="A814" s="2">
        <v>61648</v>
      </c>
    </row>
    <row r="815" spans="1:1" ht="21.6" customHeight="1" x14ac:dyDescent="0.3">
      <c r="A815" s="2">
        <v>61669</v>
      </c>
    </row>
    <row r="816" spans="1:1" ht="21.6" customHeight="1" x14ac:dyDescent="0.3">
      <c r="A816" s="2">
        <v>61682</v>
      </c>
    </row>
    <row r="817" spans="1:1" ht="21.6" customHeight="1" x14ac:dyDescent="0.3">
      <c r="A817" s="2">
        <v>61722</v>
      </c>
    </row>
    <row r="818" spans="1:1" ht="21.6" customHeight="1" x14ac:dyDescent="0.3">
      <c r="A818" s="2">
        <v>61729</v>
      </c>
    </row>
    <row r="819" spans="1:1" ht="21.6" customHeight="1" x14ac:dyDescent="0.3">
      <c r="A819" s="2">
        <v>61784</v>
      </c>
    </row>
    <row r="820" spans="1:1" ht="21.6" customHeight="1" x14ac:dyDescent="0.3">
      <c r="A820" s="2">
        <v>61785</v>
      </c>
    </row>
    <row r="821" spans="1:1" ht="21.6" customHeight="1" x14ac:dyDescent="0.3">
      <c r="A821" s="2">
        <v>61830</v>
      </c>
    </row>
    <row r="822" spans="1:1" ht="21.6" customHeight="1" x14ac:dyDescent="0.3">
      <c r="A822" s="2">
        <v>61839</v>
      </c>
    </row>
    <row r="823" spans="1:1" ht="21.6" customHeight="1" x14ac:dyDescent="0.3">
      <c r="A823" s="2">
        <v>61849</v>
      </c>
    </row>
    <row r="824" spans="1:1" ht="21.6" customHeight="1" x14ac:dyDescent="0.3">
      <c r="A824" s="2">
        <v>61892</v>
      </c>
    </row>
    <row r="825" spans="1:1" ht="21.6" customHeight="1" x14ac:dyDescent="0.3">
      <c r="A825" s="2">
        <v>61978</v>
      </c>
    </row>
    <row r="826" spans="1:1" ht="21.6" customHeight="1" x14ac:dyDescent="0.3">
      <c r="A826" s="2">
        <v>62013</v>
      </c>
    </row>
    <row r="827" spans="1:1" ht="21.6" customHeight="1" x14ac:dyDescent="0.3">
      <c r="A827" s="2">
        <v>62034</v>
      </c>
    </row>
    <row r="828" spans="1:1" ht="21.6" customHeight="1" x14ac:dyDescent="0.3">
      <c r="A828" s="2">
        <v>62047</v>
      </c>
    </row>
    <row r="829" spans="1:1" ht="21.6" customHeight="1" x14ac:dyDescent="0.3">
      <c r="A829" s="2">
        <v>62087</v>
      </c>
    </row>
    <row r="830" spans="1:1" ht="21.6" customHeight="1" x14ac:dyDescent="0.3">
      <c r="A830" s="2">
        <v>62094</v>
      </c>
    </row>
    <row r="831" spans="1:1" ht="21.6" customHeight="1" x14ac:dyDescent="0.3">
      <c r="A831" s="2">
        <v>62134</v>
      </c>
    </row>
    <row r="832" spans="1:1" ht="21.6" customHeight="1" x14ac:dyDescent="0.3">
      <c r="A832" s="2">
        <v>62135</v>
      </c>
    </row>
    <row r="833" spans="1:1" ht="21.6" customHeight="1" x14ac:dyDescent="0.3">
      <c r="A833" s="2">
        <v>62180</v>
      </c>
    </row>
    <row r="834" spans="1:1" ht="21.6" customHeight="1" x14ac:dyDescent="0.3">
      <c r="A834" s="2">
        <v>62204</v>
      </c>
    </row>
    <row r="835" spans="1:1" ht="21.6" customHeight="1" x14ac:dyDescent="0.3">
      <c r="A835" s="2">
        <v>62214</v>
      </c>
    </row>
    <row r="836" spans="1:1" ht="21.6" customHeight="1" x14ac:dyDescent="0.3">
      <c r="A836" s="2">
        <v>62242</v>
      </c>
    </row>
    <row r="837" spans="1:1" ht="21.6" customHeight="1" x14ac:dyDescent="0.3">
      <c r="A837" s="2">
        <v>62343</v>
      </c>
    </row>
    <row r="838" spans="1:1" ht="21.6" customHeight="1" x14ac:dyDescent="0.3">
      <c r="A838" s="2">
        <v>62378</v>
      </c>
    </row>
    <row r="839" spans="1:1" ht="21.6" customHeight="1" x14ac:dyDescent="0.3">
      <c r="A839" s="2">
        <v>62399</v>
      </c>
    </row>
    <row r="840" spans="1:1" ht="21.6" customHeight="1" x14ac:dyDescent="0.3">
      <c r="A840" s="2">
        <v>62412</v>
      </c>
    </row>
    <row r="841" spans="1:1" ht="21.6" customHeight="1" x14ac:dyDescent="0.3">
      <c r="A841" s="2">
        <v>62452</v>
      </c>
    </row>
    <row r="842" spans="1:1" ht="21.6" customHeight="1" x14ac:dyDescent="0.3">
      <c r="A842" s="2">
        <v>62459</v>
      </c>
    </row>
    <row r="843" spans="1:1" ht="21.6" customHeight="1" x14ac:dyDescent="0.3">
      <c r="A843" s="2">
        <v>62519</v>
      </c>
    </row>
    <row r="844" spans="1:1" ht="21.6" customHeight="1" x14ac:dyDescent="0.3">
      <c r="A844" s="2">
        <v>62520</v>
      </c>
    </row>
    <row r="845" spans="1:1" ht="21.6" customHeight="1" x14ac:dyDescent="0.3">
      <c r="A845" s="2">
        <v>62565</v>
      </c>
    </row>
    <row r="846" spans="1:1" ht="21.6" customHeight="1" x14ac:dyDescent="0.3">
      <c r="A846" s="2">
        <v>62569</v>
      </c>
    </row>
    <row r="847" spans="1:1" ht="21.6" customHeight="1" x14ac:dyDescent="0.3">
      <c r="A847" s="2">
        <v>62579</v>
      </c>
    </row>
    <row r="848" spans="1:1" ht="21.6" customHeight="1" x14ac:dyDescent="0.3">
      <c r="A848" s="2">
        <v>62627</v>
      </c>
    </row>
    <row r="849" spans="1:1" ht="21.6" customHeight="1" x14ac:dyDescent="0.3">
      <c r="A849" s="2">
        <v>62708</v>
      </c>
    </row>
    <row r="850" spans="1:1" ht="21.6" customHeight="1" x14ac:dyDescent="0.3">
      <c r="A850" s="2">
        <v>62743</v>
      </c>
    </row>
    <row r="851" spans="1:1" ht="21.6" customHeight="1" x14ac:dyDescent="0.3">
      <c r="A851" s="2">
        <v>62764</v>
      </c>
    </row>
    <row r="852" spans="1:1" ht="21.6" customHeight="1" x14ac:dyDescent="0.3">
      <c r="A852" s="2">
        <v>62777</v>
      </c>
    </row>
    <row r="853" spans="1:1" ht="21.6" customHeight="1" x14ac:dyDescent="0.3">
      <c r="A853" s="2">
        <v>62817</v>
      </c>
    </row>
    <row r="854" spans="1:1" ht="21.6" customHeight="1" x14ac:dyDescent="0.3">
      <c r="A854" s="2">
        <v>62824</v>
      </c>
    </row>
    <row r="855" spans="1:1" ht="21.6" customHeight="1" x14ac:dyDescent="0.3">
      <c r="A855" s="2">
        <v>62876</v>
      </c>
    </row>
    <row r="856" spans="1:1" ht="21.6" customHeight="1" x14ac:dyDescent="0.3">
      <c r="A856" s="2">
        <v>62877</v>
      </c>
    </row>
    <row r="857" spans="1:1" ht="21.6" customHeight="1" x14ac:dyDescent="0.3">
      <c r="A857" s="2">
        <v>62922</v>
      </c>
    </row>
    <row r="858" spans="1:1" ht="21.6" customHeight="1" x14ac:dyDescent="0.3">
      <c r="A858" s="2">
        <v>62935</v>
      </c>
    </row>
    <row r="859" spans="1:1" ht="21.6" customHeight="1" x14ac:dyDescent="0.3">
      <c r="A859" s="2">
        <v>62945</v>
      </c>
    </row>
    <row r="860" spans="1:1" ht="21.6" customHeight="1" x14ac:dyDescent="0.3">
      <c r="A860" s="2">
        <v>62984</v>
      </c>
    </row>
    <row r="861" spans="1:1" ht="21.6" customHeight="1" x14ac:dyDescent="0.3">
      <c r="A861" s="2">
        <v>63074</v>
      </c>
    </row>
    <row r="862" spans="1:1" ht="21.6" customHeight="1" x14ac:dyDescent="0.3">
      <c r="A862" s="2">
        <v>63109</v>
      </c>
    </row>
    <row r="863" spans="1:1" ht="21.6" customHeight="1" x14ac:dyDescent="0.3">
      <c r="A863" s="2">
        <v>63130</v>
      </c>
    </row>
    <row r="864" spans="1:1" ht="21.6" customHeight="1" x14ac:dyDescent="0.3">
      <c r="A864" s="2">
        <v>63143</v>
      </c>
    </row>
    <row r="865" spans="1:1" ht="21.6" customHeight="1" x14ac:dyDescent="0.3">
      <c r="A865" s="2">
        <v>63183</v>
      </c>
    </row>
    <row r="866" spans="1:1" ht="21.6" customHeight="1" x14ac:dyDescent="0.3">
      <c r="A866" s="2">
        <v>63190</v>
      </c>
    </row>
    <row r="867" spans="1:1" ht="21.6" customHeight="1" x14ac:dyDescent="0.3">
      <c r="A867" s="2">
        <v>63226</v>
      </c>
    </row>
    <row r="868" spans="1:1" ht="21.6" customHeight="1" x14ac:dyDescent="0.3">
      <c r="A868" s="2">
        <v>63227</v>
      </c>
    </row>
    <row r="869" spans="1:1" ht="21.6" customHeight="1" x14ac:dyDescent="0.3">
      <c r="A869" s="2">
        <v>63272</v>
      </c>
    </row>
    <row r="870" spans="1:1" ht="21.6" customHeight="1" x14ac:dyDescent="0.3">
      <c r="A870" s="2">
        <v>63300</v>
      </c>
    </row>
    <row r="871" spans="1:1" ht="21.6" customHeight="1" x14ac:dyDescent="0.3">
      <c r="A871" s="2">
        <v>63310</v>
      </c>
    </row>
    <row r="872" spans="1:1" ht="21.6" customHeight="1" x14ac:dyDescent="0.3">
      <c r="A872" s="2">
        <v>63334</v>
      </c>
    </row>
    <row r="873" spans="1:1" ht="21.6" customHeight="1" x14ac:dyDescent="0.3">
      <c r="A873" s="2">
        <v>63439</v>
      </c>
    </row>
    <row r="874" spans="1:1" ht="21.6" customHeight="1" x14ac:dyDescent="0.3">
      <c r="A874" s="2">
        <v>63474</v>
      </c>
    </row>
    <row r="875" spans="1:1" ht="21.6" customHeight="1" x14ac:dyDescent="0.3">
      <c r="A875" s="2">
        <v>63495</v>
      </c>
    </row>
    <row r="876" spans="1:1" ht="21.6" customHeight="1" x14ac:dyDescent="0.3">
      <c r="A876" s="2">
        <v>63508</v>
      </c>
    </row>
    <row r="877" spans="1:1" ht="21.6" customHeight="1" x14ac:dyDescent="0.3">
      <c r="A877" s="2">
        <v>63548</v>
      </c>
    </row>
    <row r="878" spans="1:1" ht="21.6" customHeight="1" x14ac:dyDescent="0.3">
      <c r="A878" s="2">
        <v>63555</v>
      </c>
    </row>
    <row r="879" spans="1:1" ht="21.6" customHeight="1" x14ac:dyDescent="0.3">
      <c r="A879" s="2">
        <v>63611</v>
      </c>
    </row>
    <row r="880" spans="1:1" ht="21.6" customHeight="1" x14ac:dyDescent="0.3">
      <c r="A880" s="2">
        <v>63612</v>
      </c>
    </row>
    <row r="881" spans="1:1" ht="21.6" customHeight="1" x14ac:dyDescent="0.3">
      <c r="A881" s="2">
        <v>63657</v>
      </c>
    </row>
    <row r="882" spans="1:1" ht="21.6" customHeight="1" x14ac:dyDescent="0.3">
      <c r="A882" s="2">
        <v>63665</v>
      </c>
    </row>
    <row r="883" spans="1:1" ht="21.6" customHeight="1" x14ac:dyDescent="0.3">
      <c r="A883" s="2">
        <v>63675</v>
      </c>
    </row>
    <row r="884" spans="1:1" ht="21.6" customHeight="1" x14ac:dyDescent="0.3">
      <c r="A884" s="2">
        <v>63719</v>
      </c>
    </row>
    <row r="885" spans="1:1" ht="21.6" customHeight="1" x14ac:dyDescent="0.3">
      <c r="A885" s="2">
        <v>63804</v>
      </c>
    </row>
    <row r="886" spans="1:1" ht="21.6" customHeight="1" x14ac:dyDescent="0.3">
      <c r="A886" s="2">
        <v>63839</v>
      </c>
    </row>
    <row r="887" spans="1:1" ht="21.6" customHeight="1" x14ac:dyDescent="0.3">
      <c r="A887" s="2">
        <v>63860</v>
      </c>
    </row>
    <row r="888" spans="1:1" ht="21.6" customHeight="1" x14ac:dyDescent="0.3">
      <c r="A888" s="2">
        <v>63873</v>
      </c>
    </row>
    <row r="889" spans="1:1" ht="21.6" customHeight="1" x14ac:dyDescent="0.3">
      <c r="A889" s="2">
        <v>63913</v>
      </c>
    </row>
    <row r="890" spans="1:1" ht="21.6" customHeight="1" x14ac:dyDescent="0.3">
      <c r="A890" s="2">
        <v>63920</v>
      </c>
    </row>
    <row r="891" spans="1:1" ht="21.6" customHeight="1" x14ac:dyDescent="0.3">
      <c r="A891" s="2">
        <v>63968</v>
      </c>
    </row>
    <row r="892" spans="1:1" ht="21.6" customHeight="1" x14ac:dyDescent="0.3">
      <c r="A892" s="2">
        <v>63969</v>
      </c>
    </row>
    <row r="893" spans="1:1" ht="21.6" customHeight="1" x14ac:dyDescent="0.3">
      <c r="A893" s="2">
        <v>64014</v>
      </c>
    </row>
    <row r="894" spans="1:1" ht="21.6" customHeight="1" x14ac:dyDescent="0.3">
      <c r="A894" s="2">
        <v>64030</v>
      </c>
    </row>
    <row r="895" spans="1:1" ht="21.6" customHeight="1" x14ac:dyDescent="0.3">
      <c r="A895" s="2">
        <v>64040</v>
      </c>
    </row>
    <row r="896" spans="1:1" ht="21.6" customHeight="1" x14ac:dyDescent="0.3">
      <c r="A896" s="2">
        <v>64076</v>
      </c>
    </row>
    <row r="897" spans="1:1" ht="21.6" customHeight="1" x14ac:dyDescent="0.3">
      <c r="A897" s="2">
        <v>64169</v>
      </c>
    </row>
    <row r="898" spans="1:1" ht="21.6" customHeight="1" x14ac:dyDescent="0.3">
      <c r="A898" s="2">
        <v>64204</v>
      </c>
    </row>
    <row r="899" spans="1:1" ht="21.6" customHeight="1" x14ac:dyDescent="0.3">
      <c r="A899" s="2">
        <v>64225</v>
      </c>
    </row>
    <row r="900" spans="1:1" ht="21.6" customHeight="1" x14ac:dyDescent="0.3">
      <c r="A900" s="2">
        <v>64238</v>
      </c>
    </row>
    <row r="901" spans="1:1" ht="21.6" customHeight="1" x14ac:dyDescent="0.3">
      <c r="A901" s="2">
        <v>64278</v>
      </c>
    </row>
    <row r="902" spans="1:1" ht="21.6" customHeight="1" x14ac:dyDescent="0.3">
      <c r="A902" s="2">
        <v>64285</v>
      </c>
    </row>
    <row r="903" spans="1:1" ht="21.6" customHeight="1" x14ac:dyDescent="0.3">
      <c r="A903" s="2">
        <v>64346</v>
      </c>
    </row>
    <row r="904" spans="1:1" ht="21.6" customHeight="1" x14ac:dyDescent="0.3">
      <c r="A904" s="2">
        <v>64347</v>
      </c>
    </row>
    <row r="905" spans="1:1" ht="21.6" customHeight="1" x14ac:dyDescent="0.3">
      <c r="A905" s="2">
        <v>64392</v>
      </c>
    </row>
    <row r="906" spans="1:1" ht="21.6" customHeight="1" x14ac:dyDescent="0.3">
      <c r="A906" s="2">
        <v>64396</v>
      </c>
    </row>
    <row r="907" spans="1:1" ht="21.6" customHeight="1" x14ac:dyDescent="0.3">
      <c r="A907" s="2">
        <v>64406</v>
      </c>
    </row>
    <row r="908" spans="1:1" ht="21.6" customHeight="1" x14ac:dyDescent="0.3">
      <c r="A908" s="2">
        <v>64454</v>
      </c>
    </row>
    <row r="909" spans="1:1" ht="21.6" customHeight="1" x14ac:dyDescent="0.3">
      <c r="A909" s="2">
        <v>64535</v>
      </c>
    </row>
    <row r="910" spans="1:1" ht="21.6" customHeight="1" x14ac:dyDescent="0.3">
      <c r="A910" s="2">
        <v>64570</v>
      </c>
    </row>
    <row r="911" spans="1:1" ht="21.6" customHeight="1" x14ac:dyDescent="0.3">
      <c r="A911" s="2">
        <v>64591</v>
      </c>
    </row>
    <row r="912" spans="1:1" ht="21.6" customHeight="1" x14ac:dyDescent="0.3">
      <c r="A912" s="2">
        <v>64604</v>
      </c>
    </row>
    <row r="913" spans="1:1" ht="21.6" customHeight="1" x14ac:dyDescent="0.3">
      <c r="A913" s="2">
        <v>64644</v>
      </c>
    </row>
    <row r="914" spans="1:1" ht="21.6" customHeight="1" x14ac:dyDescent="0.3">
      <c r="A914" s="2">
        <v>64651</v>
      </c>
    </row>
    <row r="915" spans="1:1" ht="21.6" customHeight="1" x14ac:dyDescent="0.3">
      <c r="A915" s="2">
        <v>64703</v>
      </c>
    </row>
    <row r="916" spans="1:1" ht="21.6" customHeight="1" x14ac:dyDescent="0.3">
      <c r="A916" s="2">
        <v>64704</v>
      </c>
    </row>
    <row r="917" spans="1:1" ht="21.6" customHeight="1" x14ac:dyDescent="0.3">
      <c r="A917" s="2">
        <v>64749</v>
      </c>
    </row>
    <row r="918" spans="1:1" ht="21.6" customHeight="1" x14ac:dyDescent="0.3">
      <c r="A918" s="2">
        <v>64761</v>
      </c>
    </row>
    <row r="919" spans="1:1" ht="21.6" customHeight="1" x14ac:dyDescent="0.3">
      <c r="A919" s="2">
        <v>64771</v>
      </c>
    </row>
    <row r="920" spans="1:1" ht="21.6" customHeight="1" x14ac:dyDescent="0.3">
      <c r="A920" s="2">
        <v>64811</v>
      </c>
    </row>
    <row r="921" spans="1:1" ht="21.6" customHeight="1" x14ac:dyDescent="0.3">
      <c r="A921" s="2">
        <v>64900</v>
      </c>
    </row>
    <row r="922" spans="1:1" ht="21.6" customHeight="1" x14ac:dyDescent="0.3">
      <c r="A922" s="2">
        <v>64935</v>
      </c>
    </row>
    <row r="923" spans="1:1" ht="21.6" customHeight="1" x14ac:dyDescent="0.3">
      <c r="A923" s="2">
        <v>64956</v>
      </c>
    </row>
    <row r="924" spans="1:1" ht="21.6" customHeight="1" x14ac:dyDescent="0.3">
      <c r="A924" s="2">
        <v>64969</v>
      </c>
    </row>
    <row r="925" spans="1:1" ht="21.6" customHeight="1" x14ac:dyDescent="0.3">
      <c r="A925" s="2">
        <v>65009</v>
      </c>
    </row>
    <row r="926" spans="1:1" ht="21.6" customHeight="1" x14ac:dyDescent="0.3">
      <c r="A926" s="2">
        <v>65016</v>
      </c>
    </row>
    <row r="927" spans="1:1" ht="21.6" customHeight="1" x14ac:dyDescent="0.3">
      <c r="A927" s="2">
        <v>65060</v>
      </c>
    </row>
    <row r="928" spans="1:1" ht="21.6" customHeight="1" x14ac:dyDescent="0.3">
      <c r="A928" s="2">
        <v>65061</v>
      </c>
    </row>
    <row r="929" spans="1:1" ht="21.6" customHeight="1" x14ac:dyDescent="0.3">
      <c r="A929" s="2">
        <v>65106</v>
      </c>
    </row>
    <row r="930" spans="1:1" ht="21.6" customHeight="1" x14ac:dyDescent="0.3">
      <c r="A930" s="2">
        <v>65126</v>
      </c>
    </row>
    <row r="931" spans="1:1" ht="21.6" customHeight="1" x14ac:dyDescent="0.3">
      <c r="A931" s="2">
        <v>65136</v>
      </c>
    </row>
    <row r="932" spans="1:1" ht="21.6" customHeight="1" x14ac:dyDescent="0.3">
      <c r="A932" s="2">
        <v>65168</v>
      </c>
    </row>
    <row r="933" spans="1:1" ht="21.6" customHeight="1" x14ac:dyDescent="0.3">
      <c r="A933" s="2">
        <v>65265</v>
      </c>
    </row>
    <row r="934" spans="1:1" ht="21.6" customHeight="1" x14ac:dyDescent="0.3">
      <c r="A934" s="2">
        <v>65300</v>
      </c>
    </row>
    <row r="935" spans="1:1" ht="21.6" customHeight="1" x14ac:dyDescent="0.3">
      <c r="A935" s="2">
        <v>65321</v>
      </c>
    </row>
    <row r="936" spans="1:1" ht="21.6" customHeight="1" x14ac:dyDescent="0.3">
      <c r="A936" s="2">
        <v>65334</v>
      </c>
    </row>
    <row r="937" spans="1:1" ht="21.6" customHeight="1" x14ac:dyDescent="0.3">
      <c r="A937" s="2">
        <v>65374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2024</vt:lpstr>
      <vt:lpstr>2025</vt:lpstr>
      <vt:lpstr>2026</vt:lpstr>
      <vt:lpstr>2028</vt:lpstr>
      <vt:lpstr>Feriados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Micota Stipp</dc:creator>
  <cp:lastModifiedBy>Guilherme Micota Stipp</cp:lastModifiedBy>
  <dcterms:created xsi:type="dcterms:W3CDTF">2022-03-10T18:26:30Z</dcterms:created>
  <dcterms:modified xsi:type="dcterms:W3CDTF">2022-03-10T18:48:21Z</dcterms:modified>
</cp:coreProperties>
</file>