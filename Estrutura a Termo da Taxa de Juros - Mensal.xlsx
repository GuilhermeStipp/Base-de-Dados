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8a6ee1e82349c3/Economia/Stipp Group/Banco de Dados/Dados do Mercado de Capitais/Estrutura a Termo da Taxa de Juros/"/>
    </mc:Choice>
  </mc:AlternateContent>
  <xr:revisionPtr revIDLastSave="2285" documentId="8_{EC4CA7C1-84E4-4751-982A-98A3908B655D}" xr6:coauthVersionLast="47" xr6:coauthVersionMax="47" xr10:uidLastSave="{3D71BE40-4E56-42DD-859C-00442890FD13}"/>
  <bookViews>
    <workbookView xWindow="-120" yWindow="-120" windowWidth="29040" windowHeight="15720" tabRatio="844" xr2:uid="{74B626F9-F286-43DC-91C5-0DE0BA99AEEE}"/>
  </bookViews>
  <sheets>
    <sheet name="Juro Nominal" sheetId="1" r:id="rId1"/>
    <sheet name="Juro Real" sheetId="2" r:id="rId2"/>
    <sheet name="Inflação Implícita" sheetId="3" r:id="rId3"/>
    <sheet name="Metas de Inflação" sheetId="4" r:id="rId4"/>
    <sheet name="Hiato de Expectativas" sheetId="5" r:id="rId5"/>
    <sheet name="Indicador de Juro Nominal" sheetId="6" r:id="rId6"/>
    <sheet name="Indicador de Juro Real" sheetId="7" r:id="rId7"/>
    <sheet name="Indicador de Inflação Implícit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8" l="1"/>
  <c r="C3" i="8"/>
  <c r="D3" i="8"/>
  <c r="B4" i="8"/>
  <c r="C4" i="8"/>
  <c r="D4" i="8"/>
  <c r="B5" i="8"/>
  <c r="C5" i="8"/>
  <c r="D5" i="8"/>
  <c r="B6" i="8"/>
  <c r="C6" i="8"/>
  <c r="D6" i="8"/>
  <c r="B7" i="8"/>
  <c r="C7" i="8"/>
  <c r="D7" i="8"/>
  <c r="B8" i="8"/>
  <c r="C8" i="8"/>
  <c r="D8" i="8"/>
  <c r="B9" i="8"/>
  <c r="C9" i="8"/>
  <c r="D9" i="8"/>
  <c r="B10" i="8"/>
  <c r="C10" i="8"/>
  <c r="D10" i="8"/>
  <c r="B11" i="8"/>
  <c r="C11" i="8"/>
  <c r="D11" i="8"/>
  <c r="B12" i="8"/>
  <c r="C12" i="8"/>
  <c r="D12" i="8"/>
  <c r="B13" i="8"/>
  <c r="C13" i="8"/>
  <c r="D13" i="8"/>
  <c r="B14" i="8"/>
  <c r="C14" i="8"/>
  <c r="D14" i="8"/>
  <c r="B15" i="8"/>
  <c r="C15" i="8"/>
  <c r="D15" i="8"/>
  <c r="B16" i="8"/>
  <c r="C16" i="8"/>
  <c r="D16" i="8"/>
  <c r="B17" i="8"/>
  <c r="C17" i="8"/>
  <c r="D17" i="8"/>
  <c r="B18" i="8"/>
  <c r="C18" i="8"/>
  <c r="D18" i="8"/>
  <c r="B19" i="8"/>
  <c r="C19" i="8"/>
  <c r="D19" i="8"/>
  <c r="B20" i="8"/>
  <c r="C20" i="8"/>
  <c r="D20" i="8"/>
  <c r="B21" i="8"/>
  <c r="C21" i="8"/>
  <c r="D21" i="8"/>
  <c r="B22" i="8"/>
  <c r="C22" i="8"/>
  <c r="D22" i="8"/>
  <c r="B23" i="8"/>
  <c r="C23" i="8"/>
  <c r="D23" i="8"/>
  <c r="B24" i="8"/>
  <c r="C24" i="8"/>
  <c r="D24" i="8"/>
  <c r="B25" i="8"/>
  <c r="C25" i="8"/>
  <c r="D25" i="8"/>
  <c r="B26" i="8"/>
  <c r="C26" i="8"/>
  <c r="D26" i="8"/>
  <c r="B27" i="8"/>
  <c r="C27" i="8"/>
  <c r="D27" i="8"/>
  <c r="B28" i="8"/>
  <c r="C28" i="8"/>
  <c r="D28" i="8"/>
  <c r="B29" i="8"/>
  <c r="C29" i="8"/>
  <c r="D29" i="8"/>
  <c r="B30" i="8"/>
  <c r="C30" i="8"/>
  <c r="D30" i="8"/>
  <c r="B31" i="8"/>
  <c r="C31" i="8"/>
  <c r="D31" i="8"/>
  <c r="B32" i="8"/>
  <c r="C32" i="8"/>
  <c r="D32" i="8"/>
  <c r="B33" i="8"/>
  <c r="C33" i="8"/>
  <c r="D33" i="8"/>
  <c r="B34" i="8"/>
  <c r="C34" i="8"/>
  <c r="D34" i="8"/>
  <c r="B35" i="8"/>
  <c r="C35" i="8"/>
  <c r="D35" i="8"/>
  <c r="B36" i="8"/>
  <c r="C36" i="8"/>
  <c r="D36" i="8"/>
  <c r="B37" i="8"/>
  <c r="C37" i="8"/>
  <c r="D37" i="8"/>
  <c r="B38" i="8"/>
  <c r="C38" i="8"/>
  <c r="D38" i="8"/>
  <c r="B39" i="8"/>
  <c r="C39" i="8"/>
  <c r="D39" i="8"/>
  <c r="B40" i="8"/>
  <c r="C40" i="8"/>
  <c r="D40" i="8"/>
  <c r="B41" i="8"/>
  <c r="C41" i="8"/>
  <c r="D41" i="8"/>
  <c r="B42" i="8"/>
  <c r="C42" i="8"/>
  <c r="D42" i="8"/>
  <c r="B43" i="8"/>
  <c r="C43" i="8"/>
  <c r="D43" i="8"/>
  <c r="B44" i="8"/>
  <c r="C44" i="8"/>
  <c r="D44" i="8"/>
  <c r="B45" i="8"/>
  <c r="C45" i="8"/>
  <c r="D45" i="8"/>
  <c r="B46" i="8"/>
  <c r="C46" i="8"/>
  <c r="D46" i="8"/>
  <c r="B47" i="8"/>
  <c r="C47" i="8"/>
  <c r="D47" i="8"/>
  <c r="B48" i="8"/>
  <c r="C48" i="8"/>
  <c r="D48" i="8"/>
  <c r="B49" i="8"/>
  <c r="C49" i="8"/>
  <c r="D49" i="8"/>
  <c r="B50" i="8"/>
  <c r="C50" i="8"/>
  <c r="D50" i="8"/>
  <c r="B51" i="8"/>
  <c r="C51" i="8"/>
  <c r="D51" i="8"/>
  <c r="B52" i="8"/>
  <c r="C52" i="8"/>
  <c r="D52" i="8"/>
  <c r="B53" i="8"/>
  <c r="C53" i="8"/>
  <c r="D53" i="8"/>
  <c r="B54" i="8"/>
  <c r="C54" i="8"/>
  <c r="D54" i="8"/>
  <c r="B55" i="8"/>
  <c r="C55" i="8"/>
  <c r="D55" i="8"/>
  <c r="B56" i="8"/>
  <c r="C56" i="8"/>
  <c r="D56" i="8"/>
  <c r="B57" i="8"/>
  <c r="C57" i="8"/>
  <c r="D57" i="8"/>
  <c r="B58" i="8"/>
  <c r="C58" i="8"/>
  <c r="D58" i="8"/>
  <c r="B59" i="8"/>
  <c r="C59" i="8"/>
  <c r="D59" i="8"/>
  <c r="B60" i="8"/>
  <c r="C60" i="8"/>
  <c r="D60" i="8"/>
  <c r="B61" i="8"/>
  <c r="C61" i="8"/>
  <c r="D61" i="8"/>
  <c r="B62" i="8"/>
  <c r="C62" i="8"/>
  <c r="D62" i="8"/>
  <c r="B63" i="8"/>
  <c r="C63" i="8"/>
  <c r="D63" i="8"/>
  <c r="B64" i="8"/>
  <c r="C64" i="8"/>
  <c r="D64" i="8"/>
  <c r="B65" i="8"/>
  <c r="C65" i="8"/>
  <c r="D65" i="8"/>
  <c r="B66" i="8"/>
  <c r="C66" i="8"/>
  <c r="D66" i="8"/>
  <c r="B67" i="8"/>
  <c r="C67" i="8"/>
  <c r="D67" i="8"/>
  <c r="B68" i="8"/>
  <c r="C68" i="8"/>
  <c r="D68" i="8"/>
  <c r="B69" i="8"/>
  <c r="C69" i="8"/>
  <c r="D69" i="8"/>
  <c r="B70" i="8"/>
  <c r="C70" i="8"/>
  <c r="D70" i="8"/>
  <c r="B71" i="8"/>
  <c r="C71" i="8"/>
  <c r="D71" i="8"/>
  <c r="B72" i="8"/>
  <c r="C72" i="8"/>
  <c r="D72" i="8"/>
  <c r="B73" i="8"/>
  <c r="C73" i="8"/>
  <c r="D73" i="8"/>
  <c r="B74" i="8"/>
  <c r="C74" i="8"/>
  <c r="D74" i="8"/>
  <c r="B75" i="8"/>
  <c r="C75" i="8"/>
  <c r="D75" i="8"/>
  <c r="B76" i="8"/>
  <c r="C76" i="8"/>
  <c r="D76" i="8"/>
  <c r="B77" i="8"/>
  <c r="C77" i="8"/>
  <c r="D77" i="8"/>
  <c r="B78" i="8"/>
  <c r="C78" i="8"/>
  <c r="D78" i="8"/>
  <c r="B79" i="8"/>
  <c r="C79" i="8"/>
  <c r="D79" i="8"/>
  <c r="B80" i="8"/>
  <c r="C80" i="8"/>
  <c r="D80" i="8"/>
  <c r="B81" i="8"/>
  <c r="C81" i="8"/>
  <c r="D81" i="8"/>
  <c r="B82" i="8"/>
  <c r="C82" i="8"/>
  <c r="D82" i="8"/>
  <c r="B83" i="8"/>
  <c r="C83" i="8"/>
  <c r="D83" i="8"/>
  <c r="B84" i="8"/>
  <c r="C84" i="8"/>
  <c r="D84" i="8"/>
  <c r="B85" i="8"/>
  <c r="C85" i="8"/>
  <c r="D85" i="8"/>
  <c r="B86" i="8"/>
  <c r="C86" i="8"/>
  <c r="D86" i="8"/>
  <c r="B87" i="8"/>
  <c r="C87" i="8"/>
  <c r="D87" i="8"/>
  <c r="B88" i="8"/>
  <c r="C88" i="8"/>
  <c r="D88" i="8"/>
  <c r="B89" i="8"/>
  <c r="C89" i="8"/>
  <c r="D89" i="8"/>
  <c r="B90" i="8"/>
  <c r="C90" i="8"/>
  <c r="D90" i="8"/>
  <c r="B91" i="8"/>
  <c r="C91" i="8"/>
  <c r="D91" i="8"/>
  <c r="B92" i="8"/>
  <c r="C92" i="8"/>
  <c r="D92" i="8"/>
  <c r="B93" i="8"/>
  <c r="C93" i="8"/>
  <c r="D93" i="8"/>
  <c r="B94" i="8"/>
  <c r="C94" i="8"/>
  <c r="D94" i="8"/>
  <c r="B95" i="8"/>
  <c r="C95" i="8"/>
  <c r="D95" i="8"/>
  <c r="B96" i="8"/>
  <c r="C96" i="8"/>
  <c r="D96" i="8"/>
  <c r="B97" i="8"/>
  <c r="C97" i="8"/>
  <c r="D97" i="8"/>
  <c r="B98" i="8"/>
  <c r="C98" i="8"/>
  <c r="D98" i="8"/>
  <c r="B99" i="8"/>
  <c r="C99" i="8"/>
  <c r="D99" i="8"/>
  <c r="B100" i="8"/>
  <c r="C100" i="8"/>
  <c r="D100" i="8"/>
  <c r="B101" i="8"/>
  <c r="C101" i="8"/>
  <c r="D101" i="8"/>
  <c r="B102" i="8"/>
  <c r="C102" i="8"/>
  <c r="D102" i="8"/>
  <c r="B103" i="8"/>
  <c r="C103" i="8"/>
  <c r="D103" i="8"/>
  <c r="B104" i="8"/>
  <c r="C104" i="8"/>
  <c r="D104" i="8"/>
  <c r="B105" i="8"/>
  <c r="C105" i="8"/>
  <c r="D105" i="8"/>
  <c r="B106" i="8"/>
  <c r="C106" i="8"/>
  <c r="D106" i="8"/>
  <c r="B107" i="8"/>
  <c r="C107" i="8"/>
  <c r="D107" i="8"/>
  <c r="B108" i="8"/>
  <c r="C108" i="8"/>
  <c r="D108" i="8"/>
  <c r="B109" i="8"/>
  <c r="C109" i="8"/>
  <c r="D109" i="8"/>
  <c r="B110" i="8"/>
  <c r="C110" i="8"/>
  <c r="D110" i="8"/>
  <c r="B111" i="8"/>
  <c r="C111" i="8"/>
  <c r="D111" i="8"/>
  <c r="B112" i="8"/>
  <c r="C112" i="8"/>
  <c r="D112" i="8"/>
  <c r="B113" i="8"/>
  <c r="C113" i="8"/>
  <c r="D113" i="8"/>
  <c r="B114" i="8"/>
  <c r="C114" i="8"/>
  <c r="D114" i="8"/>
  <c r="B115" i="8"/>
  <c r="C115" i="8"/>
  <c r="D115" i="8"/>
  <c r="B116" i="8"/>
  <c r="C116" i="8"/>
  <c r="D116" i="8"/>
  <c r="B117" i="8"/>
  <c r="C117" i="8"/>
  <c r="D117" i="8"/>
  <c r="B118" i="8"/>
  <c r="C118" i="8"/>
  <c r="D118" i="8"/>
  <c r="B119" i="8"/>
  <c r="C119" i="8"/>
  <c r="D119" i="8"/>
  <c r="B120" i="8"/>
  <c r="C120" i="8"/>
  <c r="D120" i="8"/>
  <c r="B121" i="8"/>
  <c r="C121" i="8"/>
  <c r="D121" i="8"/>
  <c r="B122" i="8"/>
  <c r="C122" i="8"/>
  <c r="D122" i="8"/>
  <c r="B123" i="8"/>
  <c r="C123" i="8"/>
  <c r="D123" i="8"/>
  <c r="B124" i="8"/>
  <c r="C124" i="8"/>
  <c r="D124" i="8"/>
  <c r="B125" i="8"/>
  <c r="C125" i="8"/>
  <c r="D125" i="8"/>
  <c r="B126" i="8"/>
  <c r="C126" i="8"/>
  <c r="D126" i="8"/>
  <c r="B127" i="8"/>
  <c r="C127" i="8"/>
  <c r="D127" i="8"/>
  <c r="B128" i="8"/>
  <c r="C128" i="8"/>
  <c r="D128" i="8"/>
  <c r="B129" i="8"/>
  <c r="C129" i="8"/>
  <c r="D129" i="8"/>
  <c r="B130" i="8"/>
  <c r="C130" i="8"/>
  <c r="D130" i="8"/>
  <c r="B131" i="8"/>
  <c r="C131" i="8"/>
  <c r="D131" i="8"/>
  <c r="B132" i="8"/>
  <c r="C132" i="8"/>
  <c r="D132" i="8"/>
  <c r="B133" i="8"/>
  <c r="C133" i="8"/>
  <c r="D133" i="8"/>
  <c r="B134" i="8"/>
  <c r="C134" i="8"/>
  <c r="D134" i="8"/>
  <c r="B135" i="8"/>
  <c r="C135" i="8"/>
  <c r="D135" i="8"/>
  <c r="B136" i="8"/>
  <c r="C136" i="8"/>
  <c r="D136" i="8"/>
  <c r="B137" i="8"/>
  <c r="C137" i="8"/>
  <c r="D137" i="8"/>
  <c r="B138" i="8"/>
  <c r="C138" i="8"/>
  <c r="D138" i="8"/>
  <c r="B139" i="8"/>
  <c r="C139" i="8"/>
  <c r="D139" i="8"/>
  <c r="B140" i="8"/>
  <c r="C140" i="8"/>
  <c r="D140" i="8"/>
  <c r="B141" i="8"/>
  <c r="C141" i="8"/>
  <c r="D141" i="8"/>
  <c r="B142" i="8"/>
  <c r="C142" i="8"/>
  <c r="D142" i="8"/>
  <c r="B143" i="8"/>
  <c r="C143" i="8"/>
  <c r="D143" i="8"/>
  <c r="B144" i="8"/>
  <c r="C144" i="8"/>
  <c r="D144" i="8"/>
  <c r="B145" i="8"/>
  <c r="C145" i="8"/>
  <c r="D145" i="8"/>
  <c r="B146" i="8"/>
  <c r="C146" i="8"/>
  <c r="D146" i="8"/>
  <c r="B147" i="8"/>
  <c r="C147" i="8"/>
  <c r="D147" i="8"/>
  <c r="B148" i="8"/>
  <c r="C148" i="8"/>
  <c r="D148" i="8"/>
  <c r="B149" i="8"/>
  <c r="C149" i="8"/>
  <c r="D149" i="8"/>
  <c r="B150" i="8"/>
  <c r="C150" i="8"/>
  <c r="D150" i="8"/>
  <c r="B151" i="8"/>
  <c r="C151" i="8"/>
  <c r="D151" i="8"/>
  <c r="B152" i="8"/>
  <c r="C152" i="8"/>
  <c r="D152" i="8"/>
  <c r="B153" i="8"/>
  <c r="C153" i="8"/>
  <c r="D153" i="8"/>
  <c r="B154" i="8"/>
  <c r="C154" i="8"/>
  <c r="D154" i="8"/>
  <c r="B155" i="8"/>
  <c r="C155" i="8"/>
  <c r="D155" i="8"/>
  <c r="B156" i="8"/>
  <c r="C156" i="8"/>
  <c r="D156" i="8"/>
  <c r="B157" i="8"/>
  <c r="C157" i="8"/>
  <c r="D157" i="8"/>
  <c r="B158" i="8"/>
  <c r="C158" i="8"/>
  <c r="D158" i="8"/>
  <c r="B159" i="8"/>
  <c r="C159" i="8"/>
  <c r="D159" i="8"/>
  <c r="B160" i="8"/>
  <c r="C160" i="8"/>
  <c r="D160" i="8"/>
  <c r="B161" i="8"/>
  <c r="C161" i="8"/>
  <c r="D161" i="8"/>
  <c r="B162" i="8"/>
  <c r="C162" i="8"/>
  <c r="D162" i="8"/>
  <c r="B163" i="8"/>
  <c r="C163" i="8"/>
  <c r="D163" i="8"/>
  <c r="B164" i="8"/>
  <c r="C164" i="8"/>
  <c r="D164" i="8"/>
  <c r="B165" i="8"/>
  <c r="C165" i="8"/>
  <c r="D165" i="8"/>
  <c r="B166" i="8"/>
  <c r="C166" i="8"/>
  <c r="D166" i="8"/>
  <c r="B167" i="8"/>
  <c r="C167" i="8"/>
  <c r="D167" i="8"/>
  <c r="B168" i="8"/>
  <c r="C168" i="8"/>
  <c r="D168" i="8"/>
  <c r="B169" i="8"/>
  <c r="C169" i="8"/>
  <c r="D169" i="8"/>
  <c r="B170" i="8"/>
  <c r="C170" i="8"/>
  <c r="D170" i="8"/>
  <c r="B171" i="8"/>
  <c r="C171" i="8"/>
  <c r="D171" i="8"/>
  <c r="B172" i="8"/>
  <c r="C172" i="8"/>
  <c r="D172" i="8"/>
  <c r="B173" i="8"/>
  <c r="C173" i="8"/>
  <c r="D173" i="8"/>
  <c r="B174" i="8"/>
  <c r="C174" i="8"/>
  <c r="D174" i="8"/>
  <c r="B175" i="8"/>
  <c r="C175" i="8"/>
  <c r="D175" i="8"/>
  <c r="B176" i="8"/>
  <c r="C176" i="8"/>
  <c r="D176" i="8"/>
  <c r="B177" i="8"/>
  <c r="C177" i="8"/>
  <c r="D177" i="8"/>
  <c r="B178" i="8"/>
  <c r="C178" i="8"/>
  <c r="D178" i="8"/>
  <c r="B179" i="8"/>
  <c r="C179" i="8"/>
  <c r="D179" i="8"/>
  <c r="B180" i="8"/>
  <c r="C180" i="8"/>
  <c r="D180" i="8"/>
  <c r="B181" i="8"/>
  <c r="C181" i="8"/>
  <c r="D181" i="8"/>
  <c r="B182" i="8"/>
  <c r="C182" i="8"/>
  <c r="D182" i="8"/>
  <c r="B183" i="8"/>
  <c r="C183" i="8"/>
  <c r="D183" i="8"/>
  <c r="B184" i="8"/>
  <c r="C184" i="8"/>
  <c r="D184" i="8"/>
  <c r="B185" i="8"/>
  <c r="C185" i="8"/>
  <c r="D185" i="8"/>
  <c r="B186" i="8"/>
  <c r="C186" i="8"/>
  <c r="D186" i="8"/>
  <c r="B187" i="8"/>
  <c r="C187" i="8"/>
  <c r="D187" i="8"/>
  <c r="B188" i="8"/>
  <c r="C188" i="8"/>
  <c r="D188" i="8"/>
  <c r="B189" i="8"/>
  <c r="C189" i="8"/>
  <c r="D189" i="8"/>
  <c r="B190" i="8"/>
  <c r="C190" i="8"/>
  <c r="D190" i="8"/>
  <c r="B191" i="8"/>
  <c r="C191" i="8"/>
  <c r="D191" i="8"/>
  <c r="B192" i="8"/>
  <c r="C192" i="8"/>
  <c r="D192" i="8"/>
  <c r="B193" i="8"/>
  <c r="C193" i="8"/>
  <c r="D193" i="8"/>
  <c r="B194" i="8"/>
  <c r="C194" i="8"/>
  <c r="D194" i="8"/>
  <c r="B195" i="8"/>
  <c r="C195" i="8"/>
  <c r="D195" i="8"/>
  <c r="B196" i="8"/>
  <c r="C196" i="8"/>
  <c r="D196" i="8"/>
  <c r="B197" i="8"/>
  <c r="C197" i="8"/>
  <c r="D197" i="8"/>
  <c r="B198" i="8"/>
  <c r="C198" i="8"/>
  <c r="D198" i="8"/>
  <c r="B199" i="8"/>
  <c r="C199" i="8"/>
  <c r="D199" i="8"/>
  <c r="B200" i="8"/>
  <c r="C200" i="8"/>
  <c r="D200" i="8"/>
  <c r="B201" i="8"/>
  <c r="C201" i="8"/>
  <c r="D201" i="8"/>
  <c r="B202" i="8"/>
  <c r="C202" i="8"/>
  <c r="D202" i="8"/>
  <c r="B203" i="8"/>
  <c r="C203" i="8"/>
  <c r="D203" i="8"/>
  <c r="B204" i="8"/>
  <c r="C204" i="8"/>
  <c r="D204" i="8"/>
  <c r="D2" i="8"/>
  <c r="C2" i="8"/>
  <c r="B2" i="8"/>
  <c r="B3" i="7"/>
  <c r="C3" i="7"/>
  <c r="D3" i="7"/>
  <c r="B4" i="7"/>
  <c r="C4" i="7"/>
  <c r="D4" i="7"/>
  <c r="B5" i="7"/>
  <c r="C5" i="7"/>
  <c r="D5" i="7"/>
  <c r="B6" i="7"/>
  <c r="C6" i="7"/>
  <c r="D6" i="7"/>
  <c r="B7" i="7"/>
  <c r="C7" i="7"/>
  <c r="D7" i="7"/>
  <c r="B8" i="7"/>
  <c r="C8" i="7"/>
  <c r="D8" i="7"/>
  <c r="B9" i="7"/>
  <c r="C9" i="7"/>
  <c r="D9" i="7"/>
  <c r="B10" i="7"/>
  <c r="C10" i="7"/>
  <c r="D10" i="7"/>
  <c r="B11" i="7"/>
  <c r="C11" i="7"/>
  <c r="D11" i="7"/>
  <c r="B12" i="7"/>
  <c r="C12" i="7"/>
  <c r="D12" i="7"/>
  <c r="B13" i="7"/>
  <c r="C13" i="7"/>
  <c r="D13" i="7"/>
  <c r="B14" i="7"/>
  <c r="C14" i="7"/>
  <c r="D14" i="7"/>
  <c r="B15" i="7"/>
  <c r="C15" i="7"/>
  <c r="D15" i="7"/>
  <c r="B16" i="7"/>
  <c r="C16" i="7"/>
  <c r="D16" i="7"/>
  <c r="B17" i="7"/>
  <c r="C17" i="7"/>
  <c r="D17" i="7"/>
  <c r="B18" i="7"/>
  <c r="C18" i="7"/>
  <c r="D18" i="7"/>
  <c r="B19" i="7"/>
  <c r="C19" i="7"/>
  <c r="D19" i="7"/>
  <c r="B20" i="7"/>
  <c r="C20" i="7"/>
  <c r="D20" i="7"/>
  <c r="B21" i="7"/>
  <c r="C21" i="7"/>
  <c r="D21" i="7"/>
  <c r="B22" i="7"/>
  <c r="C22" i="7"/>
  <c r="D22" i="7"/>
  <c r="B23" i="7"/>
  <c r="C23" i="7"/>
  <c r="D23" i="7"/>
  <c r="B24" i="7"/>
  <c r="C24" i="7"/>
  <c r="D24" i="7"/>
  <c r="B25" i="7"/>
  <c r="C25" i="7"/>
  <c r="D25" i="7"/>
  <c r="B26" i="7"/>
  <c r="C26" i="7"/>
  <c r="D26" i="7"/>
  <c r="B27" i="7"/>
  <c r="C27" i="7"/>
  <c r="D27" i="7"/>
  <c r="B28" i="7"/>
  <c r="C28" i="7"/>
  <c r="D28" i="7"/>
  <c r="B29" i="7"/>
  <c r="C29" i="7"/>
  <c r="D29" i="7"/>
  <c r="B30" i="7"/>
  <c r="C30" i="7"/>
  <c r="D30" i="7"/>
  <c r="B31" i="7"/>
  <c r="C31" i="7"/>
  <c r="D31" i="7"/>
  <c r="B32" i="7"/>
  <c r="C32" i="7"/>
  <c r="D32" i="7"/>
  <c r="B33" i="7"/>
  <c r="C33" i="7"/>
  <c r="D33" i="7"/>
  <c r="B34" i="7"/>
  <c r="C34" i="7"/>
  <c r="D34" i="7"/>
  <c r="B35" i="7"/>
  <c r="C35" i="7"/>
  <c r="D35" i="7"/>
  <c r="B36" i="7"/>
  <c r="C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41" i="7"/>
  <c r="C41" i="7"/>
  <c r="D41" i="7"/>
  <c r="B42" i="7"/>
  <c r="C42" i="7"/>
  <c r="D42" i="7"/>
  <c r="B43" i="7"/>
  <c r="C43" i="7"/>
  <c r="D43" i="7"/>
  <c r="B44" i="7"/>
  <c r="C44" i="7"/>
  <c r="D44" i="7"/>
  <c r="B45" i="7"/>
  <c r="C45" i="7"/>
  <c r="D45" i="7"/>
  <c r="B46" i="7"/>
  <c r="C46" i="7"/>
  <c r="D46" i="7"/>
  <c r="B47" i="7"/>
  <c r="C47" i="7"/>
  <c r="D47" i="7"/>
  <c r="B48" i="7"/>
  <c r="C48" i="7"/>
  <c r="D48" i="7"/>
  <c r="B49" i="7"/>
  <c r="C49" i="7"/>
  <c r="D49" i="7"/>
  <c r="B50" i="7"/>
  <c r="C50" i="7"/>
  <c r="D50" i="7"/>
  <c r="B51" i="7"/>
  <c r="C51" i="7"/>
  <c r="D51" i="7"/>
  <c r="B52" i="7"/>
  <c r="C52" i="7"/>
  <c r="D52" i="7"/>
  <c r="B53" i="7"/>
  <c r="C53" i="7"/>
  <c r="D53" i="7"/>
  <c r="B54" i="7"/>
  <c r="C54" i="7"/>
  <c r="D54" i="7"/>
  <c r="B55" i="7"/>
  <c r="C55" i="7"/>
  <c r="D55" i="7"/>
  <c r="B56" i="7"/>
  <c r="C56" i="7"/>
  <c r="D56" i="7"/>
  <c r="B57" i="7"/>
  <c r="C57" i="7"/>
  <c r="D57" i="7"/>
  <c r="B58" i="7"/>
  <c r="C58" i="7"/>
  <c r="D58" i="7"/>
  <c r="B59" i="7"/>
  <c r="C59" i="7"/>
  <c r="D59" i="7"/>
  <c r="B60" i="7"/>
  <c r="C60" i="7"/>
  <c r="D60" i="7"/>
  <c r="B61" i="7"/>
  <c r="C61" i="7"/>
  <c r="D61" i="7"/>
  <c r="B62" i="7"/>
  <c r="C62" i="7"/>
  <c r="D62" i="7"/>
  <c r="B63" i="7"/>
  <c r="C63" i="7"/>
  <c r="D63" i="7"/>
  <c r="B64" i="7"/>
  <c r="C64" i="7"/>
  <c r="D64" i="7"/>
  <c r="B65" i="7"/>
  <c r="C65" i="7"/>
  <c r="D65" i="7"/>
  <c r="B66" i="7"/>
  <c r="C66" i="7"/>
  <c r="D66" i="7"/>
  <c r="B67" i="7"/>
  <c r="C67" i="7"/>
  <c r="D67" i="7"/>
  <c r="B68" i="7"/>
  <c r="C68" i="7"/>
  <c r="D68" i="7"/>
  <c r="B69" i="7"/>
  <c r="C69" i="7"/>
  <c r="D69" i="7"/>
  <c r="B70" i="7"/>
  <c r="C70" i="7"/>
  <c r="D70" i="7"/>
  <c r="B71" i="7"/>
  <c r="C71" i="7"/>
  <c r="D71" i="7"/>
  <c r="B72" i="7"/>
  <c r="C72" i="7"/>
  <c r="D72" i="7"/>
  <c r="B73" i="7"/>
  <c r="C73" i="7"/>
  <c r="D73" i="7"/>
  <c r="B74" i="7"/>
  <c r="C74" i="7"/>
  <c r="D74" i="7"/>
  <c r="B75" i="7"/>
  <c r="C75" i="7"/>
  <c r="D75" i="7"/>
  <c r="B76" i="7"/>
  <c r="C76" i="7"/>
  <c r="D76" i="7"/>
  <c r="B77" i="7"/>
  <c r="C77" i="7"/>
  <c r="D77" i="7"/>
  <c r="B78" i="7"/>
  <c r="C78" i="7"/>
  <c r="D78" i="7"/>
  <c r="B79" i="7"/>
  <c r="C79" i="7"/>
  <c r="D79" i="7"/>
  <c r="B80" i="7"/>
  <c r="C80" i="7"/>
  <c r="D80" i="7"/>
  <c r="B81" i="7"/>
  <c r="C81" i="7"/>
  <c r="D81" i="7"/>
  <c r="B82" i="7"/>
  <c r="C82" i="7"/>
  <c r="D82" i="7"/>
  <c r="B83" i="7"/>
  <c r="C83" i="7"/>
  <c r="D83" i="7"/>
  <c r="B84" i="7"/>
  <c r="C84" i="7"/>
  <c r="D84" i="7"/>
  <c r="B85" i="7"/>
  <c r="C85" i="7"/>
  <c r="D85" i="7"/>
  <c r="B86" i="7"/>
  <c r="C86" i="7"/>
  <c r="D86" i="7"/>
  <c r="B87" i="7"/>
  <c r="C87" i="7"/>
  <c r="D87" i="7"/>
  <c r="B88" i="7"/>
  <c r="C88" i="7"/>
  <c r="D88" i="7"/>
  <c r="B89" i="7"/>
  <c r="C89" i="7"/>
  <c r="D89" i="7"/>
  <c r="B90" i="7"/>
  <c r="C90" i="7"/>
  <c r="D90" i="7"/>
  <c r="B91" i="7"/>
  <c r="C91" i="7"/>
  <c r="D91" i="7"/>
  <c r="B92" i="7"/>
  <c r="C92" i="7"/>
  <c r="D92" i="7"/>
  <c r="B93" i="7"/>
  <c r="C93" i="7"/>
  <c r="D93" i="7"/>
  <c r="B94" i="7"/>
  <c r="C94" i="7"/>
  <c r="D94" i="7"/>
  <c r="B95" i="7"/>
  <c r="C95" i="7"/>
  <c r="D95" i="7"/>
  <c r="B96" i="7"/>
  <c r="C96" i="7"/>
  <c r="D96" i="7"/>
  <c r="B97" i="7"/>
  <c r="C97" i="7"/>
  <c r="D97" i="7"/>
  <c r="B98" i="7"/>
  <c r="C98" i="7"/>
  <c r="D98" i="7"/>
  <c r="B99" i="7"/>
  <c r="C99" i="7"/>
  <c r="D99" i="7"/>
  <c r="B100" i="7"/>
  <c r="C100" i="7"/>
  <c r="D100" i="7"/>
  <c r="B101" i="7"/>
  <c r="C101" i="7"/>
  <c r="D101" i="7"/>
  <c r="B102" i="7"/>
  <c r="C102" i="7"/>
  <c r="D102" i="7"/>
  <c r="B103" i="7"/>
  <c r="C103" i="7"/>
  <c r="D103" i="7"/>
  <c r="B104" i="7"/>
  <c r="C104" i="7"/>
  <c r="D104" i="7"/>
  <c r="B105" i="7"/>
  <c r="C105" i="7"/>
  <c r="D105" i="7"/>
  <c r="B106" i="7"/>
  <c r="C106" i="7"/>
  <c r="D106" i="7"/>
  <c r="B107" i="7"/>
  <c r="C107" i="7"/>
  <c r="D107" i="7"/>
  <c r="B108" i="7"/>
  <c r="C108" i="7"/>
  <c r="D108" i="7"/>
  <c r="B109" i="7"/>
  <c r="C109" i="7"/>
  <c r="D109" i="7"/>
  <c r="B110" i="7"/>
  <c r="C110" i="7"/>
  <c r="D110" i="7"/>
  <c r="B111" i="7"/>
  <c r="C111" i="7"/>
  <c r="D111" i="7"/>
  <c r="B112" i="7"/>
  <c r="C112" i="7"/>
  <c r="D112" i="7"/>
  <c r="B113" i="7"/>
  <c r="C113" i="7"/>
  <c r="D113" i="7"/>
  <c r="B114" i="7"/>
  <c r="C114" i="7"/>
  <c r="D114" i="7"/>
  <c r="B115" i="7"/>
  <c r="C115" i="7"/>
  <c r="D115" i="7"/>
  <c r="B116" i="7"/>
  <c r="C116" i="7"/>
  <c r="D116" i="7"/>
  <c r="B117" i="7"/>
  <c r="C117" i="7"/>
  <c r="D117" i="7"/>
  <c r="B118" i="7"/>
  <c r="C118" i="7"/>
  <c r="D118" i="7"/>
  <c r="B119" i="7"/>
  <c r="C119" i="7"/>
  <c r="D119" i="7"/>
  <c r="B120" i="7"/>
  <c r="C120" i="7"/>
  <c r="D120" i="7"/>
  <c r="B121" i="7"/>
  <c r="C121" i="7"/>
  <c r="D121" i="7"/>
  <c r="B122" i="7"/>
  <c r="C122" i="7"/>
  <c r="D122" i="7"/>
  <c r="B123" i="7"/>
  <c r="C123" i="7"/>
  <c r="D123" i="7"/>
  <c r="B124" i="7"/>
  <c r="C124" i="7"/>
  <c r="D124" i="7"/>
  <c r="B125" i="7"/>
  <c r="C125" i="7"/>
  <c r="D125" i="7"/>
  <c r="B126" i="7"/>
  <c r="C126" i="7"/>
  <c r="D126" i="7"/>
  <c r="B127" i="7"/>
  <c r="C127" i="7"/>
  <c r="D127" i="7"/>
  <c r="B128" i="7"/>
  <c r="C128" i="7"/>
  <c r="D128" i="7"/>
  <c r="B129" i="7"/>
  <c r="C129" i="7"/>
  <c r="D129" i="7"/>
  <c r="B130" i="7"/>
  <c r="C130" i="7"/>
  <c r="D130" i="7"/>
  <c r="B131" i="7"/>
  <c r="C131" i="7"/>
  <c r="D131" i="7"/>
  <c r="B132" i="7"/>
  <c r="C132" i="7"/>
  <c r="D132" i="7"/>
  <c r="B133" i="7"/>
  <c r="C133" i="7"/>
  <c r="D133" i="7"/>
  <c r="B134" i="7"/>
  <c r="C134" i="7"/>
  <c r="D134" i="7"/>
  <c r="B135" i="7"/>
  <c r="C135" i="7"/>
  <c r="D135" i="7"/>
  <c r="B136" i="7"/>
  <c r="C136" i="7"/>
  <c r="D136" i="7"/>
  <c r="B137" i="7"/>
  <c r="C137" i="7"/>
  <c r="D137" i="7"/>
  <c r="B138" i="7"/>
  <c r="C138" i="7"/>
  <c r="D138" i="7"/>
  <c r="B139" i="7"/>
  <c r="C139" i="7"/>
  <c r="D139" i="7"/>
  <c r="B140" i="7"/>
  <c r="C140" i="7"/>
  <c r="D140" i="7"/>
  <c r="B141" i="7"/>
  <c r="C141" i="7"/>
  <c r="D141" i="7"/>
  <c r="B142" i="7"/>
  <c r="C142" i="7"/>
  <c r="D142" i="7"/>
  <c r="B143" i="7"/>
  <c r="C143" i="7"/>
  <c r="D143" i="7"/>
  <c r="B144" i="7"/>
  <c r="C144" i="7"/>
  <c r="D144" i="7"/>
  <c r="B145" i="7"/>
  <c r="C145" i="7"/>
  <c r="D145" i="7"/>
  <c r="B146" i="7"/>
  <c r="C146" i="7"/>
  <c r="D146" i="7"/>
  <c r="B147" i="7"/>
  <c r="C147" i="7"/>
  <c r="D147" i="7"/>
  <c r="B148" i="7"/>
  <c r="C148" i="7"/>
  <c r="D148" i="7"/>
  <c r="B149" i="7"/>
  <c r="C149" i="7"/>
  <c r="D149" i="7"/>
  <c r="B150" i="7"/>
  <c r="C150" i="7"/>
  <c r="D150" i="7"/>
  <c r="B151" i="7"/>
  <c r="C151" i="7"/>
  <c r="D151" i="7"/>
  <c r="B152" i="7"/>
  <c r="C152" i="7"/>
  <c r="D152" i="7"/>
  <c r="B153" i="7"/>
  <c r="C153" i="7"/>
  <c r="D153" i="7"/>
  <c r="B154" i="7"/>
  <c r="C154" i="7"/>
  <c r="D154" i="7"/>
  <c r="B155" i="7"/>
  <c r="C155" i="7"/>
  <c r="D155" i="7"/>
  <c r="B156" i="7"/>
  <c r="C156" i="7"/>
  <c r="D156" i="7"/>
  <c r="B157" i="7"/>
  <c r="C157" i="7"/>
  <c r="D157" i="7"/>
  <c r="B158" i="7"/>
  <c r="C158" i="7"/>
  <c r="D158" i="7"/>
  <c r="B159" i="7"/>
  <c r="C159" i="7"/>
  <c r="D159" i="7"/>
  <c r="B160" i="7"/>
  <c r="C160" i="7"/>
  <c r="D160" i="7"/>
  <c r="B161" i="7"/>
  <c r="C161" i="7"/>
  <c r="D161" i="7"/>
  <c r="B162" i="7"/>
  <c r="C162" i="7"/>
  <c r="D162" i="7"/>
  <c r="B163" i="7"/>
  <c r="C163" i="7"/>
  <c r="D163" i="7"/>
  <c r="B164" i="7"/>
  <c r="C164" i="7"/>
  <c r="D164" i="7"/>
  <c r="B165" i="7"/>
  <c r="C165" i="7"/>
  <c r="D165" i="7"/>
  <c r="B166" i="7"/>
  <c r="C166" i="7"/>
  <c r="D166" i="7"/>
  <c r="B167" i="7"/>
  <c r="C167" i="7"/>
  <c r="D167" i="7"/>
  <c r="B168" i="7"/>
  <c r="C168" i="7"/>
  <c r="D168" i="7"/>
  <c r="B169" i="7"/>
  <c r="C169" i="7"/>
  <c r="D169" i="7"/>
  <c r="B170" i="7"/>
  <c r="C170" i="7"/>
  <c r="D170" i="7"/>
  <c r="B171" i="7"/>
  <c r="C171" i="7"/>
  <c r="D171" i="7"/>
  <c r="B172" i="7"/>
  <c r="C172" i="7"/>
  <c r="D172" i="7"/>
  <c r="B173" i="7"/>
  <c r="C173" i="7"/>
  <c r="D173" i="7"/>
  <c r="B174" i="7"/>
  <c r="C174" i="7"/>
  <c r="D174" i="7"/>
  <c r="B175" i="7"/>
  <c r="C175" i="7"/>
  <c r="D175" i="7"/>
  <c r="B176" i="7"/>
  <c r="C176" i="7"/>
  <c r="D176" i="7"/>
  <c r="B177" i="7"/>
  <c r="C177" i="7"/>
  <c r="D177" i="7"/>
  <c r="B178" i="7"/>
  <c r="C178" i="7"/>
  <c r="D178" i="7"/>
  <c r="B179" i="7"/>
  <c r="C179" i="7"/>
  <c r="D179" i="7"/>
  <c r="B180" i="7"/>
  <c r="C180" i="7"/>
  <c r="D180" i="7"/>
  <c r="B181" i="7"/>
  <c r="C181" i="7"/>
  <c r="D181" i="7"/>
  <c r="B182" i="7"/>
  <c r="C182" i="7"/>
  <c r="D182" i="7"/>
  <c r="B183" i="7"/>
  <c r="C183" i="7"/>
  <c r="D183" i="7"/>
  <c r="B184" i="7"/>
  <c r="C184" i="7"/>
  <c r="D184" i="7"/>
  <c r="B185" i="7"/>
  <c r="C185" i="7"/>
  <c r="D185" i="7"/>
  <c r="B186" i="7"/>
  <c r="C186" i="7"/>
  <c r="D186" i="7"/>
  <c r="B187" i="7"/>
  <c r="C187" i="7"/>
  <c r="D187" i="7"/>
  <c r="B188" i="7"/>
  <c r="C188" i="7"/>
  <c r="D188" i="7"/>
  <c r="B189" i="7"/>
  <c r="C189" i="7"/>
  <c r="D189" i="7"/>
  <c r="B190" i="7"/>
  <c r="C190" i="7"/>
  <c r="D190" i="7"/>
  <c r="B191" i="7"/>
  <c r="C191" i="7"/>
  <c r="D191" i="7"/>
  <c r="B192" i="7"/>
  <c r="C192" i="7"/>
  <c r="D192" i="7"/>
  <c r="B193" i="7"/>
  <c r="C193" i="7"/>
  <c r="D193" i="7"/>
  <c r="B194" i="7"/>
  <c r="C194" i="7"/>
  <c r="D194" i="7"/>
  <c r="B195" i="7"/>
  <c r="C195" i="7"/>
  <c r="D195" i="7"/>
  <c r="B196" i="7"/>
  <c r="C196" i="7"/>
  <c r="D196" i="7"/>
  <c r="B197" i="7"/>
  <c r="C197" i="7"/>
  <c r="D197" i="7"/>
  <c r="B198" i="7"/>
  <c r="C198" i="7"/>
  <c r="D198" i="7"/>
  <c r="B199" i="7"/>
  <c r="C199" i="7"/>
  <c r="D199" i="7"/>
  <c r="B200" i="7"/>
  <c r="C200" i="7"/>
  <c r="D200" i="7"/>
  <c r="B201" i="7"/>
  <c r="C201" i="7"/>
  <c r="D201" i="7"/>
  <c r="B202" i="7"/>
  <c r="C202" i="7"/>
  <c r="D202" i="7"/>
  <c r="B203" i="7"/>
  <c r="C203" i="7"/>
  <c r="D203" i="7"/>
  <c r="B204" i="7"/>
  <c r="C204" i="7"/>
  <c r="D204" i="7"/>
  <c r="D2" i="7"/>
  <c r="C2" i="7"/>
  <c r="B2" i="7"/>
  <c r="B3" i="6"/>
  <c r="C3" i="6"/>
  <c r="D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B16" i="6"/>
  <c r="C16" i="6"/>
  <c r="D16" i="6"/>
  <c r="B17" i="6"/>
  <c r="C17" i="6"/>
  <c r="D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D38" i="6"/>
  <c r="B39" i="6"/>
  <c r="C39" i="6"/>
  <c r="D39" i="6"/>
  <c r="B40" i="6"/>
  <c r="C40" i="6"/>
  <c r="D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B53" i="6"/>
  <c r="C53" i="6"/>
  <c r="D53" i="6"/>
  <c r="B54" i="6"/>
  <c r="C54" i="6"/>
  <c r="D54" i="6"/>
  <c r="B55" i="6"/>
  <c r="C55" i="6"/>
  <c r="D55" i="6"/>
  <c r="B56" i="6"/>
  <c r="C56" i="6"/>
  <c r="D56" i="6"/>
  <c r="B57" i="6"/>
  <c r="C57" i="6"/>
  <c r="D57" i="6"/>
  <c r="B58" i="6"/>
  <c r="C58" i="6"/>
  <c r="D58" i="6"/>
  <c r="B59" i="6"/>
  <c r="C59" i="6"/>
  <c r="D59" i="6"/>
  <c r="B60" i="6"/>
  <c r="C60" i="6"/>
  <c r="D60" i="6"/>
  <c r="B61" i="6"/>
  <c r="C61" i="6"/>
  <c r="D61" i="6"/>
  <c r="B62" i="6"/>
  <c r="C62" i="6"/>
  <c r="D62" i="6"/>
  <c r="B63" i="6"/>
  <c r="C63" i="6"/>
  <c r="D63" i="6"/>
  <c r="B64" i="6"/>
  <c r="C64" i="6"/>
  <c r="D64" i="6"/>
  <c r="B65" i="6"/>
  <c r="C65" i="6"/>
  <c r="D65" i="6"/>
  <c r="B66" i="6"/>
  <c r="C66" i="6"/>
  <c r="D66" i="6"/>
  <c r="B67" i="6"/>
  <c r="C67" i="6"/>
  <c r="D67" i="6"/>
  <c r="B68" i="6"/>
  <c r="C68" i="6"/>
  <c r="D68" i="6"/>
  <c r="B69" i="6"/>
  <c r="C69" i="6"/>
  <c r="D69" i="6"/>
  <c r="B70" i="6"/>
  <c r="C70" i="6"/>
  <c r="D70" i="6"/>
  <c r="B71" i="6"/>
  <c r="C71" i="6"/>
  <c r="D71" i="6"/>
  <c r="B72" i="6"/>
  <c r="C72" i="6"/>
  <c r="D72" i="6"/>
  <c r="B73" i="6"/>
  <c r="C73" i="6"/>
  <c r="D73" i="6"/>
  <c r="B74" i="6"/>
  <c r="C74" i="6"/>
  <c r="D74" i="6"/>
  <c r="B75" i="6"/>
  <c r="C75" i="6"/>
  <c r="D75" i="6"/>
  <c r="B76" i="6"/>
  <c r="C76" i="6"/>
  <c r="D76" i="6"/>
  <c r="B77" i="6"/>
  <c r="C77" i="6"/>
  <c r="D77" i="6"/>
  <c r="B78" i="6"/>
  <c r="C78" i="6"/>
  <c r="D78" i="6"/>
  <c r="B79" i="6"/>
  <c r="C79" i="6"/>
  <c r="D79" i="6"/>
  <c r="B80" i="6"/>
  <c r="C80" i="6"/>
  <c r="D80" i="6"/>
  <c r="B81" i="6"/>
  <c r="C81" i="6"/>
  <c r="D81" i="6"/>
  <c r="B82" i="6"/>
  <c r="C82" i="6"/>
  <c r="D82" i="6"/>
  <c r="B83" i="6"/>
  <c r="C83" i="6"/>
  <c r="D83" i="6"/>
  <c r="B84" i="6"/>
  <c r="C84" i="6"/>
  <c r="D84" i="6"/>
  <c r="B85" i="6"/>
  <c r="C85" i="6"/>
  <c r="D85" i="6"/>
  <c r="B86" i="6"/>
  <c r="C86" i="6"/>
  <c r="D86" i="6"/>
  <c r="B87" i="6"/>
  <c r="C87" i="6"/>
  <c r="D87" i="6"/>
  <c r="B88" i="6"/>
  <c r="C88" i="6"/>
  <c r="D88" i="6"/>
  <c r="B89" i="6"/>
  <c r="C89" i="6"/>
  <c r="D89" i="6"/>
  <c r="B90" i="6"/>
  <c r="C90" i="6"/>
  <c r="D90" i="6"/>
  <c r="B91" i="6"/>
  <c r="C91" i="6"/>
  <c r="D91" i="6"/>
  <c r="B92" i="6"/>
  <c r="C92" i="6"/>
  <c r="D92" i="6"/>
  <c r="B93" i="6"/>
  <c r="C93" i="6"/>
  <c r="D93" i="6"/>
  <c r="B94" i="6"/>
  <c r="C94" i="6"/>
  <c r="D94" i="6"/>
  <c r="B95" i="6"/>
  <c r="C95" i="6"/>
  <c r="D95" i="6"/>
  <c r="B96" i="6"/>
  <c r="C96" i="6"/>
  <c r="D96" i="6"/>
  <c r="B97" i="6"/>
  <c r="C97" i="6"/>
  <c r="D97" i="6"/>
  <c r="B98" i="6"/>
  <c r="C98" i="6"/>
  <c r="D98" i="6"/>
  <c r="B99" i="6"/>
  <c r="C99" i="6"/>
  <c r="D99" i="6"/>
  <c r="B100" i="6"/>
  <c r="C100" i="6"/>
  <c r="D100" i="6"/>
  <c r="B101" i="6"/>
  <c r="C101" i="6"/>
  <c r="D101" i="6"/>
  <c r="B102" i="6"/>
  <c r="C102" i="6"/>
  <c r="D102" i="6"/>
  <c r="B103" i="6"/>
  <c r="C103" i="6"/>
  <c r="D103" i="6"/>
  <c r="B104" i="6"/>
  <c r="C104" i="6"/>
  <c r="D104" i="6"/>
  <c r="B105" i="6"/>
  <c r="C105" i="6"/>
  <c r="D105" i="6"/>
  <c r="B106" i="6"/>
  <c r="C106" i="6"/>
  <c r="D106" i="6"/>
  <c r="B107" i="6"/>
  <c r="C107" i="6"/>
  <c r="D107" i="6"/>
  <c r="B108" i="6"/>
  <c r="C108" i="6"/>
  <c r="D108" i="6"/>
  <c r="B109" i="6"/>
  <c r="C109" i="6"/>
  <c r="D109" i="6"/>
  <c r="B110" i="6"/>
  <c r="C110" i="6"/>
  <c r="D110" i="6"/>
  <c r="B111" i="6"/>
  <c r="C111" i="6"/>
  <c r="D111" i="6"/>
  <c r="B112" i="6"/>
  <c r="C112" i="6"/>
  <c r="D112" i="6"/>
  <c r="B113" i="6"/>
  <c r="C113" i="6"/>
  <c r="D113" i="6"/>
  <c r="B114" i="6"/>
  <c r="C114" i="6"/>
  <c r="D114" i="6"/>
  <c r="B115" i="6"/>
  <c r="C115" i="6"/>
  <c r="D115" i="6"/>
  <c r="B116" i="6"/>
  <c r="C116" i="6"/>
  <c r="D116" i="6"/>
  <c r="B117" i="6"/>
  <c r="C117" i="6"/>
  <c r="D117" i="6"/>
  <c r="B118" i="6"/>
  <c r="C118" i="6"/>
  <c r="D118" i="6"/>
  <c r="B119" i="6"/>
  <c r="C119" i="6"/>
  <c r="D119" i="6"/>
  <c r="B120" i="6"/>
  <c r="C120" i="6"/>
  <c r="D120" i="6"/>
  <c r="B121" i="6"/>
  <c r="C121" i="6"/>
  <c r="D121" i="6"/>
  <c r="B122" i="6"/>
  <c r="C122" i="6"/>
  <c r="D122" i="6"/>
  <c r="B123" i="6"/>
  <c r="C123" i="6"/>
  <c r="D123" i="6"/>
  <c r="B124" i="6"/>
  <c r="C124" i="6"/>
  <c r="D124" i="6"/>
  <c r="B125" i="6"/>
  <c r="C125" i="6"/>
  <c r="D125" i="6"/>
  <c r="B126" i="6"/>
  <c r="C126" i="6"/>
  <c r="D126" i="6"/>
  <c r="B127" i="6"/>
  <c r="C127" i="6"/>
  <c r="D127" i="6"/>
  <c r="B128" i="6"/>
  <c r="C128" i="6"/>
  <c r="D128" i="6"/>
  <c r="B129" i="6"/>
  <c r="C129" i="6"/>
  <c r="D129" i="6"/>
  <c r="B130" i="6"/>
  <c r="C130" i="6"/>
  <c r="D130" i="6"/>
  <c r="B131" i="6"/>
  <c r="C131" i="6"/>
  <c r="D131" i="6"/>
  <c r="B132" i="6"/>
  <c r="C132" i="6"/>
  <c r="D132" i="6"/>
  <c r="B133" i="6"/>
  <c r="C133" i="6"/>
  <c r="D133" i="6"/>
  <c r="B134" i="6"/>
  <c r="C134" i="6"/>
  <c r="D134" i="6"/>
  <c r="B135" i="6"/>
  <c r="C135" i="6"/>
  <c r="D135" i="6"/>
  <c r="B136" i="6"/>
  <c r="C136" i="6"/>
  <c r="D136" i="6"/>
  <c r="B137" i="6"/>
  <c r="C137" i="6"/>
  <c r="D137" i="6"/>
  <c r="B138" i="6"/>
  <c r="C138" i="6"/>
  <c r="D138" i="6"/>
  <c r="B139" i="6"/>
  <c r="C139" i="6"/>
  <c r="D139" i="6"/>
  <c r="B140" i="6"/>
  <c r="C140" i="6"/>
  <c r="D140" i="6"/>
  <c r="B141" i="6"/>
  <c r="C141" i="6"/>
  <c r="D141" i="6"/>
  <c r="B142" i="6"/>
  <c r="C142" i="6"/>
  <c r="D142" i="6"/>
  <c r="B143" i="6"/>
  <c r="C143" i="6"/>
  <c r="D143" i="6"/>
  <c r="B144" i="6"/>
  <c r="C144" i="6"/>
  <c r="D144" i="6"/>
  <c r="B145" i="6"/>
  <c r="C145" i="6"/>
  <c r="D145" i="6"/>
  <c r="B146" i="6"/>
  <c r="C146" i="6"/>
  <c r="D146" i="6"/>
  <c r="B147" i="6"/>
  <c r="C147" i="6"/>
  <c r="D147" i="6"/>
  <c r="B148" i="6"/>
  <c r="C148" i="6"/>
  <c r="D148" i="6"/>
  <c r="B149" i="6"/>
  <c r="C149" i="6"/>
  <c r="D149" i="6"/>
  <c r="B150" i="6"/>
  <c r="C150" i="6"/>
  <c r="D150" i="6"/>
  <c r="B151" i="6"/>
  <c r="C151" i="6"/>
  <c r="D151" i="6"/>
  <c r="B152" i="6"/>
  <c r="C152" i="6"/>
  <c r="D152" i="6"/>
  <c r="B153" i="6"/>
  <c r="C153" i="6"/>
  <c r="D153" i="6"/>
  <c r="B154" i="6"/>
  <c r="C154" i="6"/>
  <c r="D154" i="6"/>
  <c r="B155" i="6"/>
  <c r="C155" i="6"/>
  <c r="D155" i="6"/>
  <c r="B156" i="6"/>
  <c r="C156" i="6"/>
  <c r="D156" i="6"/>
  <c r="B157" i="6"/>
  <c r="C157" i="6"/>
  <c r="D157" i="6"/>
  <c r="B158" i="6"/>
  <c r="C158" i="6"/>
  <c r="D158" i="6"/>
  <c r="B159" i="6"/>
  <c r="C159" i="6"/>
  <c r="D159" i="6"/>
  <c r="B160" i="6"/>
  <c r="C160" i="6"/>
  <c r="D160" i="6"/>
  <c r="B161" i="6"/>
  <c r="C161" i="6"/>
  <c r="D161" i="6"/>
  <c r="B162" i="6"/>
  <c r="C162" i="6"/>
  <c r="D162" i="6"/>
  <c r="B163" i="6"/>
  <c r="C163" i="6"/>
  <c r="D163" i="6"/>
  <c r="B164" i="6"/>
  <c r="C164" i="6"/>
  <c r="D164" i="6"/>
  <c r="B165" i="6"/>
  <c r="C165" i="6"/>
  <c r="D165" i="6"/>
  <c r="B166" i="6"/>
  <c r="C166" i="6"/>
  <c r="D166" i="6"/>
  <c r="B167" i="6"/>
  <c r="C167" i="6"/>
  <c r="D167" i="6"/>
  <c r="B168" i="6"/>
  <c r="C168" i="6"/>
  <c r="D168" i="6"/>
  <c r="B169" i="6"/>
  <c r="C169" i="6"/>
  <c r="D169" i="6"/>
  <c r="B170" i="6"/>
  <c r="C170" i="6"/>
  <c r="D170" i="6"/>
  <c r="B171" i="6"/>
  <c r="C171" i="6"/>
  <c r="D171" i="6"/>
  <c r="B172" i="6"/>
  <c r="C172" i="6"/>
  <c r="D172" i="6"/>
  <c r="B173" i="6"/>
  <c r="C173" i="6"/>
  <c r="D173" i="6"/>
  <c r="B174" i="6"/>
  <c r="C174" i="6"/>
  <c r="D174" i="6"/>
  <c r="B175" i="6"/>
  <c r="C175" i="6"/>
  <c r="D175" i="6"/>
  <c r="B176" i="6"/>
  <c r="C176" i="6"/>
  <c r="D176" i="6"/>
  <c r="B177" i="6"/>
  <c r="C177" i="6"/>
  <c r="D177" i="6"/>
  <c r="B178" i="6"/>
  <c r="C178" i="6"/>
  <c r="D178" i="6"/>
  <c r="B179" i="6"/>
  <c r="C179" i="6"/>
  <c r="D179" i="6"/>
  <c r="B180" i="6"/>
  <c r="C180" i="6"/>
  <c r="D180" i="6"/>
  <c r="B181" i="6"/>
  <c r="C181" i="6"/>
  <c r="D181" i="6"/>
  <c r="B182" i="6"/>
  <c r="C182" i="6"/>
  <c r="D182" i="6"/>
  <c r="B183" i="6"/>
  <c r="C183" i="6"/>
  <c r="D183" i="6"/>
  <c r="B184" i="6"/>
  <c r="C184" i="6"/>
  <c r="D184" i="6"/>
  <c r="B185" i="6"/>
  <c r="C185" i="6"/>
  <c r="D185" i="6"/>
  <c r="B186" i="6"/>
  <c r="C186" i="6"/>
  <c r="D186" i="6"/>
  <c r="B187" i="6"/>
  <c r="C187" i="6"/>
  <c r="D187" i="6"/>
  <c r="B188" i="6"/>
  <c r="C188" i="6"/>
  <c r="D188" i="6"/>
  <c r="B189" i="6"/>
  <c r="C189" i="6"/>
  <c r="D189" i="6"/>
  <c r="B190" i="6"/>
  <c r="C190" i="6"/>
  <c r="D190" i="6"/>
  <c r="B191" i="6"/>
  <c r="C191" i="6"/>
  <c r="D191" i="6"/>
  <c r="B192" i="6"/>
  <c r="C192" i="6"/>
  <c r="D192" i="6"/>
  <c r="B193" i="6"/>
  <c r="C193" i="6"/>
  <c r="D193" i="6"/>
  <c r="B194" i="6"/>
  <c r="C194" i="6"/>
  <c r="D194" i="6"/>
  <c r="B195" i="6"/>
  <c r="C195" i="6"/>
  <c r="D195" i="6"/>
  <c r="B196" i="6"/>
  <c r="C196" i="6"/>
  <c r="D196" i="6"/>
  <c r="B197" i="6"/>
  <c r="C197" i="6"/>
  <c r="D197" i="6"/>
  <c r="B198" i="6"/>
  <c r="C198" i="6"/>
  <c r="D198" i="6"/>
  <c r="B199" i="6"/>
  <c r="C199" i="6"/>
  <c r="D199" i="6"/>
  <c r="B200" i="6"/>
  <c r="C200" i="6"/>
  <c r="D200" i="6"/>
  <c r="B201" i="6"/>
  <c r="C201" i="6"/>
  <c r="D201" i="6"/>
  <c r="B202" i="6"/>
  <c r="C202" i="6"/>
  <c r="D202" i="6"/>
  <c r="B203" i="6"/>
  <c r="C203" i="6"/>
  <c r="D203" i="6"/>
  <c r="B204" i="6"/>
  <c r="C204" i="6"/>
  <c r="D204" i="6"/>
  <c r="D2" i="6"/>
  <c r="C2" i="6"/>
  <c r="B2" i="6"/>
  <c r="B204" i="2"/>
  <c r="B204" i="5"/>
  <c r="B203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B205" i="5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3" i="2"/>
  <c r="B2" i="2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J202" i="5"/>
  <c r="B201" i="5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B84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B85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B86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B87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B88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B90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B91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B92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B93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B94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B95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B96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B97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B98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B99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B100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B102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B104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B105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B106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B107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B108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B109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B110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B111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B112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B113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B114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B115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B116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B117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B118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B119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B120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B121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B122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B123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B124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B125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B126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B127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B128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B129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B130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B131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B132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B133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B134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B135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B136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B137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B138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B139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B140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B141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B142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B143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B144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B145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B146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B147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B148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B149" i="5"/>
  <c r="C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B150" i="5"/>
  <c r="C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B151" i="5"/>
  <c r="C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B152" i="5"/>
  <c r="C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B153" i="5"/>
  <c r="C153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B154" i="5"/>
  <c r="C154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B155" i="5"/>
  <c r="C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B156" i="5"/>
  <c r="C156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B157" i="5"/>
  <c r="C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B158" i="5"/>
  <c r="C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B159" i="5"/>
  <c r="C159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B160" i="5"/>
  <c r="C160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B161" i="5"/>
  <c r="C161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B162" i="5"/>
  <c r="C162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B163" i="5"/>
  <c r="C163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B164" i="5"/>
  <c r="C164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B165" i="5"/>
  <c r="C165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B166" i="5"/>
  <c r="C166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B167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B168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B169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B170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B171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B172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B173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B174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B175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B176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B177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B178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B179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B180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B181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B182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B183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B184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B185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B186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B187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B188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B189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B190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B191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B192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B193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B194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B195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B196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B197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B198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B199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B200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B202" i="5"/>
  <c r="C202" i="5"/>
  <c r="D202" i="5"/>
  <c r="E202" i="5"/>
  <c r="F202" i="5"/>
  <c r="G202" i="5"/>
  <c r="H202" i="5"/>
  <c r="I202" i="5"/>
  <c r="K202" i="5"/>
  <c r="L202" i="5"/>
  <c r="M202" i="5"/>
  <c r="N202" i="5"/>
  <c r="O202" i="5"/>
  <c r="P202" i="5"/>
  <c r="Q202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B2" i="5"/>
</calcChain>
</file>

<file path=xl/sharedStrings.xml><?xml version="1.0" encoding="utf-8"?>
<sst xmlns="http://schemas.openxmlformats.org/spreadsheetml/2006/main" count="97" uniqueCount="20">
  <si>
    <t>data</t>
  </si>
  <si>
    <t>1 Dia</t>
  </si>
  <si>
    <t>1 Ano</t>
  </si>
  <si>
    <t>2 Anos</t>
  </si>
  <si>
    <t>3 Anos</t>
  </si>
  <si>
    <t>4 Anos</t>
  </si>
  <si>
    <t>5 Anos</t>
  </si>
  <si>
    <t>6 Anos</t>
  </si>
  <si>
    <t>7 Anos</t>
  </si>
  <si>
    <t>8 Anos</t>
  </si>
  <si>
    <t>9 Anos</t>
  </si>
  <si>
    <t>10 Anos</t>
  </si>
  <si>
    <t>11 Anos</t>
  </si>
  <si>
    <t>12 Anos</t>
  </si>
  <si>
    <t>13 Anos</t>
  </si>
  <si>
    <t>14 Anos</t>
  </si>
  <si>
    <t>15 Anos</t>
  </si>
  <si>
    <t>Nível</t>
  </si>
  <si>
    <t>Inclinação</t>
  </si>
  <si>
    <t>Curvatura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</si>
</sst>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Garamond"/>
      <family val="2"/>
    </font>
    <font>
      <sz val="8"/>
      <name val="Garamon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6A25B-AB18-4AB7-A8C1-EFABC6D5F8E3}">
  <dimension ref="A1:Q205"/>
  <sheetViews>
    <sheetView tabSelected="1" workbookViewId="0">
      <pane ySplit="1" topLeftCell="A179" activePane="bottomLeft" state="frozen"/>
      <selection pane="bottomLeft" activeCell="A205" sqref="A205"/>
    </sheetView>
  </sheetViews>
  <sheetFormatPr defaultColWidth="11.875" defaultRowHeight="18.75" customHeight="1" x14ac:dyDescent="0.25"/>
  <cols>
    <col min="1" max="16384" width="11.875" style="1"/>
  </cols>
  <sheetData>
    <row r="1" spans="1:17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customHeight="1" x14ac:dyDescent="0.25">
      <c r="A2" s="2">
        <v>38411</v>
      </c>
      <c r="B2" s="3">
        <v>18.75</v>
      </c>
      <c r="C2" s="3">
        <v>18.61</v>
      </c>
      <c r="D2" s="3">
        <v>17.41</v>
      </c>
      <c r="E2" s="3">
        <v>16.7</v>
      </c>
      <c r="F2" s="3">
        <v>16.22</v>
      </c>
      <c r="G2" s="3">
        <v>15.89</v>
      </c>
      <c r="H2" s="3">
        <v>15.68</v>
      </c>
      <c r="I2" s="3">
        <v>15.54</v>
      </c>
      <c r="J2" s="3">
        <v>15.43</v>
      </c>
      <c r="K2" s="3">
        <v>15.43</v>
      </c>
      <c r="L2" s="3">
        <v>15.43</v>
      </c>
      <c r="M2" s="3">
        <v>15.43</v>
      </c>
      <c r="N2" s="3">
        <v>15.43</v>
      </c>
      <c r="O2" s="3">
        <v>15.43</v>
      </c>
      <c r="P2" s="3">
        <v>15.43</v>
      </c>
      <c r="Q2" s="3">
        <v>15.43</v>
      </c>
    </row>
    <row r="3" spans="1:17" ht="18.75" customHeight="1" x14ac:dyDescent="0.25">
      <c r="A3" s="2">
        <v>38442</v>
      </c>
      <c r="B3" s="3">
        <v>19.25</v>
      </c>
      <c r="C3" s="3">
        <v>19.190000000000001</v>
      </c>
      <c r="D3" s="3">
        <v>18.3</v>
      </c>
      <c r="E3" s="3">
        <v>17.78</v>
      </c>
      <c r="F3" s="3">
        <v>17.43</v>
      </c>
      <c r="G3" s="3">
        <v>16.97</v>
      </c>
      <c r="H3" s="3">
        <v>16.71</v>
      </c>
      <c r="I3" s="3">
        <v>16.52</v>
      </c>
      <c r="J3" s="3">
        <v>16.38</v>
      </c>
      <c r="K3" s="3">
        <v>16.38</v>
      </c>
      <c r="L3" s="3">
        <v>16.38</v>
      </c>
      <c r="M3" s="3">
        <v>16.38</v>
      </c>
      <c r="N3" s="3">
        <v>16.38</v>
      </c>
      <c r="O3" s="3">
        <v>16.38</v>
      </c>
      <c r="P3" s="3">
        <v>16.38</v>
      </c>
      <c r="Q3" s="3">
        <v>16.38</v>
      </c>
    </row>
    <row r="4" spans="1:17" ht="18.75" customHeight="1" x14ac:dyDescent="0.25">
      <c r="A4" s="2">
        <v>38472</v>
      </c>
      <c r="B4" s="3">
        <v>19.5</v>
      </c>
      <c r="C4" s="3">
        <v>19.16</v>
      </c>
      <c r="D4" s="3">
        <v>18.09</v>
      </c>
      <c r="E4" s="3">
        <v>17.440000000000001</v>
      </c>
      <c r="F4" s="3">
        <v>16.96</v>
      </c>
      <c r="G4" s="3">
        <v>16.600000000000001</v>
      </c>
      <c r="H4" s="3">
        <v>16.37</v>
      </c>
      <c r="I4" s="3">
        <v>16.21</v>
      </c>
      <c r="J4" s="3">
        <v>16.100000000000001</v>
      </c>
      <c r="K4" s="3">
        <v>16.100000000000001</v>
      </c>
      <c r="L4" s="3">
        <v>16.100000000000001</v>
      </c>
      <c r="M4" s="3">
        <v>16.100000000000001</v>
      </c>
      <c r="N4" s="3">
        <v>16.100000000000001</v>
      </c>
      <c r="O4" s="3">
        <v>16.100000000000001</v>
      </c>
      <c r="P4" s="3">
        <v>16.100000000000001</v>
      </c>
      <c r="Q4" s="3">
        <v>16.100000000000001</v>
      </c>
    </row>
    <row r="5" spans="1:17" ht="18.75" customHeight="1" x14ac:dyDescent="0.25">
      <c r="A5" s="2">
        <v>38503</v>
      </c>
      <c r="B5" s="3">
        <v>19.75</v>
      </c>
      <c r="C5" s="3">
        <v>18.649999999999999</v>
      </c>
      <c r="D5" s="3">
        <v>17.61</v>
      </c>
      <c r="E5" s="3">
        <v>17.010000000000002</v>
      </c>
      <c r="F5" s="3">
        <v>16.600000000000001</v>
      </c>
      <c r="G5" s="3">
        <v>16.25</v>
      </c>
      <c r="H5" s="3">
        <v>16.04</v>
      </c>
      <c r="I5" s="3">
        <v>15.89</v>
      </c>
      <c r="J5" s="3">
        <v>15.78</v>
      </c>
      <c r="K5" s="3">
        <v>15.78</v>
      </c>
      <c r="L5" s="3">
        <v>15.78</v>
      </c>
      <c r="M5" s="3">
        <v>15.78</v>
      </c>
      <c r="N5" s="3">
        <v>15.78</v>
      </c>
      <c r="O5" s="3">
        <v>15.78</v>
      </c>
      <c r="P5" s="3">
        <v>15.78</v>
      </c>
      <c r="Q5" s="3">
        <v>15.78</v>
      </c>
    </row>
    <row r="6" spans="1:17" ht="18.75" customHeight="1" x14ac:dyDescent="0.25">
      <c r="A6" s="2">
        <v>38533</v>
      </c>
      <c r="B6" s="3">
        <v>19.75</v>
      </c>
      <c r="C6" s="3">
        <v>18.12</v>
      </c>
      <c r="D6" s="3">
        <v>17.16</v>
      </c>
      <c r="E6" s="3">
        <v>16.420000000000002</v>
      </c>
      <c r="F6" s="3">
        <v>16.02</v>
      </c>
      <c r="G6" s="3">
        <v>15.61</v>
      </c>
      <c r="H6" s="3">
        <v>15.53</v>
      </c>
      <c r="I6" s="3">
        <v>15.52</v>
      </c>
      <c r="J6" s="3">
        <v>15.51</v>
      </c>
      <c r="K6" s="3">
        <v>15.51</v>
      </c>
      <c r="L6" s="3">
        <v>15.51</v>
      </c>
      <c r="M6" s="3">
        <v>15.51</v>
      </c>
      <c r="N6" s="3">
        <v>15.51</v>
      </c>
      <c r="O6" s="3">
        <v>15.51</v>
      </c>
      <c r="P6" s="3">
        <v>15.51</v>
      </c>
      <c r="Q6" s="3">
        <v>15.51</v>
      </c>
    </row>
    <row r="7" spans="1:17" ht="18.75" customHeight="1" x14ac:dyDescent="0.25">
      <c r="A7" s="2">
        <v>38564</v>
      </c>
      <c r="B7" s="3">
        <v>19.75</v>
      </c>
      <c r="C7" s="3">
        <v>18.329999999999998</v>
      </c>
      <c r="D7" s="3">
        <v>17.559999999999999</v>
      </c>
      <c r="E7" s="3">
        <v>16.86</v>
      </c>
      <c r="F7" s="3">
        <v>16.5</v>
      </c>
      <c r="G7" s="3">
        <v>16.23</v>
      </c>
      <c r="H7" s="3">
        <v>16.04</v>
      </c>
      <c r="I7" s="3">
        <v>15.91</v>
      </c>
      <c r="J7" s="3">
        <v>15.82</v>
      </c>
      <c r="K7" s="3">
        <v>15.82</v>
      </c>
      <c r="L7" s="3">
        <v>15.82</v>
      </c>
      <c r="M7" s="3">
        <v>15.82</v>
      </c>
      <c r="N7" s="3">
        <v>15.82</v>
      </c>
      <c r="O7" s="3">
        <v>15.82</v>
      </c>
      <c r="P7" s="3">
        <v>15.82</v>
      </c>
      <c r="Q7" s="3">
        <v>15.82</v>
      </c>
    </row>
    <row r="8" spans="1:17" ht="18.75" customHeight="1" x14ac:dyDescent="0.25">
      <c r="A8" s="2">
        <v>38595</v>
      </c>
      <c r="B8" s="3">
        <v>19.75</v>
      </c>
      <c r="C8" s="3">
        <v>18.32</v>
      </c>
      <c r="D8" s="3">
        <v>17.73</v>
      </c>
      <c r="E8" s="3">
        <v>17.11</v>
      </c>
      <c r="F8" s="3">
        <v>16.8</v>
      </c>
      <c r="G8" s="3">
        <v>16.579999999999998</v>
      </c>
      <c r="H8" s="3">
        <v>16.41</v>
      </c>
      <c r="I8" s="3">
        <v>16.28</v>
      </c>
      <c r="J8" s="3">
        <v>16.190000000000001</v>
      </c>
      <c r="K8" s="3">
        <v>16.190000000000001</v>
      </c>
      <c r="L8" s="3">
        <v>16.190000000000001</v>
      </c>
      <c r="M8" s="3">
        <v>16.190000000000001</v>
      </c>
      <c r="N8" s="3">
        <v>16.190000000000001</v>
      </c>
      <c r="O8" s="3">
        <v>16.190000000000001</v>
      </c>
      <c r="P8" s="3">
        <v>16.190000000000001</v>
      </c>
      <c r="Q8" s="3">
        <v>16.190000000000001</v>
      </c>
    </row>
    <row r="9" spans="1:17" ht="18.75" customHeight="1" x14ac:dyDescent="0.25">
      <c r="A9" s="2">
        <v>38625</v>
      </c>
      <c r="B9" s="3">
        <v>19.5</v>
      </c>
      <c r="C9" s="3">
        <v>17.899999999999999</v>
      </c>
      <c r="D9" s="3">
        <v>16.98</v>
      </c>
      <c r="E9" s="3">
        <v>16.3</v>
      </c>
      <c r="F9" s="3">
        <v>15.73</v>
      </c>
      <c r="G9" s="3">
        <v>15.28</v>
      </c>
      <c r="H9" s="3">
        <v>15.08</v>
      </c>
      <c r="I9" s="3">
        <v>14.95</v>
      </c>
      <c r="J9" s="3">
        <v>14.85</v>
      </c>
      <c r="K9" s="3">
        <v>14.77</v>
      </c>
      <c r="L9" s="3">
        <v>14.7</v>
      </c>
      <c r="M9" s="3">
        <v>14.7</v>
      </c>
      <c r="N9" s="3">
        <v>14.6</v>
      </c>
      <c r="O9" s="3">
        <v>14.6</v>
      </c>
      <c r="P9" s="3">
        <v>14.6</v>
      </c>
      <c r="Q9" s="3">
        <v>14.6</v>
      </c>
    </row>
    <row r="10" spans="1:17" ht="18.75" customHeight="1" x14ac:dyDescent="0.25">
      <c r="A10" s="2">
        <v>38656</v>
      </c>
      <c r="B10" s="3">
        <v>19</v>
      </c>
      <c r="C10" s="3">
        <v>17.600000000000001</v>
      </c>
      <c r="D10" s="3">
        <v>17.25</v>
      </c>
      <c r="E10" s="3">
        <v>16.84</v>
      </c>
      <c r="F10" s="3">
        <v>16.420000000000002</v>
      </c>
      <c r="G10" s="3">
        <v>16.18</v>
      </c>
      <c r="H10" s="3">
        <v>16.05</v>
      </c>
      <c r="I10" s="3">
        <v>15.98</v>
      </c>
      <c r="J10" s="3">
        <v>15.92</v>
      </c>
      <c r="K10" s="3">
        <v>15.87</v>
      </c>
      <c r="L10" s="3">
        <v>15.84</v>
      </c>
      <c r="M10" s="3">
        <v>15.84</v>
      </c>
      <c r="N10" s="3">
        <v>15.78</v>
      </c>
      <c r="O10" s="3">
        <v>15.78</v>
      </c>
      <c r="P10" s="3">
        <v>15.78</v>
      </c>
      <c r="Q10" s="3">
        <v>15.78</v>
      </c>
    </row>
    <row r="11" spans="1:17" ht="18.75" customHeight="1" x14ac:dyDescent="0.25">
      <c r="A11" s="2">
        <v>38686</v>
      </c>
      <c r="B11" s="3">
        <v>18.5</v>
      </c>
      <c r="C11" s="3">
        <v>16.75</v>
      </c>
      <c r="D11" s="3">
        <v>16.47</v>
      </c>
      <c r="E11" s="3">
        <v>16.28</v>
      </c>
      <c r="F11" s="3">
        <v>15.95</v>
      </c>
      <c r="G11" s="3">
        <v>15.79</v>
      </c>
      <c r="H11" s="3">
        <v>15.54</v>
      </c>
      <c r="I11" s="3">
        <v>15.33</v>
      </c>
      <c r="J11" s="3">
        <v>15.16</v>
      </c>
      <c r="K11" s="3">
        <v>15.04</v>
      </c>
      <c r="L11" s="3">
        <v>14.94</v>
      </c>
      <c r="M11" s="3">
        <v>14.94</v>
      </c>
      <c r="N11" s="3">
        <v>14.78</v>
      </c>
      <c r="O11" s="3">
        <v>14.78</v>
      </c>
      <c r="P11" s="3">
        <v>14.78</v>
      </c>
      <c r="Q11" s="3">
        <v>14.78</v>
      </c>
    </row>
    <row r="12" spans="1:17" ht="18.75" customHeight="1" x14ac:dyDescent="0.25">
      <c r="A12" s="2">
        <v>38717</v>
      </c>
      <c r="B12" s="3">
        <v>18</v>
      </c>
      <c r="C12" s="3">
        <v>16.39</v>
      </c>
      <c r="D12" s="3">
        <v>15.72</v>
      </c>
      <c r="E12" s="3">
        <v>15.4</v>
      </c>
      <c r="F12" s="3">
        <v>15.12</v>
      </c>
      <c r="G12" s="3">
        <v>14.9</v>
      </c>
      <c r="H12" s="3">
        <v>14.74</v>
      </c>
      <c r="I12" s="3">
        <v>14.64</v>
      </c>
      <c r="J12" s="3">
        <v>14.55</v>
      </c>
      <c r="K12" s="3">
        <v>14.48</v>
      </c>
      <c r="L12" s="3">
        <v>14.43</v>
      </c>
      <c r="M12" s="3">
        <v>14.43</v>
      </c>
      <c r="N12" s="3">
        <v>14.34</v>
      </c>
      <c r="O12" s="3">
        <v>14.34</v>
      </c>
      <c r="P12" s="3">
        <v>14.34</v>
      </c>
      <c r="Q12" s="3">
        <v>14.34</v>
      </c>
    </row>
    <row r="13" spans="1:17" ht="18.75" customHeight="1" x14ac:dyDescent="0.25">
      <c r="A13" s="2">
        <v>38748</v>
      </c>
      <c r="B13" s="3">
        <v>17.25</v>
      </c>
      <c r="C13" s="3">
        <v>15.83</v>
      </c>
      <c r="D13" s="3">
        <v>15.28</v>
      </c>
      <c r="E13" s="3">
        <v>14.93</v>
      </c>
      <c r="F13" s="3">
        <v>14.63</v>
      </c>
      <c r="G13" s="3">
        <v>14.41</v>
      </c>
      <c r="H13" s="3">
        <v>14.3</v>
      </c>
      <c r="I13" s="3">
        <v>14.22</v>
      </c>
      <c r="J13" s="3">
        <v>14.16</v>
      </c>
      <c r="K13" s="3">
        <v>14.12</v>
      </c>
      <c r="L13" s="3">
        <v>14.08</v>
      </c>
      <c r="M13" s="3">
        <v>14.08</v>
      </c>
      <c r="N13" s="3">
        <v>14.03</v>
      </c>
      <c r="O13" s="3">
        <v>14.03</v>
      </c>
      <c r="P13" s="3">
        <v>14.03</v>
      </c>
      <c r="Q13" s="3">
        <v>14.03</v>
      </c>
    </row>
    <row r="14" spans="1:17" ht="18.75" customHeight="1" x14ac:dyDescent="0.25">
      <c r="A14" s="2">
        <v>38776</v>
      </c>
      <c r="B14" s="3">
        <v>17.25</v>
      </c>
      <c r="C14" s="3">
        <v>15.23</v>
      </c>
      <c r="D14" s="3">
        <v>14.6</v>
      </c>
      <c r="E14" s="3">
        <v>14.22</v>
      </c>
      <c r="F14" s="3">
        <v>13.99</v>
      </c>
      <c r="G14" s="3">
        <v>13.77</v>
      </c>
      <c r="H14" s="3">
        <v>13.67</v>
      </c>
      <c r="I14" s="3">
        <v>13.65</v>
      </c>
      <c r="J14" s="3">
        <v>13.64</v>
      </c>
      <c r="K14" s="3">
        <v>13.63</v>
      </c>
      <c r="L14" s="3">
        <v>13.63</v>
      </c>
      <c r="M14" s="3">
        <v>13.63</v>
      </c>
      <c r="N14" s="3">
        <v>13.62</v>
      </c>
      <c r="O14" s="3">
        <v>13.62</v>
      </c>
      <c r="P14" s="3">
        <v>13.62</v>
      </c>
      <c r="Q14" s="3">
        <v>13.62</v>
      </c>
    </row>
    <row r="15" spans="1:17" ht="18.75" customHeight="1" x14ac:dyDescent="0.25">
      <c r="A15" s="2">
        <v>38807</v>
      </c>
      <c r="B15" s="3">
        <v>16.5</v>
      </c>
      <c r="C15" s="3">
        <v>14.83</v>
      </c>
      <c r="D15" s="3">
        <v>14.63</v>
      </c>
      <c r="E15" s="3">
        <v>14.61</v>
      </c>
      <c r="F15" s="3">
        <v>14.58</v>
      </c>
      <c r="G15" s="3">
        <v>14.51</v>
      </c>
      <c r="H15" s="3">
        <v>14.44</v>
      </c>
      <c r="I15" s="3">
        <v>14.4</v>
      </c>
      <c r="J15" s="3">
        <v>14.32</v>
      </c>
      <c r="K15" s="3">
        <v>14.35</v>
      </c>
      <c r="L15" s="3">
        <v>14.38</v>
      </c>
      <c r="M15" s="3">
        <v>14.38</v>
      </c>
      <c r="N15" s="3">
        <v>14.41</v>
      </c>
      <c r="O15" s="3">
        <v>14.41</v>
      </c>
      <c r="P15" s="3">
        <v>14.41</v>
      </c>
      <c r="Q15" s="3">
        <v>14.41</v>
      </c>
    </row>
    <row r="16" spans="1:17" ht="18.75" customHeight="1" x14ac:dyDescent="0.25">
      <c r="A16" s="2">
        <v>38837</v>
      </c>
      <c r="B16" s="3">
        <v>15.75</v>
      </c>
      <c r="C16" s="3">
        <v>14.68</v>
      </c>
      <c r="D16" s="3">
        <v>14.63</v>
      </c>
      <c r="E16" s="3">
        <v>14.64</v>
      </c>
      <c r="F16" s="3">
        <v>14.6</v>
      </c>
      <c r="G16" s="3">
        <v>14.53</v>
      </c>
      <c r="H16" s="3">
        <v>14.5</v>
      </c>
      <c r="I16" s="3">
        <v>14.42</v>
      </c>
      <c r="J16" s="3">
        <v>14.31</v>
      </c>
      <c r="K16" s="3">
        <v>14.19</v>
      </c>
      <c r="L16" s="3">
        <v>14.09</v>
      </c>
      <c r="M16" s="3">
        <v>14.09</v>
      </c>
      <c r="N16" s="3">
        <v>13.94</v>
      </c>
      <c r="O16" s="3">
        <v>13.94</v>
      </c>
      <c r="P16" s="3">
        <v>13.94</v>
      </c>
      <c r="Q16" s="3">
        <v>13.94</v>
      </c>
    </row>
    <row r="17" spans="1:17" ht="18.75" customHeight="1" x14ac:dyDescent="0.25">
      <c r="A17" s="2">
        <v>38868</v>
      </c>
      <c r="B17" s="3">
        <v>15.75</v>
      </c>
      <c r="C17" s="3">
        <v>15.48</v>
      </c>
      <c r="D17" s="3">
        <v>16.079999999999998</v>
      </c>
      <c r="E17" s="3">
        <v>16.27</v>
      </c>
      <c r="F17" s="3">
        <v>16.25</v>
      </c>
      <c r="G17" s="3">
        <v>16.28</v>
      </c>
      <c r="H17" s="3">
        <v>16.37</v>
      </c>
      <c r="I17" s="3">
        <v>16.43</v>
      </c>
      <c r="J17" s="3">
        <v>16.45</v>
      </c>
      <c r="K17" s="3">
        <v>16.45</v>
      </c>
      <c r="L17" s="3">
        <v>16.46</v>
      </c>
      <c r="M17" s="3">
        <v>16.46</v>
      </c>
      <c r="N17" s="3">
        <v>16.489999999999998</v>
      </c>
      <c r="O17" s="3">
        <v>16.489999999999998</v>
      </c>
      <c r="P17" s="3">
        <v>16.489999999999998</v>
      </c>
      <c r="Q17" s="3">
        <v>16.489999999999998</v>
      </c>
    </row>
    <row r="18" spans="1:17" ht="18.75" customHeight="1" x14ac:dyDescent="0.25">
      <c r="A18" s="2">
        <v>38898</v>
      </c>
      <c r="B18" s="3">
        <v>15.25</v>
      </c>
      <c r="C18" s="3">
        <v>14.79</v>
      </c>
      <c r="D18" s="3">
        <v>15.31</v>
      </c>
      <c r="E18" s="3">
        <v>15.42</v>
      </c>
      <c r="F18" s="3">
        <v>15.48</v>
      </c>
      <c r="G18" s="3">
        <v>15.54</v>
      </c>
      <c r="H18" s="3">
        <v>15.56</v>
      </c>
      <c r="I18" s="3">
        <v>15.57</v>
      </c>
      <c r="J18" s="3">
        <v>15.57</v>
      </c>
      <c r="K18" s="3">
        <v>15.55</v>
      </c>
      <c r="L18" s="3">
        <v>15.53</v>
      </c>
      <c r="M18" s="3">
        <v>15.53</v>
      </c>
      <c r="N18" s="3">
        <v>15.5</v>
      </c>
      <c r="O18" s="3">
        <v>15.5</v>
      </c>
      <c r="P18" s="3">
        <v>15.5</v>
      </c>
      <c r="Q18" s="3">
        <v>15.5</v>
      </c>
    </row>
    <row r="19" spans="1:17" ht="18.75" customHeight="1" x14ac:dyDescent="0.25">
      <c r="A19" s="2">
        <v>38929</v>
      </c>
      <c r="B19" s="3">
        <v>14.75</v>
      </c>
      <c r="C19" s="3">
        <v>14.48</v>
      </c>
      <c r="D19" s="3">
        <v>14.74</v>
      </c>
      <c r="E19" s="3">
        <v>14.8</v>
      </c>
      <c r="F19" s="3">
        <v>14.91</v>
      </c>
      <c r="G19" s="3">
        <v>15.01</v>
      </c>
      <c r="H19" s="3">
        <v>15.06</v>
      </c>
      <c r="I19" s="3">
        <v>15.08</v>
      </c>
      <c r="J19" s="3">
        <v>15.07</v>
      </c>
      <c r="K19" s="3">
        <v>15.03</v>
      </c>
      <c r="L19" s="3">
        <v>15.01</v>
      </c>
      <c r="M19" s="3">
        <v>15.01</v>
      </c>
      <c r="N19" s="3">
        <v>15.04</v>
      </c>
      <c r="O19" s="3">
        <v>15.04</v>
      </c>
      <c r="P19" s="3">
        <v>15.04</v>
      </c>
      <c r="Q19" s="3">
        <v>15.04</v>
      </c>
    </row>
    <row r="20" spans="1:17" ht="18.75" customHeight="1" x14ac:dyDescent="0.25">
      <c r="A20" s="2">
        <v>38960</v>
      </c>
      <c r="B20" s="3">
        <v>14.25</v>
      </c>
      <c r="C20" s="3">
        <v>13.95</v>
      </c>
      <c r="D20" s="3">
        <v>14.12</v>
      </c>
      <c r="E20" s="3">
        <v>14.25</v>
      </c>
      <c r="F20" s="3">
        <v>14.31</v>
      </c>
      <c r="G20" s="3">
        <v>14.36</v>
      </c>
      <c r="H20" s="3">
        <v>14.39</v>
      </c>
      <c r="I20" s="3">
        <v>14.39</v>
      </c>
      <c r="J20" s="3">
        <v>14.38</v>
      </c>
      <c r="K20" s="3">
        <v>14.36</v>
      </c>
      <c r="L20" s="3">
        <v>14.34</v>
      </c>
      <c r="M20" s="3">
        <v>14.34</v>
      </c>
      <c r="N20" s="3">
        <v>14.3</v>
      </c>
      <c r="O20" s="3">
        <v>14.3</v>
      </c>
      <c r="P20" s="3">
        <v>14.3</v>
      </c>
      <c r="Q20" s="3">
        <v>14.3</v>
      </c>
    </row>
    <row r="21" spans="1:17" ht="18.75" customHeight="1" x14ac:dyDescent="0.25">
      <c r="A21" s="2">
        <v>38990</v>
      </c>
      <c r="B21" s="3">
        <v>14.25</v>
      </c>
      <c r="C21" s="3">
        <v>13.57</v>
      </c>
      <c r="D21" s="3">
        <v>13.81</v>
      </c>
      <c r="E21" s="3">
        <v>13.97</v>
      </c>
      <c r="F21" s="3">
        <v>14.09</v>
      </c>
      <c r="G21" s="3">
        <v>14.14</v>
      </c>
      <c r="H21" s="3">
        <v>14.1</v>
      </c>
      <c r="I21" s="3">
        <v>14.08</v>
      </c>
      <c r="J21" s="3">
        <v>14.09</v>
      </c>
      <c r="K21" s="3">
        <v>14.06</v>
      </c>
      <c r="L21" s="3">
        <v>14</v>
      </c>
      <c r="M21" s="3">
        <v>14</v>
      </c>
      <c r="N21" s="3">
        <v>13.87</v>
      </c>
      <c r="O21" s="3">
        <v>13.87</v>
      </c>
      <c r="P21" s="3">
        <v>13.87</v>
      </c>
      <c r="Q21" s="3">
        <v>13.87</v>
      </c>
    </row>
    <row r="22" spans="1:17" ht="18.75" customHeight="1" x14ac:dyDescent="0.25">
      <c r="A22" s="2">
        <v>39021</v>
      </c>
      <c r="B22" s="3">
        <v>13.75</v>
      </c>
      <c r="C22" s="3">
        <v>13.01</v>
      </c>
      <c r="D22" s="3">
        <v>13.18</v>
      </c>
      <c r="E22" s="3">
        <v>13.37</v>
      </c>
      <c r="F22" s="3">
        <v>13.49</v>
      </c>
      <c r="G22" s="3">
        <v>13.55</v>
      </c>
      <c r="H22" s="3">
        <v>13.58</v>
      </c>
      <c r="I22" s="3">
        <v>13.61</v>
      </c>
      <c r="J22" s="3">
        <v>13.64</v>
      </c>
      <c r="K22" s="3">
        <v>13.63</v>
      </c>
      <c r="L22" s="3">
        <v>13.61</v>
      </c>
      <c r="M22" s="3">
        <v>13.61</v>
      </c>
      <c r="N22" s="3">
        <v>13.59</v>
      </c>
      <c r="O22" s="3">
        <v>13.59</v>
      </c>
      <c r="P22" s="3">
        <v>13.59</v>
      </c>
      <c r="Q22" s="3">
        <v>13.59</v>
      </c>
    </row>
    <row r="23" spans="1:17" ht="18.75" customHeight="1" x14ac:dyDescent="0.25">
      <c r="A23" s="2">
        <v>39051</v>
      </c>
      <c r="B23" s="3">
        <v>13.25</v>
      </c>
      <c r="C23" s="3">
        <v>12.75</v>
      </c>
      <c r="D23" s="3">
        <v>12.92</v>
      </c>
      <c r="E23" s="3">
        <v>13.08</v>
      </c>
      <c r="F23" s="3">
        <v>13.15</v>
      </c>
      <c r="G23" s="3">
        <v>13.23</v>
      </c>
      <c r="H23" s="3">
        <v>13.26</v>
      </c>
      <c r="I23" s="3">
        <v>13.28</v>
      </c>
      <c r="J23" s="3">
        <v>13.25</v>
      </c>
      <c r="K23" s="3">
        <v>13.23</v>
      </c>
      <c r="L23" s="3">
        <v>13.22</v>
      </c>
      <c r="M23" s="3">
        <v>13.22</v>
      </c>
      <c r="N23" s="3">
        <v>13.21</v>
      </c>
      <c r="O23" s="3">
        <v>13.21</v>
      </c>
      <c r="P23" s="3">
        <v>13.21</v>
      </c>
      <c r="Q23" s="3">
        <v>13.21</v>
      </c>
    </row>
    <row r="24" spans="1:17" ht="18.75" customHeight="1" x14ac:dyDescent="0.25">
      <c r="A24" s="2">
        <v>39082</v>
      </c>
      <c r="B24" s="3">
        <v>13.25</v>
      </c>
      <c r="C24" s="3">
        <v>12.37</v>
      </c>
      <c r="D24" s="3">
        <v>12.31</v>
      </c>
      <c r="E24" s="3">
        <v>12.36</v>
      </c>
      <c r="F24" s="3">
        <v>12.34</v>
      </c>
      <c r="G24" s="3">
        <v>12.34</v>
      </c>
      <c r="H24" s="3">
        <v>12.33</v>
      </c>
      <c r="I24" s="3">
        <v>12.35</v>
      </c>
      <c r="J24" s="3">
        <v>12.38</v>
      </c>
      <c r="K24" s="3">
        <v>12.35</v>
      </c>
      <c r="L24" s="3">
        <v>12.34</v>
      </c>
      <c r="M24" s="3">
        <v>12.34</v>
      </c>
      <c r="N24" s="3">
        <v>12.33</v>
      </c>
      <c r="O24" s="3">
        <v>12.33</v>
      </c>
      <c r="P24" s="3">
        <v>12.33</v>
      </c>
      <c r="Q24" s="3">
        <v>12.31</v>
      </c>
    </row>
    <row r="25" spans="1:17" ht="18.75" customHeight="1" x14ac:dyDescent="0.25">
      <c r="A25" s="2">
        <v>39113</v>
      </c>
      <c r="B25" s="3">
        <v>13</v>
      </c>
      <c r="C25" s="3">
        <v>12.356999999999999</v>
      </c>
      <c r="D25" s="3">
        <v>12.27</v>
      </c>
      <c r="E25" s="3">
        <v>12.282</v>
      </c>
      <c r="F25" s="3">
        <v>12.318</v>
      </c>
      <c r="G25" s="3">
        <v>12.331</v>
      </c>
      <c r="H25" s="3">
        <v>12.35</v>
      </c>
      <c r="I25" s="3">
        <v>12.372</v>
      </c>
      <c r="J25" s="3">
        <v>12.417</v>
      </c>
      <c r="K25" s="3">
        <v>12.425000000000001</v>
      </c>
      <c r="L25" s="3">
        <v>12.43</v>
      </c>
      <c r="M25" s="3">
        <v>12.43</v>
      </c>
      <c r="N25" s="3">
        <v>12.438000000000001</v>
      </c>
      <c r="O25" s="3">
        <v>12.438000000000001</v>
      </c>
      <c r="P25" s="3">
        <v>12.438000000000001</v>
      </c>
      <c r="Q25" s="3">
        <v>12.445</v>
      </c>
    </row>
    <row r="26" spans="1:17" ht="18.75" customHeight="1" x14ac:dyDescent="0.25">
      <c r="A26" s="2">
        <v>39141</v>
      </c>
      <c r="B26" s="3">
        <v>13</v>
      </c>
      <c r="C26" s="3">
        <v>12.097</v>
      </c>
      <c r="D26" s="3">
        <v>11.946</v>
      </c>
      <c r="E26" s="3">
        <v>11.964</v>
      </c>
      <c r="F26" s="3">
        <v>11.992000000000001</v>
      </c>
      <c r="G26" s="3">
        <v>12.002000000000001</v>
      </c>
      <c r="H26" s="3">
        <v>12.016</v>
      </c>
      <c r="I26" s="3">
        <v>12.03</v>
      </c>
      <c r="J26" s="3">
        <v>12.029</v>
      </c>
      <c r="K26" s="3">
        <v>12.01</v>
      </c>
      <c r="L26" s="3">
        <v>11.994999999999999</v>
      </c>
      <c r="M26" s="3">
        <v>11.994999999999999</v>
      </c>
      <c r="N26" s="3">
        <v>11.971</v>
      </c>
      <c r="O26" s="3">
        <v>11.971</v>
      </c>
      <c r="P26" s="3">
        <v>11.971</v>
      </c>
      <c r="Q26" s="3">
        <v>11.95</v>
      </c>
    </row>
    <row r="27" spans="1:17" ht="18.75" customHeight="1" x14ac:dyDescent="0.25">
      <c r="A27" s="2">
        <v>39172</v>
      </c>
      <c r="B27" s="3">
        <v>12.75</v>
      </c>
      <c r="C27" s="3">
        <v>11.84</v>
      </c>
      <c r="D27" s="3">
        <v>11.59</v>
      </c>
      <c r="E27" s="3">
        <v>11.564</v>
      </c>
      <c r="F27" s="3">
        <v>11.586</v>
      </c>
      <c r="G27" s="3">
        <v>11.571999999999999</v>
      </c>
      <c r="H27" s="3">
        <v>11.582000000000001</v>
      </c>
      <c r="I27" s="3">
        <v>11.59</v>
      </c>
      <c r="J27" s="3">
        <v>11.587</v>
      </c>
      <c r="K27" s="3">
        <v>11.569000000000001</v>
      </c>
      <c r="L27" s="3">
        <v>11.558999999999999</v>
      </c>
      <c r="M27" s="3">
        <v>11.558999999999999</v>
      </c>
      <c r="N27" s="3">
        <v>11.544</v>
      </c>
      <c r="O27" s="3">
        <v>11.544</v>
      </c>
      <c r="P27" s="3">
        <v>11.544</v>
      </c>
      <c r="Q27" s="3">
        <v>11.53</v>
      </c>
    </row>
    <row r="28" spans="1:17" ht="18.75" customHeight="1" x14ac:dyDescent="0.25">
      <c r="A28" s="2">
        <v>39202</v>
      </c>
      <c r="B28" s="3">
        <v>12.5</v>
      </c>
      <c r="C28" s="3">
        <v>11.305999999999999</v>
      </c>
      <c r="D28" s="3">
        <v>10.911</v>
      </c>
      <c r="E28" s="3">
        <v>10.692</v>
      </c>
      <c r="F28" s="3">
        <v>10.619</v>
      </c>
      <c r="G28" s="3">
        <v>10.589</v>
      </c>
      <c r="H28" s="3">
        <v>10.566000000000001</v>
      </c>
      <c r="I28" s="3">
        <v>10.57</v>
      </c>
      <c r="J28" s="3">
        <v>10.569000000000001</v>
      </c>
      <c r="K28" s="3">
        <v>10.565</v>
      </c>
      <c r="L28" s="3">
        <v>10.565</v>
      </c>
      <c r="M28" s="3">
        <v>10.565</v>
      </c>
      <c r="N28" s="3">
        <v>10.561</v>
      </c>
      <c r="O28" s="3">
        <v>10.561</v>
      </c>
      <c r="P28" s="3">
        <v>10.561</v>
      </c>
      <c r="Q28" s="3">
        <v>10.558</v>
      </c>
    </row>
    <row r="29" spans="1:17" ht="18.75" customHeight="1" x14ac:dyDescent="0.25">
      <c r="A29" s="2">
        <v>39233</v>
      </c>
      <c r="B29" s="3">
        <v>12.5</v>
      </c>
      <c r="C29" s="3">
        <v>10.99</v>
      </c>
      <c r="D29" s="3">
        <v>10.500999999999999</v>
      </c>
      <c r="E29" s="3">
        <v>10.284000000000001</v>
      </c>
      <c r="F29" s="3">
        <v>10.205</v>
      </c>
      <c r="G29" s="3">
        <v>10.15</v>
      </c>
      <c r="H29" s="3">
        <v>10.101000000000001</v>
      </c>
      <c r="I29" s="3">
        <v>10.073</v>
      </c>
      <c r="J29" s="3">
        <v>10.067</v>
      </c>
      <c r="K29" s="3">
        <v>10.050000000000001</v>
      </c>
      <c r="L29" s="3">
        <v>10.019</v>
      </c>
      <c r="M29" s="3">
        <v>10.005000000000001</v>
      </c>
      <c r="N29" s="3">
        <v>9.9830000000000005</v>
      </c>
      <c r="O29" s="3">
        <v>9.9830000000000005</v>
      </c>
      <c r="P29" s="3">
        <v>9.9830000000000005</v>
      </c>
      <c r="Q29" s="3">
        <v>9.952</v>
      </c>
    </row>
    <row r="30" spans="1:17" ht="18.75" customHeight="1" x14ac:dyDescent="0.25">
      <c r="A30" s="2">
        <v>39263</v>
      </c>
      <c r="B30" s="3">
        <v>12</v>
      </c>
      <c r="C30" s="3">
        <v>10.757</v>
      </c>
      <c r="D30" s="3">
        <v>10.629</v>
      </c>
      <c r="E30" s="3">
        <v>10.66</v>
      </c>
      <c r="F30" s="3">
        <v>10.705</v>
      </c>
      <c r="G30" s="3">
        <v>10.67</v>
      </c>
      <c r="H30" s="3">
        <v>10.651999999999999</v>
      </c>
      <c r="I30" s="3">
        <v>10.661</v>
      </c>
      <c r="J30" s="3">
        <v>10.662000000000001</v>
      </c>
      <c r="K30" s="3">
        <v>10.65</v>
      </c>
      <c r="L30" s="3">
        <v>10.65</v>
      </c>
      <c r="M30" s="3">
        <v>10.65</v>
      </c>
      <c r="N30" s="3">
        <v>10.65</v>
      </c>
      <c r="O30" s="3">
        <v>10.65</v>
      </c>
      <c r="P30" s="3">
        <v>10.65</v>
      </c>
      <c r="Q30" s="3">
        <v>10.65</v>
      </c>
    </row>
    <row r="31" spans="1:17" ht="18.75" customHeight="1" x14ac:dyDescent="0.25">
      <c r="A31" s="2">
        <v>39294</v>
      </c>
      <c r="B31" s="3">
        <v>11.5</v>
      </c>
      <c r="C31" s="3">
        <v>10.935</v>
      </c>
      <c r="D31" s="3">
        <v>11.022</v>
      </c>
      <c r="E31" s="3">
        <v>11.057</v>
      </c>
      <c r="F31" s="3">
        <v>11.09</v>
      </c>
      <c r="G31" s="3">
        <v>11.08</v>
      </c>
      <c r="H31" s="3">
        <v>11.083</v>
      </c>
      <c r="I31" s="3">
        <v>11.087</v>
      </c>
      <c r="J31" s="3">
        <v>11.083</v>
      </c>
      <c r="K31" s="3">
        <v>11.073</v>
      </c>
      <c r="L31" s="3">
        <v>11.063000000000001</v>
      </c>
      <c r="M31" s="3">
        <v>11.055</v>
      </c>
      <c r="N31" s="3">
        <v>11.05</v>
      </c>
      <c r="O31" s="3">
        <v>11.05</v>
      </c>
      <c r="P31" s="3">
        <v>11.05</v>
      </c>
      <c r="Q31" s="3">
        <v>11.045</v>
      </c>
    </row>
    <row r="32" spans="1:17" ht="18.75" customHeight="1" x14ac:dyDescent="0.25">
      <c r="A32" s="2">
        <v>39325</v>
      </c>
      <c r="B32" s="3">
        <v>11.5</v>
      </c>
      <c r="C32" s="3">
        <v>11.36</v>
      </c>
      <c r="D32" s="3">
        <v>11.775</v>
      </c>
      <c r="E32" s="3">
        <v>11.856999999999999</v>
      </c>
      <c r="F32" s="3">
        <v>11.846</v>
      </c>
      <c r="G32" s="3">
        <v>11.853</v>
      </c>
      <c r="H32" s="3">
        <v>11.846</v>
      </c>
      <c r="I32" s="3">
        <v>11.859</v>
      </c>
      <c r="J32" s="3">
        <v>11.856</v>
      </c>
      <c r="K32" s="3">
        <v>11.85</v>
      </c>
      <c r="L32" s="3">
        <v>11.85</v>
      </c>
      <c r="M32" s="3">
        <v>11.85</v>
      </c>
      <c r="N32" s="3">
        <v>11.85</v>
      </c>
      <c r="O32" s="3">
        <v>11.85</v>
      </c>
      <c r="P32" s="3">
        <v>11.85</v>
      </c>
      <c r="Q32" s="3">
        <v>11.85</v>
      </c>
    </row>
    <row r="33" spans="1:17" ht="18.75" customHeight="1" x14ac:dyDescent="0.25">
      <c r="A33" s="2">
        <v>39355</v>
      </c>
      <c r="B33" s="3">
        <v>11.25</v>
      </c>
      <c r="C33" s="3">
        <v>11.163</v>
      </c>
      <c r="D33" s="3">
        <v>11.32</v>
      </c>
      <c r="E33" s="3">
        <v>11.37</v>
      </c>
      <c r="F33" s="3">
        <v>11.34</v>
      </c>
      <c r="G33" s="3">
        <v>11.345000000000001</v>
      </c>
      <c r="H33" s="3">
        <v>11.356999999999999</v>
      </c>
      <c r="I33" s="3">
        <v>11.367000000000001</v>
      </c>
      <c r="J33" s="3">
        <v>11.364000000000001</v>
      </c>
      <c r="K33" s="3">
        <v>11.366</v>
      </c>
      <c r="L33" s="3">
        <v>11.364000000000001</v>
      </c>
      <c r="M33" s="3">
        <v>11.36</v>
      </c>
      <c r="N33" s="3">
        <v>11.356999999999999</v>
      </c>
      <c r="O33" s="3">
        <v>11.356999999999999</v>
      </c>
      <c r="P33" s="3">
        <v>11.356999999999999</v>
      </c>
      <c r="Q33" s="3">
        <v>11.355</v>
      </c>
    </row>
    <row r="34" spans="1:17" ht="18.75" customHeight="1" x14ac:dyDescent="0.25">
      <c r="A34" s="2">
        <v>39386</v>
      </c>
      <c r="B34" s="3">
        <v>11.25</v>
      </c>
      <c r="C34" s="3">
        <v>11.311</v>
      </c>
      <c r="D34" s="3">
        <v>11.545</v>
      </c>
      <c r="E34" s="3">
        <v>11.641999999999999</v>
      </c>
      <c r="F34" s="3">
        <v>11.638999999999999</v>
      </c>
      <c r="G34" s="3">
        <v>11.632</v>
      </c>
      <c r="H34" s="3">
        <v>11.7</v>
      </c>
      <c r="I34" s="3">
        <v>11.747999999999999</v>
      </c>
      <c r="J34" s="3">
        <v>11.775</v>
      </c>
      <c r="K34" s="3">
        <v>11.787000000000001</v>
      </c>
      <c r="L34" s="3">
        <v>11.795999999999999</v>
      </c>
      <c r="M34" s="3">
        <v>11.798</v>
      </c>
      <c r="N34" s="3">
        <v>11.808999999999999</v>
      </c>
      <c r="O34" s="3">
        <v>11.808999999999999</v>
      </c>
      <c r="P34" s="3">
        <v>11.808999999999999</v>
      </c>
      <c r="Q34" s="3">
        <v>11.819000000000001</v>
      </c>
    </row>
    <row r="35" spans="1:17" ht="18.75" customHeight="1" x14ac:dyDescent="0.25">
      <c r="A35" s="2">
        <v>39416</v>
      </c>
      <c r="B35" s="3">
        <v>11.25</v>
      </c>
      <c r="C35" s="3">
        <v>11.595000000000001</v>
      </c>
      <c r="D35" s="3">
        <v>12.1</v>
      </c>
      <c r="E35" s="3">
        <v>12.327999999999999</v>
      </c>
      <c r="F35" s="3">
        <v>12.375999999999999</v>
      </c>
      <c r="G35" s="3">
        <v>12.468999999999999</v>
      </c>
      <c r="H35" s="3">
        <v>12.532</v>
      </c>
      <c r="I35" s="3">
        <v>12.59</v>
      </c>
      <c r="J35" s="3">
        <v>12.628</v>
      </c>
      <c r="K35" s="3">
        <v>12.645</v>
      </c>
      <c r="L35" s="3">
        <v>12.654</v>
      </c>
      <c r="M35" s="3">
        <v>12.656000000000001</v>
      </c>
      <c r="N35" s="3">
        <v>12.669</v>
      </c>
      <c r="O35" s="3">
        <v>12.669</v>
      </c>
      <c r="P35" s="3">
        <v>12.669</v>
      </c>
      <c r="Q35" s="3">
        <v>12.68</v>
      </c>
    </row>
    <row r="36" spans="1:17" ht="18.75" customHeight="1" x14ac:dyDescent="0.25">
      <c r="A36" s="2">
        <v>39447</v>
      </c>
      <c r="B36" s="3">
        <v>11.25</v>
      </c>
      <c r="C36" s="3">
        <v>12.052</v>
      </c>
      <c r="D36" s="3">
        <v>12.804</v>
      </c>
      <c r="E36" s="3">
        <v>12.96</v>
      </c>
      <c r="F36" s="3">
        <v>12.978</v>
      </c>
      <c r="G36" s="3">
        <v>12.975</v>
      </c>
      <c r="H36" s="3">
        <v>13.022</v>
      </c>
      <c r="I36" s="3">
        <v>13.074</v>
      </c>
      <c r="J36" s="3">
        <v>13.085000000000001</v>
      </c>
      <c r="K36" s="3">
        <v>13.065</v>
      </c>
      <c r="L36" s="3">
        <v>13.065</v>
      </c>
      <c r="M36" s="3">
        <v>13.065</v>
      </c>
      <c r="N36" s="3">
        <v>13.065</v>
      </c>
      <c r="O36" s="3">
        <v>13.065</v>
      </c>
      <c r="P36" s="3">
        <v>13.065</v>
      </c>
      <c r="Q36" s="3">
        <v>13.065</v>
      </c>
    </row>
    <row r="37" spans="1:17" ht="18.75" customHeight="1" x14ac:dyDescent="0.25">
      <c r="A37" s="2">
        <v>39478</v>
      </c>
      <c r="B37" s="3">
        <v>11.25</v>
      </c>
      <c r="C37" s="3">
        <v>12.077999999999999</v>
      </c>
      <c r="D37" s="3">
        <v>12.744999999999999</v>
      </c>
      <c r="E37" s="3">
        <v>12.919</v>
      </c>
      <c r="F37" s="3">
        <v>12.887</v>
      </c>
      <c r="G37" s="3">
        <v>12.92</v>
      </c>
      <c r="H37" s="3">
        <v>12.935</v>
      </c>
      <c r="I37" s="3">
        <v>12.977</v>
      </c>
      <c r="J37" s="3">
        <v>12.98</v>
      </c>
      <c r="K37" s="3">
        <v>12.97</v>
      </c>
      <c r="L37" s="3">
        <v>12.97</v>
      </c>
      <c r="M37" s="3">
        <v>12.97</v>
      </c>
      <c r="N37" s="3">
        <v>12.97</v>
      </c>
      <c r="O37" s="3">
        <v>12.97</v>
      </c>
      <c r="P37" s="3">
        <v>12.97</v>
      </c>
      <c r="Q37" s="3">
        <v>12.97</v>
      </c>
    </row>
    <row r="38" spans="1:17" ht="18.75" customHeight="1" x14ac:dyDescent="0.25">
      <c r="A38" s="2">
        <v>39507</v>
      </c>
      <c r="B38" s="3">
        <v>11.25</v>
      </c>
      <c r="C38" s="3">
        <v>11.923</v>
      </c>
      <c r="D38" s="3">
        <v>12.48</v>
      </c>
      <c r="E38" s="3">
        <v>12.53</v>
      </c>
      <c r="F38" s="3">
        <v>12.507</v>
      </c>
      <c r="G38" s="3">
        <v>12.538</v>
      </c>
      <c r="H38" s="3">
        <v>12.522</v>
      </c>
      <c r="I38" s="3">
        <v>12.55</v>
      </c>
      <c r="J38" s="3">
        <v>12.523999999999999</v>
      </c>
      <c r="K38" s="3">
        <v>12.510999999999999</v>
      </c>
      <c r="L38" s="3">
        <v>12.51</v>
      </c>
      <c r="M38" s="3">
        <v>12.51</v>
      </c>
      <c r="N38" s="3">
        <v>12.529</v>
      </c>
      <c r="O38" s="3">
        <v>12.529</v>
      </c>
      <c r="P38" s="3">
        <v>12.54</v>
      </c>
      <c r="Q38" s="3">
        <v>12.54</v>
      </c>
    </row>
    <row r="39" spans="1:17" ht="18.75" customHeight="1" x14ac:dyDescent="0.25">
      <c r="A39" s="2">
        <v>39538</v>
      </c>
      <c r="B39" s="3">
        <v>11.25</v>
      </c>
      <c r="C39" s="3">
        <v>12.693</v>
      </c>
      <c r="D39" s="3">
        <v>13.304</v>
      </c>
      <c r="E39" s="3">
        <v>13.33</v>
      </c>
      <c r="F39" s="3">
        <v>13.324</v>
      </c>
      <c r="G39" s="3">
        <v>13.324999999999999</v>
      </c>
      <c r="H39" s="3">
        <v>13.324</v>
      </c>
      <c r="I39" s="3">
        <v>13.337</v>
      </c>
      <c r="J39" s="3">
        <v>13.319000000000001</v>
      </c>
      <c r="K39" s="3">
        <v>13.31</v>
      </c>
      <c r="L39" s="3">
        <v>13.31</v>
      </c>
      <c r="M39" s="3">
        <v>13.31</v>
      </c>
      <c r="N39" s="3">
        <v>13.31</v>
      </c>
      <c r="O39" s="3">
        <v>13.31</v>
      </c>
      <c r="P39" s="3">
        <v>13.31</v>
      </c>
      <c r="Q39" s="3">
        <v>13.31</v>
      </c>
    </row>
    <row r="40" spans="1:17" ht="18.75" customHeight="1" x14ac:dyDescent="0.25">
      <c r="A40" s="2">
        <v>39568</v>
      </c>
      <c r="B40" s="3">
        <v>11.75</v>
      </c>
      <c r="C40" s="3">
        <v>13.208</v>
      </c>
      <c r="D40" s="3">
        <v>13.712</v>
      </c>
      <c r="E40" s="3">
        <v>13.683</v>
      </c>
      <c r="F40" s="3">
        <v>13.65</v>
      </c>
      <c r="G40" s="3">
        <v>13.627000000000001</v>
      </c>
      <c r="H40" s="3">
        <v>13.606999999999999</v>
      </c>
      <c r="I40" s="3">
        <v>13.59</v>
      </c>
      <c r="J40" s="3">
        <v>13.554</v>
      </c>
      <c r="K40" s="3">
        <v>13.53</v>
      </c>
      <c r="L40" s="3">
        <v>13.53</v>
      </c>
      <c r="M40" s="3">
        <v>13.53</v>
      </c>
      <c r="N40" s="3">
        <v>13.53</v>
      </c>
      <c r="O40" s="3">
        <v>13.53</v>
      </c>
      <c r="P40" s="3">
        <v>13.53</v>
      </c>
      <c r="Q40" s="3">
        <v>13.53</v>
      </c>
    </row>
    <row r="41" spans="1:17" ht="18.75" customHeight="1" x14ac:dyDescent="0.25">
      <c r="A41" s="2">
        <v>39599</v>
      </c>
      <c r="B41" s="3">
        <v>11.75</v>
      </c>
      <c r="C41" s="3">
        <v>13.744999999999999</v>
      </c>
      <c r="D41" s="3">
        <v>14.196</v>
      </c>
      <c r="E41" s="3">
        <v>14.021000000000001</v>
      </c>
      <c r="F41" s="3">
        <v>13.782999999999999</v>
      </c>
      <c r="G41" s="3">
        <v>13.542</v>
      </c>
      <c r="H41" s="3">
        <v>13.48</v>
      </c>
      <c r="I41" s="3">
        <v>13.433</v>
      </c>
      <c r="J41" s="3">
        <v>13.385999999999999</v>
      </c>
      <c r="K41" s="3">
        <v>13.398</v>
      </c>
      <c r="L41" s="3">
        <v>13.398</v>
      </c>
      <c r="M41" s="3">
        <v>13.398</v>
      </c>
      <c r="N41" s="3">
        <v>13.398</v>
      </c>
      <c r="O41" s="3">
        <v>13.398</v>
      </c>
      <c r="P41" s="3">
        <v>13.398</v>
      </c>
      <c r="Q41" s="3">
        <v>13.398</v>
      </c>
    </row>
    <row r="42" spans="1:17" ht="18.75" customHeight="1" x14ac:dyDescent="0.25">
      <c r="A42" s="2">
        <v>39629</v>
      </c>
      <c r="B42" s="3">
        <v>12.25</v>
      </c>
      <c r="C42" s="3">
        <v>14.45</v>
      </c>
      <c r="D42" s="3">
        <v>15.359</v>
      </c>
      <c r="E42" s="3">
        <v>15.401</v>
      </c>
      <c r="F42" s="3">
        <v>15.081</v>
      </c>
      <c r="G42" s="3">
        <v>14.977</v>
      </c>
      <c r="H42" s="3">
        <v>14.932</v>
      </c>
      <c r="I42" s="3">
        <v>14.872</v>
      </c>
      <c r="J42" s="3">
        <v>14.82</v>
      </c>
      <c r="K42" s="3">
        <v>14.82</v>
      </c>
      <c r="L42" s="3">
        <v>14.82</v>
      </c>
      <c r="M42" s="3">
        <v>14.82</v>
      </c>
      <c r="N42" s="3">
        <v>14.82</v>
      </c>
      <c r="O42" s="3">
        <v>14.82</v>
      </c>
      <c r="P42" s="3">
        <v>14.82</v>
      </c>
      <c r="Q42" s="3">
        <v>14.82</v>
      </c>
    </row>
    <row r="43" spans="1:17" ht="18.75" customHeight="1" x14ac:dyDescent="0.25">
      <c r="A43" s="2">
        <v>39660</v>
      </c>
      <c r="B43" s="3">
        <v>13</v>
      </c>
      <c r="C43" s="3">
        <v>14.654999999999999</v>
      </c>
      <c r="D43" s="3">
        <v>14.734</v>
      </c>
      <c r="E43" s="3">
        <v>14.335000000000001</v>
      </c>
      <c r="F43" s="3">
        <v>14.042999999999999</v>
      </c>
      <c r="G43" s="3">
        <v>13.855</v>
      </c>
      <c r="H43" s="3">
        <v>13.788</v>
      </c>
      <c r="I43" s="3">
        <v>13.717000000000001</v>
      </c>
      <c r="J43" s="3">
        <v>13.673999999999999</v>
      </c>
      <c r="K43" s="3">
        <v>13.657</v>
      </c>
      <c r="L43" s="3">
        <v>13.646000000000001</v>
      </c>
      <c r="M43" s="3">
        <v>13.646000000000001</v>
      </c>
      <c r="N43" s="3">
        <v>13.632</v>
      </c>
      <c r="O43" s="3">
        <v>13.632</v>
      </c>
      <c r="P43" s="3">
        <v>13.625</v>
      </c>
      <c r="Q43" s="3">
        <v>13.625</v>
      </c>
    </row>
    <row r="44" spans="1:17" ht="18.75" customHeight="1" x14ac:dyDescent="0.25">
      <c r="A44" s="2">
        <v>39691</v>
      </c>
      <c r="B44" s="3">
        <v>13</v>
      </c>
      <c r="C44" s="3">
        <v>14.573</v>
      </c>
      <c r="D44" s="3">
        <v>14.382</v>
      </c>
      <c r="E44" s="3">
        <v>13.944000000000001</v>
      </c>
      <c r="F44" s="3">
        <v>13.694000000000001</v>
      </c>
      <c r="G44" s="3">
        <v>13.592000000000001</v>
      </c>
      <c r="H44" s="3">
        <v>13.519</v>
      </c>
      <c r="I44" s="3">
        <v>13.462</v>
      </c>
      <c r="J44" s="3">
        <v>13.429</v>
      </c>
      <c r="K44" s="3">
        <v>13.411</v>
      </c>
      <c r="L44" s="3">
        <v>13.4</v>
      </c>
      <c r="M44" s="3">
        <v>13.394</v>
      </c>
      <c r="N44" s="3">
        <v>13.388</v>
      </c>
      <c r="O44" s="3">
        <v>13.382999999999999</v>
      </c>
      <c r="P44" s="3">
        <v>13.378</v>
      </c>
      <c r="Q44" s="3">
        <v>13.374000000000001</v>
      </c>
    </row>
    <row r="45" spans="1:17" ht="18.75" customHeight="1" x14ac:dyDescent="0.25">
      <c r="A45" s="2">
        <v>39721</v>
      </c>
      <c r="B45" s="3">
        <v>13.75</v>
      </c>
      <c r="C45" s="3">
        <v>14.433</v>
      </c>
      <c r="D45" s="3">
        <v>14.35</v>
      </c>
      <c r="E45" s="3">
        <v>14.25</v>
      </c>
      <c r="F45" s="3">
        <v>14.13</v>
      </c>
      <c r="G45" s="3">
        <v>14.13</v>
      </c>
      <c r="H45" s="3">
        <v>14.129</v>
      </c>
      <c r="I45" s="3">
        <v>14.11</v>
      </c>
      <c r="J45" s="3">
        <v>14.093</v>
      </c>
      <c r="K45" s="3">
        <v>14.106</v>
      </c>
      <c r="L45" s="3">
        <v>14.11</v>
      </c>
      <c r="M45" s="3">
        <v>14.11</v>
      </c>
      <c r="N45" s="3">
        <v>14.11</v>
      </c>
      <c r="O45" s="3">
        <v>14.11</v>
      </c>
      <c r="P45" s="3">
        <v>14.11</v>
      </c>
      <c r="Q45" s="3">
        <v>14.11</v>
      </c>
    </row>
    <row r="46" spans="1:17" ht="18.75" customHeight="1" x14ac:dyDescent="0.25">
      <c r="A46" s="2">
        <v>39752</v>
      </c>
      <c r="B46" s="3">
        <v>13.75</v>
      </c>
      <c r="C46" s="3">
        <v>15.375999999999999</v>
      </c>
      <c r="D46" s="3">
        <v>16.219000000000001</v>
      </c>
      <c r="E46" s="3">
        <v>16.853000000000002</v>
      </c>
      <c r="F46" s="3">
        <v>17.256</v>
      </c>
      <c r="G46" s="3">
        <v>17.39</v>
      </c>
      <c r="H46" s="3">
        <v>17.396999999999998</v>
      </c>
      <c r="I46" s="3">
        <v>17.420999999999999</v>
      </c>
      <c r="J46" s="3">
        <v>17.446000000000002</v>
      </c>
      <c r="K46" s="3">
        <v>17.45</v>
      </c>
      <c r="L46" s="3">
        <v>17.45</v>
      </c>
      <c r="M46" s="3">
        <v>17.45</v>
      </c>
      <c r="N46" s="3">
        <v>17.45</v>
      </c>
      <c r="O46" s="3">
        <v>17.45</v>
      </c>
      <c r="P46" s="3">
        <v>17.45</v>
      </c>
      <c r="Q46" s="3">
        <v>17.45</v>
      </c>
    </row>
    <row r="47" spans="1:17" ht="18.75" customHeight="1" x14ac:dyDescent="0.25">
      <c r="A47" s="2">
        <v>39782</v>
      </c>
      <c r="B47" s="3">
        <v>13.75</v>
      </c>
      <c r="C47" s="3">
        <v>14.439</v>
      </c>
      <c r="D47" s="3">
        <v>15.125</v>
      </c>
      <c r="E47" s="3">
        <v>15.395</v>
      </c>
      <c r="F47" s="3">
        <v>15.638</v>
      </c>
      <c r="G47" s="3">
        <v>15.815</v>
      </c>
      <c r="H47" s="3">
        <v>15.882999999999999</v>
      </c>
      <c r="I47" s="3">
        <v>15.936</v>
      </c>
      <c r="J47" s="3">
        <v>15.977</v>
      </c>
      <c r="K47" s="3">
        <v>15.984999999999999</v>
      </c>
      <c r="L47" s="3">
        <v>15.984999999999999</v>
      </c>
      <c r="M47" s="3">
        <v>15.984999999999999</v>
      </c>
      <c r="N47" s="3">
        <v>15.984999999999999</v>
      </c>
      <c r="O47" s="3">
        <v>15.984999999999999</v>
      </c>
      <c r="P47" s="3">
        <v>15.984999999999999</v>
      </c>
      <c r="Q47" s="3">
        <v>15.984999999999999</v>
      </c>
    </row>
    <row r="48" spans="1:17" ht="18.75" customHeight="1" x14ac:dyDescent="0.25">
      <c r="A48" s="2">
        <v>39813</v>
      </c>
      <c r="B48" s="3">
        <v>13.75</v>
      </c>
      <c r="C48" s="3">
        <v>12.16</v>
      </c>
      <c r="D48" s="3">
        <v>12.194000000000001</v>
      </c>
      <c r="E48" s="3">
        <v>12.289</v>
      </c>
      <c r="F48" s="3">
        <v>12.547000000000001</v>
      </c>
      <c r="G48" s="3">
        <v>12.56</v>
      </c>
      <c r="H48" s="3">
        <v>12.645</v>
      </c>
      <c r="I48" s="3">
        <v>12.71</v>
      </c>
      <c r="J48" s="3">
        <v>12.727</v>
      </c>
      <c r="K48" s="3">
        <v>12.727</v>
      </c>
      <c r="L48" s="3">
        <v>12.727</v>
      </c>
      <c r="M48" s="3">
        <v>12.727</v>
      </c>
      <c r="N48" s="3">
        <v>12.727</v>
      </c>
      <c r="O48" s="3">
        <v>12.727</v>
      </c>
      <c r="P48" s="3">
        <v>12.727</v>
      </c>
      <c r="Q48" s="3">
        <v>12.727</v>
      </c>
    </row>
    <row r="49" spans="1:17" ht="18.75" customHeight="1" x14ac:dyDescent="0.25">
      <c r="A49" s="2">
        <v>39844</v>
      </c>
      <c r="B49" s="3">
        <v>12.75</v>
      </c>
      <c r="C49" s="3">
        <v>11.164999999999999</v>
      </c>
      <c r="D49" s="3">
        <v>11.510999999999999</v>
      </c>
      <c r="E49" s="3">
        <v>11.737</v>
      </c>
      <c r="F49" s="3">
        <v>12.119</v>
      </c>
      <c r="G49" s="3">
        <v>12.382999999999999</v>
      </c>
      <c r="H49" s="3">
        <v>12.456</v>
      </c>
      <c r="I49" s="3">
        <v>12.475</v>
      </c>
      <c r="J49" s="3">
        <v>12.486000000000001</v>
      </c>
      <c r="K49" s="3">
        <v>12.5</v>
      </c>
      <c r="L49" s="3">
        <v>12.5</v>
      </c>
      <c r="M49" s="3">
        <v>12.5</v>
      </c>
      <c r="N49" s="3">
        <v>12.5</v>
      </c>
      <c r="O49" s="3">
        <v>12.5</v>
      </c>
      <c r="P49" s="3">
        <v>12.5</v>
      </c>
      <c r="Q49" s="3">
        <v>12.5</v>
      </c>
    </row>
    <row r="50" spans="1:17" ht="18.75" customHeight="1" x14ac:dyDescent="0.25">
      <c r="A50" s="2">
        <v>39872</v>
      </c>
      <c r="B50" s="3">
        <v>12.75</v>
      </c>
      <c r="C50" s="3">
        <v>10.618</v>
      </c>
      <c r="D50" s="3">
        <v>11.012</v>
      </c>
      <c r="E50" s="3">
        <v>11.349</v>
      </c>
      <c r="F50" s="3">
        <v>11.759</v>
      </c>
      <c r="G50" s="3">
        <v>12.045</v>
      </c>
      <c r="H50" s="3">
        <v>12.208</v>
      </c>
      <c r="I50" s="3">
        <v>12.303000000000001</v>
      </c>
      <c r="J50" s="3">
        <v>12.362</v>
      </c>
      <c r="K50" s="3">
        <v>12.401</v>
      </c>
      <c r="L50" s="3">
        <v>12.432</v>
      </c>
      <c r="M50" s="3">
        <v>12.459</v>
      </c>
      <c r="N50" s="3">
        <v>12.484</v>
      </c>
      <c r="O50" s="3">
        <v>12.5</v>
      </c>
      <c r="P50" s="3">
        <v>12.516</v>
      </c>
      <c r="Q50" s="3">
        <v>12.526</v>
      </c>
    </row>
    <row r="51" spans="1:17" ht="18.75" customHeight="1" x14ac:dyDescent="0.25">
      <c r="A51" s="2">
        <v>39903</v>
      </c>
      <c r="B51" s="3">
        <v>11.25</v>
      </c>
      <c r="C51" s="3">
        <v>9.7959999999999994</v>
      </c>
      <c r="D51" s="3">
        <v>10.46</v>
      </c>
      <c r="E51" s="3">
        <v>10.9</v>
      </c>
      <c r="F51" s="3">
        <v>11.385</v>
      </c>
      <c r="G51" s="3">
        <v>11.6</v>
      </c>
      <c r="H51" s="3">
        <v>11.731999999999999</v>
      </c>
      <c r="I51" s="3">
        <v>11.824999999999999</v>
      </c>
      <c r="J51" s="3">
        <v>11.88</v>
      </c>
      <c r="K51" s="3">
        <v>11.877000000000001</v>
      </c>
      <c r="L51" s="3">
        <v>11.875</v>
      </c>
      <c r="M51" s="3">
        <v>11.874000000000001</v>
      </c>
      <c r="N51" s="3">
        <v>11.872</v>
      </c>
      <c r="O51" s="3">
        <v>11.87</v>
      </c>
      <c r="P51" s="3">
        <v>11.869</v>
      </c>
      <c r="Q51" s="3">
        <v>11.868</v>
      </c>
    </row>
    <row r="52" spans="1:17" ht="18.75" customHeight="1" x14ac:dyDescent="0.25">
      <c r="A52" s="2">
        <v>39933</v>
      </c>
      <c r="B52" s="3">
        <v>10.25</v>
      </c>
      <c r="C52" s="3">
        <v>9.9079999999999995</v>
      </c>
      <c r="D52" s="3">
        <v>10.784000000000001</v>
      </c>
      <c r="E52" s="3">
        <v>11.497</v>
      </c>
      <c r="F52" s="3">
        <v>12.071999999999999</v>
      </c>
      <c r="G52" s="3">
        <v>12.315</v>
      </c>
      <c r="H52" s="3">
        <v>12.474</v>
      </c>
      <c r="I52" s="3">
        <v>12.567</v>
      </c>
      <c r="J52" s="3">
        <v>12.664</v>
      </c>
      <c r="K52" s="3">
        <v>12.675000000000001</v>
      </c>
      <c r="L52" s="3">
        <v>12.683</v>
      </c>
      <c r="M52" s="3">
        <v>12.69</v>
      </c>
      <c r="N52" s="3">
        <v>12.696</v>
      </c>
      <c r="O52" s="3">
        <v>12.7</v>
      </c>
      <c r="P52" s="3">
        <v>12.7</v>
      </c>
      <c r="Q52" s="3">
        <v>12.7</v>
      </c>
    </row>
    <row r="53" spans="1:17" ht="18.75" customHeight="1" x14ac:dyDescent="0.25">
      <c r="A53" s="2">
        <v>39964</v>
      </c>
      <c r="B53" s="3">
        <v>10.25</v>
      </c>
      <c r="C53" s="3">
        <v>9.3490000000000002</v>
      </c>
      <c r="D53" s="3">
        <v>10.132999999999999</v>
      </c>
      <c r="E53" s="3">
        <v>10.936</v>
      </c>
      <c r="F53" s="3">
        <v>11.39</v>
      </c>
      <c r="G53" s="3">
        <v>11.557</v>
      </c>
      <c r="H53" s="3">
        <v>11.694000000000001</v>
      </c>
      <c r="I53" s="3">
        <v>11.73</v>
      </c>
      <c r="J53" s="3">
        <v>11.75</v>
      </c>
      <c r="K53" s="3">
        <v>11.75</v>
      </c>
      <c r="L53" s="3">
        <v>11.75</v>
      </c>
      <c r="M53" s="3">
        <v>11.75</v>
      </c>
      <c r="N53" s="3">
        <v>11.75</v>
      </c>
      <c r="O53" s="3">
        <v>11.75</v>
      </c>
      <c r="P53" s="3">
        <v>11.75</v>
      </c>
      <c r="Q53" s="3">
        <v>11.75</v>
      </c>
    </row>
    <row r="54" spans="1:17" ht="18.75" customHeight="1" x14ac:dyDescent="0.25">
      <c r="A54" s="2">
        <v>39994</v>
      </c>
      <c r="B54" s="3">
        <v>9.25</v>
      </c>
      <c r="C54" s="3">
        <v>9.24</v>
      </c>
      <c r="D54" s="3">
        <v>10.66</v>
      </c>
      <c r="E54" s="3">
        <v>11.414999999999999</v>
      </c>
      <c r="F54" s="3">
        <v>11.93</v>
      </c>
      <c r="G54" s="3">
        <v>12.244</v>
      </c>
      <c r="H54" s="3">
        <v>12.435</v>
      </c>
      <c r="I54" s="3">
        <v>12.523999999999999</v>
      </c>
      <c r="J54" s="3">
        <v>12.577999999999999</v>
      </c>
      <c r="K54" s="3">
        <v>12.608000000000001</v>
      </c>
      <c r="L54" s="3">
        <v>12.631</v>
      </c>
      <c r="M54" s="3">
        <v>12.651</v>
      </c>
      <c r="N54" s="3">
        <v>12.667999999999999</v>
      </c>
      <c r="O54" s="3">
        <v>12.675000000000001</v>
      </c>
      <c r="P54" s="3">
        <v>12.675000000000001</v>
      </c>
      <c r="Q54" s="3">
        <v>12.675000000000001</v>
      </c>
    </row>
    <row r="55" spans="1:17" ht="18.75" customHeight="1" x14ac:dyDescent="0.25">
      <c r="A55" s="2">
        <v>40025</v>
      </c>
      <c r="B55" s="3">
        <v>8.75</v>
      </c>
      <c r="C55" s="3">
        <v>9.2379999999999995</v>
      </c>
      <c r="D55" s="3">
        <v>10.644</v>
      </c>
      <c r="E55" s="3">
        <v>11.465</v>
      </c>
      <c r="F55" s="3">
        <v>11.933999999999999</v>
      </c>
      <c r="G55" s="3">
        <v>12.135</v>
      </c>
      <c r="H55" s="3">
        <v>12.371</v>
      </c>
      <c r="I55" s="3">
        <v>12.488</v>
      </c>
      <c r="J55" s="3">
        <v>12.542</v>
      </c>
      <c r="K55" s="3">
        <v>12.545999999999999</v>
      </c>
      <c r="L55" s="3">
        <v>12.55</v>
      </c>
      <c r="M55" s="3">
        <v>12.552</v>
      </c>
      <c r="N55" s="3">
        <v>12.554</v>
      </c>
      <c r="O55" s="3">
        <v>12.555</v>
      </c>
      <c r="P55" s="3">
        <v>12.555</v>
      </c>
      <c r="Q55" s="3">
        <v>12.555</v>
      </c>
    </row>
    <row r="56" spans="1:17" ht="18.75" customHeight="1" x14ac:dyDescent="0.25">
      <c r="A56" s="2">
        <v>40056</v>
      </c>
      <c r="B56" s="3">
        <v>8.75</v>
      </c>
      <c r="C56" s="3">
        <v>9.2149999999999999</v>
      </c>
      <c r="D56" s="3">
        <v>10.707000000000001</v>
      </c>
      <c r="E56" s="3">
        <v>11.563000000000001</v>
      </c>
      <c r="F56" s="3">
        <v>12.042999999999999</v>
      </c>
      <c r="G56" s="3">
        <v>12.284000000000001</v>
      </c>
      <c r="H56" s="3">
        <v>12.454000000000001</v>
      </c>
      <c r="I56" s="3">
        <v>12.571</v>
      </c>
      <c r="J56" s="3">
        <v>12.627000000000001</v>
      </c>
      <c r="K56" s="3">
        <v>12.637</v>
      </c>
      <c r="L56" s="3">
        <v>12.645</v>
      </c>
      <c r="M56" s="3">
        <v>12.651999999999999</v>
      </c>
      <c r="N56" s="3">
        <v>12.657999999999999</v>
      </c>
      <c r="O56" s="3">
        <v>12.66</v>
      </c>
      <c r="P56" s="3">
        <v>12.66</v>
      </c>
      <c r="Q56" s="3">
        <v>12.66</v>
      </c>
    </row>
    <row r="57" spans="1:17" ht="18.75" customHeight="1" x14ac:dyDescent="0.25">
      <c r="A57" s="2">
        <v>40086</v>
      </c>
      <c r="B57" s="3">
        <v>8.75</v>
      </c>
      <c r="C57" s="3">
        <v>9.67</v>
      </c>
      <c r="D57" s="3">
        <v>11.3</v>
      </c>
      <c r="E57" s="3">
        <v>11.86</v>
      </c>
      <c r="F57" s="3">
        <v>12.21</v>
      </c>
      <c r="G57" s="3">
        <v>12.426</v>
      </c>
      <c r="H57" s="3">
        <v>12.558</v>
      </c>
      <c r="I57" s="3">
        <v>12.641999999999999</v>
      </c>
      <c r="J57" s="3">
        <v>12.685</v>
      </c>
      <c r="K57" s="3">
        <v>12.712</v>
      </c>
      <c r="L57" s="3">
        <v>12.734</v>
      </c>
      <c r="M57" s="3">
        <v>12.752000000000001</v>
      </c>
      <c r="N57" s="3">
        <v>12.766999999999999</v>
      </c>
      <c r="O57" s="3">
        <v>12.77</v>
      </c>
      <c r="P57" s="3">
        <v>12.77</v>
      </c>
      <c r="Q57" s="3">
        <v>12.77</v>
      </c>
    </row>
    <row r="58" spans="1:17" ht="18.75" customHeight="1" x14ac:dyDescent="0.25">
      <c r="A58" s="2">
        <v>40117</v>
      </c>
      <c r="B58" s="3">
        <v>8.75</v>
      </c>
      <c r="C58" s="3">
        <v>9.9320000000000004</v>
      </c>
      <c r="D58" s="3">
        <v>11.468</v>
      </c>
      <c r="E58" s="3">
        <v>12.239000000000001</v>
      </c>
      <c r="F58" s="3">
        <v>12.615</v>
      </c>
      <c r="G58" s="3">
        <v>12.787000000000001</v>
      </c>
      <c r="H58" s="3">
        <v>12.926</v>
      </c>
      <c r="I58" s="3">
        <v>13.071999999999999</v>
      </c>
      <c r="J58" s="3">
        <v>13.124000000000001</v>
      </c>
      <c r="K58" s="3">
        <v>13.148999999999999</v>
      </c>
      <c r="L58" s="3">
        <v>13.167999999999999</v>
      </c>
      <c r="M58" s="3">
        <v>13.183999999999999</v>
      </c>
      <c r="N58" s="3">
        <v>13.196999999999999</v>
      </c>
      <c r="O58" s="3">
        <v>13.2</v>
      </c>
      <c r="P58" s="3">
        <v>13.2</v>
      </c>
      <c r="Q58" s="3">
        <v>13.2</v>
      </c>
    </row>
    <row r="59" spans="1:17" ht="18.75" customHeight="1" x14ac:dyDescent="0.25">
      <c r="A59" s="2">
        <v>40147</v>
      </c>
      <c r="B59" s="3">
        <v>8.75</v>
      </c>
      <c r="C59" s="3">
        <v>10.122</v>
      </c>
      <c r="D59" s="3">
        <v>11.74</v>
      </c>
      <c r="E59" s="3">
        <v>12.465999999999999</v>
      </c>
      <c r="F59" s="3">
        <v>12.754</v>
      </c>
      <c r="G59" s="3">
        <v>12.914999999999999</v>
      </c>
      <c r="H59" s="3">
        <v>13.071</v>
      </c>
      <c r="I59" s="3">
        <v>13.169</v>
      </c>
      <c r="J59" s="3">
        <v>13.212999999999999</v>
      </c>
      <c r="K59" s="3">
        <v>13.22</v>
      </c>
      <c r="L59" s="3">
        <v>13.22</v>
      </c>
      <c r="M59" s="3">
        <v>13.22</v>
      </c>
      <c r="N59" s="3">
        <v>13.22</v>
      </c>
      <c r="O59" s="3">
        <v>13.22</v>
      </c>
      <c r="P59" s="3">
        <v>13.22</v>
      </c>
      <c r="Q59" s="3">
        <v>13.22</v>
      </c>
    </row>
    <row r="60" spans="1:17" ht="18.75" customHeight="1" x14ac:dyDescent="0.25">
      <c r="A60" s="2">
        <v>40178</v>
      </c>
      <c r="B60" s="3">
        <v>8.75</v>
      </c>
      <c r="C60" s="3">
        <v>10.462</v>
      </c>
      <c r="D60" s="3">
        <v>11.86</v>
      </c>
      <c r="E60" s="3">
        <v>12.43</v>
      </c>
      <c r="F60" s="3">
        <v>12.65</v>
      </c>
      <c r="G60" s="3">
        <v>12.782999999999999</v>
      </c>
      <c r="H60" s="3">
        <v>12.9</v>
      </c>
      <c r="I60" s="3">
        <v>13.1</v>
      </c>
      <c r="J60" s="3">
        <v>13.3</v>
      </c>
      <c r="K60" s="3">
        <v>13.305999999999999</v>
      </c>
      <c r="L60" s="3">
        <v>13.311999999999999</v>
      </c>
      <c r="M60" s="3">
        <v>13.316000000000001</v>
      </c>
      <c r="N60" s="3">
        <v>13.32</v>
      </c>
      <c r="O60" s="3">
        <v>13.32</v>
      </c>
      <c r="P60" s="3">
        <v>13.32</v>
      </c>
      <c r="Q60" s="3">
        <v>13.32</v>
      </c>
    </row>
    <row r="61" spans="1:17" ht="18.75" customHeight="1" x14ac:dyDescent="0.25">
      <c r="A61" s="2">
        <v>40209</v>
      </c>
      <c r="B61" s="3">
        <v>8.75</v>
      </c>
      <c r="C61" s="3">
        <v>10.455</v>
      </c>
      <c r="D61" s="3">
        <v>11.75</v>
      </c>
      <c r="E61" s="3">
        <v>12.286</v>
      </c>
      <c r="F61" s="3">
        <v>12.525</v>
      </c>
      <c r="G61" s="3">
        <v>12.721</v>
      </c>
      <c r="H61" s="3">
        <v>12.977</v>
      </c>
      <c r="I61" s="3">
        <v>13.026</v>
      </c>
      <c r="J61" s="3">
        <v>13.153</v>
      </c>
      <c r="K61" s="3">
        <v>13.218</v>
      </c>
      <c r="L61" s="3">
        <v>13.272</v>
      </c>
      <c r="M61" s="3">
        <v>13.315</v>
      </c>
      <c r="N61" s="3">
        <v>13.35</v>
      </c>
      <c r="O61" s="3">
        <v>13.35</v>
      </c>
      <c r="P61" s="3">
        <v>13.35</v>
      </c>
      <c r="Q61" s="3">
        <v>13.35</v>
      </c>
    </row>
    <row r="62" spans="1:17" ht="18.75" customHeight="1" x14ac:dyDescent="0.25">
      <c r="A62" s="2">
        <v>40237</v>
      </c>
      <c r="B62" s="3">
        <v>8.75</v>
      </c>
      <c r="C62" s="3">
        <v>10.749000000000001</v>
      </c>
      <c r="D62" s="3">
        <v>11.744999999999999</v>
      </c>
      <c r="E62" s="3">
        <v>12.103999999999999</v>
      </c>
      <c r="F62" s="3">
        <v>12.343999999999999</v>
      </c>
      <c r="G62" s="3">
        <v>12.462</v>
      </c>
      <c r="H62" s="3">
        <v>12.581</v>
      </c>
      <c r="I62" s="3">
        <v>12.731999999999999</v>
      </c>
      <c r="J62" s="3">
        <v>12.913</v>
      </c>
      <c r="K62" s="3">
        <v>12.992000000000001</v>
      </c>
      <c r="L62" s="3">
        <v>13.086</v>
      </c>
      <c r="M62" s="3">
        <v>13.175000000000001</v>
      </c>
      <c r="N62" s="3">
        <v>13.55</v>
      </c>
      <c r="O62" s="3">
        <v>13.55</v>
      </c>
      <c r="P62" s="3">
        <v>13.55</v>
      </c>
      <c r="Q62" s="3">
        <v>13.55</v>
      </c>
    </row>
    <row r="63" spans="1:17" ht="18.75" customHeight="1" x14ac:dyDescent="0.25">
      <c r="A63" s="2">
        <v>40268</v>
      </c>
      <c r="B63" s="3">
        <v>8.75</v>
      </c>
      <c r="C63" s="3">
        <v>10.847</v>
      </c>
      <c r="D63" s="3">
        <v>11.81</v>
      </c>
      <c r="E63" s="3">
        <v>12.1</v>
      </c>
      <c r="F63" s="3">
        <v>12.18</v>
      </c>
      <c r="G63" s="3">
        <v>12.22</v>
      </c>
      <c r="H63" s="3">
        <v>12.253</v>
      </c>
      <c r="I63" s="3">
        <v>12.294</v>
      </c>
      <c r="J63" s="3">
        <v>12.385</v>
      </c>
      <c r="K63" s="3">
        <v>12.422000000000001</v>
      </c>
      <c r="L63" s="3">
        <v>12.500999999999999</v>
      </c>
      <c r="M63" s="3">
        <v>12.605</v>
      </c>
      <c r="N63" s="3">
        <v>12.76</v>
      </c>
      <c r="O63" s="3">
        <v>12.76</v>
      </c>
      <c r="P63" s="3">
        <v>12.76</v>
      </c>
      <c r="Q63" s="3">
        <v>12.76</v>
      </c>
    </row>
    <row r="64" spans="1:17" ht="18.75" customHeight="1" x14ac:dyDescent="0.25">
      <c r="A64" s="2">
        <v>40298</v>
      </c>
      <c r="B64" s="3">
        <v>9.5</v>
      </c>
      <c r="C64" s="3">
        <v>11.664</v>
      </c>
      <c r="D64" s="3">
        <v>12.457000000000001</v>
      </c>
      <c r="E64" s="3">
        <v>12.582000000000001</v>
      </c>
      <c r="F64" s="3">
        <v>12.548</v>
      </c>
      <c r="G64" s="3">
        <v>12.497</v>
      </c>
      <c r="H64" s="3">
        <v>12.451000000000001</v>
      </c>
      <c r="I64" s="3">
        <v>12.397</v>
      </c>
      <c r="J64" s="3">
        <v>12.358000000000001</v>
      </c>
      <c r="K64" s="3">
        <v>12.335000000000001</v>
      </c>
      <c r="L64" s="3">
        <v>12.333</v>
      </c>
      <c r="M64" s="3">
        <v>12.345000000000001</v>
      </c>
      <c r="N64" s="3">
        <v>12.38</v>
      </c>
      <c r="O64" s="3">
        <v>12.38</v>
      </c>
      <c r="P64" s="3">
        <v>12.38</v>
      </c>
      <c r="Q64" s="3">
        <v>12.38</v>
      </c>
    </row>
    <row r="65" spans="1:17" ht="18.75" customHeight="1" x14ac:dyDescent="0.25">
      <c r="A65" s="2">
        <v>40329</v>
      </c>
      <c r="B65" s="3">
        <v>9.5</v>
      </c>
      <c r="C65" s="3">
        <v>11.542999999999999</v>
      </c>
      <c r="D65" s="3">
        <v>12.154</v>
      </c>
      <c r="E65" s="3">
        <v>12.236000000000001</v>
      </c>
      <c r="F65" s="3">
        <v>12.26</v>
      </c>
      <c r="G65" s="3">
        <v>12.279</v>
      </c>
      <c r="H65" s="3">
        <v>12.282999999999999</v>
      </c>
      <c r="I65" s="3">
        <v>12.3</v>
      </c>
      <c r="J65" s="3">
        <v>12.297000000000001</v>
      </c>
      <c r="K65" s="3">
        <v>12.292</v>
      </c>
      <c r="L65" s="3">
        <v>12.297000000000001</v>
      </c>
      <c r="M65" s="3">
        <v>12.324</v>
      </c>
      <c r="N65" s="3">
        <v>12.38</v>
      </c>
      <c r="O65" s="3">
        <v>12.38</v>
      </c>
      <c r="P65" s="3">
        <v>12.38</v>
      </c>
      <c r="Q65" s="3">
        <v>12.38</v>
      </c>
    </row>
    <row r="66" spans="1:17" ht="18.75" customHeight="1" x14ac:dyDescent="0.25">
      <c r="A66" s="2">
        <v>40359</v>
      </c>
      <c r="B66" s="3">
        <v>10.25</v>
      </c>
      <c r="C66" s="3">
        <v>11.861000000000001</v>
      </c>
      <c r="D66" s="3">
        <v>12.175000000000001</v>
      </c>
      <c r="E66" s="3">
        <v>12.19</v>
      </c>
      <c r="F66" s="3">
        <v>12.24</v>
      </c>
      <c r="G66" s="3">
        <v>12.164</v>
      </c>
      <c r="H66" s="3">
        <v>12.175000000000001</v>
      </c>
      <c r="I66" s="3">
        <v>12.169</v>
      </c>
      <c r="J66" s="3">
        <v>12.157999999999999</v>
      </c>
      <c r="K66" s="3">
        <v>12.154</v>
      </c>
      <c r="L66" s="3">
        <v>12.151</v>
      </c>
      <c r="M66" s="3">
        <v>12.201000000000001</v>
      </c>
      <c r="N66" s="3">
        <v>12.25</v>
      </c>
      <c r="O66" s="3">
        <v>12.25</v>
      </c>
      <c r="P66" s="3">
        <v>12.25</v>
      </c>
      <c r="Q66" s="3">
        <v>12.25</v>
      </c>
    </row>
    <row r="67" spans="1:17" ht="18.75" customHeight="1" x14ac:dyDescent="0.25">
      <c r="A67" s="2">
        <v>40390</v>
      </c>
      <c r="B67" s="3">
        <v>10.75</v>
      </c>
      <c r="C67" s="3">
        <v>11.159000000000001</v>
      </c>
      <c r="D67" s="3">
        <v>11.744999999999999</v>
      </c>
      <c r="E67" s="3">
        <v>11.89</v>
      </c>
      <c r="F67" s="3">
        <v>11.944000000000001</v>
      </c>
      <c r="G67" s="3">
        <v>11.875999999999999</v>
      </c>
      <c r="H67" s="3">
        <v>11.835000000000001</v>
      </c>
      <c r="I67" s="3">
        <v>11.826000000000001</v>
      </c>
      <c r="J67" s="3">
        <v>11.82</v>
      </c>
      <c r="K67" s="3">
        <v>11.815</v>
      </c>
      <c r="L67" s="3">
        <v>11.811</v>
      </c>
      <c r="M67" s="3">
        <v>11.849</v>
      </c>
      <c r="N67" s="3">
        <v>11.88</v>
      </c>
      <c r="O67" s="3">
        <v>11.88</v>
      </c>
      <c r="P67" s="3">
        <v>11.88</v>
      </c>
      <c r="Q67" s="3">
        <v>11.88</v>
      </c>
    </row>
    <row r="68" spans="1:17" ht="18.75" customHeight="1" x14ac:dyDescent="0.25">
      <c r="A68" s="2">
        <v>40421</v>
      </c>
      <c r="B68" s="3">
        <v>10.75</v>
      </c>
      <c r="C68" s="3">
        <v>11.095000000000001</v>
      </c>
      <c r="D68" s="3">
        <v>11.459</v>
      </c>
      <c r="E68" s="3">
        <v>11.445</v>
      </c>
      <c r="F68" s="3">
        <v>11.4</v>
      </c>
      <c r="G68" s="3">
        <v>11.388</v>
      </c>
      <c r="H68" s="3">
        <v>11.327999999999999</v>
      </c>
      <c r="I68" s="3">
        <v>11.308</v>
      </c>
      <c r="J68" s="3">
        <v>11.292999999999999</v>
      </c>
      <c r="K68" s="3">
        <v>11.282</v>
      </c>
      <c r="L68" s="3">
        <v>11.273999999999999</v>
      </c>
      <c r="M68" s="3">
        <v>11.298</v>
      </c>
      <c r="N68" s="3">
        <v>11.284000000000001</v>
      </c>
      <c r="O68" s="3">
        <v>11.255000000000001</v>
      </c>
      <c r="P68" s="3">
        <v>11.255000000000001</v>
      </c>
      <c r="Q68" s="3">
        <v>11.255000000000001</v>
      </c>
    </row>
    <row r="69" spans="1:17" ht="18.75" customHeight="1" x14ac:dyDescent="0.25">
      <c r="A69" s="2">
        <v>40451</v>
      </c>
      <c r="B69" s="3">
        <v>10.75</v>
      </c>
      <c r="C69" s="3">
        <v>11.284000000000001</v>
      </c>
      <c r="D69" s="3">
        <v>11.885</v>
      </c>
      <c r="E69" s="3">
        <v>11.86</v>
      </c>
      <c r="F69" s="3">
        <v>11.845000000000001</v>
      </c>
      <c r="G69" s="3">
        <v>11.749000000000001</v>
      </c>
      <c r="H69" s="3">
        <v>11.669</v>
      </c>
      <c r="I69" s="3">
        <v>11.65</v>
      </c>
      <c r="J69" s="3">
        <v>11.65</v>
      </c>
      <c r="K69" s="3">
        <v>11.65</v>
      </c>
      <c r="L69" s="3">
        <v>11.65</v>
      </c>
      <c r="M69" s="3">
        <v>11.664999999999999</v>
      </c>
      <c r="N69" s="3">
        <v>11.67</v>
      </c>
      <c r="O69" s="3">
        <v>11.67</v>
      </c>
      <c r="P69" s="3">
        <v>11.67</v>
      </c>
      <c r="Q69" s="3">
        <v>11.67</v>
      </c>
    </row>
    <row r="70" spans="1:17" ht="18.75" customHeight="1" x14ac:dyDescent="0.25">
      <c r="A70" s="2">
        <v>40482</v>
      </c>
      <c r="B70" s="3">
        <v>10.75</v>
      </c>
      <c r="C70" s="3">
        <v>11.209</v>
      </c>
      <c r="D70" s="3">
        <v>11.718</v>
      </c>
      <c r="E70" s="3">
        <v>11.712</v>
      </c>
      <c r="F70" s="3">
        <v>11.64</v>
      </c>
      <c r="G70" s="3">
        <v>11.627000000000001</v>
      </c>
      <c r="H70" s="3">
        <v>11.602</v>
      </c>
      <c r="I70" s="3">
        <v>11.6</v>
      </c>
      <c r="J70" s="3">
        <v>11.6</v>
      </c>
      <c r="K70" s="3">
        <v>11.6</v>
      </c>
      <c r="L70" s="3">
        <v>11.6</v>
      </c>
      <c r="M70" s="3">
        <v>11.616</v>
      </c>
      <c r="N70" s="3">
        <v>11.62</v>
      </c>
      <c r="O70" s="3">
        <v>11.62</v>
      </c>
      <c r="P70" s="3">
        <v>11.62</v>
      </c>
      <c r="Q70" s="3">
        <v>11.62</v>
      </c>
    </row>
    <row r="71" spans="1:17" ht="18.75" customHeight="1" x14ac:dyDescent="0.25">
      <c r="A71" s="2">
        <v>40512</v>
      </c>
      <c r="B71" s="3">
        <v>10.75</v>
      </c>
      <c r="C71" s="3">
        <v>11.936</v>
      </c>
      <c r="D71" s="3">
        <v>12.284000000000001</v>
      </c>
      <c r="E71" s="3">
        <v>12.223000000000001</v>
      </c>
      <c r="F71" s="3">
        <v>12.146000000000001</v>
      </c>
      <c r="G71" s="3">
        <v>12.146000000000001</v>
      </c>
      <c r="H71" s="3">
        <v>12.11</v>
      </c>
      <c r="I71" s="3">
        <v>12.112</v>
      </c>
      <c r="J71" s="3">
        <v>12.122999999999999</v>
      </c>
      <c r="K71" s="3">
        <v>12.131</v>
      </c>
      <c r="L71" s="3">
        <v>12.138</v>
      </c>
      <c r="M71" s="3">
        <v>12.156000000000001</v>
      </c>
      <c r="N71" s="3">
        <v>12.16</v>
      </c>
      <c r="O71" s="3">
        <v>12.16</v>
      </c>
      <c r="P71" s="3">
        <v>12.16</v>
      </c>
      <c r="Q71" s="3">
        <v>12.16</v>
      </c>
    </row>
    <row r="72" spans="1:17" ht="18.75" customHeight="1" x14ac:dyDescent="0.25">
      <c r="A72" s="2">
        <v>40543</v>
      </c>
      <c r="B72" s="3">
        <v>10.75</v>
      </c>
      <c r="C72" s="3">
        <v>12.031000000000001</v>
      </c>
      <c r="D72" s="3">
        <v>12.27</v>
      </c>
      <c r="E72" s="3">
        <v>12.163</v>
      </c>
      <c r="F72" s="3">
        <v>12.04</v>
      </c>
      <c r="G72" s="3">
        <v>11.95</v>
      </c>
      <c r="H72" s="3">
        <v>11.89</v>
      </c>
      <c r="I72" s="3">
        <v>11.85</v>
      </c>
      <c r="J72" s="3">
        <v>11.871</v>
      </c>
      <c r="K72" s="3">
        <v>11.88</v>
      </c>
      <c r="L72" s="3">
        <v>11.9</v>
      </c>
      <c r="M72" s="3">
        <v>11.9</v>
      </c>
      <c r="N72" s="3">
        <v>11.9</v>
      </c>
      <c r="O72" s="3">
        <v>11.9</v>
      </c>
      <c r="P72" s="3">
        <v>11.9</v>
      </c>
      <c r="Q72" s="3">
        <v>11.9</v>
      </c>
    </row>
    <row r="73" spans="1:17" ht="18.75" customHeight="1" x14ac:dyDescent="0.25">
      <c r="A73" s="2">
        <v>40574</v>
      </c>
      <c r="B73" s="3">
        <v>11.25</v>
      </c>
      <c r="C73" s="3">
        <v>12.441000000000001</v>
      </c>
      <c r="D73" s="3">
        <v>12.909000000000001</v>
      </c>
      <c r="E73" s="3">
        <v>12.91</v>
      </c>
      <c r="F73" s="3">
        <v>12.874000000000001</v>
      </c>
      <c r="G73" s="3">
        <v>12.808</v>
      </c>
      <c r="H73" s="3">
        <v>12.76</v>
      </c>
      <c r="I73" s="3">
        <v>12.749000000000001</v>
      </c>
      <c r="J73" s="3">
        <v>12.731999999999999</v>
      </c>
      <c r="K73" s="3">
        <v>12.72</v>
      </c>
      <c r="L73" s="3">
        <v>12.72</v>
      </c>
      <c r="M73" s="3">
        <v>12.72</v>
      </c>
      <c r="N73" s="3">
        <v>12.72</v>
      </c>
      <c r="O73" s="3">
        <v>12.72</v>
      </c>
      <c r="P73" s="3">
        <v>12.72</v>
      </c>
      <c r="Q73" s="3">
        <v>12.72</v>
      </c>
    </row>
    <row r="74" spans="1:17" ht="18.75" customHeight="1" x14ac:dyDescent="0.25">
      <c r="A74" s="2">
        <v>40602</v>
      </c>
      <c r="B74" s="3">
        <v>11.25</v>
      </c>
      <c r="C74" s="3">
        <v>12.616</v>
      </c>
      <c r="D74" s="3">
        <v>12.734999999999999</v>
      </c>
      <c r="E74" s="3">
        <v>12.654999999999999</v>
      </c>
      <c r="F74" s="3">
        <v>12.59</v>
      </c>
      <c r="G74" s="3">
        <v>12.446999999999999</v>
      </c>
      <c r="H74" s="3">
        <v>12.326000000000001</v>
      </c>
      <c r="I74" s="3">
        <v>12.279</v>
      </c>
      <c r="J74" s="3">
        <v>12.268000000000001</v>
      </c>
      <c r="K74" s="3">
        <v>12.257999999999999</v>
      </c>
      <c r="L74" s="3">
        <v>12.25</v>
      </c>
      <c r="M74" s="3">
        <v>12.247999999999999</v>
      </c>
      <c r="N74" s="3">
        <v>12.186</v>
      </c>
      <c r="O74" s="3">
        <v>12.151</v>
      </c>
      <c r="P74" s="3">
        <v>12.112</v>
      </c>
      <c r="Q74" s="3">
        <v>12.11</v>
      </c>
    </row>
    <row r="75" spans="1:17" ht="18.75" customHeight="1" x14ac:dyDescent="0.25">
      <c r="A75" s="2">
        <v>40633</v>
      </c>
      <c r="B75" s="3">
        <v>11.75</v>
      </c>
      <c r="C75" s="3">
        <v>12.288</v>
      </c>
      <c r="D75" s="3">
        <v>12.77</v>
      </c>
      <c r="E75" s="3">
        <v>12.88</v>
      </c>
      <c r="F75" s="3">
        <v>12.96</v>
      </c>
      <c r="G75" s="3">
        <v>12.85</v>
      </c>
      <c r="H75" s="3">
        <v>12.811</v>
      </c>
      <c r="I75" s="3">
        <v>12.785</v>
      </c>
      <c r="J75" s="3">
        <v>12.77</v>
      </c>
      <c r="K75" s="3">
        <v>12.747</v>
      </c>
      <c r="L75" s="3">
        <v>12.71</v>
      </c>
      <c r="M75" s="3">
        <v>12.708</v>
      </c>
      <c r="N75" s="3">
        <v>12.7</v>
      </c>
      <c r="O75" s="3">
        <v>12.695</v>
      </c>
      <c r="P75" s="3">
        <v>12.689</v>
      </c>
      <c r="Q75" s="3">
        <v>12.689</v>
      </c>
    </row>
    <row r="76" spans="1:17" ht="18.75" customHeight="1" x14ac:dyDescent="0.25">
      <c r="A76" s="2">
        <v>40663</v>
      </c>
      <c r="B76" s="3">
        <v>12</v>
      </c>
      <c r="C76" s="3">
        <v>12.515000000000001</v>
      </c>
      <c r="D76" s="3">
        <v>12.721</v>
      </c>
      <c r="E76" s="3">
        <v>12.632</v>
      </c>
      <c r="F76" s="3">
        <v>12.637</v>
      </c>
      <c r="G76" s="3">
        <v>12.566000000000001</v>
      </c>
      <c r="H76" s="3">
        <v>12.465999999999999</v>
      </c>
      <c r="I76" s="3">
        <v>12.43</v>
      </c>
      <c r="J76" s="3">
        <v>12.401999999999999</v>
      </c>
      <c r="K76" s="3">
        <v>12.387</v>
      </c>
      <c r="L76" s="3">
        <v>12.385</v>
      </c>
      <c r="M76" s="3">
        <v>12.369</v>
      </c>
      <c r="N76" s="3">
        <v>12.355</v>
      </c>
      <c r="O76" s="3">
        <v>12.346</v>
      </c>
      <c r="P76" s="3">
        <v>12.337</v>
      </c>
      <c r="Q76" s="3">
        <v>12.337</v>
      </c>
    </row>
    <row r="77" spans="1:17" ht="18.75" customHeight="1" x14ac:dyDescent="0.25">
      <c r="A77" s="2">
        <v>40694</v>
      </c>
      <c r="B77" s="3">
        <v>12</v>
      </c>
      <c r="C77" s="3">
        <v>12.452999999999999</v>
      </c>
      <c r="D77" s="3">
        <v>12.49</v>
      </c>
      <c r="E77" s="3">
        <v>12.414999999999999</v>
      </c>
      <c r="F77" s="3">
        <v>12.425000000000001</v>
      </c>
      <c r="G77" s="3">
        <v>12.384</v>
      </c>
      <c r="H77" s="3">
        <v>12.273999999999999</v>
      </c>
      <c r="I77" s="3">
        <v>12.243</v>
      </c>
      <c r="J77" s="3">
        <v>12.225</v>
      </c>
      <c r="K77" s="3">
        <v>12.207000000000001</v>
      </c>
      <c r="L77" s="3">
        <v>12.186999999999999</v>
      </c>
      <c r="M77" s="3">
        <v>12.179</v>
      </c>
      <c r="N77" s="3">
        <v>12.172000000000001</v>
      </c>
      <c r="O77" s="3">
        <v>12.167</v>
      </c>
      <c r="P77" s="3">
        <v>12.163</v>
      </c>
      <c r="Q77" s="3">
        <v>12.163</v>
      </c>
    </row>
    <row r="78" spans="1:17" ht="18.75" customHeight="1" x14ac:dyDescent="0.25">
      <c r="A78" s="2">
        <v>40724</v>
      </c>
      <c r="B78" s="3">
        <v>12.25</v>
      </c>
      <c r="C78" s="3">
        <v>12.648999999999999</v>
      </c>
      <c r="D78" s="3">
        <v>12.7</v>
      </c>
      <c r="E78" s="3">
        <v>12.6</v>
      </c>
      <c r="F78" s="3">
        <v>12.51</v>
      </c>
      <c r="G78" s="3">
        <v>12.435</v>
      </c>
      <c r="H78" s="3">
        <v>12.327</v>
      </c>
      <c r="I78" s="3">
        <v>12.289</v>
      </c>
      <c r="J78" s="3">
        <v>12.260999999999999</v>
      </c>
      <c r="K78" s="3">
        <v>12.239000000000001</v>
      </c>
      <c r="L78" s="3">
        <v>12.225</v>
      </c>
      <c r="M78" s="3">
        <v>12.212999999999999</v>
      </c>
      <c r="N78" s="3">
        <v>12.2</v>
      </c>
      <c r="O78" s="3">
        <v>12.192</v>
      </c>
      <c r="P78" s="3">
        <v>12.185</v>
      </c>
      <c r="Q78" s="3">
        <v>12.185</v>
      </c>
    </row>
    <row r="79" spans="1:17" ht="18.75" customHeight="1" x14ac:dyDescent="0.25">
      <c r="A79" s="2">
        <v>40755</v>
      </c>
      <c r="B79" s="3">
        <v>12.5</v>
      </c>
      <c r="C79" s="3">
        <v>12.582000000000001</v>
      </c>
      <c r="D79" s="3">
        <v>12.773999999999999</v>
      </c>
      <c r="E79" s="3">
        <v>12.8</v>
      </c>
      <c r="F79" s="3">
        <v>12.798</v>
      </c>
      <c r="G79" s="3">
        <v>12.734999999999999</v>
      </c>
      <c r="H79" s="3">
        <v>12.693</v>
      </c>
      <c r="I79" s="3">
        <v>12.627000000000001</v>
      </c>
      <c r="J79" s="3">
        <v>12.608000000000001</v>
      </c>
      <c r="K79" s="3">
        <v>12.593</v>
      </c>
      <c r="L79" s="3">
        <v>12.55</v>
      </c>
      <c r="M79" s="3">
        <v>12.534000000000001</v>
      </c>
      <c r="N79" s="3">
        <v>12.52</v>
      </c>
      <c r="O79" s="3">
        <v>12.507999999999999</v>
      </c>
      <c r="P79" s="3">
        <v>12.504</v>
      </c>
      <c r="Q79" s="3">
        <v>12.504</v>
      </c>
    </row>
    <row r="80" spans="1:17" ht="18.75" customHeight="1" x14ac:dyDescent="0.25">
      <c r="A80" s="2">
        <v>40786</v>
      </c>
      <c r="B80" s="3">
        <v>12.5</v>
      </c>
      <c r="C80" s="3">
        <v>11.221</v>
      </c>
      <c r="D80" s="3">
        <v>11.148999999999999</v>
      </c>
      <c r="E80" s="3">
        <v>11.271000000000001</v>
      </c>
      <c r="F80" s="3">
        <v>11.359</v>
      </c>
      <c r="G80" s="3">
        <v>11.375</v>
      </c>
      <c r="H80" s="3">
        <v>11.396000000000001</v>
      </c>
      <c r="I80" s="3">
        <v>11.38</v>
      </c>
      <c r="J80" s="3">
        <v>11.372</v>
      </c>
      <c r="K80" s="3">
        <v>11.361000000000001</v>
      </c>
      <c r="L80" s="3">
        <v>11.356999999999999</v>
      </c>
      <c r="M80" s="3">
        <v>11.353999999999999</v>
      </c>
      <c r="N80" s="3">
        <v>11.351000000000001</v>
      </c>
      <c r="O80" s="3">
        <v>11.349</v>
      </c>
      <c r="P80" s="3">
        <v>11.348000000000001</v>
      </c>
      <c r="Q80" s="3">
        <v>11.348000000000001</v>
      </c>
    </row>
    <row r="81" spans="1:17" ht="18.75" customHeight="1" x14ac:dyDescent="0.25">
      <c r="A81" s="2">
        <v>40816</v>
      </c>
      <c r="B81" s="3">
        <v>12</v>
      </c>
      <c r="C81" s="3">
        <v>10.38</v>
      </c>
      <c r="D81" s="3">
        <v>10.63</v>
      </c>
      <c r="E81" s="3">
        <v>10.95</v>
      </c>
      <c r="F81" s="3">
        <v>11.15</v>
      </c>
      <c r="G81" s="3">
        <v>11.23</v>
      </c>
      <c r="H81" s="3">
        <v>11.272</v>
      </c>
      <c r="I81" s="3">
        <v>11.284000000000001</v>
      </c>
      <c r="J81" s="3">
        <v>11.292999999999999</v>
      </c>
      <c r="K81" s="3">
        <v>11.3</v>
      </c>
      <c r="L81" s="3">
        <v>11.25</v>
      </c>
      <c r="M81" s="3">
        <v>11.25</v>
      </c>
      <c r="N81" s="3">
        <v>11.25</v>
      </c>
      <c r="O81" s="3">
        <v>11.25</v>
      </c>
      <c r="P81" s="3">
        <v>11.25</v>
      </c>
      <c r="Q81" s="3">
        <v>11.25</v>
      </c>
    </row>
    <row r="82" spans="1:17" ht="18.75" customHeight="1" x14ac:dyDescent="0.25">
      <c r="A82" s="2">
        <v>40847</v>
      </c>
      <c r="B82" s="3">
        <v>11.5</v>
      </c>
      <c r="C82" s="3">
        <v>10.304</v>
      </c>
      <c r="D82" s="3">
        <v>10.523999999999999</v>
      </c>
      <c r="E82" s="3">
        <v>10.823</v>
      </c>
      <c r="F82" s="3">
        <v>11.045999999999999</v>
      </c>
      <c r="G82" s="3">
        <v>11.132</v>
      </c>
      <c r="H82" s="3">
        <v>11.138</v>
      </c>
      <c r="I82" s="3">
        <v>11.159000000000001</v>
      </c>
      <c r="J82" s="3">
        <v>11.167999999999999</v>
      </c>
      <c r="K82" s="3">
        <v>11.224</v>
      </c>
      <c r="L82" s="3">
        <v>11.19</v>
      </c>
      <c r="M82" s="3">
        <v>11.19</v>
      </c>
      <c r="N82" s="3">
        <v>11.19</v>
      </c>
      <c r="O82" s="3">
        <v>11.19</v>
      </c>
      <c r="P82" s="3">
        <v>11.19</v>
      </c>
      <c r="Q82" s="3">
        <v>11.19</v>
      </c>
    </row>
    <row r="83" spans="1:17" ht="18.75" customHeight="1" x14ac:dyDescent="0.25">
      <c r="A83" s="2">
        <v>40877</v>
      </c>
      <c r="B83" s="3">
        <v>11.5</v>
      </c>
      <c r="C83" s="3">
        <v>9.6609999999999996</v>
      </c>
      <c r="D83" s="3">
        <v>9.8190000000000008</v>
      </c>
      <c r="E83" s="3">
        <v>10.186</v>
      </c>
      <c r="F83" s="3">
        <v>10.496</v>
      </c>
      <c r="G83" s="3">
        <v>10.63</v>
      </c>
      <c r="H83" s="3">
        <v>10.664</v>
      </c>
      <c r="I83" s="3">
        <v>10.738</v>
      </c>
      <c r="J83" s="3">
        <v>10.802</v>
      </c>
      <c r="K83" s="3">
        <v>10.847</v>
      </c>
      <c r="L83" s="3">
        <v>10.83</v>
      </c>
      <c r="M83" s="3">
        <v>10.83</v>
      </c>
      <c r="N83" s="3">
        <v>10.83</v>
      </c>
      <c r="O83" s="3">
        <v>10.83</v>
      </c>
      <c r="P83" s="3">
        <v>10.83</v>
      </c>
      <c r="Q83" s="3">
        <v>10.83</v>
      </c>
    </row>
    <row r="84" spans="1:17" ht="18.75" customHeight="1" x14ac:dyDescent="0.25">
      <c r="A84" s="2">
        <v>40908</v>
      </c>
      <c r="B84" s="3">
        <v>11</v>
      </c>
      <c r="C84" s="3">
        <v>10.039999999999999</v>
      </c>
      <c r="D84" s="3">
        <v>10.468999999999999</v>
      </c>
      <c r="E84" s="3">
        <v>10.741</v>
      </c>
      <c r="F84" s="3">
        <v>10.898999999999999</v>
      </c>
      <c r="G84" s="3">
        <v>10.98</v>
      </c>
      <c r="H84" s="3">
        <v>11.05</v>
      </c>
      <c r="I84" s="3">
        <v>11.05</v>
      </c>
      <c r="J84" s="3">
        <v>11.07</v>
      </c>
      <c r="K84" s="3">
        <v>11.17</v>
      </c>
      <c r="L84" s="3">
        <v>11.22</v>
      </c>
      <c r="M84" s="3">
        <v>11.22</v>
      </c>
      <c r="N84" s="3">
        <v>11.22</v>
      </c>
      <c r="O84" s="3">
        <v>11.22</v>
      </c>
      <c r="P84" s="3">
        <v>11.22</v>
      </c>
      <c r="Q84" s="3">
        <v>11.22</v>
      </c>
    </row>
    <row r="85" spans="1:17" ht="18.75" customHeight="1" x14ac:dyDescent="0.25">
      <c r="A85" s="2">
        <v>40939</v>
      </c>
      <c r="B85" s="3">
        <v>10.5</v>
      </c>
      <c r="C85" s="3">
        <v>9.5540000000000003</v>
      </c>
      <c r="D85" s="3">
        <v>10.016999999999999</v>
      </c>
      <c r="E85" s="3">
        <v>10.478999999999999</v>
      </c>
      <c r="F85" s="3">
        <v>10.805999999999999</v>
      </c>
      <c r="G85" s="3">
        <v>10.936</v>
      </c>
      <c r="H85" s="3">
        <v>11.074</v>
      </c>
      <c r="I85" s="3">
        <v>11.163</v>
      </c>
      <c r="J85" s="3">
        <v>11.243</v>
      </c>
      <c r="K85" s="3">
        <v>11.342000000000001</v>
      </c>
      <c r="L85" s="3">
        <v>11.39</v>
      </c>
      <c r="M85" s="3">
        <v>11.39</v>
      </c>
      <c r="N85" s="3">
        <v>11.39</v>
      </c>
      <c r="O85" s="3">
        <v>11.39</v>
      </c>
      <c r="P85" s="3">
        <v>11.39</v>
      </c>
      <c r="Q85" s="3">
        <v>11.39</v>
      </c>
    </row>
    <row r="86" spans="1:17" ht="18.75" customHeight="1" x14ac:dyDescent="0.25">
      <c r="A86" s="2">
        <v>40968</v>
      </c>
      <c r="B86" s="3">
        <v>10.5</v>
      </c>
      <c r="C86" s="3">
        <v>9.2579999999999991</v>
      </c>
      <c r="D86" s="3">
        <v>9.8330000000000002</v>
      </c>
      <c r="E86" s="3">
        <v>10.321</v>
      </c>
      <c r="F86" s="3">
        <v>10.654</v>
      </c>
      <c r="G86" s="3">
        <v>10.836</v>
      </c>
      <c r="H86" s="3">
        <v>10.958</v>
      </c>
      <c r="I86" s="3">
        <v>11.045999999999999</v>
      </c>
      <c r="J86" s="3">
        <v>11.116</v>
      </c>
      <c r="K86" s="3">
        <v>11.223000000000001</v>
      </c>
      <c r="L86" s="3">
        <v>11.295</v>
      </c>
      <c r="M86" s="3">
        <v>11.41</v>
      </c>
      <c r="N86" s="3">
        <v>11.41</v>
      </c>
      <c r="O86" s="3">
        <v>11.41</v>
      </c>
      <c r="P86" s="3">
        <v>11.41</v>
      </c>
      <c r="Q86" s="3">
        <v>11.41</v>
      </c>
    </row>
    <row r="87" spans="1:17" ht="18.75" customHeight="1" x14ac:dyDescent="0.25">
      <c r="A87" s="2">
        <v>40999</v>
      </c>
      <c r="B87" s="3">
        <v>9.75</v>
      </c>
      <c r="C87" s="3">
        <v>8.9600000000000009</v>
      </c>
      <c r="D87" s="3">
        <v>9.7200000000000006</v>
      </c>
      <c r="E87" s="3">
        <v>10.18</v>
      </c>
      <c r="F87" s="3">
        <v>10.53</v>
      </c>
      <c r="G87" s="3">
        <v>10.69</v>
      </c>
      <c r="H87" s="3">
        <v>10.837</v>
      </c>
      <c r="I87" s="3">
        <v>10.917999999999999</v>
      </c>
      <c r="J87" s="3">
        <v>11.003</v>
      </c>
      <c r="K87" s="3">
        <v>11.096</v>
      </c>
      <c r="L87" s="3">
        <v>11.196999999999999</v>
      </c>
      <c r="M87" s="3">
        <v>11.27</v>
      </c>
      <c r="N87" s="3">
        <v>11.27</v>
      </c>
      <c r="O87" s="3">
        <v>11.27</v>
      </c>
      <c r="P87" s="3">
        <v>11.27</v>
      </c>
      <c r="Q87" s="3">
        <v>11.27</v>
      </c>
    </row>
    <row r="88" spans="1:17" ht="18.75" customHeight="1" x14ac:dyDescent="0.25">
      <c r="A88" s="2">
        <v>41029</v>
      </c>
      <c r="B88" s="3">
        <v>9</v>
      </c>
      <c r="C88" s="3">
        <v>8.3330000000000002</v>
      </c>
      <c r="D88" s="3">
        <v>8.9489999999999998</v>
      </c>
      <c r="E88" s="3">
        <v>9.5410000000000004</v>
      </c>
      <c r="F88" s="3">
        <v>9.923</v>
      </c>
      <c r="G88" s="3">
        <v>10.119999999999999</v>
      </c>
      <c r="H88" s="3">
        <v>10.278</v>
      </c>
      <c r="I88" s="3">
        <v>10.403</v>
      </c>
      <c r="J88" s="3">
        <v>10.576000000000001</v>
      </c>
      <c r="K88" s="3">
        <v>10.67</v>
      </c>
      <c r="L88" s="3">
        <v>10.776999999999999</v>
      </c>
      <c r="M88" s="3">
        <v>10.86</v>
      </c>
      <c r="N88" s="3">
        <v>10.86</v>
      </c>
      <c r="O88" s="3">
        <v>10.86</v>
      </c>
      <c r="P88" s="3">
        <v>10.86</v>
      </c>
      <c r="Q88" s="3">
        <v>10.86</v>
      </c>
    </row>
    <row r="89" spans="1:17" ht="18.75" customHeight="1" x14ac:dyDescent="0.25">
      <c r="A89" s="2">
        <v>41060</v>
      </c>
      <c r="B89" s="3">
        <v>8.5</v>
      </c>
      <c r="C89" s="3">
        <v>7.9290000000000003</v>
      </c>
      <c r="D89" s="3">
        <v>8.4600000000000009</v>
      </c>
      <c r="E89" s="3">
        <v>9.1020000000000003</v>
      </c>
      <c r="F89" s="3">
        <v>9.5210000000000008</v>
      </c>
      <c r="G89" s="3">
        <v>9.7769999999999992</v>
      </c>
      <c r="H89" s="3">
        <v>9.9220000000000006</v>
      </c>
      <c r="I89" s="3">
        <v>10.058</v>
      </c>
      <c r="J89" s="3">
        <v>10.204000000000001</v>
      </c>
      <c r="K89" s="3">
        <v>10.349</v>
      </c>
      <c r="L89" s="3">
        <v>10.48</v>
      </c>
      <c r="M89" s="3">
        <v>10.57</v>
      </c>
      <c r="N89" s="3">
        <v>10.57</v>
      </c>
      <c r="O89" s="3">
        <v>10.57</v>
      </c>
      <c r="P89" s="3">
        <v>10.57</v>
      </c>
      <c r="Q89" s="3">
        <v>10.57</v>
      </c>
    </row>
    <row r="90" spans="1:17" ht="18.75" customHeight="1" x14ac:dyDescent="0.25">
      <c r="A90" s="2">
        <v>41090</v>
      </c>
      <c r="B90" s="3">
        <v>8.5</v>
      </c>
      <c r="C90" s="3">
        <v>7.57</v>
      </c>
      <c r="D90" s="3">
        <v>8.18</v>
      </c>
      <c r="E90" s="3">
        <v>8.77</v>
      </c>
      <c r="F90" s="3">
        <v>9.18</v>
      </c>
      <c r="G90" s="3">
        <v>9.4510000000000005</v>
      </c>
      <c r="H90" s="3">
        <v>9.657</v>
      </c>
      <c r="I90" s="3">
        <v>9.8130000000000006</v>
      </c>
      <c r="J90" s="3">
        <v>9.9649999999999999</v>
      </c>
      <c r="K90" s="3">
        <v>10.087</v>
      </c>
      <c r="L90" s="3">
        <v>10.192</v>
      </c>
      <c r="M90" s="3">
        <v>10.23</v>
      </c>
      <c r="N90" s="3">
        <v>10.23</v>
      </c>
      <c r="O90" s="3">
        <v>10.23</v>
      </c>
      <c r="P90" s="3">
        <v>10.23</v>
      </c>
      <c r="Q90" s="3">
        <v>10.23</v>
      </c>
    </row>
    <row r="91" spans="1:17" ht="18.75" customHeight="1" x14ac:dyDescent="0.25">
      <c r="A91" s="2">
        <v>41121</v>
      </c>
      <c r="B91" s="3">
        <v>8</v>
      </c>
      <c r="C91" s="3">
        <v>7.4640000000000004</v>
      </c>
      <c r="D91" s="3">
        <v>8.1980000000000004</v>
      </c>
      <c r="E91" s="3">
        <v>8.6180000000000003</v>
      </c>
      <c r="F91" s="3">
        <v>8.93</v>
      </c>
      <c r="G91" s="3">
        <v>9.1430000000000007</v>
      </c>
      <c r="H91" s="3">
        <v>9.2769999999999992</v>
      </c>
      <c r="I91" s="3">
        <v>9.4130000000000003</v>
      </c>
      <c r="J91" s="3">
        <v>9.5380000000000003</v>
      </c>
      <c r="K91" s="3">
        <v>9.6460000000000008</v>
      </c>
      <c r="L91" s="3">
        <v>9.7289999999999992</v>
      </c>
      <c r="M91" s="3">
        <v>9.76</v>
      </c>
      <c r="N91" s="3">
        <v>9.76</v>
      </c>
      <c r="O91" s="3">
        <v>9.76</v>
      </c>
      <c r="P91" s="3">
        <v>9.76</v>
      </c>
      <c r="Q91" s="3">
        <v>9.76</v>
      </c>
    </row>
    <row r="92" spans="1:17" ht="18.75" customHeight="1" x14ac:dyDescent="0.25">
      <c r="A92" s="2">
        <v>41152</v>
      </c>
      <c r="B92" s="3">
        <v>7.5</v>
      </c>
      <c r="C92" s="3">
        <v>7.5049999999999999</v>
      </c>
      <c r="D92" s="3">
        <v>8.2729999999999997</v>
      </c>
      <c r="E92" s="3">
        <v>8.6579999999999995</v>
      </c>
      <c r="F92" s="3">
        <v>8.9250000000000007</v>
      </c>
      <c r="G92" s="3">
        <v>9.1080000000000005</v>
      </c>
      <c r="H92" s="3">
        <v>9.2780000000000005</v>
      </c>
      <c r="I92" s="3">
        <v>9.4109999999999996</v>
      </c>
      <c r="J92" s="3">
        <v>9.6129999999999995</v>
      </c>
      <c r="K92" s="3">
        <v>9.6609999999999996</v>
      </c>
      <c r="L92" s="3">
        <v>9.7260000000000009</v>
      </c>
      <c r="M92" s="3">
        <v>9.74</v>
      </c>
      <c r="N92" s="3">
        <v>9.74</v>
      </c>
      <c r="O92" s="3">
        <v>9.74</v>
      </c>
      <c r="P92" s="3">
        <v>9.74</v>
      </c>
      <c r="Q92" s="3">
        <v>9.74</v>
      </c>
    </row>
    <row r="93" spans="1:17" ht="18.75" customHeight="1" x14ac:dyDescent="0.25">
      <c r="A93" s="2">
        <v>41182</v>
      </c>
      <c r="B93" s="3">
        <v>7.5</v>
      </c>
      <c r="C93" s="3">
        <v>7.49</v>
      </c>
      <c r="D93" s="3">
        <v>8.1999999999999993</v>
      </c>
      <c r="E93" s="3">
        <v>8.65</v>
      </c>
      <c r="F93" s="3">
        <v>9</v>
      </c>
      <c r="G93" s="3">
        <v>9.2200000000000006</v>
      </c>
      <c r="H93" s="3">
        <v>9.3829999999999991</v>
      </c>
      <c r="I93" s="3">
        <v>9.5280000000000005</v>
      </c>
      <c r="J93" s="3">
        <v>9.6839999999999993</v>
      </c>
      <c r="K93" s="3">
        <v>9.7789999999999999</v>
      </c>
      <c r="L93" s="3">
        <v>9.8390000000000004</v>
      </c>
      <c r="M93" s="3">
        <v>9.85</v>
      </c>
      <c r="N93" s="3">
        <v>9.85</v>
      </c>
      <c r="O93" s="3">
        <v>9.85</v>
      </c>
      <c r="P93" s="3">
        <v>9.85</v>
      </c>
      <c r="Q93" s="3">
        <v>9.85</v>
      </c>
    </row>
    <row r="94" spans="1:17" ht="18.75" customHeight="1" x14ac:dyDescent="0.25">
      <c r="A94" s="2">
        <v>41213</v>
      </c>
      <c r="B94" s="3">
        <v>7.25</v>
      </c>
      <c r="C94" s="3">
        <v>7.25</v>
      </c>
      <c r="D94" s="3">
        <v>7.7279999999999998</v>
      </c>
      <c r="E94" s="3">
        <v>8.1270000000000007</v>
      </c>
      <c r="F94" s="3">
        <v>8.4559999999999995</v>
      </c>
      <c r="G94" s="3">
        <v>8.6359999999999992</v>
      </c>
      <c r="H94" s="3">
        <v>8.7680000000000007</v>
      </c>
      <c r="I94" s="3">
        <v>8.92</v>
      </c>
      <c r="J94" s="3">
        <v>9.109</v>
      </c>
      <c r="K94" s="3">
        <v>9.18</v>
      </c>
      <c r="L94" s="3">
        <v>9.2479999999999993</v>
      </c>
      <c r="M94" s="3">
        <v>9.26</v>
      </c>
      <c r="N94" s="3">
        <v>9.26</v>
      </c>
      <c r="O94" s="3">
        <v>9.26</v>
      </c>
      <c r="P94" s="3">
        <v>9.26</v>
      </c>
      <c r="Q94" s="3">
        <v>9.26</v>
      </c>
    </row>
    <row r="95" spans="1:17" ht="18.75" customHeight="1" x14ac:dyDescent="0.25">
      <c r="A95" s="2">
        <v>41243</v>
      </c>
      <c r="B95" s="3">
        <v>7.25</v>
      </c>
      <c r="C95" s="3">
        <v>7.1779999999999999</v>
      </c>
      <c r="D95" s="3">
        <v>7.7469999999999999</v>
      </c>
      <c r="E95" s="3">
        <v>8.3049999999999997</v>
      </c>
      <c r="F95" s="3">
        <v>8.6750000000000007</v>
      </c>
      <c r="G95" s="3">
        <v>8.8960000000000008</v>
      </c>
      <c r="H95" s="3">
        <v>9.0640000000000001</v>
      </c>
      <c r="I95" s="3">
        <v>9.1910000000000007</v>
      </c>
      <c r="J95" s="3">
        <v>9.3640000000000008</v>
      </c>
      <c r="K95" s="3">
        <v>9.4689999999999994</v>
      </c>
      <c r="L95" s="3">
        <v>9.5630000000000006</v>
      </c>
      <c r="M95" s="3">
        <v>9.58</v>
      </c>
      <c r="N95" s="3">
        <v>9.58</v>
      </c>
      <c r="O95" s="3">
        <v>9.58</v>
      </c>
      <c r="P95" s="3">
        <v>9.58</v>
      </c>
      <c r="Q95" s="3">
        <v>9.58</v>
      </c>
    </row>
    <row r="96" spans="1:17" ht="18.75" customHeight="1" x14ac:dyDescent="0.25">
      <c r="A96" s="2">
        <v>41274</v>
      </c>
      <c r="B96" s="3">
        <v>7.25</v>
      </c>
      <c r="C96" s="3">
        <v>7.1379999999999999</v>
      </c>
      <c r="D96" s="3">
        <v>7.6890000000000001</v>
      </c>
      <c r="E96" s="3">
        <v>8.1690000000000005</v>
      </c>
      <c r="F96" s="3">
        <v>8.4369999999999994</v>
      </c>
      <c r="G96" s="3">
        <v>8.64</v>
      </c>
      <c r="H96" s="3">
        <v>8.7899999999999991</v>
      </c>
      <c r="I96" s="3">
        <v>9</v>
      </c>
      <c r="J96" s="3">
        <v>9.16</v>
      </c>
      <c r="K96" s="3">
        <v>9.2200000000000006</v>
      </c>
      <c r="L96" s="3">
        <v>9.33</v>
      </c>
      <c r="M96" s="3">
        <v>9.33</v>
      </c>
      <c r="N96" s="3">
        <v>9.33</v>
      </c>
      <c r="O96" s="3">
        <v>9.33</v>
      </c>
      <c r="P96" s="3">
        <v>9.33</v>
      </c>
      <c r="Q96" s="3">
        <v>9.33</v>
      </c>
    </row>
    <row r="97" spans="1:17" ht="18.75" customHeight="1" x14ac:dyDescent="0.25">
      <c r="A97" s="2">
        <v>41305</v>
      </c>
      <c r="B97" s="3">
        <v>7.25</v>
      </c>
      <c r="C97" s="3">
        <v>7.2629999999999999</v>
      </c>
      <c r="D97" s="3">
        <v>7.9850000000000003</v>
      </c>
      <c r="E97" s="3">
        <v>8.5259999999999998</v>
      </c>
      <c r="F97" s="3">
        <v>8.8580000000000005</v>
      </c>
      <c r="G97" s="3">
        <v>9.0619999999999994</v>
      </c>
      <c r="H97" s="3">
        <v>9.2479999999999993</v>
      </c>
      <c r="I97" s="3">
        <v>9.4369999999999994</v>
      </c>
      <c r="J97" s="3">
        <v>9.5850000000000009</v>
      </c>
      <c r="K97" s="3">
        <v>9.7029999999999994</v>
      </c>
      <c r="L97" s="3">
        <v>9.76</v>
      </c>
      <c r="M97" s="3">
        <v>9.76</v>
      </c>
      <c r="N97" s="3">
        <v>9.76</v>
      </c>
      <c r="O97" s="3">
        <v>9.76</v>
      </c>
      <c r="P97" s="3">
        <v>9.76</v>
      </c>
      <c r="Q97" s="3">
        <v>9.76</v>
      </c>
    </row>
    <row r="98" spans="1:17" ht="18.75" customHeight="1" x14ac:dyDescent="0.25">
      <c r="A98" s="2">
        <v>41333</v>
      </c>
      <c r="B98" s="3">
        <v>7.25</v>
      </c>
      <c r="C98" s="3">
        <v>7.7629999999999999</v>
      </c>
      <c r="D98" s="3">
        <v>8.43</v>
      </c>
      <c r="E98" s="3">
        <v>8.8979999999999997</v>
      </c>
      <c r="F98" s="3">
        <v>9.1370000000000005</v>
      </c>
      <c r="G98" s="3">
        <v>9.2720000000000002</v>
      </c>
      <c r="H98" s="3">
        <v>9.3889999999999993</v>
      </c>
      <c r="I98" s="3">
        <v>9.4969999999999999</v>
      </c>
      <c r="J98" s="3">
        <v>9.6349999999999998</v>
      </c>
      <c r="K98" s="3">
        <v>9.7330000000000005</v>
      </c>
      <c r="L98" s="3">
        <v>9.7899999999999991</v>
      </c>
      <c r="M98" s="3">
        <v>9.7899999999999991</v>
      </c>
      <c r="N98" s="3">
        <v>9.7899999999999991</v>
      </c>
      <c r="O98" s="3">
        <v>9.7899999999999991</v>
      </c>
      <c r="P98" s="3">
        <v>9.7899999999999991</v>
      </c>
      <c r="Q98" s="3">
        <v>9.7899999999999991</v>
      </c>
    </row>
    <row r="99" spans="1:17" ht="18.75" customHeight="1" x14ac:dyDescent="0.25">
      <c r="A99" s="2">
        <v>41364</v>
      </c>
      <c r="B99" s="3">
        <v>7.25</v>
      </c>
      <c r="C99" s="3">
        <v>7.9180000000000001</v>
      </c>
      <c r="D99" s="3">
        <v>8.6180000000000003</v>
      </c>
      <c r="E99" s="3">
        <v>9.1029999999999998</v>
      </c>
      <c r="F99" s="3">
        <v>9.43</v>
      </c>
      <c r="G99" s="3">
        <v>9.6389999999999993</v>
      </c>
      <c r="H99" s="3">
        <v>9.7729999999999997</v>
      </c>
      <c r="I99" s="3">
        <v>9.8960000000000008</v>
      </c>
      <c r="J99" s="3">
        <v>10.019</v>
      </c>
      <c r="K99" s="3">
        <v>10.116</v>
      </c>
      <c r="L99" s="3">
        <v>10.16</v>
      </c>
      <c r="M99" s="3">
        <v>10.16</v>
      </c>
      <c r="N99" s="3">
        <v>10.16</v>
      </c>
      <c r="O99" s="3">
        <v>10.16</v>
      </c>
      <c r="P99" s="3">
        <v>10.16</v>
      </c>
      <c r="Q99" s="3">
        <v>10.16</v>
      </c>
    </row>
    <row r="100" spans="1:17" ht="18.75" customHeight="1" x14ac:dyDescent="0.25">
      <c r="A100" s="2">
        <v>41394</v>
      </c>
      <c r="B100" s="3">
        <v>7.5</v>
      </c>
      <c r="C100" s="3">
        <v>8.0150000000000006</v>
      </c>
      <c r="D100" s="3">
        <v>8.3840000000000003</v>
      </c>
      <c r="E100" s="3">
        <v>8.6780000000000008</v>
      </c>
      <c r="F100" s="3">
        <v>8.8689999999999998</v>
      </c>
      <c r="G100" s="3">
        <v>9.0280000000000005</v>
      </c>
      <c r="H100" s="3">
        <v>9.2070000000000007</v>
      </c>
      <c r="I100" s="3">
        <v>9.35</v>
      </c>
      <c r="J100" s="3">
        <v>9.5129999999999999</v>
      </c>
      <c r="K100" s="3">
        <v>9.6240000000000006</v>
      </c>
      <c r="L100" s="3">
        <v>9.6999999999999993</v>
      </c>
      <c r="M100" s="3">
        <v>9.6999999999999993</v>
      </c>
      <c r="N100" s="3">
        <v>9.6999999999999993</v>
      </c>
      <c r="O100" s="3">
        <v>9.6999999999999993</v>
      </c>
      <c r="P100" s="3">
        <v>9.6999999999999993</v>
      </c>
      <c r="Q100" s="3">
        <v>9.6999999999999993</v>
      </c>
    </row>
    <row r="101" spans="1:17" ht="18.75" customHeight="1" x14ac:dyDescent="0.25">
      <c r="A101" s="2">
        <v>41425</v>
      </c>
      <c r="B101" s="3">
        <v>8</v>
      </c>
      <c r="C101" s="3">
        <v>8.6649999999999991</v>
      </c>
      <c r="D101" s="3">
        <v>9.1300000000000008</v>
      </c>
      <c r="E101" s="3">
        <v>9.5250000000000004</v>
      </c>
      <c r="F101" s="3">
        <v>9.8170000000000002</v>
      </c>
      <c r="G101" s="3">
        <v>9.9960000000000004</v>
      </c>
      <c r="H101" s="3">
        <v>10.096</v>
      </c>
      <c r="I101" s="3">
        <v>10.3</v>
      </c>
      <c r="J101" s="3">
        <v>10.428000000000001</v>
      </c>
      <c r="K101" s="3">
        <v>10.523999999999999</v>
      </c>
      <c r="L101" s="3">
        <v>10.6</v>
      </c>
      <c r="M101" s="3">
        <v>10.6</v>
      </c>
      <c r="N101" s="3">
        <v>10.6</v>
      </c>
      <c r="O101" s="3">
        <v>10.6</v>
      </c>
      <c r="P101" s="3">
        <v>10.6</v>
      </c>
      <c r="Q101" s="3">
        <v>10.6</v>
      </c>
    </row>
    <row r="102" spans="1:17" ht="18.75" customHeight="1" x14ac:dyDescent="0.25">
      <c r="A102" s="2">
        <v>41455</v>
      </c>
      <c r="B102" s="3">
        <v>8</v>
      </c>
      <c r="C102" s="3">
        <v>9.407</v>
      </c>
      <c r="D102" s="3">
        <v>10.238</v>
      </c>
      <c r="E102" s="3">
        <v>10.818</v>
      </c>
      <c r="F102" s="3">
        <v>11.079000000000001</v>
      </c>
      <c r="G102" s="3">
        <v>11.23</v>
      </c>
      <c r="H102" s="3">
        <v>11.228</v>
      </c>
      <c r="I102" s="3">
        <v>11.272</v>
      </c>
      <c r="J102" s="3">
        <v>11.316000000000001</v>
      </c>
      <c r="K102" s="3">
        <v>11.361000000000001</v>
      </c>
      <c r="L102" s="3">
        <v>11.38</v>
      </c>
      <c r="M102" s="3">
        <v>11.38</v>
      </c>
      <c r="N102" s="3">
        <v>11.38</v>
      </c>
      <c r="O102" s="3">
        <v>11.38</v>
      </c>
      <c r="P102" s="3">
        <v>11.38</v>
      </c>
      <c r="Q102" s="3">
        <v>11.38</v>
      </c>
    </row>
    <row r="103" spans="1:17" ht="18.75" customHeight="1" x14ac:dyDescent="0.25">
      <c r="A103" s="2">
        <v>41486</v>
      </c>
      <c r="B103" s="3">
        <v>8.5</v>
      </c>
      <c r="C103" s="3">
        <v>9.2880000000000003</v>
      </c>
      <c r="D103" s="3">
        <v>10.045</v>
      </c>
      <c r="E103" s="3">
        <v>10.63</v>
      </c>
      <c r="F103" s="3">
        <v>10.847</v>
      </c>
      <c r="G103" s="3">
        <v>10.989000000000001</v>
      </c>
      <c r="H103" s="3">
        <v>11.042</v>
      </c>
      <c r="I103" s="3">
        <v>11.09</v>
      </c>
      <c r="J103" s="3">
        <v>11.131</v>
      </c>
      <c r="K103" s="3">
        <v>11.173</v>
      </c>
      <c r="L103" s="3">
        <v>11.2</v>
      </c>
      <c r="M103" s="3">
        <v>11.2</v>
      </c>
      <c r="N103" s="3">
        <v>11.2</v>
      </c>
      <c r="O103" s="3">
        <v>11.2</v>
      </c>
      <c r="P103" s="3">
        <v>11.2</v>
      </c>
      <c r="Q103" s="3">
        <v>11.2</v>
      </c>
    </row>
    <row r="104" spans="1:17" ht="18.75" customHeight="1" x14ac:dyDescent="0.25">
      <c r="A104" s="2">
        <v>41517</v>
      </c>
      <c r="B104" s="3">
        <v>9</v>
      </c>
      <c r="C104" s="3">
        <v>10.211</v>
      </c>
      <c r="D104" s="3">
        <v>11.161</v>
      </c>
      <c r="E104" s="3">
        <v>11.734999999999999</v>
      </c>
      <c r="F104" s="3">
        <v>11.911</v>
      </c>
      <c r="G104" s="3">
        <v>12.06</v>
      </c>
      <c r="H104" s="3">
        <v>12.06</v>
      </c>
      <c r="I104" s="3">
        <v>12.138999999999999</v>
      </c>
      <c r="J104" s="3">
        <v>12.183</v>
      </c>
      <c r="K104" s="3">
        <v>12.254</v>
      </c>
      <c r="L104" s="3">
        <v>12.29</v>
      </c>
      <c r="M104" s="3">
        <v>12.29</v>
      </c>
      <c r="N104" s="3">
        <v>12.29</v>
      </c>
      <c r="O104" s="3">
        <v>12.29</v>
      </c>
      <c r="P104" s="3">
        <v>12.29</v>
      </c>
      <c r="Q104" s="3">
        <v>12.29</v>
      </c>
    </row>
    <row r="105" spans="1:17" ht="18.75" customHeight="1" x14ac:dyDescent="0.25">
      <c r="A105" s="2">
        <v>41547</v>
      </c>
      <c r="B105" s="3">
        <v>9</v>
      </c>
      <c r="C105" s="3">
        <v>10.07</v>
      </c>
      <c r="D105" s="3">
        <v>10.907</v>
      </c>
      <c r="E105" s="3">
        <v>11.382999999999999</v>
      </c>
      <c r="F105" s="3">
        <v>11.54</v>
      </c>
      <c r="G105" s="3">
        <v>11.74</v>
      </c>
      <c r="H105" s="3">
        <v>11.749000000000001</v>
      </c>
      <c r="I105" s="3">
        <v>11.814</v>
      </c>
      <c r="J105" s="3">
        <v>11.845000000000001</v>
      </c>
      <c r="K105" s="3">
        <v>11.912000000000001</v>
      </c>
      <c r="L105" s="3">
        <v>11.93</v>
      </c>
      <c r="M105" s="3">
        <v>11.93</v>
      </c>
      <c r="N105" s="3">
        <v>11.93</v>
      </c>
      <c r="O105" s="3">
        <v>11.93</v>
      </c>
      <c r="P105" s="3">
        <v>11.93</v>
      </c>
      <c r="Q105" s="3">
        <v>11.93</v>
      </c>
    </row>
    <row r="106" spans="1:17" ht="18.75" customHeight="1" x14ac:dyDescent="0.25">
      <c r="A106" s="2">
        <v>41578</v>
      </c>
      <c r="B106" s="3">
        <v>9.5</v>
      </c>
      <c r="C106" s="3">
        <v>10.503</v>
      </c>
      <c r="D106" s="3">
        <v>11.144</v>
      </c>
      <c r="E106" s="3">
        <v>11.428000000000001</v>
      </c>
      <c r="F106" s="3">
        <v>11.611000000000001</v>
      </c>
      <c r="G106" s="3">
        <v>11.77</v>
      </c>
      <c r="H106" s="3">
        <v>11.819000000000001</v>
      </c>
      <c r="I106" s="3">
        <v>11.837999999999999</v>
      </c>
      <c r="J106" s="3">
        <v>11.881</v>
      </c>
      <c r="K106" s="3">
        <v>11.938000000000001</v>
      </c>
      <c r="L106" s="3">
        <v>11.95</v>
      </c>
      <c r="M106" s="3">
        <v>11.95</v>
      </c>
      <c r="N106" s="3">
        <v>11.95</v>
      </c>
      <c r="O106" s="3">
        <v>11.95</v>
      </c>
      <c r="P106" s="3">
        <v>11.95</v>
      </c>
      <c r="Q106" s="3">
        <v>11.95</v>
      </c>
    </row>
    <row r="107" spans="1:17" ht="18.75" customHeight="1" x14ac:dyDescent="0.25">
      <c r="A107" s="2">
        <v>41608</v>
      </c>
      <c r="B107" s="3">
        <v>10</v>
      </c>
      <c r="C107" s="3">
        <v>10.603</v>
      </c>
      <c r="D107" s="3">
        <v>11.696999999999999</v>
      </c>
      <c r="E107" s="3">
        <v>12.167999999999999</v>
      </c>
      <c r="F107" s="3">
        <v>12.427</v>
      </c>
      <c r="G107" s="3">
        <v>12.641999999999999</v>
      </c>
      <c r="H107" s="3">
        <v>12.709</v>
      </c>
      <c r="I107" s="3">
        <v>12.815</v>
      </c>
      <c r="J107" s="3">
        <v>12.903</v>
      </c>
      <c r="K107" s="3">
        <v>12.96</v>
      </c>
      <c r="L107" s="3">
        <v>13.025</v>
      </c>
      <c r="M107" s="3">
        <v>13.03</v>
      </c>
      <c r="N107" s="3">
        <v>13.03</v>
      </c>
      <c r="O107" s="3">
        <v>13.03</v>
      </c>
      <c r="P107" s="3">
        <v>13.03</v>
      </c>
      <c r="Q107" s="3">
        <v>13.03</v>
      </c>
    </row>
    <row r="108" spans="1:17" ht="18.75" customHeight="1" x14ac:dyDescent="0.25">
      <c r="A108" s="2">
        <v>41639</v>
      </c>
      <c r="B108" s="3">
        <v>10</v>
      </c>
      <c r="C108" s="3">
        <v>10.574</v>
      </c>
      <c r="D108" s="3">
        <v>11.6</v>
      </c>
      <c r="E108" s="3">
        <v>12.28</v>
      </c>
      <c r="F108" s="3">
        <v>12.63</v>
      </c>
      <c r="G108" s="3">
        <v>12.83</v>
      </c>
      <c r="H108" s="3">
        <v>12.91</v>
      </c>
      <c r="I108" s="3">
        <v>13.07</v>
      </c>
      <c r="J108" s="3">
        <v>13.11</v>
      </c>
      <c r="K108" s="3">
        <v>13.2</v>
      </c>
      <c r="L108" s="3">
        <v>13.22</v>
      </c>
      <c r="M108" s="3">
        <v>13.22</v>
      </c>
      <c r="N108" s="3">
        <v>13.22</v>
      </c>
      <c r="O108" s="3">
        <v>13.22</v>
      </c>
      <c r="P108" s="3">
        <v>13.22</v>
      </c>
      <c r="Q108" s="3">
        <v>13.22</v>
      </c>
    </row>
    <row r="109" spans="1:17" ht="18.75" customHeight="1" x14ac:dyDescent="0.25">
      <c r="A109" s="2">
        <v>41670</v>
      </c>
      <c r="B109" s="3">
        <v>10.5</v>
      </c>
      <c r="C109" s="3">
        <v>11.771000000000001</v>
      </c>
      <c r="D109" s="3">
        <v>12.624000000000001</v>
      </c>
      <c r="E109" s="3">
        <v>13.012</v>
      </c>
      <c r="F109" s="3">
        <v>13.186</v>
      </c>
      <c r="G109" s="3">
        <v>13.273</v>
      </c>
      <c r="H109" s="3">
        <v>13.327999999999999</v>
      </c>
      <c r="I109" s="3">
        <v>13.423</v>
      </c>
      <c r="J109" s="3">
        <v>13.502000000000001</v>
      </c>
      <c r="K109" s="3">
        <v>13.564</v>
      </c>
      <c r="L109" s="3">
        <v>13.64</v>
      </c>
      <c r="M109" s="3">
        <v>13.67</v>
      </c>
      <c r="N109" s="3">
        <v>13.67</v>
      </c>
      <c r="O109" s="3">
        <v>13.67</v>
      </c>
      <c r="P109" s="3">
        <v>13.67</v>
      </c>
      <c r="Q109" s="3">
        <v>13.67</v>
      </c>
    </row>
    <row r="110" spans="1:17" ht="18.75" customHeight="1" x14ac:dyDescent="0.25">
      <c r="A110" s="2">
        <v>41698</v>
      </c>
      <c r="B110" s="3">
        <v>10.75</v>
      </c>
      <c r="C110" s="3">
        <v>11.237</v>
      </c>
      <c r="D110" s="3">
        <v>11.997</v>
      </c>
      <c r="E110" s="3">
        <v>12.282</v>
      </c>
      <c r="F110" s="3">
        <v>12.46</v>
      </c>
      <c r="G110" s="3">
        <v>12.555</v>
      </c>
      <c r="H110" s="3">
        <v>12.621</v>
      </c>
      <c r="I110" s="3">
        <v>12.705</v>
      </c>
      <c r="J110" s="3">
        <v>12.788</v>
      </c>
      <c r="K110" s="3">
        <v>12.861000000000001</v>
      </c>
      <c r="L110" s="3">
        <v>12.901999999999999</v>
      </c>
      <c r="M110" s="3">
        <v>13</v>
      </c>
      <c r="N110" s="3">
        <v>13</v>
      </c>
      <c r="O110" s="3">
        <v>13</v>
      </c>
      <c r="P110" s="3">
        <v>13</v>
      </c>
      <c r="Q110" s="3">
        <v>13</v>
      </c>
    </row>
    <row r="111" spans="1:17" ht="18.75" customHeight="1" x14ac:dyDescent="0.25">
      <c r="A111" s="2">
        <v>41729</v>
      </c>
      <c r="B111" s="3">
        <v>10.75</v>
      </c>
      <c r="C111" s="3">
        <v>11.375999999999999</v>
      </c>
      <c r="D111" s="3">
        <v>12.23</v>
      </c>
      <c r="E111" s="3">
        <v>12.494</v>
      </c>
      <c r="F111" s="3">
        <v>12.69</v>
      </c>
      <c r="G111" s="3">
        <v>12.755000000000001</v>
      </c>
      <c r="H111" s="3">
        <v>12.811999999999999</v>
      </c>
      <c r="I111" s="3">
        <v>12.851000000000001</v>
      </c>
      <c r="J111" s="3">
        <v>12.925000000000001</v>
      </c>
      <c r="K111" s="3">
        <v>12.986000000000001</v>
      </c>
      <c r="L111" s="3">
        <v>13.04</v>
      </c>
      <c r="M111" s="3">
        <v>13.12</v>
      </c>
      <c r="N111" s="3">
        <v>13.12</v>
      </c>
      <c r="O111" s="3">
        <v>13.12</v>
      </c>
      <c r="P111" s="3">
        <v>13.12</v>
      </c>
      <c r="Q111" s="3">
        <v>13.12</v>
      </c>
    </row>
    <row r="112" spans="1:17" ht="18.75" customHeight="1" x14ac:dyDescent="0.25">
      <c r="A112" s="2">
        <v>41759</v>
      </c>
      <c r="B112" s="3">
        <v>11</v>
      </c>
      <c r="C112" s="3">
        <v>11.333</v>
      </c>
      <c r="D112" s="3">
        <v>12.111000000000001</v>
      </c>
      <c r="E112" s="3">
        <v>12.329000000000001</v>
      </c>
      <c r="F112" s="3">
        <v>12.474</v>
      </c>
      <c r="G112" s="3">
        <v>12.523999999999999</v>
      </c>
      <c r="H112" s="3">
        <v>12.544</v>
      </c>
      <c r="I112" s="3">
        <v>12.597</v>
      </c>
      <c r="J112" s="3">
        <v>12.682</v>
      </c>
      <c r="K112" s="3">
        <v>12.756</v>
      </c>
      <c r="L112" s="3">
        <v>12.837999999999999</v>
      </c>
      <c r="M112" s="3">
        <v>12.88</v>
      </c>
      <c r="N112" s="3">
        <v>12.88</v>
      </c>
      <c r="O112" s="3">
        <v>12.88</v>
      </c>
      <c r="P112" s="3">
        <v>12.88</v>
      </c>
      <c r="Q112" s="3">
        <v>12.88</v>
      </c>
    </row>
    <row r="113" spans="1:17" ht="18.75" customHeight="1" x14ac:dyDescent="0.25">
      <c r="A113" s="2">
        <v>41790</v>
      </c>
      <c r="B113" s="3">
        <v>11</v>
      </c>
      <c r="C113" s="3">
        <v>11.103999999999999</v>
      </c>
      <c r="D113" s="3">
        <v>11.554</v>
      </c>
      <c r="E113" s="3">
        <v>11.704000000000001</v>
      </c>
      <c r="F113" s="3">
        <v>11.837999999999999</v>
      </c>
      <c r="G113" s="3">
        <v>11.901999999999999</v>
      </c>
      <c r="H113" s="3">
        <v>11.959</v>
      </c>
      <c r="I113" s="3">
        <v>12.01</v>
      </c>
      <c r="J113" s="3">
        <v>12.081</v>
      </c>
      <c r="K113" s="3">
        <v>12.169</v>
      </c>
      <c r="L113" s="3">
        <v>12.215</v>
      </c>
      <c r="M113" s="3">
        <v>12.24</v>
      </c>
      <c r="N113" s="3">
        <v>12.24</v>
      </c>
      <c r="O113" s="3">
        <v>12.24</v>
      </c>
      <c r="P113" s="3">
        <v>12.24</v>
      </c>
      <c r="Q113" s="3">
        <v>12.24</v>
      </c>
    </row>
    <row r="114" spans="1:17" ht="18.75" customHeight="1" x14ac:dyDescent="0.25">
      <c r="A114" s="2">
        <v>41820</v>
      </c>
      <c r="B114" s="3">
        <v>11</v>
      </c>
      <c r="C114" s="3">
        <v>10.904999999999999</v>
      </c>
      <c r="D114" s="3">
        <v>11.397</v>
      </c>
      <c r="E114" s="3">
        <v>11.669</v>
      </c>
      <c r="F114" s="3">
        <v>11.88</v>
      </c>
      <c r="G114" s="3">
        <v>11.957000000000001</v>
      </c>
      <c r="H114" s="3">
        <v>12.06</v>
      </c>
      <c r="I114" s="3">
        <v>12.092000000000001</v>
      </c>
      <c r="J114" s="3">
        <v>12.151999999999999</v>
      </c>
      <c r="K114" s="3">
        <v>12.212</v>
      </c>
      <c r="L114" s="3">
        <v>12.260999999999999</v>
      </c>
      <c r="M114" s="3">
        <v>12.28</v>
      </c>
      <c r="N114" s="3">
        <v>12.28</v>
      </c>
      <c r="O114" s="3">
        <v>12.28</v>
      </c>
      <c r="P114" s="3">
        <v>12.28</v>
      </c>
      <c r="Q114" s="3">
        <v>12.28</v>
      </c>
    </row>
    <row r="115" spans="1:17" ht="18.75" customHeight="1" x14ac:dyDescent="0.25">
      <c r="A115" s="2">
        <v>41851</v>
      </c>
      <c r="B115" s="3">
        <v>11</v>
      </c>
      <c r="C115" s="3">
        <v>10.973000000000001</v>
      </c>
      <c r="D115" s="3">
        <v>11.38</v>
      </c>
      <c r="E115" s="3">
        <v>11.599</v>
      </c>
      <c r="F115" s="3">
        <v>11.78</v>
      </c>
      <c r="G115" s="3">
        <v>11.795</v>
      </c>
      <c r="H115" s="3">
        <v>11.82</v>
      </c>
      <c r="I115" s="3">
        <v>11.853999999999999</v>
      </c>
      <c r="J115" s="3">
        <v>11.930999999999999</v>
      </c>
      <c r="K115" s="3">
        <v>12.004</v>
      </c>
      <c r="L115" s="3">
        <v>12.055999999999999</v>
      </c>
      <c r="M115" s="3">
        <v>12.08</v>
      </c>
      <c r="N115" s="3">
        <v>12.08</v>
      </c>
      <c r="O115" s="3">
        <v>12.08</v>
      </c>
      <c r="P115" s="3">
        <v>12.08</v>
      </c>
      <c r="Q115" s="3">
        <v>12.08</v>
      </c>
    </row>
    <row r="116" spans="1:17" ht="18.75" customHeight="1" x14ac:dyDescent="0.25">
      <c r="A116" s="2">
        <v>41882</v>
      </c>
      <c r="B116" s="3">
        <v>11</v>
      </c>
      <c r="C116" s="3">
        <v>11.098000000000001</v>
      </c>
      <c r="D116" s="3">
        <v>11.25</v>
      </c>
      <c r="E116" s="3">
        <v>11.26</v>
      </c>
      <c r="F116" s="3">
        <v>11.243</v>
      </c>
      <c r="G116" s="3">
        <v>11.189</v>
      </c>
      <c r="H116" s="3">
        <v>11.180999999999999</v>
      </c>
      <c r="I116" s="3">
        <v>11.146000000000001</v>
      </c>
      <c r="J116" s="3">
        <v>11.138999999999999</v>
      </c>
      <c r="K116" s="3">
        <v>11.134</v>
      </c>
      <c r="L116" s="3">
        <v>11.138999999999999</v>
      </c>
      <c r="M116" s="3">
        <v>11.14</v>
      </c>
      <c r="N116" s="3">
        <v>11.14</v>
      </c>
      <c r="O116" s="3">
        <v>11.14</v>
      </c>
      <c r="P116" s="3">
        <v>11.14</v>
      </c>
      <c r="Q116" s="3">
        <v>11.14</v>
      </c>
    </row>
    <row r="117" spans="1:17" ht="18.75" customHeight="1" x14ac:dyDescent="0.25">
      <c r="A117" s="2">
        <v>41912</v>
      </c>
      <c r="B117" s="3">
        <v>11</v>
      </c>
      <c r="C117" s="3">
        <v>11.776999999999999</v>
      </c>
      <c r="D117" s="3">
        <v>12.226000000000001</v>
      </c>
      <c r="E117" s="3">
        <v>12.3</v>
      </c>
      <c r="F117" s="3">
        <v>12.31</v>
      </c>
      <c r="G117" s="3">
        <v>12.3</v>
      </c>
      <c r="H117" s="3">
        <v>12.27</v>
      </c>
      <c r="I117" s="3">
        <v>12.236000000000001</v>
      </c>
      <c r="J117" s="3">
        <v>12.224</v>
      </c>
      <c r="K117" s="3">
        <v>12.233000000000001</v>
      </c>
      <c r="L117" s="3">
        <v>12.244999999999999</v>
      </c>
      <c r="M117" s="3">
        <v>12.25</v>
      </c>
      <c r="N117" s="3">
        <v>12.25</v>
      </c>
      <c r="O117" s="3">
        <v>12.25</v>
      </c>
      <c r="P117" s="3">
        <v>12.25</v>
      </c>
      <c r="Q117" s="3">
        <v>12.25</v>
      </c>
    </row>
    <row r="118" spans="1:17" ht="18.75" customHeight="1" x14ac:dyDescent="0.25">
      <c r="A118" s="2">
        <v>41943</v>
      </c>
      <c r="B118" s="3">
        <v>11.25</v>
      </c>
      <c r="C118" s="3">
        <v>12.177</v>
      </c>
      <c r="D118" s="3">
        <v>12.332000000000001</v>
      </c>
      <c r="E118" s="3">
        <v>12.317</v>
      </c>
      <c r="F118" s="3">
        <v>12.199</v>
      </c>
      <c r="G118" s="3">
        <v>12.103999999999999</v>
      </c>
      <c r="H118" s="3">
        <v>12.013999999999999</v>
      </c>
      <c r="I118" s="3">
        <v>11.954000000000001</v>
      </c>
      <c r="J118" s="3">
        <v>11.977</v>
      </c>
      <c r="K118" s="3">
        <v>11.96</v>
      </c>
      <c r="L118" s="3">
        <v>11.945</v>
      </c>
      <c r="M118" s="3">
        <v>11.94</v>
      </c>
      <c r="N118" s="3">
        <v>11.94</v>
      </c>
      <c r="O118" s="3">
        <v>11.94</v>
      </c>
      <c r="P118" s="3">
        <v>11.94</v>
      </c>
      <c r="Q118" s="3">
        <v>11.94</v>
      </c>
    </row>
    <row r="119" spans="1:17" ht="18.75" customHeight="1" x14ac:dyDescent="0.25">
      <c r="A119" s="2">
        <v>41973</v>
      </c>
      <c r="B119" s="3">
        <v>11.25</v>
      </c>
      <c r="C119" s="3">
        <v>12.445</v>
      </c>
      <c r="D119" s="3">
        <v>12.247999999999999</v>
      </c>
      <c r="E119" s="3">
        <v>11.978</v>
      </c>
      <c r="F119" s="3">
        <v>11.909000000000001</v>
      </c>
      <c r="G119" s="3">
        <v>11.752000000000001</v>
      </c>
      <c r="H119" s="3">
        <v>11.680999999999999</v>
      </c>
      <c r="I119" s="3">
        <v>11.612</v>
      </c>
      <c r="J119" s="3">
        <v>11.539</v>
      </c>
      <c r="K119" s="3">
        <v>11.53</v>
      </c>
      <c r="L119" s="3">
        <v>11.53</v>
      </c>
      <c r="M119" s="3">
        <v>11.53</v>
      </c>
      <c r="N119" s="3">
        <v>11.53</v>
      </c>
      <c r="O119" s="3">
        <v>11.53</v>
      </c>
      <c r="P119" s="3">
        <v>11.53</v>
      </c>
      <c r="Q119" s="3">
        <v>11.53</v>
      </c>
    </row>
    <row r="120" spans="1:17" ht="18.75" customHeight="1" x14ac:dyDescent="0.25">
      <c r="A120" s="2">
        <v>42004</v>
      </c>
      <c r="B120" s="3">
        <v>11.75</v>
      </c>
      <c r="C120" s="3">
        <v>12.96</v>
      </c>
      <c r="D120" s="3">
        <v>12.9</v>
      </c>
      <c r="E120" s="3">
        <v>12.75</v>
      </c>
      <c r="F120" s="3">
        <v>12.6</v>
      </c>
      <c r="G120" s="3">
        <v>12.44</v>
      </c>
      <c r="H120" s="3">
        <v>12.3</v>
      </c>
      <c r="I120" s="3">
        <v>12.23</v>
      </c>
      <c r="J120" s="3">
        <v>12.23</v>
      </c>
      <c r="K120" s="3">
        <v>12.19</v>
      </c>
      <c r="L120" s="3">
        <v>12.11</v>
      </c>
      <c r="M120" s="3">
        <v>12.11</v>
      </c>
      <c r="N120" s="3">
        <v>12.11</v>
      </c>
      <c r="O120" s="3">
        <v>12.11</v>
      </c>
      <c r="P120" s="3">
        <v>12.11</v>
      </c>
      <c r="Q120" s="3">
        <v>12.11</v>
      </c>
    </row>
    <row r="121" spans="1:17" ht="18.75" customHeight="1" x14ac:dyDescent="0.25">
      <c r="A121" s="2">
        <v>42035</v>
      </c>
      <c r="B121" s="3">
        <v>12.25</v>
      </c>
      <c r="C121" s="3">
        <v>12.746</v>
      </c>
      <c r="D121" s="3">
        <v>12.452</v>
      </c>
      <c r="E121" s="3">
        <v>12.225</v>
      </c>
      <c r="F121" s="3">
        <v>12.146000000000001</v>
      </c>
      <c r="G121" s="3">
        <v>12.018000000000001</v>
      </c>
      <c r="H121" s="3">
        <v>11.888999999999999</v>
      </c>
      <c r="I121" s="3">
        <v>11.86</v>
      </c>
      <c r="J121" s="3">
        <v>11.839</v>
      </c>
      <c r="K121" s="3">
        <v>11.803000000000001</v>
      </c>
      <c r="L121" s="3">
        <v>11.78</v>
      </c>
      <c r="M121" s="3">
        <v>11.78</v>
      </c>
      <c r="N121" s="3">
        <v>11.78</v>
      </c>
      <c r="O121" s="3">
        <v>11.78</v>
      </c>
      <c r="P121" s="3">
        <v>11.78</v>
      </c>
      <c r="Q121" s="3">
        <v>11.78</v>
      </c>
    </row>
    <row r="122" spans="1:17" ht="18.75" customHeight="1" x14ac:dyDescent="0.25">
      <c r="A122" s="2">
        <v>42063</v>
      </c>
      <c r="B122" s="3">
        <v>12.25</v>
      </c>
      <c r="C122" s="3">
        <v>13.05</v>
      </c>
      <c r="D122" s="3">
        <v>12.741</v>
      </c>
      <c r="E122" s="3">
        <v>12.51</v>
      </c>
      <c r="F122" s="3">
        <v>12.442</v>
      </c>
      <c r="G122" s="3">
        <v>12.323</v>
      </c>
      <c r="H122" s="3">
        <v>12.222</v>
      </c>
      <c r="I122" s="3">
        <v>12.17</v>
      </c>
      <c r="J122" s="3">
        <v>12.169</v>
      </c>
      <c r="K122" s="3">
        <v>12.161</v>
      </c>
      <c r="L122" s="3">
        <v>12.17</v>
      </c>
      <c r="M122" s="3">
        <v>12.17</v>
      </c>
      <c r="N122" s="3">
        <v>12.17</v>
      </c>
      <c r="O122" s="3">
        <v>12.17</v>
      </c>
      <c r="P122" s="3">
        <v>12.17</v>
      </c>
      <c r="Q122" s="3">
        <v>12.17</v>
      </c>
    </row>
    <row r="123" spans="1:17" ht="18.75" customHeight="1" x14ac:dyDescent="0.25">
      <c r="A123" s="2">
        <v>42094</v>
      </c>
      <c r="B123" s="3">
        <v>12.75</v>
      </c>
      <c r="C123" s="3">
        <v>13.52</v>
      </c>
      <c r="D123" s="3">
        <v>13.33</v>
      </c>
      <c r="E123" s="3">
        <v>13.16</v>
      </c>
      <c r="F123" s="3">
        <v>13.093999999999999</v>
      </c>
      <c r="G123" s="3">
        <v>13.004</v>
      </c>
      <c r="H123" s="3">
        <v>12.936999999999999</v>
      </c>
      <c r="I123" s="3">
        <v>12.926</v>
      </c>
      <c r="J123" s="3">
        <v>12.922000000000001</v>
      </c>
      <c r="K123" s="3">
        <v>12.927</v>
      </c>
      <c r="L123" s="3">
        <v>12.93</v>
      </c>
      <c r="M123" s="3">
        <v>12.93</v>
      </c>
      <c r="N123" s="3">
        <v>12.93</v>
      </c>
      <c r="O123" s="3">
        <v>12.93</v>
      </c>
      <c r="P123" s="3">
        <v>12.93</v>
      </c>
      <c r="Q123" s="3">
        <v>12.93</v>
      </c>
    </row>
    <row r="124" spans="1:17" ht="18.75" customHeight="1" x14ac:dyDescent="0.25">
      <c r="A124" s="2">
        <v>42124</v>
      </c>
      <c r="B124" s="3">
        <v>13.25</v>
      </c>
      <c r="C124" s="3">
        <v>13.666</v>
      </c>
      <c r="D124" s="3">
        <v>13.353999999999999</v>
      </c>
      <c r="E124" s="3">
        <v>13.086</v>
      </c>
      <c r="F124" s="3">
        <v>12.923</v>
      </c>
      <c r="G124" s="3">
        <v>12.8</v>
      </c>
      <c r="H124" s="3">
        <v>12.737</v>
      </c>
      <c r="I124" s="3">
        <v>12.726000000000001</v>
      </c>
      <c r="J124" s="3">
        <v>12.712999999999999</v>
      </c>
      <c r="K124" s="3">
        <v>12.698</v>
      </c>
      <c r="L124" s="3">
        <v>12.69</v>
      </c>
      <c r="M124" s="3">
        <v>12.69</v>
      </c>
      <c r="N124" s="3">
        <v>12.69</v>
      </c>
      <c r="O124" s="3">
        <v>12.69</v>
      </c>
      <c r="P124" s="3">
        <v>12.69</v>
      </c>
      <c r="Q124" s="3">
        <v>12.69</v>
      </c>
    </row>
    <row r="125" spans="1:17" ht="18.75" customHeight="1" x14ac:dyDescent="0.25">
      <c r="A125" s="2">
        <v>42155</v>
      </c>
      <c r="B125" s="3">
        <v>13.25</v>
      </c>
      <c r="C125" s="3">
        <v>13.744999999999999</v>
      </c>
      <c r="D125" s="3">
        <v>13.081</v>
      </c>
      <c r="E125" s="3">
        <v>12.725</v>
      </c>
      <c r="F125" s="3">
        <v>12.526</v>
      </c>
      <c r="G125" s="3">
        <v>12.409000000000001</v>
      </c>
      <c r="H125" s="3">
        <v>12.336</v>
      </c>
      <c r="I125" s="3">
        <v>12.305</v>
      </c>
      <c r="J125" s="3">
        <v>12.273999999999999</v>
      </c>
      <c r="K125" s="3">
        <v>12.239000000000001</v>
      </c>
      <c r="L125" s="3">
        <v>12.22</v>
      </c>
      <c r="M125" s="3">
        <v>12.22</v>
      </c>
      <c r="N125" s="3">
        <v>12.22</v>
      </c>
      <c r="O125" s="3">
        <v>12.22</v>
      </c>
      <c r="P125" s="3">
        <v>12.22</v>
      </c>
      <c r="Q125" s="3">
        <v>12.22</v>
      </c>
    </row>
    <row r="126" spans="1:17" ht="18.75" customHeight="1" x14ac:dyDescent="0.25">
      <c r="A126" s="2">
        <v>42185</v>
      </c>
      <c r="B126" s="3">
        <v>13.75</v>
      </c>
      <c r="C126" s="3">
        <v>14.271000000000001</v>
      </c>
      <c r="D126" s="3">
        <v>13.6</v>
      </c>
      <c r="E126" s="3">
        <v>13.07</v>
      </c>
      <c r="F126" s="3">
        <v>12.85</v>
      </c>
      <c r="G126" s="3">
        <v>12.721</v>
      </c>
      <c r="H126" s="3">
        <v>12.654999999999999</v>
      </c>
      <c r="I126" s="3">
        <v>12.616</v>
      </c>
      <c r="J126" s="3">
        <v>12.593999999999999</v>
      </c>
      <c r="K126" s="3">
        <v>12.584</v>
      </c>
      <c r="L126" s="3">
        <v>12.58</v>
      </c>
      <c r="M126" s="3">
        <v>12.58</v>
      </c>
      <c r="N126" s="3">
        <v>12.58</v>
      </c>
      <c r="O126" s="3">
        <v>12.58</v>
      </c>
      <c r="P126" s="3">
        <v>12.58</v>
      </c>
      <c r="Q126" s="3">
        <v>12.58</v>
      </c>
    </row>
    <row r="127" spans="1:17" ht="18.75" customHeight="1" x14ac:dyDescent="0.25">
      <c r="A127" s="2">
        <v>42216</v>
      </c>
      <c r="B127" s="3">
        <v>14.25</v>
      </c>
      <c r="C127" s="3">
        <v>13.888999999999999</v>
      </c>
      <c r="D127" s="3">
        <v>13.093999999999999</v>
      </c>
      <c r="E127" s="3">
        <v>12.846</v>
      </c>
      <c r="F127" s="3">
        <v>12.827999999999999</v>
      </c>
      <c r="G127" s="3">
        <v>12.798</v>
      </c>
      <c r="H127" s="3">
        <v>12.814</v>
      </c>
      <c r="I127" s="3">
        <v>12.847</v>
      </c>
      <c r="J127" s="3">
        <v>12.888</v>
      </c>
      <c r="K127" s="3">
        <v>12.936</v>
      </c>
      <c r="L127" s="3">
        <v>12.95</v>
      </c>
      <c r="M127" s="3">
        <v>12.95</v>
      </c>
      <c r="N127" s="3">
        <v>12.95</v>
      </c>
      <c r="O127" s="3">
        <v>12.95</v>
      </c>
      <c r="P127" s="3">
        <v>12.95</v>
      </c>
      <c r="Q127" s="3">
        <v>12.95</v>
      </c>
    </row>
    <row r="128" spans="1:17" ht="18.75" customHeight="1" x14ac:dyDescent="0.25">
      <c r="A128" s="2">
        <v>42247</v>
      </c>
      <c r="B128" s="3">
        <v>14.25</v>
      </c>
      <c r="C128" s="3">
        <v>14.382</v>
      </c>
      <c r="D128" s="3">
        <v>14.146000000000001</v>
      </c>
      <c r="E128" s="3">
        <v>14.153</v>
      </c>
      <c r="F128" s="3">
        <v>14.179</v>
      </c>
      <c r="G128" s="3">
        <v>14.12</v>
      </c>
      <c r="H128" s="3">
        <v>14.147</v>
      </c>
      <c r="I128" s="3">
        <v>14.18</v>
      </c>
      <c r="J128" s="3">
        <v>14.201000000000001</v>
      </c>
      <c r="K128" s="3">
        <v>14.215999999999999</v>
      </c>
      <c r="L128" s="3">
        <v>14.23</v>
      </c>
      <c r="M128" s="3">
        <v>14.244999999999999</v>
      </c>
      <c r="N128" s="3">
        <v>14.256</v>
      </c>
      <c r="O128" s="3">
        <v>14.266999999999999</v>
      </c>
      <c r="P128" s="3">
        <v>14.27</v>
      </c>
      <c r="Q128" s="3">
        <v>14.27</v>
      </c>
    </row>
    <row r="129" spans="1:17" ht="18.75" customHeight="1" x14ac:dyDescent="0.25">
      <c r="A129" s="2">
        <v>42277</v>
      </c>
      <c r="B129" s="3">
        <v>14.25</v>
      </c>
      <c r="C129" s="3">
        <v>15.561</v>
      </c>
      <c r="D129" s="3">
        <v>15.82</v>
      </c>
      <c r="E129" s="3">
        <v>15.86</v>
      </c>
      <c r="F129" s="3">
        <v>15.76</v>
      </c>
      <c r="G129" s="3">
        <v>15.619</v>
      </c>
      <c r="H129" s="3">
        <v>15.592000000000001</v>
      </c>
      <c r="I129" s="3">
        <v>15.574</v>
      </c>
      <c r="J129" s="3">
        <v>15.57</v>
      </c>
      <c r="K129" s="3">
        <v>15.57</v>
      </c>
      <c r="L129" s="3">
        <v>15.583</v>
      </c>
      <c r="M129" s="3">
        <v>15.598000000000001</v>
      </c>
      <c r="N129" s="3">
        <v>15.608000000000001</v>
      </c>
      <c r="O129" s="3">
        <v>15.617000000000001</v>
      </c>
      <c r="P129" s="3">
        <v>15.62</v>
      </c>
      <c r="Q129" s="3">
        <v>15.62</v>
      </c>
    </row>
    <row r="130" spans="1:17" ht="18.75" customHeight="1" x14ac:dyDescent="0.25">
      <c r="A130" s="2">
        <v>42308</v>
      </c>
      <c r="B130" s="3">
        <v>14.25</v>
      </c>
      <c r="C130" s="3">
        <v>15.401</v>
      </c>
      <c r="D130" s="3">
        <v>15.853999999999999</v>
      </c>
      <c r="E130" s="3">
        <v>15.983000000000001</v>
      </c>
      <c r="F130" s="3">
        <v>16.012</v>
      </c>
      <c r="G130" s="3">
        <v>15.958</v>
      </c>
      <c r="H130" s="3">
        <v>15.936</v>
      </c>
      <c r="I130" s="3">
        <v>15.922000000000001</v>
      </c>
      <c r="J130" s="3">
        <v>15.936</v>
      </c>
      <c r="K130" s="3">
        <v>15.976000000000001</v>
      </c>
      <c r="L130" s="3">
        <v>16.004000000000001</v>
      </c>
      <c r="M130" s="3">
        <v>16.02</v>
      </c>
      <c r="N130" s="3">
        <v>16.03</v>
      </c>
      <c r="O130" s="3">
        <v>16.039000000000001</v>
      </c>
      <c r="P130" s="3">
        <v>16.04</v>
      </c>
      <c r="Q130" s="3">
        <v>16.04</v>
      </c>
    </row>
    <row r="131" spans="1:17" ht="18.75" customHeight="1" x14ac:dyDescent="0.25">
      <c r="A131" s="2">
        <v>42338</v>
      </c>
      <c r="B131" s="3">
        <v>14.25</v>
      </c>
      <c r="C131" s="3">
        <v>15.728</v>
      </c>
      <c r="D131" s="3">
        <v>16.167999999999999</v>
      </c>
      <c r="E131" s="3">
        <v>16.236000000000001</v>
      </c>
      <c r="F131" s="3">
        <v>16.137</v>
      </c>
      <c r="G131" s="3">
        <v>15.968</v>
      </c>
      <c r="H131" s="3">
        <v>15.919</v>
      </c>
      <c r="I131" s="3">
        <v>15.893000000000001</v>
      </c>
      <c r="J131" s="3">
        <v>15.895</v>
      </c>
      <c r="K131" s="3">
        <v>15.9</v>
      </c>
      <c r="L131" s="3">
        <v>15.917999999999999</v>
      </c>
      <c r="M131" s="3">
        <v>15.93</v>
      </c>
      <c r="N131" s="3">
        <v>15.94</v>
      </c>
      <c r="O131" s="3">
        <v>15.949</v>
      </c>
      <c r="P131" s="3">
        <v>15.95</v>
      </c>
      <c r="Q131" s="3">
        <v>15.95</v>
      </c>
    </row>
    <row r="132" spans="1:17" ht="18.75" customHeight="1" x14ac:dyDescent="0.25">
      <c r="A132" s="2">
        <v>42369</v>
      </c>
      <c r="B132" s="3">
        <v>14.25</v>
      </c>
      <c r="C132" s="3">
        <v>15.867000000000001</v>
      </c>
      <c r="D132" s="3">
        <v>16.53</v>
      </c>
      <c r="E132" s="3">
        <v>16.71</v>
      </c>
      <c r="F132" s="3">
        <v>16.68</v>
      </c>
      <c r="G132" s="3">
        <v>16.62</v>
      </c>
      <c r="H132" s="3">
        <v>16.53</v>
      </c>
      <c r="I132" s="3">
        <v>16.55</v>
      </c>
      <c r="J132" s="3">
        <v>16.48</v>
      </c>
      <c r="K132" s="3">
        <v>16.57</v>
      </c>
      <c r="L132" s="3">
        <v>16.52</v>
      </c>
      <c r="M132" s="3">
        <v>16.55</v>
      </c>
      <c r="N132" s="3">
        <v>16.55</v>
      </c>
      <c r="O132" s="3">
        <v>16.55</v>
      </c>
      <c r="P132" s="3">
        <v>16.55</v>
      </c>
      <c r="Q132" s="3">
        <v>16.55</v>
      </c>
    </row>
    <row r="133" spans="1:17" ht="18.75" customHeight="1" x14ac:dyDescent="0.25">
      <c r="A133" s="2">
        <v>42400</v>
      </c>
      <c r="B133" s="3">
        <v>14.25</v>
      </c>
      <c r="C133" s="3">
        <v>14.574</v>
      </c>
      <c r="D133" s="3">
        <v>15.211</v>
      </c>
      <c r="E133" s="3">
        <v>15.718999999999999</v>
      </c>
      <c r="F133" s="3">
        <v>15.923</v>
      </c>
      <c r="G133" s="3">
        <v>15.942</v>
      </c>
      <c r="H133" s="3">
        <v>15.984</v>
      </c>
      <c r="I133" s="3">
        <v>16.059999999999999</v>
      </c>
      <c r="J133" s="3">
        <v>16.177</v>
      </c>
      <c r="K133" s="3">
        <v>16.25</v>
      </c>
      <c r="L133" s="3">
        <v>16.309999999999999</v>
      </c>
      <c r="M133" s="3">
        <v>16.45</v>
      </c>
      <c r="N133" s="3">
        <v>16.45</v>
      </c>
      <c r="O133" s="3">
        <v>16.45</v>
      </c>
      <c r="P133" s="3">
        <v>16.45</v>
      </c>
      <c r="Q133" s="3">
        <v>16.45</v>
      </c>
    </row>
    <row r="134" spans="1:17" ht="18.75" customHeight="1" x14ac:dyDescent="0.25">
      <c r="A134" s="2">
        <v>42429</v>
      </c>
      <c r="B134" s="3">
        <v>14.25</v>
      </c>
      <c r="C134" s="3">
        <v>14.214</v>
      </c>
      <c r="D134" s="3">
        <v>14.683</v>
      </c>
      <c r="E134" s="3">
        <v>15.247</v>
      </c>
      <c r="F134" s="3">
        <v>15.523</v>
      </c>
      <c r="G134" s="3">
        <v>15.605</v>
      </c>
      <c r="H134" s="3">
        <v>15.743</v>
      </c>
      <c r="I134" s="3">
        <v>15.872999999999999</v>
      </c>
      <c r="J134" s="3">
        <v>16.021999999999998</v>
      </c>
      <c r="K134" s="3">
        <v>16.148</v>
      </c>
      <c r="L134" s="3">
        <v>16.273</v>
      </c>
      <c r="M134" s="3">
        <v>16.36</v>
      </c>
      <c r="N134" s="3">
        <v>16.36</v>
      </c>
      <c r="O134" s="3">
        <v>16.36</v>
      </c>
      <c r="P134" s="3">
        <v>16.36</v>
      </c>
      <c r="Q134" s="3">
        <v>16.36</v>
      </c>
    </row>
    <row r="135" spans="1:17" ht="18.75" customHeight="1" x14ac:dyDescent="0.25">
      <c r="A135" s="2">
        <v>42460</v>
      </c>
      <c r="B135" s="3">
        <v>14.25</v>
      </c>
      <c r="C135" s="3">
        <v>13.805</v>
      </c>
      <c r="D135" s="3">
        <v>13.78</v>
      </c>
      <c r="E135" s="3">
        <v>13.891999999999999</v>
      </c>
      <c r="F135" s="3">
        <v>13.919</v>
      </c>
      <c r="G135" s="3">
        <v>13.917999999999999</v>
      </c>
      <c r="H135" s="3">
        <v>13.971</v>
      </c>
      <c r="I135" s="3">
        <v>14.071999999999999</v>
      </c>
      <c r="J135" s="3">
        <v>14.147</v>
      </c>
      <c r="K135" s="3">
        <v>14.195</v>
      </c>
      <c r="L135" s="3">
        <v>14.227</v>
      </c>
      <c r="M135" s="3">
        <v>14.25</v>
      </c>
      <c r="N135" s="3">
        <v>14.25</v>
      </c>
      <c r="O135" s="3">
        <v>14.25</v>
      </c>
      <c r="P135" s="3">
        <v>14.25</v>
      </c>
      <c r="Q135" s="3">
        <v>14.25</v>
      </c>
    </row>
    <row r="136" spans="1:17" ht="18.75" customHeight="1" x14ac:dyDescent="0.25">
      <c r="A136" s="2">
        <v>42490</v>
      </c>
      <c r="B136" s="3">
        <v>14.25</v>
      </c>
      <c r="C136" s="3">
        <v>13.2</v>
      </c>
      <c r="D136" s="3">
        <v>12.635</v>
      </c>
      <c r="E136" s="3">
        <v>12.503</v>
      </c>
      <c r="F136" s="3">
        <v>12.464</v>
      </c>
      <c r="G136" s="3">
        <v>12.428000000000001</v>
      </c>
      <c r="H136" s="3">
        <v>12.481999999999999</v>
      </c>
      <c r="I136" s="3">
        <v>12.545999999999999</v>
      </c>
      <c r="J136" s="3">
        <v>12.592000000000001</v>
      </c>
      <c r="K136" s="3">
        <v>12.625</v>
      </c>
      <c r="L136" s="3">
        <v>12.645</v>
      </c>
      <c r="M136" s="3">
        <v>12.66</v>
      </c>
      <c r="N136" s="3">
        <v>12.66</v>
      </c>
      <c r="O136" s="3">
        <v>12.66</v>
      </c>
      <c r="P136" s="3">
        <v>12.66</v>
      </c>
      <c r="Q136" s="3">
        <v>12.66</v>
      </c>
    </row>
    <row r="137" spans="1:17" ht="18.75" customHeight="1" x14ac:dyDescent="0.25">
      <c r="A137" s="2">
        <v>42521</v>
      </c>
      <c r="B137" s="3">
        <v>14.25</v>
      </c>
      <c r="C137" s="3">
        <v>13.164</v>
      </c>
      <c r="D137" s="3">
        <v>12.779</v>
      </c>
      <c r="E137" s="3">
        <v>12.788</v>
      </c>
      <c r="F137" s="3">
        <v>12.855</v>
      </c>
      <c r="G137" s="3">
        <v>12.87</v>
      </c>
      <c r="H137" s="3">
        <v>12.936</v>
      </c>
      <c r="I137" s="3">
        <v>13.010999999999999</v>
      </c>
      <c r="J137" s="3">
        <v>13.074</v>
      </c>
      <c r="K137" s="3">
        <v>13.13</v>
      </c>
      <c r="L137" s="3">
        <v>13.154999999999999</v>
      </c>
      <c r="M137" s="3">
        <v>13.17</v>
      </c>
      <c r="N137" s="3">
        <v>13.17</v>
      </c>
      <c r="O137" s="3">
        <v>13.17</v>
      </c>
      <c r="P137" s="3">
        <v>13.17</v>
      </c>
      <c r="Q137" s="3">
        <v>13.17</v>
      </c>
    </row>
    <row r="138" spans="1:17" ht="18.75" customHeight="1" x14ac:dyDescent="0.25">
      <c r="A138" s="2">
        <v>42551</v>
      </c>
      <c r="B138" s="3">
        <v>14.25</v>
      </c>
      <c r="C138" s="3">
        <v>13.34</v>
      </c>
      <c r="D138" s="3">
        <v>12.61</v>
      </c>
      <c r="E138" s="3">
        <v>12.33</v>
      </c>
      <c r="F138" s="3">
        <v>12.21</v>
      </c>
      <c r="G138" s="3">
        <v>12.161</v>
      </c>
      <c r="H138" s="3">
        <v>12.207000000000001</v>
      </c>
      <c r="I138" s="3">
        <v>12.275</v>
      </c>
      <c r="J138" s="3">
        <v>12.308</v>
      </c>
      <c r="K138" s="3">
        <v>12.32</v>
      </c>
      <c r="L138" s="3">
        <v>12.361000000000001</v>
      </c>
      <c r="M138" s="3">
        <v>12.39</v>
      </c>
      <c r="N138" s="3">
        <v>12.39</v>
      </c>
      <c r="O138" s="3">
        <v>12.39</v>
      </c>
      <c r="P138" s="3">
        <v>12.39</v>
      </c>
      <c r="Q138" s="3">
        <v>12.39</v>
      </c>
    </row>
    <row r="139" spans="1:17" ht="18.75" customHeight="1" x14ac:dyDescent="0.25">
      <c r="A139" s="2">
        <v>42582</v>
      </c>
      <c r="B139" s="3">
        <v>14.25</v>
      </c>
      <c r="C139" s="3">
        <v>13.257</v>
      </c>
      <c r="D139" s="3">
        <v>12.484999999999999</v>
      </c>
      <c r="E139" s="3">
        <v>12.157</v>
      </c>
      <c r="F139" s="3">
        <v>12.068</v>
      </c>
      <c r="G139" s="3">
        <v>11.996</v>
      </c>
      <c r="H139" s="3">
        <v>11.987</v>
      </c>
      <c r="I139" s="3">
        <v>12.012</v>
      </c>
      <c r="J139" s="3">
        <v>12.03</v>
      </c>
      <c r="K139" s="3">
        <v>12.045</v>
      </c>
      <c r="L139" s="3">
        <v>12.071</v>
      </c>
      <c r="M139" s="3">
        <v>12.093999999999999</v>
      </c>
      <c r="N139" s="3">
        <v>12.102</v>
      </c>
      <c r="O139" s="3">
        <v>12.105</v>
      </c>
      <c r="P139" s="3">
        <v>12.105</v>
      </c>
      <c r="Q139" s="3">
        <v>12.105</v>
      </c>
    </row>
    <row r="140" spans="1:17" ht="18.75" customHeight="1" x14ac:dyDescent="0.25">
      <c r="A140" s="2">
        <v>42613</v>
      </c>
      <c r="B140" s="3">
        <v>14.25</v>
      </c>
      <c r="C140" s="3">
        <v>13.102</v>
      </c>
      <c r="D140" s="3">
        <v>12.372</v>
      </c>
      <c r="E140" s="3">
        <v>12.125</v>
      </c>
      <c r="F140" s="3">
        <v>12.079000000000001</v>
      </c>
      <c r="G140" s="3">
        <v>12.07</v>
      </c>
      <c r="H140" s="3">
        <v>12.105</v>
      </c>
      <c r="I140" s="3">
        <v>12.156000000000001</v>
      </c>
      <c r="J140" s="3">
        <v>12.157</v>
      </c>
      <c r="K140" s="3">
        <v>12.215999999999999</v>
      </c>
      <c r="L140" s="3">
        <v>12.262</v>
      </c>
      <c r="M140" s="3">
        <v>12.298999999999999</v>
      </c>
      <c r="N140" s="3">
        <v>12.314</v>
      </c>
      <c r="O140" s="3">
        <v>12.317</v>
      </c>
      <c r="P140" s="3">
        <v>12.317</v>
      </c>
      <c r="Q140" s="3">
        <v>12.317</v>
      </c>
    </row>
    <row r="141" spans="1:17" ht="18.75" customHeight="1" x14ac:dyDescent="0.25">
      <c r="A141" s="2">
        <v>42643</v>
      </c>
      <c r="B141" s="3">
        <v>14.25</v>
      </c>
      <c r="C141" s="3">
        <v>12.48</v>
      </c>
      <c r="D141" s="3">
        <v>11.73</v>
      </c>
      <c r="E141" s="3">
        <v>11.58</v>
      </c>
      <c r="F141" s="3">
        <v>11.593999999999999</v>
      </c>
      <c r="G141" s="3">
        <v>11.596</v>
      </c>
      <c r="H141" s="3">
        <v>11.663</v>
      </c>
      <c r="I141" s="3">
        <v>11.698</v>
      </c>
      <c r="J141" s="3">
        <v>11.714</v>
      </c>
      <c r="K141" s="3">
        <v>11.733000000000001</v>
      </c>
      <c r="L141" s="3">
        <v>11.772</v>
      </c>
      <c r="M141" s="3">
        <v>11.79</v>
      </c>
      <c r="N141" s="3">
        <v>11.794</v>
      </c>
      <c r="O141" s="3">
        <v>11.797000000000001</v>
      </c>
      <c r="P141" s="3">
        <v>11.797000000000001</v>
      </c>
      <c r="Q141" s="3">
        <v>11.797000000000001</v>
      </c>
    </row>
    <row r="142" spans="1:17" ht="18.75" customHeight="1" x14ac:dyDescent="0.25">
      <c r="A142" s="2">
        <v>42674</v>
      </c>
      <c r="B142" s="3">
        <v>14</v>
      </c>
      <c r="C142" s="3">
        <v>12.401999999999999</v>
      </c>
      <c r="D142" s="3">
        <v>11.622999999999999</v>
      </c>
      <c r="E142" s="3">
        <v>11.375999999999999</v>
      </c>
      <c r="F142" s="3">
        <v>11.337999999999999</v>
      </c>
      <c r="G142" s="3">
        <v>11.324999999999999</v>
      </c>
      <c r="H142" s="3">
        <v>11.379</v>
      </c>
      <c r="I142" s="3">
        <v>11.417999999999999</v>
      </c>
      <c r="J142" s="3">
        <v>11.443</v>
      </c>
      <c r="K142" s="3">
        <v>11.468</v>
      </c>
      <c r="L142" s="3">
        <v>11.528</v>
      </c>
      <c r="M142" s="3">
        <v>11.567</v>
      </c>
      <c r="N142" s="3">
        <v>11.583</v>
      </c>
      <c r="O142" s="3">
        <v>11.598000000000001</v>
      </c>
      <c r="P142" s="3">
        <v>11.612</v>
      </c>
      <c r="Q142" s="3">
        <v>11.622999999999999</v>
      </c>
    </row>
    <row r="143" spans="1:17" ht="18.75" customHeight="1" x14ac:dyDescent="0.25">
      <c r="A143" s="2">
        <v>42704</v>
      </c>
      <c r="B143" s="3">
        <v>14</v>
      </c>
      <c r="C143" s="3">
        <v>12.148999999999999</v>
      </c>
      <c r="D143" s="3">
        <v>11.601000000000001</v>
      </c>
      <c r="E143" s="3">
        <v>11.631</v>
      </c>
      <c r="F143" s="3">
        <v>11.757</v>
      </c>
      <c r="G143" s="3">
        <v>11.853999999999999</v>
      </c>
      <c r="H143" s="3">
        <v>11.941000000000001</v>
      </c>
      <c r="I143" s="3">
        <v>11.986000000000001</v>
      </c>
      <c r="J143" s="3">
        <v>12.007999999999999</v>
      </c>
      <c r="K143" s="3">
        <v>12.019</v>
      </c>
      <c r="L143" s="3">
        <v>12.064</v>
      </c>
      <c r="M143" s="3">
        <v>12.087</v>
      </c>
      <c r="N143" s="3">
        <v>12.103</v>
      </c>
      <c r="O143" s="3">
        <v>12.118</v>
      </c>
      <c r="P143" s="3">
        <v>12.132</v>
      </c>
      <c r="Q143" s="3">
        <v>12.143000000000001</v>
      </c>
    </row>
    <row r="144" spans="1:17" ht="18.75" customHeight="1" x14ac:dyDescent="0.25">
      <c r="A144" s="2">
        <v>42735</v>
      </c>
      <c r="B144" s="3">
        <v>13.75</v>
      </c>
      <c r="C144" s="3">
        <v>11.54</v>
      </c>
      <c r="D144" s="3">
        <v>11.05</v>
      </c>
      <c r="E144" s="3">
        <v>11.2</v>
      </c>
      <c r="F144" s="3">
        <v>11.34</v>
      </c>
      <c r="G144" s="3">
        <v>11.49</v>
      </c>
      <c r="H144" s="3">
        <v>11.61</v>
      </c>
      <c r="I144" s="3">
        <v>11.585000000000001</v>
      </c>
      <c r="J144" s="3">
        <v>11.67</v>
      </c>
      <c r="K144" s="3">
        <v>11.66</v>
      </c>
      <c r="L144" s="3">
        <v>11.66</v>
      </c>
      <c r="M144" s="3">
        <v>11.66</v>
      </c>
      <c r="N144" s="3">
        <v>11.66</v>
      </c>
      <c r="O144" s="3">
        <v>11.675000000000001</v>
      </c>
      <c r="P144" s="3">
        <v>11.688000000000001</v>
      </c>
      <c r="Q144" s="3">
        <v>11.698</v>
      </c>
    </row>
    <row r="145" spans="1:17" ht="18.75" customHeight="1" x14ac:dyDescent="0.25">
      <c r="A145" s="2">
        <v>42766</v>
      </c>
      <c r="B145" s="3">
        <v>13</v>
      </c>
      <c r="C145" s="3">
        <v>10.772423</v>
      </c>
      <c r="D145" s="3">
        <v>10.400199000000001</v>
      </c>
      <c r="E145" s="3">
        <v>10.529287</v>
      </c>
      <c r="F145" s="3">
        <v>10.680197</v>
      </c>
      <c r="G145" s="3">
        <v>10.790645</v>
      </c>
      <c r="H145" s="3">
        <v>10.867603000000001</v>
      </c>
      <c r="I145" s="3">
        <v>10.926577999999999</v>
      </c>
      <c r="J145" s="3">
        <v>10.963628</v>
      </c>
      <c r="K145" s="3">
        <v>10.996589999999999</v>
      </c>
      <c r="L145" s="3">
        <v>11.025176999999999</v>
      </c>
      <c r="M145" s="3">
        <v>11.046284</v>
      </c>
      <c r="N145" s="3">
        <v>11.063466999999999</v>
      </c>
      <c r="O145" s="3">
        <v>11.078258999999999</v>
      </c>
      <c r="P145" s="3">
        <v>11.090982</v>
      </c>
      <c r="Q145" s="3">
        <v>11.10188</v>
      </c>
    </row>
    <row r="146" spans="1:17" ht="18.75" customHeight="1" x14ac:dyDescent="0.25">
      <c r="A146" s="2">
        <v>42794</v>
      </c>
      <c r="B146" s="3">
        <v>12.25</v>
      </c>
      <c r="C146" s="3">
        <v>10.12513</v>
      </c>
      <c r="D146" s="3">
        <v>9.8819769999999991</v>
      </c>
      <c r="E146" s="3">
        <v>10.009815</v>
      </c>
      <c r="F146" s="3">
        <v>10.117504</v>
      </c>
      <c r="G146" s="3">
        <v>10.190215999999999</v>
      </c>
      <c r="H146" s="3">
        <v>10.239227</v>
      </c>
      <c r="I146" s="3">
        <v>10.272924</v>
      </c>
      <c r="J146" s="3">
        <v>10.300108</v>
      </c>
      <c r="K146" s="3">
        <v>10.320838</v>
      </c>
      <c r="L146" s="3">
        <v>10.3371</v>
      </c>
      <c r="M146" s="3">
        <v>10.350782000000001</v>
      </c>
      <c r="N146" s="3">
        <v>10.361905999999999</v>
      </c>
      <c r="O146" s="3">
        <v>10.371473</v>
      </c>
      <c r="P146" s="3">
        <v>10.379695</v>
      </c>
      <c r="Q146" s="3">
        <v>10.386730999999999</v>
      </c>
    </row>
    <row r="147" spans="1:17" ht="18.75" customHeight="1" x14ac:dyDescent="0.25">
      <c r="A147" s="2">
        <v>42825</v>
      </c>
      <c r="B147" s="3">
        <v>12.25</v>
      </c>
      <c r="C147" s="3">
        <v>9.6311389999999992</v>
      </c>
      <c r="D147" s="3">
        <v>9.5554159999999992</v>
      </c>
      <c r="E147" s="3">
        <v>9.7484459999999995</v>
      </c>
      <c r="F147" s="3">
        <v>9.889011</v>
      </c>
      <c r="G147" s="3">
        <v>9.9739500000000003</v>
      </c>
      <c r="H147" s="3">
        <v>10.024196999999999</v>
      </c>
      <c r="I147" s="3">
        <v>10.055697</v>
      </c>
      <c r="J147" s="3">
        <v>10.073349</v>
      </c>
      <c r="K147" s="3">
        <v>10.088103</v>
      </c>
      <c r="L147" s="3">
        <v>10.098704</v>
      </c>
      <c r="M147" s="3">
        <v>10.107079000000001</v>
      </c>
      <c r="N147" s="3">
        <v>10.113600999999999</v>
      </c>
      <c r="O147" s="3">
        <v>10.119621</v>
      </c>
      <c r="P147" s="3">
        <v>10.123654999999999</v>
      </c>
      <c r="Q147" s="3">
        <v>10.127547</v>
      </c>
    </row>
    <row r="148" spans="1:17" ht="18.75" customHeight="1" x14ac:dyDescent="0.25">
      <c r="A148" s="2">
        <v>42855</v>
      </c>
      <c r="B148" s="3">
        <v>11.25</v>
      </c>
      <c r="C148" s="3">
        <v>9.2638300000000005</v>
      </c>
      <c r="D148" s="3">
        <v>9.4918370000000003</v>
      </c>
      <c r="E148" s="3">
        <v>9.8198980000000002</v>
      </c>
      <c r="F148" s="3">
        <v>10.042427</v>
      </c>
      <c r="G148" s="3">
        <v>10.162751</v>
      </c>
      <c r="H148" s="3">
        <v>10.240138999999999</v>
      </c>
      <c r="I148" s="3">
        <v>10.290907000000001</v>
      </c>
      <c r="J148" s="3">
        <v>10.329159000000001</v>
      </c>
      <c r="K148" s="3">
        <v>10.353272</v>
      </c>
      <c r="L148" s="3">
        <v>10.374908</v>
      </c>
      <c r="M148" s="3">
        <v>10.395759</v>
      </c>
      <c r="N148" s="3">
        <v>10.410003</v>
      </c>
      <c r="O148" s="3">
        <v>10.422043</v>
      </c>
      <c r="P148" s="3">
        <v>10.432439</v>
      </c>
      <c r="Q148" s="3">
        <v>10.441542</v>
      </c>
    </row>
    <row r="149" spans="1:17" ht="18.75" customHeight="1" x14ac:dyDescent="0.25">
      <c r="A149" s="2">
        <v>42886</v>
      </c>
      <c r="B149" s="3">
        <v>11.25</v>
      </c>
      <c r="C149" s="3">
        <v>9.1080850000000009</v>
      </c>
      <c r="D149" s="3">
        <v>9.5243000000000002</v>
      </c>
      <c r="E149" s="3">
        <v>10.05485</v>
      </c>
      <c r="F149" s="3">
        <v>10.409653</v>
      </c>
      <c r="G149" s="3">
        <v>10.61388</v>
      </c>
      <c r="H149" s="3">
        <v>10.727181</v>
      </c>
      <c r="I149" s="3">
        <v>10.791321</v>
      </c>
      <c r="J149" s="3">
        <v>10.829018</v>
      </c>
      <c r="K149" s="3">
        <v>10.852461999999999</v>
      </c>
      <c r="L149" s="3">
        <v>10.867898</v>
      </c>
      <c r="M149" s="3">
        <v>10.878845</v>
      </c>
      <c r="N149" s="3">
        <v>10.887126</v>
      </c>
      <c r="O149" s="3">
        <v>10.893700000000001</v>
      </c>
      <c r="P149" s="3">
        <v>10.899153</v>
      </c>
      <c r="Q149" s="3">
        <v>10.903809000000001</v>
      </c>
    </row>
    <row r="150" spans="1:17" ht="18.75" customHeight="1" x14ac:dyDescent="0.25">
      <c r="A150" s="2">
        <v>42916</v>
      </c>
      <c r="B150" s="3">
        <v>10.25</v>
      </c>
      <c r="C150" s="3">
        <v>8.715859</v>
      </c>
      <c r="D150" s="3">
        <v>9.2455920000000003</v>
      </c>
      <c r="E150" s="3">
        <v>9.8270389999999992</v>
      </c>
      <c r="F150" s="3">
        <v>10.19279</v>
      </c>
      <c r="G150" s="3">
        <v>10.403174999999999</v>
      </c>
      <c r="H150" s="3">
        <v>10.52281</v>
      </c>
      <c r="I150" s="3">
        <v>10.593448</v>
      </c>
      <c r="J150" s="3">
        <v>10.638563</v>
      </c>
      <c r="K150" s="3">
        <v>10.669025</v>
      </c>
      <c r="L150" s="3">
        <v>10.690727000000001</v>
      </c>
      <c r="M150" s="3">
        <v>10.707281</v>
      </c>
      <c r="N150" s="3">
        <v>10.720280000000001</v>
      </c>
      <c r="O150" s="3">
        <v>10.730969999999999</v>
      </c>
      <c r="P150" s="3">
        <v>10.739001999999999</v>
      </c>
      <c r="Q150" s="3">
        <v>10.747043</v>
      </c>
    </row>
    <row r="151" spans="1:17" ht="18.75" customHeight="1" x14ac:dyDescent="0.25">
      <c r="A151" s="2">
        <v>42947</v>
      </c>
      <c r="B151" s="3">
        <v>9.25</v>
      </c>
      <c r="C151" s="3">
        <v>7.9403889999999997</v>
      </c>
      <c r="D151" s="3">
        <v>8.4464649999999999</v>
      </c>
      <c r="E151" s="3">
        <v>9.0754000000000001</v>
      </c>
      <c r="F151" s="3">
        <v>9.4704370000000004</v>
      </c>
      <c r="G151" s="3">
        <v>9.7368780000000008</v>
      </c>
      <c r="H151" s="3">
        <v>9.905189</v>
      </c>
      <c r="I151" s="3">
        <v>10.012319</v>
      </c>
      <c r="J151" s="3">
        <v>10.091847</v>
      </c>
      <c r="K151" s="3">
        <v>10.150397999999999</v>
      </c>
      <c r="L151" s="3">
        <v>10.194971000000001</v>
      </c>
      <c r="M151" s="3">
        <v>10.230589999999999</v>
      </c>
      <c r="N151" s="3">
        <v>10.262757000000001</v>
      </c>
      <c r="O151" s="3">
        <v>10.286489</v>
      </c>
      <c r="P151" s="3">
        <v>10.306889999999999</v>
      </c>
      <c r="Q151" s="3">
        <v>10.324641</v>
      </c>
    </row>
    <row r="152" spans="1:17" ht="18.75" customHeight="1" x14ac:dyDescent="0.25">
      <c r="A152" s="2">
        <v>42978</v>
      </c>
      <c r="B152" s="3">
        <v>9.25</v>
      </c>
      <c r="C152" s="3">
        <v>7.5577120000000004</v>
      </c>
      <c r="D152" s="3">
        <v>8.2830449999999995</v>
      </c>
      <c r="E152" s="3">
        <v>8.9931719999999995</v>
      </c>
      <c r="F152" s="3">
        <v>9.4309530000000006</v>
      </c>
      <c r="G152" s="3">
        <v>9.7051429999999996</v>
      </c>
      <c r="H152" s="3">
        <v>9.8829200000000004</v>
      </c>
      <c r="I152" s="3">
        <v>10.000356999999999</v>
      </c>
      <c r="J152" s="3">
        <v>10.091723</v>
      </c>
      <c r="K152" s="3">
        <v>10.161534</v>
      </c>
      <c r="L152" s="3">
        <v>10.216001</v>
      </c>
      <c r="M152" s="3">
        <v>10.260424</v>
      </c>
      <c r="N152" s="3">
        <v>10.297141</v>
      </c>
      <c r="O152" s="3">
        <v>10.328144999999999</v>
      </c>
      <c r="P152" s="3">
        <v>10.354887</v>
      </c>
      <c r="Q152" s="3">
        <v>10.378196000000001</v>
      </c>
    </row>
    <row r="153" spans="1:17" ht="18.75" customHeight="1" x14ac:dyDescent="0.25">
      <c r="A153" s="2">
        <v>43008</v>
      </c>
      <c r="B153" s="3">
        <v>8.25</v>
      </c>
      <c r="C153" s="3">
        <v>7.0883330000000004</v>
      </c>
      <c r="D153" s="3">
        <v>7.8996899999999997</v>
      </c>
      <c r="E153" s="3">
        <v>8.6126400000000007</v>
      </c>
      <c r="F153" s="3">
        <v>9.0712820000000001</v>
      </c>
      <c r="G153" s="3">
        <v>9.3650490000000008</v>
      </c>
      <c r="H153" s="3">
        <v>9.5602929999999997</v>
      </c>
      <c r="I153" s="3">
        <v>9.6863790000000005</v>
      </c>
      <c r="J153" s="3">
        <v>9.7915320000000001</v>
      </c>
      <c r="K153" s="3">
        <v>9.8743610000000004</v>
      </c>
      <c r="L153" s="3">
        <v>9.9396909999999998</v>
      </c>
      <c r="M153" s="3">
        <v>9.9931570000000001</v>
      </c>
      <c r="N153" s="3">
        <v>10.037418000000001</v>
      </c>
      <c r="O153" s="3">
        <v>10.074812</v>
      </c>
      <c r="P153" s="3">
        <v>10.107063</v>
      </c>
      <c r="Q153" s="3">
        <v>10.135165000000001</v>
      </c>
    </row>
    <row r="154" spans="1:17" ht="18.75" customHeight="1" x14ac:dyDescent="0.25">
      <c r="A154" s="2">
        <v>43039</v>
      </c>
      <c r="B154" s="3">
        <v>7.5</v>
      </c>
      <c r="C154" s="3">
        <v>7.1119630000000003</v>
      </c>
      <c r="D154" s="3">
        <v>8.1819959999999998</v>
      </c>
      <c r="E154" s="3">
        <v>9.0000719999999994</v>
      </c>
      <c r="F154" s="3">
        <v>9.4754109999999994</v>
      </c>
      <c r="G154" s="3">
        <v>9.7347020000000004</v>
      </c>
      <c r="H154" s="3">
        <v>9.8782180000000004</v>
      </c>
      <c r="I154" s="3">
        <v>9.9596830000000001</v>
      </c>
      <c r="J154" s="3">
        <v>10.014632000000001</v>
      </c>
      <c r="K154" s="3">
        <v>10.051774999999999</v>
      </c>
      <c r="L154" s="3">
        <v>10.083065</v>
      </c>
      <c r="M154" s="3">
        <v>10.103265</v>
      </c>
      <c r="N154" s="3">
        <v>10.119351</v>
      </c>
      <c r="O154" s="3">
        <v>10.132811999999999</v>
      </c>
      <c r="P154" s="3">
        <v>10.144145</v>
      </c>
      <c r="Q154" s="3">
        <v>10.153816000000001</v>
      </c>
    </row>
    <row r="155" spans="1:17" ht="18.75" customHeight="1" x14ac:dyDescent="0.25">
      <c r="A155" s="2">
        <v>43069</v>
      </c>
      <c r="B155" s="3">
        <v>7.5</v>
      </c>
      <c r="C155" s="3">
        <v>6.9936489999999996</v>
      </c>
      <c r="D155" s="3">
        <v>8.3052119999999992</v>
      </c>
      <c r="E155" s="3">
        <v>9.2779159999999994</v>
      </c>
      <c r="F155" s="3">
        <v>9.8577370000000002</v>
      </c>
      <c r="G155" s="3">
        <v>10.191276</v>
      </c>
      <c r="H155" s="3">
        <v>10.388194</v>
      </c>
      <c r="I155" s="3">
        <v>10.513966999999999</v>
      </c>
      <c r="J155" s="3">
        <v>10.598307999999999</v>
      </c>
      <c r="K155" s="3">
        <v>10.658524</v>
      </c>
      <c r="L155" s="3">
        <v>10.704584000000001</v>
      </c>
      <c r="M155" s="3">
        <v>10.741355</v>
      </c>
      <c r="N155" s="3">
        <v>10.767636</v>
      </c>
      <c r="O155" s="3">
        <v>10.796345000000001</v>
      </c>
      <c r="P155" s="3">
        <v>10.817684</v>
      </c>
      <c r="Q155" s="3">
        <v>10.835955</v>
      </c>
    </row>
    <row r="156" spans="1:17" ht="18.75" customHeight="1" x14ac:dyDescent="0.25">
      <c r="A156" s="2">
        <v>43100</v>
      </c>
      <c r="B156" s="3">
        <v>7</v>
      </c>
      <c r="C156" s="3">
        <v>6.8616250000000001</v>
      </c>
      <c r="D156" s="3">
        <v>8.0174210000000006</v>
      </c>
      <c r="E156" s="3">
        <v>8.9905869999999997</v>
      </c>
      <c r="F156" s="3">
        <v>9.5698070000000008</v>
      </c>
      <c r="G156" s="3">
        <v>9.9234589999999994</v>
      </c>
      <c r="H156" s="3">
        <v>10.147319</v>
      </c>
      <c r="I156" s="3">
        <v>10.301600000000001</v>
      </c>
      <c r="J156" s="3">
        <v>10.411327999999999</v>
      </c>
      <c r="K156" s="3">
        <v>10.492908</v>
      </c>
      <c r="L156" s="3">
        <v>10.557086</v>
      </c>
      <c r="M156" s="3">
        <v>10.608532</v>
      </c>
      <c r="N156" s="3">
        <v>10.651282</v>
      </c>
      <c r="O156" s="3">
        <v>10.687707</v>
      </c>
      <c r="P156" s="3">
        <v>10.715128</v>
      </c>
      <c r="Q156" s="3">
        <v>10.742197000000001</v>
      </c>
    </row>
    <row r="157" spans="1:17" ht="18.75" customHeight="1" x14ac:dyDescent="0.25">
      <c r="A157" s="2">
        <v>43131</v>
      </c>
      <c r="B157" s="3">
        <v>7</v>
      </c>
      <c r="C157" s="3">
        <v>6.8882329999999996</v>
      </c>
      <c r="D157" s="3">
        <v>8.0309600000000003</v>
      </c>
      <c r="E157" s="3">
        <v>8.7603279999999994</v>
      </c>
      <c r="F157" s="3">
        <v>9.1920380000000002</v>
      </c>
      <c r="G157" s="3">
        <v>9.4637390000000003</v>
      </c>
      <c r="H157" s="3">
        <v>9.6460500000000007</v>
      </c>
      <c r="I157" s="3">
        <v>9.7931450000000009</v>
      </c>
      <c r="J157" s="3">
        <v>9.9095899999999997</v>
      </c>
      <c r="K157" s="3">
        <v>10.004628</v>
      </c>
      <c r="L157" s="3">
        <v>10.085457999999999</v>
      </c>
      <c r="M157" s="3">
        <v>10.162247000000001</v>
      </c>
      <c r="N157" s="3">
        <v>10.222261</v>
      </c>
      <c r="O157" s="3">
        <v>10.275261</v>
      </c>
      <c r="P157" s="3">
        <v>10.321668000000001</v>
      </c>
      <c r="Q157" s="3">
        <v>10.363676</v>
      </c>
    </row>
    <row r="158" spans="1:17" ht="18.75" customHeight="1" x14ac:dyDescent="0.25">
      <c r="A158" s="2">
        <v>43159</v>
      </c>
      <c r="B158" s="3">
        <v>6.75</v>
      </c>
      <c r="C158" s="3">
        <v>6.6600289999999998</v>
      </c>
      <c r="D158" s="3">
        <v>7.7252720000000004</v>
      </c>
      <c r="E158" s="3">
        <v>8.5081039999999994</v>
      </c>
      <c r="F158" s="3">
        <v>9.0035489999999996</v>
      </c>
      <c r="G158" s="3">
        <v>9.3141079999999992</v>
      </c>
      <c r="H158" s="3">
        <v>9.5139610000000001</v>
      </c>
      <c r="I158" s="3">
        <v>9.6666860000000003</v>
      </c>
      <c r="J158" s="3">
        <v>9.7782289999999996</v>
      </c>
      <c r="K158" s="3">
        <v>9.8629639999999998</v>
      </c>
      <c r="L158" s="3">
        <v>9.9324940000000002</v>
      </c>
      <c r="M158" s="3">
        <v>9.9879189999999998</v>
      </c>
      <c r="N158" s="3">
        <v>10.034829</v>
      </c>
      <c r="O158" s="3">
        <v>10.074607</v>
      </c>
      <c r="P158" s="3">
        <v>10.108269</v>
      </c>
      <c r="Q158" s="3">
        <v>10.137885000000001</v>
      </c>
    </row>
    <row r="159" spans="1:17" ht="18.75" customHeight="1" x14ac:dyDescent="0.25">
      <c r="A159" s="2">
        <v>43190</v>
      </c>
      <c r="B159" s="3">
        <v>6.5</v>
      </c>
      <c r="C159" s="3">
        <v>6.3007989999999996</v>
      </c>
      <c r="D159" s="3">
        <v>7.2410439999999996</v>
      </c>
      <c r="E159" s="3">
        <v>8.1023630000000004</v>
      </c>
      <c r="F159" s="3">
        <v>8.6850290000000001</v>
      </c>
      <c r="G159" s="3">
        <v>9.0790579999999999</v>
      </c>
      <c r="H159" s="3">
        <v>9.3263339999999992</v>
      </c>
      <c r="I159" s="3">
        <v>9.5323849999999997</v>
      </c>
      <c r="J159" s="3">
        <v>9.6854510000000005</v>
      </c>
      <c r="K159" s="3">
        <v>9.8037489999999998</v>
      </c>
      <c r="L159" s="3">
        <v>9.9009280000000004</v>
      </c>
      <c r="M159" s="3">
        <v>9.9783930000000005</v>
      </c>
      <c r="N159" s="3">
        <v>10.05076</v>
      </c>
      <c r="O159" s="3">
        <v>10.099449</v>
      </c>
      <c r="P159" s="3">
        <v>10.146402999999999</v>
      </c>
      <c r="Q159" s="3">
        <v>10.187681</v>
      </c>
    </row>
    <row r="160" spans="1:17" ht="18.75" customHeight="1" x14ac:dyDescent="0.25">
      <c r="A160" s="2">
        <v>43220</v>
      </c>
      <c r="B160" s="3">
        <v>6.5</v>
      </c>
      <c r="C160" s="3">
        <v>6.3156739999999996</v>
      </c>
      <c r="D160" s="3">
        <v>7.2841060000000004</v>
      </c>
      <c r="E160" s="3">
        <v>8.1914650000000009</v>
      </c>
      <c r="F160" s="3">
        <v>8.7896909999999995</v>
      </c>
      <c r="G160" s="3">
        <v>9.2164110000000008</v>
      </c>
      <c r="H160" s="3">
        <v>9.5120090000000008</v>
      </c>
      <c r="I160" s="3">
        <v>9.7394529999999992</v>
      </c>
      <c r="J160" s="3">
        <v>9.8859569999999994</v>
      </c>
      <c r="K160" s="3">
        <v>10.013234000000001</v>
      </c>
      <c r="L160" s="3">
        <v>10.116056</v>
      </c>
      <c r="M160" s="3">
        <v>10.214441000000001</v>
      </c>
      <c r="N160" s="3">
        <v>10.282791</v>
      </c>
      <c r="O160" s="3">
        <v>10.341125999999999</v>
      </c>
      <c r="P160" s="3">
        <v>10.379878</v>
      </c>
      <c r="Q160" s="3">
        <v>10.434772000000001</v>
      </c>
    </row>
    <row r="161" spans="1:17" ht="18.75" customHeight="1" x14ac:dyDescent="0.25">
      <c r="A161" s="2">
        <v>43251</v>
      </c>
      <c r="B161" s="3">
        <v>6.5</v>
      </c>
      <c r="C161" s="3">
        <v>7.092873</v>
      </c>
      <c r="D161" s="3">
        <v>8.2126300000000008</v>
      </c>
      <c r="E161" s="3">
        <v>9.2964380000000002</v>
      </c>
      <c r="F161" s="3">
        <v>10.133851</v>
      </c>
      <c r="G161" s="3">
        <v>10.730651999999999</v>
      </c>
      <c r="H161" s="3">
        <v>11.151612</v>
      </c>
      <c r="I161" s="3">
        <v>11.449614</v>
      </c>
      <c r="J161" s="3">
        <v>11.664001000000001</v>
      </c>
      <c r="K161" s="3">
        <v>11.820195999999999</v>
      </c>
      <c r="L161" s="3">
        <v>11.937733</v>
      </c>
      <c r="M161" s="3">
        <v>12.028985</v>
      </c>
      <c r="N161" s="3">
        <v>12.101649</v>
      </c>
      <c r="O161" s="3">
        <v>12.161294</v>
      </c>
      <c r="P161" s="3">
        <v>12.211379000000001</v>
      </c>
      <c r="Q161" s="3">
        <v>12.253049000000001</v>
      </c>
    </row>
    <row r="162" spans="1:17" ht="18.75" customHeight="1" x14ac:dyDescent="0.25">
      <c r="A162" s="2">
        <v>43281</v>
      </c>
      <c r="B162" s="3">
        <v>6.5</v>
      </c>
      <c r="C162" s="3">
        <v>7.4708649999999999</v>
      </c>
      <c r="D162" s="3">
        <v>8.8037489999999998</v>
      </c>
      <c r="E162" s="3">
        <v>9.8167989999999996</v>
      </c>
      <c r="F162" s="3">
        <v>10.542261</v>
      </c>
      <c r="G162" s="3">
        <v>11.048780000000001</v>
      </c>
      <c r="H162" s="3">
        <v>11.404662999999999</v>
      </c>
      <c r="I162" s="3">
        <v>11.665132</v>
      </c>
      <c r="J162" s="3">
        <v>11.859044000000001</v>
      </c>
      <c r="K162" s="3">
        <v>12.006015</v>
      </c>
      <c r="L162" s="3">
        <v>12.122006000000001</v>
      </c>
      <c r="M162" s="3">
        <v>12.214449999999999</v>
      </c>
      <c r="N162" s="3">
        <v>12.290727</v>
      </c>
      <c r="O162" s="3">
        <v>12.347875999999999</v>
      </c>
      <c r="P162" s="3">
        <v>12.40476</v>
      </c>
      <c r="Q162" s="3">
        <v>12.452961</v>
      </c>
    </row>
    <row r="163" spans="1:17" ht="18.75" customHeight="1" x14ac:dyDescent="0.25">
      <c r="A163" s="2">
        <v>43312</v>
      </c>
      <c r="B163" s="3">
        <v>6.5</v>
      </c>
      <c r="C163" s="3">
        <v>7.3034920000000003</v>
      </c>
      <c r="D163" s="3">
        <v>8.514837</v>
      </c>
      <c r="E163" s="3">
        <v>9.4456509999999998</v>
      </c>
      <c r="F163" s="3">
        <v>10.182589999999999</v>
      </c>
      <c r="G163" s="3">
        <v>10.695653999999999</v>
      </c>
      <c r="H163" s="3">
        <v>11.027691000000001</v>
      </c>
      <c r="I163" s="3">
        <v>11.259807</v>
      </c>
      <c r="J163" s="3">
        <v>11.40945</v>
      </c>
      <c r="K163" s="3">
        <v>11.503311999999999</v>
      </c>
      <c r="L163" s="3">
        <v>11.562097</v>
      </c>
      <c r="M163" s="3">
        <v>11.600249</v>
      </c>
      <c r="N163" s="3">
        <v>11.621701</v>
      </c>
      <c r="O163" s="3">
        <v>11.63382</v>
      </c>
      <c r="P163" s="3">
        <v>11.639390000000001</v>
      </c>
      <c r="Q163" s="3">
        <v>11.644385</v>
      </c>
    </row>
    <row r="164" spans="1:17" ht="18.75" customHeight="1" x14ac:dyDescent="0.25">
      <c r="A164" s="2">
        <v>43343</v>
      </c>
      <c r="B164" s="3">
        <v>6.5</v>
      </c>
      <c r="C164" s="3">
        <v>8.0493229999999993</v>
      </c>
      <c r="D164" s="3">
        <v>9.4333539999999996</v>
      </c>
      <c r="E164" s="3">
        <v>10.471285999999999</v>
      </c>
      <c r="F164" s="3">
        <v>11.223087</v>
      </c>
      <c r="G164" s="3">
        <v>11.745429</v>
      </c>
      <c r="H164" s="3">
        <v>12.085371</v>
      </c>
      <c r="I164" s="3">
        <v>12.327</v>
      </c>
      <c r="J164" s="3">
        <v>12.484022</v>
      </c>
      <c r="K164" s="3">
        <v>12.581912000000001</v>
      </c>
      <c r="L164" s="3">
        <v>12.641925000000001</v>
      </c>
      <c r="M164" s="3">
        <v>12.676601</v>
      </c>
      <c r="N164" s="3">
        <v>12.69506</v>
      </c>
      <c r="O164" s="3">
        <v>12.703239999999999</v>
      </c>
      <c r="P164" s="3">
        <v>12.704927</v>
      </c>
      <c r="Q164" s="3">
        <v>12.702719999999999</v>
      </c>
    </row>
    <row r="165" spans="1:17" ht="18.75" customHeight="1" x14ac:dyDescent="0.25">
      <c r="A165" s="2">
        <v>43373</v>
      </c>
      <c r="B165" s="3">
        <v>6.5</v>
      </c>
      <c r="C165" s="3">
        <v>7.8805189999999996</v>
      </c>
      <c r="D165" s="3">
        <v>9.2514280000000007</v>
      </c>
      <c r="E165" s="3">
        <v>10.247202</v>
      </c>
      <c r="F165" s="3">
        <v>10.936230999999999</v>
      </c>
      <c r="G165" s="3">
        <v>11.391893</v>
      </c>
      <c r="H165" s="3">
        <v>11.666414</v>
      </c>
      <c r="I165" s="3">
        <v>11.866175</v>
      </c>
      <c r="J165" s="3">
        <v>11.993880000000001</v>
      </c>
      <c r="K165" s="3">
        <v>12.07616</v>
      </c>
      <c r="L165" s="3">
        <v>12.128852</v>
      </c>
      <c r="M165" s="3">
        <v>12.162497999999999</v>
      </c>
      <c r="N165" s="3">
        <v>12.184309000000001</v>
      </c>
      <c r="O165" s="3">
        <v>12.198762</v>
      </c>
      <c r="P165" s="3">
        <v>12.208519000000001</v>
      </c>
      <c r="Q165" s="3">
        <v>12.215164</v>
      </c>
    </row>
    <row r="166" spans="1:17" ht="18.75" customHeight="1" x14ac:dyDescent="0.25">
      <c r="A166" s="2">
        <v>43404</v>
      </c>
      <c r="B166" s="3">
        <v>6.5</v>
      </c>
      <c r="C166" s="3">
        <v>6.9979940000000003</v>
      </c>
      <c r="D166" s="3">
        <v>7.9618349999999998</v>
      </c>
      <c r="E166" s="3">
        <v>8.7046240000000008</v>
      </c>
      <c r="F166" s="3">
        <v>9.2397399999999994</v>
      </c>
      <c r="G166" s="3">
        <v>9.6264299999999992</v>
      </c>
      <c r="H166" s="3">
        <v>9.9081960000000002</v>
      </c>
      <c r="I166" s="3">
        <v>10.132928</v>
      </c>
      <c r="J166" s="3">
        <v>10.31052</v>
      </c>
      <c r="K166" s="3">
        <v>10.451183</v>
      </c>
      <c r="L166" s="3">
        <v>10.566782999999999</v>
      </c>
      <c r="M166" s="3">
        <v>10.678964000000001</v>
      </c>
      <c r="N166" s="3">
        <v>10.741611000000001</v>
      </c>
      <c r="O166" s="3">
        <v>10.809779000000001</v>
      </c>
      <c r="P166" s="3">
        <v>10.881667</v>
      </c>
      <c r="Q166" s="3">
        <v>10.931474</v>
      </c>
    </row>
    <row r="167" spans="1:17" ht="18.75" customHeight="1" x14ac:dyDescent="0.25">
      <c r="A167" s="2">
        <v>43434</v>
      </c>
      <c r="B167" s="3">
        <v>6.5</v>
      </c>
      <c r="C167" s="3">
        <v>6.8959859999999997</v>
      </c>
      <c r="D167" s="3">
        <v>7.8572389999999999</v>
      </c>
      <c r="E167" s="3">
        <v>8.5943050000000003</v>
      </c>
      <c r="F167" s="3">
        <v>9.1033270000000002</v>
      </c>
      <c r="G167" s="3">
        <v>9.4465819999999994</v>
      </c>
      <c r="H167" s="3">
        <v>9.6901399999999995</v>
      </c>
      <c r="I167" s="3">
        <v>9.8665120000000002</v>
      </c>
      <c r="J167" s="3">
        <v>9.9988340000000004</v>
      </c>
      <c r="K167" s="3">
        <v>10.102929</v>
      </c>
      <c r="L167" s="3">
        <v>10.187115</v>
      </c>
      <c r="M167" s="3">
        <v>10.255535999999999</v>
      </c>
      <c r="N167" s="3">
        <v>10.313252</v>
      </c>
      <c r="O167" s="3">
        <v>10.361853999999999</v>
      </c>
      <c r="P167" s="3">
        <v>10.403181999999999</v>
      </c>
      <c r="Q167" s="3">
        <v>10.439284000000001</v>
      </c>
    </row>
    <row r="168" spans="1:17" ht="18.75" customHeight="1" x14ac:dyDescent="0.25">
      <c r="A168" s="2">
        <v>43465</v>
      </c>
      <c r="B168" s="3">
        <v>6.5</v>
      </c>
      <c r="C168" s="3">
        <v>6.5481730000000002</v>
      </c>
      <c r="D168" s="3">
        <v>7.3829840000000004</v>
      </c>
      <c r="E168" s="3">
        <v>8.1123820000000002</v>
      </c>
      <c r="F168" s="3">
        <v>8.6693680000000004</v>
      </c>
      <c r="G168" s="3">
        <v>8.9915509999999994</v>
      </c>
      <c r="H168" s="3">
        <v>9.1912040000000008</v>
      </c>
      <c r="I168" s="3">
        <v>9.3116540000000008</v>
      </c>
      <c r="J168" s="3">
        <v>9.3854900000000008</v>
      </c>
      <c r="K168" s="3">
        <v>9.4331340000000008</v>
      </c>
      <c r="L168" s="3">
        <v>9.464836</v>
      </c>
      <c r="M168" s="3">
        <v>9.4872320000000006</v>
      </c>
      <c r="N168" s="3">
        <v>9.5039180000000005</v>
      </c>
      <c r="O168" s="3">
        <v>9.5152859999999997</v>
      </c>
      <c r="P168" s="3">
        <v>9.525703</v>
      </c>
      <c r="Q168" s="3">
        <v>9.5343509999999991</v>
      </c>
    </row>
    <row r="169" spans="1:17" ht="18.75" customHeight="1" x14ac:dyDescent="0.25">
      <c r="A169" s="2">
        <v>43496</v>
      </c>
      <c r="B169" s="3">
        <v>6.5</v>
      </c>
      <c r="C169" s="3">
        <v>6.4085099999999997</v>
      </c>
      <c r="D169" s="3">
        <v>7.0669360000000001</v>
      </c>
      <c r="E169" s="3">
        <v>7.713222</v>
      </c>
      <c r="F169" s="3">
        <v>8.1842419999999994</v>
      </c>
      <c r="G169" s="3">
        <v>8.4936190000000007</v>
      </c>
      <c r="H169" s="3">
        <v>8.7126669999999997</v>
      </c>
      <c r="I169" s="3">
        <v>8.8661279999999998</v>
      </c>
      <c r="J169" s="3">
        <v>8.9754909999999999</v>
      </c>
      <c r="K169" s="3">
        <v>9.0577989999999993</v>
      </c>
      <c r="L169" s="3">
        <v>9.1211509999999993</v>
      </c>
      <c r="M169" s="3">
        <v>9.1719980000000003</v>
      </c>
      <c r="N169" s="3">
        <v>9.2140909999999998</v>
      </c>
      <c r="O169" s="3">
        <v>9.2528579999999998</v>
      </c>
      <c r="P169" s="3">
        <v>9.2753569999999996</v>
      </c>
      <c r="Q169" s="3">
        <v>9.3011850000000003</v>
      </c>
    </row>
    <row r="170" spans="1:17" ht="18.75" customHeight="1" x14ac:dyDescent="0.25">
      <c r="A170" s="2">
        <v>43524</v>
      </c>
      <c r="B170" s="3">
        <v>6.5</v>
      </c>
      <c r="C170" s="3">
        <v>6.5060830000000003</v>
      </c>
      <c r="D170" s="3">
        <v>7.2054020000000003</v>
      </c>
      <c r="E170" s="3">
        <v>7.8536989999999998</v>
      </c>
      <c r="F170" s="3">
        <v>8.3132180000000009</v>
      </c>
      <c r="G170" s="3">
        <v>8.6104850000000006</v>
      </c>
      <c r="H170" s="3">
        <v>8.8260620000000003</v>
      </c>
      <c r="I170" s="3">
        <v>8.9716310000000004</v>
      </c>
      <c r="J170" s="3">
        <v>9.0736570000000007</v>
      </c>
      <c r="K170" s="3">
        <v>9.1514699999999998</v>
      </c>
      <c r="L170" s="3">
        <v>9.2097940000000005</v>
      </c>
      <c r="M170" s="3">
        <v>9.2568009999999994</v>
      </c>
      <c r="N170" s="3">
        <v>9.2951589999999999</v>
      </c>
      <c r="O170" s="3">
        <v>9.3266819999999999</v>
      </c>
      <c r="P170" s="3">
        <v>9.3537999999999997</v>
      </c>
      <c r="Q170" s="3">
        <v>9.3769050000000007</v>
      </c>
    </row>
    <row r="171" spans="1:17" ht="18.75" customHeight="1" x14ac:dyDescent="0.25">
      <c r="A171" s="2">
        <v>43555</v>
      </c>
      <c r="B171" s="3">
        <v>6.5</v>
      </c>
      <c r="C171" s="3">
        <v>6.5490209999999998</v>
      </c>
      <c r="D171" s="3">
        <v>7.2601139999999997</v>
      </c>
      <c r="E171" s="3">
        <v>7.8793870000000004</v>
      </c>
      <c r="F171" s="3">
        <v>8.3162430000000001</v>
      </c>
      <c r="G171" s="3">
        <v>8.5994989999999998</v>
      </c>
      <c r="H171" s="3">
        <v>8.8040179999999992</v>
      </c>
      <c r="I171" s="3">
        <v>8.9483449999999998</v>
      </c>
      <c r="J171" s="3">
        <v>9.0542370000000005</v>
      </c>
      <c r="K171" s="3">
        <v>9.1376819999999999</v>
      </c>
      <c r="L171" s="3">
        <v>9.2017039999999994</v>
      </c>
      <c r="M171" s="3">
        <v>9.2596279999999993</v>
      </c>
      <c r="N171" s="3">
        <v>9.2976510000000001</v>
      </c>
      <c r="O171" s="3">
        <v>9.3336539999999992</v>
      </c>
      <c r="P171" s="3">
        <v>9.3648070000000008</v>
      </c>
      <c r="Q171" s="3">
        <v>9.3914519999999992</v>
      </c>
    </row>
    <row r="172" spans="1:17" ht="18.75" customHeight="1" x14ac:dyDescent="0.25">
      <c r="A172" s="2">
        <v>43585</v>
      </c>
      <c r="B172" s="3">
        <v>6.5</v>
      </c>
      <c r="C172" s="3">
        <v>6.6115919999999999</v>
      </c>
      <c r="D172" s="3">
        <v>7.3695880000000002</v>
      </c>
      <c r="E172" s="3">
        <v>7.9475769999999999</v>
      </c>
      <c r="F172" s="3">
        <v>8.3513950000000001</v>
      </c>
      <c r="G172" s="3">
        <v>8.6210190000000004</v>
      </c>
      <c r="H172" s="3">
        <v>8.8221220000000002</v>
      </c>
      <c r="I172" s="3">
        <v>8.9502319999999997</v>
      </c>
      <c r="J172" s="3">
        <v>9.0584059999999997</v>
      </c>
      <c r="K172" s="3">
        <v>9.14377</v>
      </c>
      <c r="L172" s="3">
        <v>9.2124710000000007</v>
      </c>
      <c r="M172" s="3">
        <v>9.2793829999999993</v>
      </c>
      <c r="N172" s="3">
        <v>9.3262079999999994</v>
      </c>
      <c r="O172" s="3">
        <v>9.3577729999999999</v>
      </c>
      <c r="P172" s="3">
        <v>9.3925850000000004</v>
      </c>
      <c r="Q172" s="3">
        <v>9.429551</v>
      </c>
    </row>
    <row r="173" spans="1:17" ht="18.75" customHeight="1" x14ac:dyDescent="0.25">
      <c r="A173" s="2">
        <v>43616</v>
      </c>
      <c r="B173" s="3">
        <v>6.5</v>
      </c>
      <c r="C173" s="3">
        <v>6.2278399999999996</v>
      </c>
      <c r="D173" s="3">
        <v>6.7276720000000001</v>
      </c>
      <c r="E173" s="3">
        <v>7.2838909999999997</v>
      </c>
      <c r="F173" s="3">
        <v>7.7188020000000002</v>
      </c>
      <c r="G173" s="3">
        <v>8.0353790000000007</v>
      </c>
      <c r="H173" s="3">
        <v>8.2662820000000004</v>
      </c>
      <c r="I173" s="3">
        <v>8.4387129999999999</v>
      </c>
      <c r="J173" s="3">
        <v>8.5697770000000002</v>
      </c>
      <c r="K173" s="3">
        <v>8.6726829999999993</v>
      </c>
      <c r="L173" s="3">
        <v>8.7557399999999994</v>
      </c>
      <c r="M173" s="3">
        <v>8.8240960000000008</v>
      </c>
      <c r="N173" s="3">
        <v>8.8817050000000002</v>
      </c>
      <c r="O173" s="3">
        <v>8.9310600000000004</v>
      </c>
      <c r="P173" s="3">
        <v>8.9727099999999993</v>
      </c>
      <c r="Q173" s="3">
        <v>9.0087060000000001</v>
      </c>
    </row>
    <row r="174" spans="1:17" ht="18.75" customHeight="1" x14ac:dyDescent="0.25">
      <c r="A174" s="2">
        <v>43646</v>
      </c>
      <c r="B174" s="3">
        <v>6.5</v>
      </c>
      <c r="C174" s="3">
        <v>5.7846690000000001</v>
      </c>
      <c r="D174" s="3">
        <v>6.058179</v>
      </c>
      <c r="E174" s="3">
        <v>6.456207</v>
      </c>
      <c r="F174" s="3">
        <v>6.7968960000000003</v>
      </c>
      <c r="G174" s="3">
        <v>7.0405720000000001</v>
      </c>
      <c r="H174" s="3">
        <v>7.2318030000000002</v>
      </c>
      <c r="I174" s="3">
        <v>7.3840880000000002</v>
      </c>
      <c r="J174" s="3">
        <v>7.5064729999999997</v>
      </c>
      <c r="K174" s="3">
        <v>7.6076449999999998</v>
      </c>
      <c r="L174" s="3">
        <v>7.6910559999999997</v>
      </c>
      <c r="M174" s="3">
        <v>7.7614749999999999</v>
      </c>
      <c r="N174" s="3">
        <v>7.8149680000000004</v>
      </c>
      <c r="O174" s="3">
        <v>7.8686369999999997</v>
      </c>
      <c r="P174" s="3">
        <v>7.9142910000000004</v>
      </c>
      <c r="Q174" s="3">
        <v>7.9539569999999999</v>
      </c>
    </row>
    <row r="175" spans="1:17" ht="18.75" customHeight="1" x14ac:dyDescent="0.25">
      <c r="A175" s="2">
        <v>43677</v>
      </c>
      <c r="B175" s="3">
        <v>6.5</v>
      </c>
      <c r="C175" s="3">
        <v>5.4393950000000002</v>
      </c>
      <c r="D175" s="3">
        <v>5.7500229999999997</v>
      </c>
      <c r="E175" s="3">
        <v>6.2038099999999998</v>
      </c>
      <c r="F175" s="3">
        <v>6.5798779999999999</v>
      </c>
      <c r="G175" s="3">
        <v>6.8485149999999999</v>
      </c>
      <c r="H175" s="3">
        <v>7.050827</v>
      </c>
      <c r="I175" s="3">
        <v>7.2027729999999996</v>
      </c>
      <c r="J175" s="3">
        <v>7.3170849999999996</v>
      </c>
      <c r="K175" s="3">
        <v>7.4066210000000003</v>
      </c>
      <c r="L175" s="3">
        <v>7.4830300000000003</v>
      </c>
      <c r="M175" s="3">
        <v>7.5354359999999998</v>
      </c>
      <c r="N175" s="3">
        <v>7.5803729999999998</v>
      </c>
      <c r="O175" s="3">
        <v>7.6219390000000002</v>
      </c>
      <c r="P175" s="3">
        <v>7.6572519999999997</v>
      </c>
      <c r="Q175" s="3">
        <v>7.6878510000000002</v>
      </c>
    </row>
    <row r="176" spans="1:17" ht="18.75" customHeight="1" x14ac:dyDescent="0.25">
      <c r="A176" s="2">
        <v>43708</v>
      </c>
      <c r="B176" s="3">
        <v>6</v>
      </c>
      <c r="C176" s="3">
        <v>5.3738440000000001</v>
      </c>
      <c r="D176" s="3">
        <v>5.9560149999999998</v>
      </c>
      <c r="E176" s="3">
        <v>6.4542659999999996</v>
      </c>
      <c r="F176" s="3">
        <v>6.7995130000000001</v>
      </c>
      <c r="G176" s="3">
        <v>7.0344319999999998</v>
      </c>
      <c r="H176" s="3">
        <v>7.2228500000000002</v>
      </c>
      <c r="I176" s="3">
        <v>7.3715809999999999</v>
      </c>
      <c r="J176" s="3">
        <v>7.4909829999999999</v>
      </c>
      <c r="K176" s="3">
        <v>7.5905120000000004</v>
      </c>
      <c r="L176" s="3">
        <v>7.6740000000000004</v>
      </c>
      <c r="M176" s="3">
        <v>7.7450939999999999</v>
      </c>
      <c r="N176" s="3">
        <v>7.8066240000000002</v>
      </c>
      <c r="O176" s="3">
        <v>7.8602249999999998</v>
      </c>
      <c r="P176" s="3">
        <v>7.9063470000000002</v>
      </c>
      <c r="Q176" s="3">
        <v>7.9468079999999999</v>
      </c>
    </row>
    <row r="177" spans="1:17" ht="18.75" customHeight="1" x14ac:dyDescent="0.25">
      <c r="A177" s="2">
        <v>43738</v>
      </c>
      <c r="B177" s="3">
        <v>5.5</v>
      </c>
      <c r="C177" s="3">
        <v>4.8464900000000002</v>
      </c>
      <c r="D177" s="3">
        <v>5.4242210000000002</v>
      </c>
      <c r="E177" s="3">
        <v>5.965376</v>
      </c>
      <c r="F177" s="3">
        <v>6.3459599999999998</v>
      </c>
      <c r="G177" s="3">
        <v>6.5985760000000004</v>
      </c>
      <c r="H177" s="3">
        <v>6.8050610000000002</v>
      </c>
      <c r="I177" s="3">
        <v>6.9681259999999998</v>
      </c>
      <c r="J177" s="3">
        <v>7.1030980000000001</v>
      </c>
      <c r="K177" s="3">
        <v>7.2180249999999999</v>
      </c>
      <c r="L177" s="3">
        <v>7.318422</v>
      </c>
      <c r="M177" s="3">
        <v>7.4064079999999999</v>
      </c>
      <c r="N177" s="3">
        <v>7.4847159999999997</v>
      </c>
      <c r="O177" s="3">
        <v>7.5547430000000002</v>
      </c>
      <c r="P177" s="3">
        <v>7.6164310000000004</v>
      </c>
      <c r="Q177" s="3">
        <v>7.6716699999999998</v>
      </c>
    </row>
    <row r="178" spans="1:17" ht="18.75" customHeight="1" x14ac:dyDescent="0.25">
      <c r="A178" s="2">
        <v>43769</v>
      </c>
      <c r="B178" s="3">
        <v>5</v>
      </c>
      <c r="C178" s="3">
        <v>4.3020870000000002</v>
      </c>
      <c r="D178" s="3">
        <v>4.7310350000000003</v>
      </c>
      <c r="E178" s="3">
        <v>5.2761370000000003</v>
      </c>
      <c r="F178" s="3">
        <v>5.7067220000000001</v>
      </c>
      <c r="G178" s="3">
        <v>6.0229200000000001</v>
      </c>
      <c r="H178" s="3">
        <v>6.2546549999999996</v>
      </c>
      <c r="I178" s="3">
        <v>6.4389940000000001</v>
      </c>
      <c r="J178" s="3">
        <v>6.5877780000000001</v>
      </c>
      <c r="K178" s="3">
        <v>6.7107669999999997</v>
      </c>
      <c r="L178" s="3">
        <v>6.8165519999999997</v>
      </c>
      <c r="M178" s="3">
        <v>6.9072699999999996</v>
      </c>
      <c r="N178" s="3">
        <v>6.9882809999999997</v>
      </c>
      <c r="O178" s="3">
        <v>7.0755949999999999</v>
      </c>
      <c r="P178" s="3">
        <v>7.138687</v>
      </c>
      <c r="Q178" s="3">
        <v>7.195055</v>
      </c>
    </row>
    <row r="179" spans="1:17" ht="18.75" customHeight="1" x14ac:dyDescent="0.25">
      <c r="A179" s="2">
        <v>43799</v>
      </c>
      <c r="B179" s="3">
        <v>5</v>
      </c>
      <c r="C179" s="3">
        <v>4.6368850000000004</v>
      </c>
      <c r="D179" s="3">
        <v>5.2890959999999998</v>
      </c>
      <c r="E179" s="3">
        <v>5.8611339999999998</v>
      </c>
      <c r="F179" s="3">
        <v>6.2642889999999998</v>
      </c>
      <c r="G179" s="3">
        <v>6.5496790000000003</v>
      </c>
      <c r="H179" s="3">
        <v>6.7547709999999999</v>
      </c>
      <c r="I179" s="3">
        <v>6.9074710000000001</v>
      </c>
      <c r="J179" s="3">
        <v>7.0266489999999999</v>
      </c>
      <c r="K179" s="3">
        <v>7.1221920000000001</v>
      </c>
      <c r="L179" s="3">
        <v>7.1991079999999998</v>
      </c>
      <c r="M179" s="3">
        <v>7.2633479999999997</v>
      </c>
      <c r="N179" s="3">
        <v>7.31691</v>
      </c>
      <c r="O179" s="3">
        <v>7.3620210000000004</v>
      </c>
      <c r="P179" s="3">
        <v>7.4010740000000004</v>
      </c>
      <c r="Q179" s="3">
        <v>7.4348130000000001</v>
      </c>
    </row>
    <row r="180" spans="1:17" ht="18.75" customHeight="1" x14ac:dyDescent="0.25">
      <c r="A180" s="2">
        <v>43830</v>
      </c>
      <c r="B180" s="3">
        <v>4.5</v>
      </c>
      <c r="C180" s="3">
        <v>4.5641730000000003</v>
      </c>
      <c r="D180" s="3">
        <v>5.284179</v>
      </c>
      <c r="E180" s="3">
        <v>5.8458030000000001</v>
      </c>
      <c r="F180" s="3">
        <v>6.223884</v>
      </c>
      <c r="G180" s="3">
        <v>6.4869329999999996</v>
      </c>
      <c r="H180" s="3">
        <v>6.6717779999999998</v>
      </c>
      <c r="I180" s="3">
        <v>6.8060900000000002</v>
      </c>
      <c r="J180" s="3">
        <v>6.9088229999999999</v>
      </c>
      <c r="K180" s="3">
        <v>6.9887670000000002</v>
      </c>
      <c r="L180" s="3">
        <v>7.0533070000000002</v>
      </c>
      <c r="M180" s="3">
        <v>7.106827</v>
      </c>
      <c r="N180" s="3">
        <v>7.1461839999999999</v>
      </c>
      <c r="O180" s="3">
        <v>7.1842379999999997</v>
      </c>
      <c r="P180" s="3">
        <v>7.2170810000000003</v>
      </c>
      <c r="Q180" s="3">
        <v>7.245393</v>
      </c>
    </row>
    <row r="181" spans="1:17" ht="18.75" customHeight="1" x14ac:dyDescent="0.25">
      <c r="A181" s="2">
        <v>43861</v>
      </c>
      <c r="B181" s="3">
        <v>4.5</v>
      </c>
      <c r="C181" s="3">
        <v>4.4152820000000004</v>
      </c>
      <c r="D181" s="3">
        <v>5.0533520000000003</v>
      </c>
      <c r="E181" s="3">
        <v>5.5944630000000002</v>
      </c>
      <c r="F181" s="3">
        <v>5.981166</v>
      </c>
      <c r="G181" s="3">
        <v>6.2703280000000001</v>
      </c>
      <c r="H181" s="3">
        <v>6.4916840000000002</v>
      </c>
      <c r="I181" s="3">
        <v>6.6664479999999999</v>
      </c>
      <c r="J181" s="3">
        <v>6.8094580000000002</v>
      </c>
      <c r="K181" s="3">
        <v>6.9402039999999996</v>
      </c>
      <c r="L181" s="3">
        <v>7.0386699999999998</v>
      </c>
      <c r="M181" s="3">
        <v>7.112832</v>
      </c>
      <c r="N181" s="3">
        <v>7.1940790000000003</v>
      </c>
      <c r="O181" s="3">
        <v>7.249568</v>
      </c>
      <c r="P181" s="3">
        <v>7.2980150000000004</v>
      </c>
      <c r="Q181" s="3">
        <v>7.3574469999999996</v>
      </c>
    </row>
    <row r="182" spans="1:17" ht="18.75" customHeight="1" x14ac:dyDescent="0.25">
      <c r="A182" s="2">
        <v>43890</v>
      </c>
      <c r="B182" s="3">
        <v>4.25</v>
      </c>
      <c r="C182" s="3">
        <v>4.1489260000000003</v>
      </c>
      <c r="D182" s="3">
        <v>4.7648250000000001</v>
      </c>
      <c r="E182" s="3">
        <v>5.3999740000000003</v>
      </c>
      <c r="F182" s="3">
        <v>5.8773850000000003</v>
      </c>
      <c r="G182" s="3">
        <v>6.2592829999999999</v>
      </c>
      <c r="H182" s="3">
        <v>6.5398610000000001</v>
      </c>
      <c r="I182" s="3">
        <v>6.7520530000000001</v>
      </c>
      <c r="J182" s="3">
        <v>6.9257229999999996</v>
      </c>
      <c r="K182" s="3">
        <v>7.064495</v>
      </c>
      <c r="L182" s="3">
        <v>7.1827259999999997</v>
      </c>
      <c r="M182" s="3">
        <v>7.2839119999999999</v>
      </c>
      <c r="N182" s="3">
        <v>7.3704090000000004</v>
      </c>
      <c r="O182" s="3">
        <v>7.44726</v>
      </c>
      <c r="P182" s="3">
        <v>7.5144830000000002</v>
      </c>
      <c r="Q182" s="3">
        <v>7.5730839999999997</v>
      </c>
    </row>
    <row r="183" spans="1:17" ht="18.75" customHeight="1" x14ac:dyDescent="0.25">
      <c r="A183" s="2">
        <v>43921</v>
      </c>
      <c r="B183" s="3">
        <v>3.75</v>
      </c>
      <c r="C183" s="3">
        <v>3.3235079999999999</v>
      </c>
      <c r="D183" s="3">
        <v>4.4732320000000003</v>
      </c>
      <c r="E183" s="3">
        <v>5.6386529999999997</v>
      </c>
      <c r="F183" s="3">
        <v>6.4856759999999998</v>
      </c>
      <c r="G183" s="3">
        <v>7.0522830000000001</v>
      </c>
      <c r="H183" s="3">
        <v>7.4746139999999999</v>
      </c>
      <c r="I183" s="3">
        <v>7.7675539999999996</v>
      </c>
      <c r="J183" s="3">
        <v>7.9852550000000004</v>
      </c>
      <c r="K183" s="3">
        <v>8.1431679999999993</v>
      </c>
      <c r="L183" s="3">
        <v>8.2788020000000007</v>
      </c>
      <c r="M183" s="3">
        <v>8.3621820000000007</v>
      </c>
      <c r="N183" s="3">
        <v>8.436439</v>
      </c>
      <c r="O183" s="3">
        <v>8.4966690000000007</v>
      </c>
      <c r="P183" s="3">
        <v>8.5450300000000006</v>
      </c>
      <c r="Q183" s="3">
        <v>8.5840359999999993</v>
      </c>
    </row>
    <row r="184" spans="1:17" ht="18.75" customHeight="1" x14ac:dyDescent="0.25">
      <c r="A184" s="2">
        <v>43951</v>
      </c>
      <c r="B184" s="3">
        <v>3.75</v>
      </c>
      <c r="C184" s="3">
        <v>2.97532</v>
      </c>
      <c r="D184" s="3">
        <v>4.0427</v>
      </c>
      <c r="E184" s="3">
        <v>5.2065630000000001</v>
      </c>
      <c r="F184" s="3">
        <v>6.121111</v>
      </c>
      <c r="G184" s="3">
        <v>6.82111</v>
      </c>
      <c r="H184" s="3">
        <v>7.2573730000000003</v>
      </c>
      <c r="I184" s="3">
        <v>7.5964289999999997</v>
      </c>
      <c r="J184" s="3">
        <v>7.8453939999999998</v>
      </c>
      <c r="K184" s="3">
        <v>8.0297140000000002</v>
      </c>
      <c r="L184" s="3">
        <v>8.1951090000000004</v>
      </c>
      <c r="M184" s="3">
        <v>8.305256</v>
      </c>
      <c r="N184" s="3">
        <v>8.3777690000000007</v>
      </c>
      <c r="O184" s="3">
        <v>8.4537309999999994</v>
      </c>
      <c r="P184" s="3">
        <v>8.5317740000000004</v>
      </c>
      <c r="Q184" s="3">
        <v>8.5865390000000001</v>
      </c>
    </row>
    <row r="185" spans="1:17" ht="18.75" customHeight="1" x14ac:dyDescent="0.25">
      <c r="A185" s="2">
        <v>43982</v>
      </c>
      <c r="B185" s="3">
        <v>3</v>
      </c>
      <c r="C185" s="3">
        <v>2.5608759999999999</v>
      </c>
      <c r="D185" s="3">
        <v>3.6317910000000002</v>
      </c>
      <c r="E185" s="3">
        <v>4.729425</v>
      </c>
      <c r="F185" s="3">
        <v>5.6067749999999998</v>
      </c>
      <c r="G185" s="3">
        <v>6.2495479999999999</v>
      </c>
      <c r="H185" s="3">
        <v>6.7129630000000002</v>
      </c>
      <c r="I185" s="3">
        <v>7.046564</v>
      </c>
      <c r="J185" s="3">
        <v>7.2931780000000002</v>
      </c>
      <c r="K185" s="3">
        <v>7.4809710000000003</v>
      </c>
      <c r="L185" s="3">
        <v>7.6277799999999996</v>
      </c>
      <c r="M185" s="3">
        <v>7.746416</v>
      </c>
      <c r="N185" s="3">
        <v>7.8449239999999998</v>
      </c>
      <c r="O185" s="3">
        <v>7.9264460000000003</v>
      </c>
      <c r="P185" s="3">
        <v>7.9963499999999996</v>
      </c>
      <c r="Q185" s="3">
        <v>8.0577649999999998</v>
      </c>
    </row>
    <row r="186" spans="1:17" ht="18.75" customHeight="1" x14ac:dyDescent="0.25">
      <c r="A186" s="2">
        <v>44012</v>
      </c>
      <c r="B186" s="3">
        <v>2.25</v>
      </c>
      <c r="C186" s="3">
        <v>2.354797</v>
      </c>
      <c r="D186" s="3">
        <v>3.5694629999999998</v>
      </c>
      <c r="E186" s="3">
        <v>4.6424289999999999</v>
      </c>
      <c r="F186" s="3">
        <v>5.43459</v>
      </c>
      <c r="G186" s="3">
        <v>6.0187920000000004</v>
      </c>
      <c r="H186" s="3">
        <v>6.4512720000000003</v>
      </c>
      <c r="I186" s="3">
        <v>6.7751140000000003</v>
      </c>
      <c r="J186" s="3">
        <v>7.0265649999999997</v>
      </c>
      <c r="K186" s="3">
        <v>7.2232269999999996</v>
      </c>
      <c r="L186" s="3">
        <v>7.3822859999999997</v>
      </c>
      <c r="M186" s="3">
        <v>7.499212</v>
      </c>
      <c r="N186" s="3">
        <v>7.6134539999999999</v>
      </c>
      <c r="O186" s="3">
        <v>7.7084520000000003</v>
      </c>
      <c r="P186" s="3">
        <v>7.7895300000000001</v>
      </c>
      <c r="Q186" s="3">
        <v>7.8597809999999999</v>
      </c>
    </row>
    <row r="187" spans="1:17" ht="18.75" customHeight="1" x14ac:dyDescent="0.25">
      <c r="A187" s="2">
        <v>44043</v>
      </c>
      <c r="B187" s="3">
        <v>2.25</v>
      </c>
      <c r="C187" s="3">
        <v>2.3052320000000002</v>
      </c>
      <c r="D187" s="3">
        <v>3.3453360000000001</v>
      </c>
      <c r="E187" s="3">
        <v>4.2916410000000003</v>
      </c>
      <c r="F187" s="3">
        <v>5.0198960000000001</v>
      </c>
      <c r="G187" s="3">
        <v>5.5744670000000003</v>
      </c>
      <c r="H187" s="3">
        <v>5.993932</v>
      </c>
      <c r="I187" s="3">
        <v>6.3186840000000002</v>
      </c>
      <c r="J187" s="3">
        <v>6.5734139999999996</v>
      </c>
      <c r="K187" s="3">
        <v>6.7896660000000004</v>
      </c>
      <c r="L187" s="3">
        <v>6.9559670000000002</v>
      </c>
      <c r="M187" s="3">
        <v>7.0884650000000002</v>
      </c>
      <c r="N187" s="3">
        <v>7.1775840000000004</v>
      </c>
      <c r="O187" s="3">
        <v>7.2734480000000001</v>
      </c>
      <c r="P187" s="3">
        <v>7.3741969999999997</v>
      </c>
      <c r="Q187" s="3">
        <v>7.443708</v>
      </c>
    </row>
    <row r="188" spans="1:17" ht="18.75" customHeight="1" x14ac:dyDescent="0.25">
      <c r="A188" s="2">
        <v>44074</v>
      </c>
      <c r="B188" s="3">
        <v>2</v>
      </c>
      <c r="C188" s="3">
        <v>2.5333809999999999</v>
      </c>
      <c r="D188" s="3">
        <v>3.8254679999999999</v>
      </c>
      <c r="E188" s="3">
        <v>4.9564839999999997</v>
      </c>
      <c r="F188" s="3">
        <v>5.7462609999999996</v>
      </c>
      <c r="G188" s="3">
        <v>6.3367680000000002</v>
      </c>
      <c r="H188" s="3">
        <v>6.7522070000000003</v>
      </c>
      <c r="I188" s="3">
        <v>7.0468919999999997</v>
      </c>
      <c r="J188" s="3">
        <v>7.2659960000000003</v>
      </c>
      <c r="K188" s="3">
        <v>7.4325770000000002</v>
      </c>
      <c r="L188" s="3">
        <v>7.5634350000000001</v>
      </c>
      <c r="M188" s="3">
        <v>7.6695760000000002</v>
      </c>
      <c r="N188" s="3">
        <v>7.7574050000000003</v>
      </c>
      <c r="O188" s="3">
        <v>7.830012</v>
      </c>
      <c r="P188" s="3">
        <v>7.8917669999999998</v>
      </c>
      <c r="Q188" s="3">
        <v>7.9447859999999997</v>
      </c>
    </row>
    <row r="189" spans="1:17" ht="18.75" customHeight="1" x14ac:dyDescent="0.25">
      <c r="A189" s="2">
        <v>44104</v>
      </c>
      <c r="B189" s="3">
        <v>2</v>
      </c>
      <c r="C189" s="3">
        <v>2.7834859999999999</v>
      </c>
      <c r="D189" s="3">
        <v>4.3536929999999998</v>
      </c>
      <c r="E189" s="3">
        <v>5.5852979999999999</v>
      </c>
      <c r="F189" s="3">
        <v>6.4169739999999997</v>
      </c>
      <c r="G189" s="3">
        <v>6.9321419999999998</v>
      </c>
      <c r="H189" s="3">
        <v>7.3090989999999998</v>
      </c>
      <c r="I189" s="3">
        <v>7.5718139999999998</v>
      </c>
      <c r="J189" s="3">
        <v>7.7650620000000004</v>
      </c>
      <c r="K189" s="3">
        <v>7.9109670000000003</v>
      </c>
      <c r="L189" s="3">
        <v>8.0274649999999994</v>
      </c>
      <c r="M189" s="3">
        <v>8.1220309999999998</v>
      </c>
      <c r="N189" s="3">
        <v>8.2004439999999992</v>
      </c>
      <c r="O189" s="3">
        <v>8.2654200000000007</v>
      </c>
      <c r="P189" s="3">
        <v>8.3208079999999995</v>
      </c>
      <c r="Q189" s="3">
        <v>8.368449</v>
      </c>
    </row>
    <row r="190" spans="1:17" ht="18.75" customHeight="1" x14ac:dyDescent="0.25">
      <c r="A190" s="2">
        <v>44135</v>
      </c>
      <c r="B190" s="3">
        <v>2</v>
      </c>
      <c r="C190" s="3">
        <v>3.2356180000000001</v>
      </c>
      <c r="D190" s="3">
        <v>4.9924059999999999</v>
      </c>
      <c r="E190" s="3">
        <v>6.0935240000000004</v>
      </c>
      <c r="F190" s="3">
        <v>6.75753</v>
      </c>
      <c r="G190" s="3">
        <v>7.1870620000000001</v>
      </c>
      <c r="H190" s="3">
        <v>7.493188</v>
      </c>
      <c r="I190" s="3">
        <v>7.7303680000000004</v>
      </c>
      <c r="J190" s="3">
        <v>7.9216810000000004</v>
      </c>
      <c r="K190" s="3">
        <v>8.083361</v>
      </c>
      <c r="L190" s="3">
        <v>8.2224339999999998</v>
      </c>
      <c r="M190" s="3">
        <v>8.3442819999999998</v>
      </c>
      <c r="N190" s="3">
        <v>8.4528739999999996</v>
      </c>
      <c r="O190" s="3">
        <v>8.5476779999999994</v>
      </c>
      <c r="P190" s="3">
        <v>8.6518420000000003</v>
      </c>
      <c r="Q190" s="3">
        <v>8.7266469999999998</v>
      </c>
    </row>
    <row r="191" spans="1:17" ht="18.75" customHeight="1" x14ac:dyDescent="0.25">
      <c r="A191" s="2">
        <v>44165</v>
      </c>
      <c r="B191" s="3">
        <v>2</v>
      </c>
      <c r="C191" s="3">
        <v>3.2289439999999998</v>
      </c>
      <c r="D191" s="3">
        <v>5.0709220000000004</v>
      </c>
      <c r="E191" s="3">
        <v>6.1915120000000003</v>
      </c>
      <c r="F191" s="3">
        <v>6.8299849999999998</v>
      </c>
      <c r="G191" s="3">
        <v>7.2241749999999998</v>
      </c>
      <c r="H191" s="3">
        <v>7.5105120000000003</v>
      </c>
      <c r="I191" s="3">
        <v>7.7519159999999996</v>
      </c>
      <c r="J191" s="3">
        <v>7.973033</v>
      </c>
      <c r="K191" s="3">
        <v>8.1802709999999994</v>
      </c>
      <c r="L191" s="3">
        <v>8.3813999999999993</v>
      </c>
      <c r="M191" s="3">
        <v>8.5741239999999994</v>
      </c>
      <c r="N191" s="3">
        <v>8.7577499999999997</v>
      </c>
      <c r="O191" s="3">
        <v>8.9348399999999994</v>
      </c>
      <c r="P191" s="3">
        <v>9.1028690000000001</v>
      </c>
      <c r="Q191" s="3">
        <v>9.2616960000000006</v>
      </c>
    </row>
    <row r="192" spans="1:17" ht="18.75" customHeight="1" x14ac:dyDescent="0.25">
      <c r="A192" s="2">
        <v>44196</v>
      </c>
      <c r="B192" s="3">
        <v>2</v>
      </c>
      <c r="C192" s="3">
        <v>2.9312399999999998</v>
      </c>
      <c r="D192" s="3">
        <v>4.4117990000000002</v>
      </c>
      <c r="E192" s="3">
        <v>5.2259849999999997</v>
      </c>
      <c r="F192" s="3">
        <v>5.7316649999999996</v>
      </c>
      <c r="G192" s="3">
        <v>6.1006910000000003</v>
      </c>
      <c r="H192" s="3">
        <v>6.4026969999999999</v>
      </c>
      <c r="I192" s="3">
        <v>6.6675409999999999</v>
      </c>
      <c r="J192" s="3">
        <v>6.9013289999999996</v>
      </c>
      <c r="K192" s="3">
        <v>7.1112419999999998</v>
      </c>
      <c r="L192" s="3">
        <v>7.3010669999999998</v>
      </c>
      <c r="M192" s="3">
        <v>7.4500520000000003</v>
      </c>
      <c r="N192" s="3">
        <v>7.6208349999999996</v>
      </c>
      <c r="O192" s="3">
        <v>7.7377950000000002</v>
      </c>
      <c r="P192" s="3">
        <v>7.8730380000000002</v>
      </c>
      <c r="Q192" s="3">
        <v>7.9669920000000003</v>
      </c>
    </row>
    <row r="193" spans="1:17" ht="18.75" customHeight="1" x14ac:dyDescent="0.25">
      <c r="A193" s="2">
        <v>44227</v>
      </c>
      <c r="B193" s="3">
        <v>2</v>
      </c>
      <c r="C193" s="3">
        <v>3.5353370000000002</v>
      </c>
      <c r="D193" s="3">
        <v>5.1401940000000002</v>
      </c>
      <c r="E193" s="3">
        <v>5.972003</v>
      </c>
      <c r="F193" s="3">
        <v>6.4501910000000002</v>
      </c>
      <c r="G193" s="3">
        <v>6.7900600000000004</v>
      </c>
      <c r="H193" s="3">
        <v>7.0744660000000001</v>
      </c>
      <c r="I193" s="3">
        <v>7.3353840000000003</v>
      </c>
      <c r="J193" s="3">
        <v>7.5772539999999999</v>
      </c>
      <c r="K193" s="3">
        <v>7.8050810000000004</v>
      </c>
      <c r="L193" s="3">
        <v>8.0204240000000002</v>
      </c>
      <c r="M193" s="3">
        <v>8.2050630000000009</v>
      </c>
      <c r="N193" s="3">
        <v>8.4041080000000008</v>
      </c>
      <c r="O193" s="3">
        <v>8.5537390000000002</v>
      </c>
      <c r="P193" s="3">
        <v>8.7432040000000004</v>
      </c>
      <c r="Q193" s="3">
        <v>8.8835759999999997</v>
      </c>
    </row>
    <row r="194" spans="1:17" ht="18.75" customHeight="1" x14ac:dyDescent="0.25">
      <c r="A194" s="2">
        <v>44255</v>
      </c>
      <c r="B194" s="3">
        <v>2</v>
      </c>
      <c r="C194" s="3">
        <v>4.2208329999999998</v>
      </c>
      <c r="D194" s="3">
        <v>6.0462879999999997</v>
      </c>
      <c r="E194" s="3">
        <v>7.0161290000000003</v>
      </c>
      <c r="F194" s="3">
        <v>7.5728600000000004</v>
      </c>
      <c r="G194" s="3">
        <v>7.9229479999999999</v>
      </c>
      <c r="H194" s="3">
        <v>8.1776719999999994</v>
      </c>
      <c r="I194" s="3">
        <v>8.3916920000000008</v>
      </c>
      <c r="J194" s="3">
        <v>8.5721919999999994</v>
      </c>
      <c r="K194" s="3">
        <v>8.7355490000000007</v>
      </c>
      <c r="L194" s="3">
        <v>8.8836759999999995</v>
      </c>
      <c r="M194" s="3">
        <v>9.0168839999999992</v>
      </c>
      <c r="N194" s="3">
        <v>9.1404350000000001</v>
      </c>
      <c r="O194" s="3">
        <v>9.2524460000000008</v>
      </c>
      <c r="P194" s="3">
        <v>9.3529549999999997</v>
      </c>
      <c r="Q194" s="3">
        <v>9.4468700000000005</v>
      </c>
    </row>
    <row r="195" spans="1:17" ht="18.75" customHeight="1" x14ac:dyDescent="0.25">
      <c r="A195" s="2">
        <v>44286</v>
      </c>
      <c r="B195" s="3">
        <v>2.75</v>
      </c>
      <c r="C195" s="3">
        <v>5.1867999999999999</v>
      </c>
      <c r="D195" s="3">
        <v>6.9080510000000004</v>
      </c>
      <c r="E195" s="3">
        <v>7.9156570000000004</v>
      </c>
      <c r="F195" s="3">
        <v>8.4929229999999993</v>
      </c>
      <c r="G195" s="3">
        <v>8.8393479999999993</v>
      </c>
      <c r="H195" s="3">
        <v>9.099278</v>
      </c>
      <c r="I195" s="3">
        <v>9.2973020000000002</v>
      </c>
      <c r="J195" s="3">
        <v>9.4485670000000006</v>
      </c>
      <c r="K195" s="3">
        <v>9.5864379999999993</v>
      </c>
      <c r="L195" s="3">
        <v>9.6772720000000003</v>
      </c>
      <c r="M195" s="3">
        <v>9.7628310000000003</v>
      </c>
      <c r="N195" s="3">
        <v>9.8363420000000001</v>
      </c>
      <c r="O195" s="3">
        <v>9.8986839999999994</v>
      </c>
      <c r="P195" s="3">
        <v>9.9515399999999996</v>
      </c>
      <c r="Q195" s="3">
        <v>9.9985929999999996</v>
      </c>
    </row>
    <row r="196" spans="1:17" ht="18.75" customHeight="1" x14ac:dyDescent="0.25">
      <c r="A196" s="2">
        <v>44316</v>
      </c>
      <c r="B196" s="3">
        <v>2.75</v>
      </c>
      <c r="C196" s="3">
        <v>5.3712939999999998</v>
      </c>
      <c r="D196" s="3">
        <v>6.8416649999999999</v>
      </c>
      <c r="E196" s="3">
        <v>7.6777680000000004</v>
      </c>
      <c r="F196" s="3">
        <v>8.2304729999999999</v>
      </c>
      <c r="G196" s="3">
        <v>8.5707360000000001</v>
      </c>
      <c r="H196" s="3">
        <v>8.8409829999999996</v>
      </c>
      <c r="I196" s="3">
        <v>9.0598899999999993</v>
      </c>
      <c r="J196" s="3">
        <v>9.2346579999999996</v>
      </c>
      <c r="K196" s="3">
        <v>9.3887590000000003</v>
      </c>
      <c r="L196" s="3">
        <v>9.5076219999999996</v>
      </c>
      <c r="M196" s="3">
        <v>9.6142859999999999</v>
      </c>
      <c r="N196" s="3">
        <v>9.7064500000000002</v>
      </c>
      <c r="O196" s="3">
        <v>9.7845259999999996</v>
      </c>
      <c r="P196" s="3">
        <v>9.8676110000000001</v>
      </c>
      <c r="Q196" s="3">
        <v>9.9264200000000002</v>
      </c>
    </row>
    <row r="197" spans="1:17" ht="18.75" customHeight="1" x14ac:dyDescent="0.25">
      <c r="A197" s="2">
        <v>44347</v>
      </c>
      <c r="B197" s="3">
        <v>3.5</v>
      </c>
      <c r="C197" s="3">
        <v>6.0056349999999998</v>
      </c>
      <c r="D197" s="3">
        <v>7.2598180000000001</v>
      </c>
      <c r="E197" s="3">
        <v>7.8619320000000004</v>
      </c>
      <c r="F197" s="3">
        <v>8.24573</v>
      </c>
      <c r="G197" s="3">
        <v>8.5436789999999991</v>
      </c>
      <c r="H197" s="3">
        <v>8.7951899999999998</v>
      </c>
      <c r="I197" s="3">
        <v>9.014526</v>
      </c>
      <c r="J197" s="3">
        <v>9.2074999999999996</v>
      </c>
      <c r="K197" s="3">
        <v>9.3770380000000007</v>
      </c>
      <c r="L197" s="3">
        <v>9.5268200000000007</v>
      </c>
      <c r="M197" s="3">
        <v>9.6593859999999996</v>
      </c>
      <c r="N197" s="3">
        <v>9.7736230000000006</v>
      </c>
      <c r="O197" s="3">
        <v>9.8735630000000008</v>
      </c>
      <c r="P197" s="3">
        <v>9.9616249999999997</v>
      </c>
      <c r="Q197" s="3">
        <v>10.039501</v>
      </c>
    </row>
    <row r="198" spans="1:17" ht="18.75" customHeight="1" x14ac:dyDescent="0.25">
      <c r="A198" s="2">
        <v>44377</v>
      </c>
      <c r="B198" s="3">
        <v>4.25</v>
      </c>
      <c r="C198" s="3">
        <v>6.6515930000000001</v>
      </c>
      <c r="D198" s="3">
        <v>7.6503170000000003</v>
      </c>
      <c r="E198" s="3">
        <v>8.0700450000000004</v>
      </c>
      <c r="F198" s="3">
        <v>8.3437739999999998</v>
      </c>
      <c r="G198" s="3">
        <v>8.5728709999999992</v>
      </c>
      <c r="H198" s="3">
        <v>8.7786670000000004</v>
      </c>
      <c r="I198" s="3">
        <v>8.9676950000000009</v>
      </c>
      <c r="J198" s="3">
        <v>9.1372750000000007</v>
      </c>
      <c r="K198" s="3">
        <v>9.2898429999999994</v>
      </c>
      <c r="L198" s="3">
        <v>9.4110209999999999</v>
      </c>
      <c r="M198" s="3">
        <v>9.5365819999999992</v>
      </c>
      <c r="N198" s="3">
        <v>9.6459759999999992</v>
      </c>
      <c r="O198" s="3">
        <v>9.742483</v>
      </c>
      <c r="P198" s="3">
        <v>9.8280670000000008</v>
      </c>
      <c r="Q198" s="3">
        <v>9.9041250000000005</v>
      </c>
    </row>
    <row r="199" spans="1:17" ht="18.75" customHeight="1" x14ac:dyDescent="0.25">
      <c r="A199" s="2">
        <v>44408</v>
      </c>
      <c r="B199" s="3">
        <v>4.25</v>
      </c>
      <c r="C199" s="3">
        <v>7.5044370000000002</v>
      </c>
      <c r="D199" s="3">
        <v>8.3933499999999999</v>
      </c>
      <c r="E199" s="3">
        <v>8.7619439999999997</v>
      </c>
      <c r="F199" s="3">
        <v>8.9797519999999995</v>
      </c>
      <c r="G199" s="3">
        <v>9.1532590000000003</v>
      </c>
      <c r="H199" s="3">
        <v>9.3100330000000007</v>
      </c>
      <c r="I199" s="3">
        <v>9.4608070000000009</v>
      </c>
      <c r="J199" s="3">
        <v>9.6138359999999992</v>
      </c>
      <c r="K199" s="3">
        <v>9.7339179999999992</v>
      </c>
      <c r="L199" s="3">
        <v>9.8507499999999997</v>
      </c>
      <c r="M199" s="3">
        <v>9.9638270000000002</v>
      </c>
      <c r="N199" s="3">
        <v>10.06751</v>
      </c>
      <c r="O199" s="3">
        <v>10.160323999999999</v>
      </c>
      <c r="P199" s="3">
        <v>10.264896999999999</v>
      </c>
      <c r="Q199" s="3">
        <v>10.340591</v>
      </c>
    </row>
    <row r="200" spans="1:17" ht="18.75" customHeight="1" x14ac:dyDescent="0.25">
      <c r="A200" s="2">
        <v>44439</v>
      </c>
      <c r="B200" s="3">
        <v>5.25</v>
      </c>
      <c r="C200" s="3">
        <v>8.2383089999999992</v>
      </c>
      <c r="D200" s="3">
        <v>9.1495999999999995</v>
      </c>
      <c r="E200" s="3">
        <v>9.5713430000000006</v>
      </c>
      <c r="F200" s="3">
        <v>9.8770930000000003</v>
      </c>
      <c r="G200" s="3">
        <v>10.11613</v>
      </c>
      <c r="H200" s="3">
        <v>10.308187</v>
      </c>
      <c r="I200" s="3">
        <v>10.466820999999999</v>
      </c>
      <c r="J200" s="3">
        <v>10.59737</v>
      </c>
      <c r="K200" s="3">
        <v>10.705774999999999</v>
      </c>
      <c r="L200" s="3">
        <v>10.797010999999999</v>
      </c>
      <c r="M200" s="3">
        <v>10.874267</v>
      </c>
      <c r="N200" s="3">
        <v>10.938969</v>
      </c>
      <c r="O200" s="3">
        <v>10.994341</v>
      </c>
      <c r="P200" s="3">
        <v>11.041962</v>
      </c>
      <c r="Q200" s="3">
        <v>11.083435</v>
      </c>
    </row>
    <row r="201" spans="1:17" ht="18.75" customHeight="1" x14ac:dyDescent="0.25">
      <c r="A201" s="2">
        <v>44469</v>
      </c>
      <c r="B201" s="3">
        <v>6.25</v>
      </c>
      <c r="C201" s="3">
        <v>8.9648599999999998</v>
      </c>
      <c r="D201" s="3">
        <v>9.9018689999999996</v>
      </c>
      <c r="E201" s="3">
        <v>10.308959</v>
      </c>
      <c r="F201" s="3">
        <v>10.561957</v>
      </c>
      <c r="G201" s="3">
        <v>10.750548999999999</v>
      </c>
      <c r="H201" s="3">
        <v>10.926719</v>
      </c>
      <c r="I201" s="3">
        <v>11.087910000000001</v>
      </c>
      <c r="J201" s="3">
        <v>11.232905000000001</v>
      </c>
      <c r="K201" s="3">
        <v>11.364051</v>
      </c>
      <c r="L201" s="3">
        <v>11.483641</v>
      </c>
      <c r="M201" s="3">
        <v>11.59071</v>
      </c>
      <c r="N201" s="3">
        <v>11.684485</v>
      </c>
      <c r="O201" s="3">
        <v>11.767613000000001</v>
      </c>
      <c r="P201" s="3">
        <v>11.841097</v>
      </c>
      <c r="Q201" s="3">
        <v>11.906459</v>
      </c>
    </row>
    <row r="202" spans="1:17" ht="18.75" customHeight="1" x14ac:dyDescent="0.25">
      <c r="A202" s="2">
        <v>44500</v>
      </c>
      <c r="B202" s="3">
        <v>7.75</v>
      </c>
      <c r="C202" s="3">
        <v>11.954886</v>
      </c>
      <c r="D202" s="3">
        <v>12.360027000000001</v>
      </c>
      <c r="E202" s="3">
        <v>12.234282</v>
      </c>
      <c r="F202" s="3">
        <v>12.156328</v>
      </c>
      <c r="G202" s="3">
        <v>12.144296000000001</v>
      </c>
      <c r="H202" s="3">
        <v>12.164242</v>
      </c>
      <c r="I202" s="3">
        <v>12.195306</v>
      </c>
      <c r="J202" s="3">
        <v>12.227290999999999</v>
      </c>
      <c r="K202" s="3">
        <v>12.257218999999999</v>
      </c>
      <c r="L202" s="3">
        <v>12.283581999999999</v>
      </c>
      <c r="M202" s="3">
        <v>12.306540999999999</v>
      </c>
      <c r="N202" s="3">
        <v>12.326192000000001</v>
      </c>
      <c r="O202" s="3">
        <v>12.342924999999999</v>
      </c>
      <c r="P202" s="3">
        <v>12.360785999999999</v>
      </c>
      <c r="Q202" s="3">
        <v>12.370239</v>
      </c>
    </row>
    <row r="203" spans="1:17" ht="18.75" customHeight="1" x14ac:dyDescent="0.25">
      <c r="A203" s="2">
        <v>44530</v>
      </c>
      <c r="B203" s="3">
        <v>7.75</v>
      </c>
      <c r="C203" s="3">
        <v>11.839898</v>
      </c>
      <c r="D203" s="3">
        <v>11.854153</v>
      </c>
      <c r="E203" s="3">
        <v>11.571168</v>
      </c>
      <c r="F203" s="3">
        <v>11.420506</v>
      </c>
      <c r="G203" s="3">
        <v>11.367293999999999</v>
      </c>
      <c r="H203" s="3">
        <v>11.358114</v>
      </c>
      <c r="I203" s="3">
        <v>11.366156</v>
      </c>
      <c r="J203" s="3">
        <v>11.379327999999999</v>
      </c>
      <c r="K203" s="3">
        <v>11.393134999999999</v>
      </c>
      <c r="L203" s="3">
        <v>11.405720000000001</v>
      </c>
      <c r="M203" s="3">
        <v>11.416656</v>
      </c>
      <c r="N203" s="3">
        <v>11.426173</v>
      </c>
      <c r="O203" s="3">
        <v>11.434340000000001</v>
      </c>
      <c r="P203" s="3">
        <v>11.441381</v>
      </c>
      <c r="Q203" s="3">
        <v>11.447585</v>
      </c>
    </row>
    <row r="204" spans="1:17" ht="18.75" customHeight="1" x14ac:dyDescent="0.25">
      <c r="A204" s="2">
        <v>44561</v>
      </c>
      <c r="B204" s="1">
        <v>9.25</v>
      </c>
      <c r="C204" s="3">
        <v>11.7904</v>
      </c>
      <c r="D204" s="3">
        <v>11.165979</v>
      </c>
      <c r="E204" s="3">
        <v>10.712399</v>
      </c>
      <c r="F204" s="3">
        <v>10.592129</v>
      </c>
      <c r="G204" s="3">
        <v>10.615322000000001</v>
      </c>
      <c r="H204" s="3">
        <v>10.686394</v>
      </c>
      <c r="I204" s="3">
        <v>10.762948</v>
      </c>
      <c r="J204" s="3">
        <v>10.832712000000001</v>
      </c>
      <c r="K204" s="3">
        <v>10.893069000000001</v>
      </c>
      <c r="L204" s="3">
        <v>10.937773</v>
      </c>
      <c r="M204" s="3">
        <v>10.985939999999999</v>
      </c>
      <c r="N204" s="3">
        <v>11.017110000000001</v>
      </c>
      <c r="O204" s="3">
        <v>11.051482999999999</v>
      </c>
      <c r="P204" s="3">
        <v>11.077436000000001</v>
      </c>
      <c r="Q204" s="3">
        <v>11.100315999999999</v>
      </c>
    </row>
    <row r="205" spans="1:17" ht="18.75" customHeight="1" x14ac:dyDescent="0.25">
      <c r="A205" s="2">
        <v>44592</v>
      </c>
      <c r="B205" s="1">
        <v>9.25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AA6F-ACF9-49C7-A4AE-4D975297D24D}">
  <dimension ref="A1:Q206"/>
  <sheetViews>
    <sheetView workbookViewId="0">
      <pane ySplit="1" topLeftCell="A179" activePane="bottomLeft" state="frozen"/>
      <selection activeCell="A2" sqref="A2"/>
      <selection pane="bottomLeft" activeCell="A205" sqref="A205"/>
    </sheetView>
  </sheetViews>
  <sheetFormatPr defaultColWidth="11.875" defaultRowHeight="18.75" customHeight="1" x14ac:dyDescent="0.25"/>
  <cols>
    <col min="1" max="16384" width="11.875" style="1"/>
  </cols>
  <sheetData>
    <row r="1" spans="1:17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customHeight="1" x14ac:dyDescent="0.25">
      <c r="A2" s="2">
        <v>38411</v>
      </c>
      <c r="B2" s="3">
        <f>(('Juro Nominal'!B2/100+1)/('Inflação Implícita'!B2/100+1)-1)*100</f>
        <v>10.578266132787029</v>
      </c>
      <c r="C2" s="3">
        <v>11.73</v>
      </c>
      <c r="D2" s="3">
        <v>11.38</v>
      </c>
      <c r="E2" s="3">
        <v>9.89</v>
      </c>
      <c r="F2" s="3">
        <v>9.3699999999999992</v>
      </c>
      <c r="G2" s="3">
        <v>9.24</v>
      </c>
      <c r="H2" s="3">
        <v>9.52</v>
      </c>
      <c r="I2" s="3">
        <v>9.48</v>
      </c>
      <c r="J2" s="3">
        <v>9.4499999999999993</v>
      </c>
      <c r="K2" s="3">
        <v>9.4499999999999993</v>
      </c>
      <c r="L2" s="3">
        <v>9.4499999999999993</v>
      </c>
      <c r="M2" s="3">
        <v>9.4499999999999993</v>
      </c>
      <c r="N2" s="3">
        <v>9.4499999999999993</v>
      </c>
      <c r="O2" s="3">
        <v>9.4499999999999993</v>
      </c>
      <c r="P2" s="3">
        <v>9.4499999999999993</v>
      </c>
      <c r="Q2" s="3">
        <v>9.4499999999999993</v>
      </c>
    </row>
    <row r="3" spans="1:17" ht="18.75" customHeight="1" x14ac:dyDescent="0.25">
      <c r="A3" s="2">
        <v>38442</v>
      </c>
      <c r="B3" s="3">
        <f>(('Juro Nominal'!B3/100+1)/('Inflação Implícita'!B3/100+1)-1)*100</f>
        <v>10.88897154547146</v>
      </c>
      <c r="C3" s="3">
        <v>11.39</v>
      </c>
      <c r="D3" s="3">
        <v>10.69</v>
      </c>
      <c r="E3" s="3">
        <v>9.75</v>
      </c>
      <c r="F3" s="3">
        <v>9.18</v>
      </c>
      <c r="G3" s="3">
        <v>8.9700000000000006</v>
      </c>
      <c r="H3" s="3">
        <v>9</v>
      </c>
      <c r="I3" s="3">
        <v>9</v>
      </c>
      <c r="J3" s="3">
        <v>9</v>
      </c>
      <c r="K3" s="3">
        <v>9</v>
      </c>
      <c r="L3" s="3">
        <v>9</v>
      </c>
      <c r="M3" s="3">
        <v>9</v>
      </c>
      <c r="N3" s="3">
        <v>9</v>
      </c>
      <c r="O3" s="3">
        <v>9</v>
      </c>
      <c r="P3" s="3">
        <v>9</v>
      </c>
      <c r="Q3" s="3">
        <v>9</v>
      </c>
    </row>
    <row r="4" spans="1:17" ht="18.75" customHeight="1" x14ac:dyDescent="0.25">
      <c r="A4" s="2">
        <v>38472</v>
      </c>
      <c r="B4" s="3">
        <f>(('Juro Nominal'!B4/100+1)/('Inflação Implícita'!B4/100+1)-1)*100</f>
        <v>10.576478208568529</v>
      </c>
      <c r="C4" s="3">
        <v>11.57</v>
      </c>
      <c r="D4" s="3">
        <v>10.8</v>
      </c>
      <c r="E4" s="3">
        <v>9.83</v>
      </c>
      <c r="F4" s="3">
        <v>9.25</v>
      </c>
      <c r="G4" s="3">
        <v>9.1</v>
      </c>
      <c r="H4" s="3">
        <v>9</v>
      </c>
      <c r="I4" s="3">
        <v>9</v>
      </c>
      <c r="J4" s="3">
        <v>9</v>
      </c>
      <c r="K4" s="3">
        <v>9</v>
      </c>
      <c r="L4" s="3">
        <v>9</v>
      </c>
      <c r="M4" s="3">
        <v>9</v>
      </c>
      <c r="N4" s="3">
        <v>9</v>
      </c>
      <c r="O4" s="3">
        <v>9</v>
      </c>
      <c r="P4" s="3">
        <v>9</v>
      </c>
      <c r="Q4" s="3">
        <v>9</v>
      </c>
    </row>
    <row r="5" spans="1:17" ht="18.75" customHeight="1" x14ac:dyDescent="0.25">
      <c r="A5" s="2">
        <v>38503</v>
      </c>
      <c r="B5" s="3">
        <f>(('Juro Nominal'!B5/100+1)/('Inflação Implícita'!B5/100+1)-1)*100</f>
        <v>10.828320222119391</v>
      </c>
      <c r="C5" s="3">
        <v>12.44</v>
      </c>
      <c r="D5" s="3">
        <v>11.34</v>
      </c>
      <c r="E5" s="3">
        <v>10.199999999999999</v>
      </c>
      <c r="F5" s="3">
        <v>9.4600000000000009</v>
      </c>
      <c r="G5" s="3">
        <v>9.41</v>
      </c>
      <c r="H5" s="3">
        <v>8.75</v>
      </c>
      <c r="I5" s="3">
        <v>8.75</v>
      </c>
      <c r="J5" s="3">
        <v>8.75</v>
      </c>
      <c r="K5" s="3">
        <v>8.75</v>
      </c>
      <c r="L5" s="3">
        <v>8.75</v>
      </c>
      <c r="M5" s="3">
        <v>8.75</v>
      </c>
      <c r="N5" s="3">
        <v>8.75</v>
      </c>
      <c r="O5" s="3">
        <v>8.75</v>
      </c>
      <c r="P5" s="3">
        <v>8.75</v>
      </c>
      <c r="Q5" s="3">
        <v>8.75</v>
      </c>
    </row>
    <row r="6" spans="1:17" ht="18.75" customHeight="1" x14ac:dyDescent="0.25">
      <c r="A6" s="2">
        <v>38533</v>
      </c>
      <c r="B6" s="3">
        <f>(('Juro Nominal'!B6/100+1)/('Inflação Implícita'!B6/100+1)-1)*100</f>
        <v>11.63419408968025</v>
      </c>
      <c r="C6" s="3">
        <v>12.06</v>
      </c>
      <c r="D6" s="3">
        <v>10.27</v>
      </c>
      <c r="E6" s="3">
        <v>9.43</v>
      </c>
      <c r="F6" s="3">
        <v>9.16</v>
      </c>
      <c r="G6" s="3">
        <v>8.9600000000000009</v>
      </c>
      <c r="H6" s="3">
        <v>9.08</v>
      </c>
      <c r="I6" s="3">
        <v>9.08</v>
      </c>
      <c r="J6" s="3">
        <v>9.08</v>
      </c>
      <c r="K6" s="3">
        <v>9.08</v>
      </c>
      <c r="L6" s="3">
        <v>9.08</v>
      </c>
      <c r="M6" s="3">
        <v>9.08</v>
      </c>
      <c r="N6" s="3">
        <v>9.08</v>
      </c>
      <c r="O6" s="3">
        <v>9.08</v>
      </c>
      <c r="P6" s="3">
        <v>9.08</v>
      </c>
      <c r="Q6" s="3">
        <v>9.08</v>
      </c>
    </row>
    <row r="7" spans="1:17" ht="18.75" customHeight="1" x14ac:dyDescent="0.25">
      <c r="A7" s="2">
        <v>38564</v>
      </c>
      <c r="B7" s="3">
        <f>(('Juro Nominal'!B7/100+1)/('Inflação Implícita'!B7/100+1)-1)*100</f>
        <v>12.367458008820487</v>
      </c>
      <c r="C7" s="3">
        <v>12.62</v>
      </c>
      <c r="D7" s="3">
        <v>10.38</v>
      </c>
      <c r="E7" s="3">
        <v>9.48</v>
      </c>
      <c r="F7" s="3">
        <v>9.1300000000000008</v>
      </c>
      <c r="G7" s="3">
        <v>8.92</v>
      </c>
      <c r="H7" s="3">
        <v>8.9700000000000006</v>
      </c>
      <c r="I7" s="3">
        <v>9.01</v>
      </c>
      <c r="J7" s="3">
        <v>9.0399999999999991</v>
      </c>
      <c r="K7" s="3">
        <v>9.0399999999999991</v>
      </c>
      <c r="L7" s="3">
        <v>9.0399999999999991</v>
      </c>
      <c r="M7" s="3">
        <v>9.0399999999999991</v>
      </c>
      <c r="N7" s="3">
        <v>9.0399999999999991</v>
      </c>
      <c r="O7" s="3">
        <v>9.0399999999999991</v>
      </c>
      <c r="P7" s="3">
        <v>9.0399999999999991</v>
      </c>
      <c r="Q7" s="3">
        <v>9.0399999999999991</v>
      </c>
    </row>
    <row r="8" spans="1:17" ht="18.75" customHeight="1" x14ac:dyDescent="0.25">
      <c r="A8" s="2">
        <v>38595</v>
      </c>
      <c r="B8" s="3">
        <f>(('Juro Nominal'!B8/100+1)/('Inflação Implícita'!B8/100+1)-1)*100</f>
        <v>12.950386719486895</v>
      </c>
      <c r="C8" s="3">
        <v>15.67</v>
      </c>
      <c r="D8" s="3">
        <v>12.29</v>
      </c>
      <c r="E8" s="3">
        <v>10.91</v>
      </c>
      <c r="F8" s="3">
        <v>10.14</v>
      </c>
      <c r="G8" s="3">
        <v>9.77</v>
      </c>
      <c r="H8" s="3">
        <v>9.77</v>
      </c>
      <c r="I8" s="3">
        <v>9.77</v>
      </c>
      <c r="J8" s="3">
        <v>9.77</v>
      </c>
      <c r="K8" s="3">
        <v>9.77</v>
      </c>
      <c r="L8" s="3">
        <v>9.77</v>
      </c>
      <c r="M8" s="3">
        <v>9.77</v>
      </c>
      <c r="N8" s="3">
        <v>9.77</v>
      </c>
      <c r="O8" s="3">
        <v>9.77</v>
      </c>
      <c r="P8" s="3">
        <v>9.77</v>
      </c>
      <c r="Q8" s="3">
        <v>9.77</v>
      </c>
    </row>
    <row r="9" spans="1:17" ht="18.75" customHeight="1" x14ac:dyDescent="0.25">
      <c r="A9" s="2">
        <v>38625</v>
      </c>
      <c r="B9" s="3">
        <f>(('Juro Nominal'!B9/100+1)/('Inflação Implícita'!B9/100+1)-1)*100</f>
        <v>12.693323274236135</v>
      </c>
      <c r="C9" s="3">
        <v>13.5</v>
      </c>
      <c r="D9" s="3">
        <v>11.34</v>
      </c>
      <c r="E9" s="3">
        <v>10.36</v>
      </c>
      <c r="F9" s="3">
        <v>9.98</v>
      </c>
      <c r="G9" s="3">
        <v>9.57</v>
      </c>
      <c r="H9" s="3">
        <v>9.57</v>
      </c>
      <c r="I9" s="3">
        <v>9.57</v>
      </c>
      <c r="J9" s="3">
        <v>9.57</v>
      </c>
      <c r="K9" s="3">
        <v>9.57</v>
      </c>
      <c r="L9" s="3">
        <v>9.57</v>
      </c>
      <c r="M9" s="3">
        <v>9.57</v>
      </c>
      <c r="N9" s="3">
        <v>9.57</v>
      </c>
      <c r="O9" s="3">
        <v>9.57</v>
      </c>
      <c r="P9" s="3">
        <v>9.57</v>
      </c>
      <c r="Q9" s="3">
        <v>9.57</v>
      </c>
    </row>
    <row r="10" spans="1:17" ht="18.75" customHeight="1" x14ac:dyDescent="0.25">
      <c r="A10" s="2">
        <v>38656</v>
      </c>
      <c r="B10" s="3">
        <f>(('Juro Nominal'!B10/100+1)/('Inflação Implícita'!B10/100+1)-1)*100</f>
        <v>11.88416698006769</v>
      </c>
      <c r="C10" s="3">
        <v>13.25</v>
      </c>
      <c r="D10" s="3">
        <v>12.29</v>
      </c>
      <c r="E10" s="3">
        <v>11.8</v>
      </c>
      <c r="F10" s="3">
        <v>10.61</v>
      </c>
      <c r="G10" s="3">
        <v>9.91</v>
      </c>
      <c r="H10" s="3">
        <v>9.91</v>
      </c>
      <c r="I10" s="3">
        <v>9.91</v>
      </c>
      <c r="J10" s="3">
        <v>9.91</v>
      </c>
      <c r="K10" s="3">
        <v>9.91</v>
      </c>
      <c r="L10" s="3">
        <v>9.91</v>
      </c>
      <c r="M10" s="3">
        <v>9.91</v>
      </c>
      <c r="N10" s="3">
        <v>9.91</v>
      </c>
      <c r="O10" s="3">
        <v>9.91</v>
      </c>
      <c r="P10" s="3">
        <v>9.91</v>
      </c>
      <c r="Q10" s="3">
        <v>9.91</v>
      </c>
    </row>
    <row r="11" spans="1:17" ht="18.75" customHeight="1" x14ac:dyDescent="0.25">
      <c r="A11" s="2">
        <v>38686</v>
      </c>
      <c r="B11" s="3">
        <f>(('Juro Nominal'!B11/100+1)/('Inflação Implícita'!B11/100+1)-1)*100</f>
        <v>11.560911316136323</v>
      </c>
      <c r="C11" s="3">
        <v>12.89</v>
      </c>
      <c r="D11" s="3">
        <v>11.97</v>
      </c>
      <c r="E11" s="3">
        <v>11.48</v>
      </c>
      <c r="F11" s="3">
        <v>10.35</v>
      </c>
      <c r="G11" s="3">
        <v>9.6300000000000008</v>
      </c>
      <c r="H11" s="3">
        <v>9.6300000000000008</v>
      </c>
      <c r="I11" s="3">
        <v>9.6300000000000008</v>
      </c>
      <c r="J11" s="3">
        <v>9.6300000000000008</v>
      </c>
      <c r="K11" s="3">
        <v>9.6300000000000008</v>
      </c>
      <c r="L11" s="3">
        <v>9.6300000000000008</v>
      </c>
      <c r="M11" s="3">
        <v>9.6300000000000008</v>
      </c>
      <c r="N11" s="3">
        <v>9.6300000000000008</v>
      </c>
      <c r="O11" s="3">
        <v>9.6300000000000008</v>
      </c>
      <c r="P11" s="3">
        <v>9.6300000000000008</v>
      </c>
      <c r="Q11" s="3">
        <v>9.6300000000000008</v>
      </c>
    </row>
    <row r="12" spans="1:17" ht="18.75" customHeight="1" x14ac:dyDescent="0.25">
      <c r="A12" s="2">
        <v>38717</v>
      </c>
      <c r="B12" s="3">
        <f>(('Juro Nominal'!B12/100+1)/('Inflação Implícita'!B12/100+1)-1)*100</f>
        <v>11.647270318857039</v>
      </c>
      <c r="C12" s="3">
        <v>12.19</v>
      </c>
      <c r="D12" s="3">
        <v>11.6</v>
      </c>
      <c r="E12" s="3">
        <v>11.2</v>
      </c>
      <c r="F12" s="3">
        <v>10.199999999999999</v>
      </c>
      <c r="G12" s="3">
        <v>9.59</v>
      </c>
      <c r="H12" s="3">
        <v>9.43</v>
      </c>
      <c r="I12" s="3">
        <v>9.39</v>
      </c>
      <c r="J12" s="3">
        <v>9.39</v>
      </c>
      <c r="K12" s="3">
        <v>9.39</v>
      </c>
      <c r="L12" s="3">
        <v>9.39</v>
      </c>
      <c r="M12" s="3">
        <v>9.39</v>
      </c>
      <c r="N12" s="3">
        <v>9.39</v>
      </c>
      <c r="O12" s="3">
        <v>9.39</v>
      </c>
      <c r="P12" s="3">
        <v>9.39</v>
      </c>
      <c r="Q12" s="3">
        <v>9.39</v>
      </c>
    </row>
    <row r="13" spans="1:17" ht="18.75" customHeight="1" x14ac:dyDescent="0.25">
      <c r="A13" s="2">
        <v>38748</v>
      </c>
      <c r="B13" s="3">
        <f>(('Juro Nominal'!B13/100+1)/('Inflação Implícita'!B13/100+1)-1)*100</f>
        <v>10.927152317880795</v>
      </c>
      <c r="C13" s="3">
        <v>11.22</v>
      </c>
      <c r="D13" s="3">
        <v>10.79</v>
      </c>
      <c r="E13" s="3">
        <v>10.4</v>
      </c>
      <c r="F13" s="3">
        <v>9.8000000000000007</v>
      </c>
      <c r="G13" s="3">
        <v>9.4700000000000006</v>
      </c>
      <c r="H13" s="3">
        <v>9.4700000000000006</v>
      </c>
      <c r="I13" s="3">
        <v>9.4700000000000006</v>
      </c>
      <c r="J13" s="3">
        <v>9.4700000000000006</v>
      </c>
      <c r="K13" s="3">
        <v>9.4700000000000006</v>
      </c>
      <c r="L13" s="3">
        <v>9.4700000000000006</v>
      </c>
      <c r="M13" s="3">
        <v>9.4700000000000006</v>
      </c>
      <c r="N13" s="3">
        <v>9.4700000000000006</v>
      </c>
      <c r="O13" s="3">
        <v>9.4700000000000006</v>
      </c>
      <c r="P13" s="3">
        <v>9.4700000000000006</v>
      </c>
      <c r="Q13" s="3">
        <v>9.4700000000000006</v>
      </c>
    </row>
    <row r="14" spans="1:17" ht="18.75" customHeight="1" x14ac:dyDescent="0.25">
      <c r="A14" s="2">
        <v>38776</v>
      </c>
      <c r="B14" s="3">
        <f>(('Juro Nominal'!B14/100+1)/('Inflação Implícita'!B14/100+1)-1)*100</f>
        <v>11.126907402141972</v>
      </c>
      <c r="C14" s="3">
        <v>10.6</v>
      </c>
      <c r="D14" s="3">
        <v>9.9499999999999993</v>
      </c>
      <c r="E14" s="3">
        <v>9.64</v>
      </c>
      <c r="F14" s="3">
        <v>9.1</v>
      </c>
      <c r="G14" s="3">
        <v>8.8000000000000007</v>
      </c>
      <c r="H14" s="3">
        <v>8.84</v>
      </c>
      <c r="I14" s="3">
        <v>8.5</v>
      </c>
      <c r="J14" s="3">
        <v>8.5</v>
      </c>
      <c r="K14" s="3">
        <v>8.5</v>
      </c>
      <c r="L14" s="3">
        <v>8.5</v>
      </c>
      <c r="M14" s="3">
        <v>8.5</v>
      </c>
      <c r="N14" s="3">
        <v>8.5</v>
      </c>
      <c r="O14" s="3">
        <v>8.5</v>
      </c>
      <c r="P14" s="3">
        <v>8.5</v>
      </c>
      <c r="Q14" s="3">
        <v>8.5</v>
      </c>
    </row>
    <row r="15" spans="1:17" ht="18.75" customHeight="1" x14ac:dyDescent="0.25">
      <c r="A15" s="2">
        <v>38807</v>
      </c>
      <c r="B15" s="3">
        <f>(('Juro Nominal'!B15/100+1)/('Inflação Implícita'!B15/100+1)-1)*100</f>
        <v>10.615267755412084</v>
      </c>
      <c r="C15" s="3">
        <v>10.039999999999999</v>
      </c>
      <c r="D15" s="3">
        <v>9.75</v>
      </c>
      <c r="E15" s="3">
        <v>9.58</v>
      </c>
      <c r="F15" s="3">
        <v>9.43</v>
      </c>
      <c r="G15" s="3">
        <v>9.2799999999999994</v>
      </c>
      <c r="H15" s="3">
        <v>9.23</v>
      </c>
      <c r="I15" s="3">
        <v>9.15</v>
      </c>
      <c r="J15" s="3">
        <v>9.15</v>
      </c>
      <c r="K15" s="3">
        <v>9.15</v>
      </c>
      <c r="L15" s="3">
        <v>9.15</v>
      </c>
      <c r="M15" s="3">
        <v>9.15</v>
      </c>
      <c r="N15" s="3">
        <v>9.15</v>
      </c>
      <c r="O15" s="3">
        <v>9.15</v>
      </c>
      <c r="P15" s="3">
        <v>9.15</v>
      </c>
      <c r="Q15" s="3">
        <v>9.15</v>
      </c>
    </row>
    <row r="16" spans="1:17" ht="18.75" customHeight="1" x14ac:dyDescent="0.25">
      <c r="A16" s="2">
        <v>38837</v>
      </c>
      <c r="B16" s="3">
        <f>(('Juro Nominal'!B16/100+1)/('Inflação Implícita'!B16/100+1)-1)*100</f>
        <v>10.627926980789448</v>
      </c>
      <c r="C16" s="3">
        <v>10.02</v>
      </c>
      <c r="D16" s="3">
        <v>9.7899999999999991</v>
      </c>
      <c r="E16" s="3">
        <v>9.6999999999999993</v>
      </c>
      <c r="F16" s="3">
        <v>9.6300000000000008</v>
      </c>
      <c r="G16" s="3">
        <v>9.5500000000000007</v>
      </c>
      <c r="H16" s="3">
        <v>9.5500000000000007</v>
      </c>
      <c r="I16" s="3">
        <v>9.5500000000000007</v>
      </c>
      <c r="J16" s="3">
        <v>9.5500000000000007</v>
      </c>
      <c r="K16" s="3">
        <v>9.5500000000000007</v>
      </c>
      <c r="L16" s="3">
        <v>9.5500000000000007</v>
      </c>
      <c r="M16" s="3">
        <v>9.5500000000000007</v>
      </c>
      <c r="N16" s="3">
        <v>9.5500000000000007</v>
      </c>
      <c r="O16" s="3">
        <v>9.5500000000000007</v>
      </c>
      <c r="P16" s="3">
        <v>9.5500000000000007</v>
      </c>
      <c r="Q16" s="3">
        <v>9.5500000000000007</v>
      </c>
    </row>
    <row r="17" spans="1:17" ht="18.75" customHeight="1" x14ac:dyDescent="0.25">
      <c r="A17" s="2">
        <v>38868</v>
      </c>
      <c r="B17" s="3">
        <f>(('Juro Nominal'!B17/100+1)/('Inflação Implícita'!B17/100+1)-1)*100</f>
        <v>11.052480092104</v>
      </c>
      <c r="C17" s="3">
        <v>10.73</v>
      </c>
      <c r="D17" s="3">
        <v>10.69</v>
      </c>
      <c r="E17" s="3">
        <v>10.52</v>
      </c>
      <c r="F17" s="3">
        <v>10.48</v>
      </c>
      <c r="G17" s="3">
        <v>10.199999999999999</v>
      </c>
      <c r="H17" s="3">
        <v>10.199999999999999</v>
      </c>
      <c r="I17" s="3">
        <v>10.199999999999999</v>
      </c>
      <c r="J17" s="3">
        <v>10.199999999999999</v>
      </c>
      <c r="K17" s="3">
        <v>10.199999999999999</v>
      </c>
      <c r="L17" s="3">
        <v>10.199999999999999</v>
      </c>
      <c r="M17" s="3">
        <v>10.199999999999999</v>
      </c>
      <c r="N17" s="3">
        <v>10.199999999999999</v>
      </c>
      <c r="O17" s="3">
        <v>10.199999999999999</v>
      </c>
      <c r="P17" s="3">
        <v>10.199999999999999</v>
      </c>
      <c r="Q17" s="3">
        <v>10.199999999999999</v>
      </c>
    </row>
    <row r="18" spans="1:17" ht="18.75" customHeight="1" x14ac:dyDescent="0.25">
      <c r="A18" s="2">
        <v>38898</v>
      </c>
      <c r="B18" s="3">
        <f>(('Juro Nominal'!B18/100+1)/('Inflação Implícita'!B18/100+1)-1)*100</f>
        <v>10.785350379698166</v>
      </c>
      <c r="C18" s="3">
        <v>10.36</v>
      </c>
      <c r="D18" s="3">
        <v>10.38</v>
      </c>
      <c r="E18" s="3">
        <v>10.43</v>
      </c>
      <c r="F18" s="3">
        <v>10.37</v>
      </c>
      <c r="G18" s="3">
        <v>10.37</v>
      </c>
      <c r="H18" s="3">
        <v>10.37</v>
      </c>
      <c r="I18" s="3">
        <v>10.37</v>
      </c>
      <c r="J18" s="3">
        <v>10.37</v>
      </c>
      <c r="K18" s="3">
        <v>10.37</v>
      </c>
      <c r="L18" s="3">
        <v>10.37</v>
      </c>
      <c r="M18" s="3">
        <v>10.37</v>
      </c>
      <c r="N18" s="3">
        <v>10.37</v>
      </c>
      <c r="O18" s="3">
        <v>10.37</v>
      </c>
      <c r="P18" s="3">
        <v>10.37</v>
      </c>
      <c r="Q18" s="3">
        <v>10.37</v>
      </c>
    </row>
    <row r="19" spans="1:17" ht="18.75" customHeight="1" x14ac:dyDescent="0.25">
      <c r="A19" s="2">
        <v>38929</v>
      </c>
      <c r="B19" s="3">
        <f>(('Juro Nominal'!B19/100+1)/('Inflação Implícita'!B19/100+1)-1)*100</f>
        <v>10.368375492930637</v>
      </c>
      <c r="C19" s="3">
        <v>9.49</v>
      </c>
      <c r="D19" s="3">
        <v>9.77</v>
      </c>
      <c r="E19" s="3">
        <v>9.75</v>
      </c>
      <c r="F19" s="3">
        <v>9.6999999999999993</v>
      </c>
      <c r="G19" s="3">
        <v>9.6</v>
      </c>
      <c r="H19" s="3">
        <v>9.6</v>
      </c>
      <c r="I19" s="3">
        <v>9.6</v>
      </c>
      <c r="J19" s="3">
        <v>9.6</v>
      </c>
      <c r="K19" s="3">
        <v>9.6</v>
      </c>
      <c r="L19" s="3">
        <v>9.6</v>
      </c>
      <c r="M19" s="3">
        <v>9.6</v>
      </c>
      <c r="N19" s="3">
        <v>9.6</v>
      </c>
      <c r="O19" s="3">
        <v>9.6</v>
      </c>
      <c r="P19" s="3">
        <v>9.6</v>
      </c>
      <c r="Q19" s="3">
        <v>9.6</v>
      </c>
    </row>
    <row r="20" spans="1:17" ht="18.75" customHeight="1" x14ac:dyDescent="0.25">
      <c r="A20" s="2">
        <v>38960</v>
      </c>
      <c r="B20" s="3">
        <f>(('Juro Nominal'!B20/100+1)/('Inflação Implícita'!B20/100+1)-1)*100</f>
        <v>10.025038520801232</v>
      </c>
      <c r="C20" s="3">
        <v>9.3699999999999992</v>
      </c>
      <c r="D20" s="3">
        <v>9.3699999999999992</v>
      </c>
      <c r="E20" s="3">
        <v>9.3800000000000008</v>
      </c>
      <c r="F20" s="3">
        <v>9.35</v>
      </c>
      <c r="G20" s="3">
        <v>9.2799999999999994</v>
      </c>
      <c r="H20" s="3">
        <v>9.2799999999999994</v>
      </c>
      <c r="I20" s="3">
        <v>9.2799999999999994</v>
      </c>
      <c r="J20" s="3">
        <v>9.2799999999999994</v>
      </c>
      <c r="K20" s="3">
        <v>9.2799999999999994</v>
      </c>
      <c r="L20" s="3">
        <v>9.2799999999999994</v>
      </c>
      <c r="M20" s="3">
        <v>9.2799999999999994</v>
      </c>
      <c r="N20" s="3">
        <v>9.2799999999999994</v>
      </c>
      <c r="O20" s="3">
        <v>9.2799999999999994</v>
      </c>
      <c r="P20" s="3">
        <v>9.2799999999999994</v>
      </c>
      <c r="Q20" s="3">
        <v>9.2799999999999994</v>
      </c>
    </row>
    <row r="21" spans="1:17" ht="18.75" customHeight="1" x14ac:dyDescent="0.25">
      <c r="A21" s="2">
        <v>38990</v>
      </c>
      <c r="B21" s="3">
        <f>(('Juro Nominal'!B21/100+1)/('Inflação Implícita'!B21/100+1)-1)*100</f>
        <v>10.173577627772445</v>
      </c>
      <c r="C21" s="3">
        <v>9.6300000000000008</v>
      </c>
      <c r="D21" s="3">
        <v>9.67</v>
      </c>
      <c r="E21" s="3">
        <v>9.6</v>
      </c>
      <c r="F21" s="3">
        <v>9.58</v>
      </c>
      <c r="G21" s="3">
        <v>9.57</v>
      </c>
      <c r="H21" s="3">
        <v>9.57</v>
      </c>
      <c r="I21" s="3">
        <v>9.57</v>
      </c>
      <c r="J21" s="3">
        <v>9.57</v>
      </c>
      <c r="K21" s="3">
        <v>9.57</v>
      </c>
      <c r="L21" s="3">
        <v>9.57</v>
      </c>
      <c r="M21" s="3">
        <v>9.57</v>
      </c>
      <c r="N21" s="3">
        <v>9.57</v>
      </c>
      <c r="O21" s="3">
        <v>9.57</v>
      </c>
      <c r="P21" s="3">
        <v>9.57</v>
      </c>
      <c r="Q21" s="3">
        <v>9.57</v>
      </c>
    </row>
    <row r="22" spans="1:17" ht="18.75" customHeight="1" x14ac:dyDescent="0.25">
      <c r="A22" s="2">
        <v>39021</v>
      </c>
      <c r="B22" s="3">
        <f>(('Juro Nominal'!B22/100+1)/('Inflação Implícita'!B22/100+1)-1)*100</f>
        <v>10.158822390083277</v>
      </c>
      <c r="C22" s="3">
        <v>8.85</v>
      </c>
      <c r="D22" s="3">
        <v>8.89</v>
      </c>
      <c r="E22" s="3">
        <v>8.98</v>
      </c>
      <c r="F22" s="3">
        <v>8.93</v>
      </c>
      <c r="G22" s="3">
        <v>8.9499999999999993</v>
      </c>
      <c r="H22" s="3">
        <v>8.9499999999999993</v>
      </c>
      <c r="I22" s="3">
        <v>8.9499999999999993</v>
      </c>
      <c r="J22" s="3">
        <v>8.9499999999999993</v>
      </c>
      <c r="K22" s="3">
        <v>8.9499999999999993</v>
      </c>
      <c r="L22" s="3">
        <v>8.9499999999999993</v>
      </c>
      <c r="M22" s="3">
        <v>8.9499999999999993</v>
      </c>
      <c r="N22" s="3">
        <v>8.9499999999999993</v>
      </c>
      <c r="O22" s="3">
        <v>8.9499999999999993</v>
      </c>
      <c r="P22" s="3">
        <v>8.9499999999999993</v>
      </c>
      <c r="Q22" s="3">
        <v>8.9499999999999993</v>
      </c>
    </row>
    <row r="23" spans="1:17" ht="18.75" customHeight="1" x14ac:dyDescent="0.25">
      <c r="A23" s="2">
        <v>39051</v>
      </c>
      <c r="B23" s="3">
        <f>(('Juro Nominal'!B23/100+1)/('Inflação Implícita'!B23/100+1)-1)*100</f>
        <v>9.9301106581246366</v>
      </c>
      <c r="C23" s="3">
        <v>8.14</v>
      </c>
      <c r="D23" s="3">
        <v>8.4</v>
      </c>
      <c r="E23" s="3">
        <v>8.51</v>
      </c>
      <c r="F23" s="3">
        <v>8.52</v>
      </c>
      <c r="G23" s="3">
        <v>8.52</v>
      </c>
      <c r="H23" s="3">
        <v>8.52</v>
      </c>
      <c r="I23" s="3">
        <v>8.52</v>
      </c>
      <c r="J23" s="3">
        <v>8.52</v>
      </c>
      <c r="K23" s="3">
        <v>8.52</v>
      </c>
      <c r="L23" s="3">
        <v>8.52</v>
      </c>
      <c r="M23" s="3">
        <v>8.52</v>
      </c>
      <c r="N23" s="3">
        <v>8.52</v>
      </c>
      <c r="O23" s="3">
        <v>8.52</v>
      </c>
      <c r="P23" s="3">
        <v>8.52</v>
      </c>
      <c r="Q23" s="3">
        <v>8.52</v>
      </c>
    </row>
    <row r="24" spans="1:17" ht="18.75" customHeight="1" x14ac:dyDescent="0.25">
      <c r="A24" s="2">
        <v>39082</v>
      </c>
      <c r="B24" s="3">
        <f>(('Juro Nominal'!B24/100+1)/('Inflação Implícita'!B24/100+1)-1)*100</f>
        <v>9.802210587550908</v>
      </c>
      <c r="C24" s="3">
        <v>7.99</v>
      </c>
      <c r="D24" s="3">
        <v>7.97</v>
      </c>
      <c r="E24" s="3">
        <v>8.0299999999999994</v>
      </c>
      <c r="F24" s="3">
        <v>7.96</v>
      </c>
      <c r="G24" s="3">
        <v>7.96</v>
      </c>
      <c r="H24" s="3">
        <v>7.96</v>
      </c>
      <c r="I24" s="3">
        <v>7.96</v>
      </c>
      <c r="J24" s="3">
        <v>7.96</v>
      </c>
      <c r="K24" s="3">
        <v>7.96</v>
      </c>
      <c r="L24" s="3">
        <v>7.96</v>
      </c>
      <c r="M24" s="3">
        <v>7.96</v>
      </c>
      <c r="N24" s="3">
        <v>7.96</v>
      </c>
      <c r="O24" s="3">
        <v>7.96</v>
      </c>
      <c r="P24" s="3">
        <v>7.96</v>
      </c>
      <c r="Q24" s="3">
        <v>7.96</v>
      </c>
    </row>
    <row r="25" spans="1:17" ht="18.75" customHeight="1" x14ac:dyDescent="0.25">
      <c r="A25" s="2">
        <v>39113</v>
      </c>
      <c r="B25" s="3">
        <f>(('Juro Nominal'!B25/100+1)/('Inflação Implícita'!B25/100+1)-1)*100</f>
        <v>9.7193902320613432</v>
      </c>
      <c r="C25" s="3">
        <v>7.89</v>
      </c>
      <c r="D25" s="3">
        <v>7.81</v>
      </c>
      <c r="E25" s="3">
        <v>7.82</v>
      </c>
      <c r="F25" s="3">
        <v>7.9</v>
      </c>
      <c r="G25" s="3">
        <v>7.89</v>
      </c>
      <c r="H25" s="3">
        <v>7.89</v>
      </c>
      <c r="I25" s="3">
        <v>7.89</v>
      </c>
      <c r="J25" s="3">
        <v>7.89</v>
      </c>
      <c r="K25" s="3">
        <v>7.89</v>
      </c>
      <c r="L25" s="3">
        <v>7.89</v>
      </c>
      <c r="M25" s="3">
        <v>7.89</v>
      </c>
      <c r="N25" s="3">
        <v>7.89</v>
      </c>
      <c r="O25" s="3">
        <v>7.89</v>
      </c>
      <c r="P25" s="3">
        <v>7.89</v>
      </c>
      <c r="Q25" s="3">
        <v>7.89</v>
      </c>
    </row>
    <row r="26" spans="1:17" ht="18.75" customHeight="1" x14ac:dyDescent="0.25">
      <c r="A26" s="2">
        <v>39141</v>
      </c>
      <c r="B26" s="3">
        <f>(('Juro Nominal'!B26/100+1)/('Inflação Implícita'!B26/100+1)-1)*100</f>
        <v>9.6874393321684913</v>
      </c>
      <c r="C26" s="3">
        <v>7.93</v>
      </c>
      <c r="D26" s="3">
        <v>7.67</v>
      </c>
      <c r="E26" s="3">
        <v>7.6</v>
      </c>
      <c r="F26" s="3">
        <v>7.66</v>
      </c>
      <c r="G26" s="3">
        <v>7.66</v>
      </c>
      <c r="H26" s="3">
        <v>7.66</v>
      </c>
      <c r="I26" s="3">
        <v>7.66</v>
      </c>
      <c r="J26" s="3">
        <v>7.66</v>
      </c>
      <c r="K26" s="3">
        <v>7.66</v>
      </c>
      <c r="L26" s="3">
        <v>7.66</v>
      </c>
      <c r="M26" s="3">
        <v>7.66</v>
      </c>
      <c r="N26" s="3">
        <v>7.66</v>
      </c>
      <c r="O26" s="3">
        <v>7.66</v>
      </c>
      <c r="P26" s="3">
        <v>7.66</v>
      </c>
      <c r="Q26" s="3">
        <v>7.66</v>
      </c>
    </row>
    <row r="27" spans="1:17" ht="18.75" customHeight="1" x14ac:dyDescent="0.25">
      <c r="A27" s="2">
        <v>39172</v>
      </c>
      <c r="B27" s="3">
        <f>(('Juro Nominal'!B27/100+1)/('Inflação Implícita'!B27/100+1)-1)*100</f>
        <v>9.5085470085469979</v>
      </c>
      <c r="C27" s="3">
        <v>8.07</v>
      </c>
      <c r="D27" s="3">
        <v>7.71</v>
      </c>
      <c r="E27" s="3">
        <v>7.49</v>
      </c>
      <c r="F27" s="3">
        <v>7.42</v>
      </c>
      <c r="G27" s="3">
        <v>7.36</v>
      </c>
      <c r="H27" s="3">
        <v>7.36</v>
      </c>
      <c r="I27" s="3">
        <v>7.36</v>
      </c>
      <c r="J27" s="3">
        <v>7.36</v>
      </c>
      <c r="K27" s="3">
        <v>7.36</v>
      </c>
      <c r="L27" s="3">
        <v>7.36</v>
      </c>
      <c r="M27" s="3">
        <v>7.36</v>
      </c>
      <c r="N27" s="3">
        <v>7.36</v>
      </c>
      <c r="O27" s="3">
        <v>7.36</v>
      </c>
      <c r="P27" s="3">
        <v>7.36</v>
      </c>
      <c r="Q27" s="3">
        <v>7.36</v>
      </c>
    </row>
    <row r="28" spans="1:17" ht="18.75" customHeight="1" x14ac:dyDescent="0.25">
      <c r="A28" s="2">
        <v>39202</v>
      </c>
      <c r="B28" s="3">
        <f>(('Juro Nominal'!B28/100+1)/('Inflação Implícita'!B28/100+1)-1)*100</f>
        <v>9.2233009708737832</v>
      </c>
      <c r="C28" s="3">
        <v>7.61</v>
      </c>
      <c r="D28" s="3">
        <v>7.1</v>
      </c>
      <c r="E28" s="3">
        <v>6.83</v>
      </c>
      <c r="F28" s="3">
        <v>6.57</v>
      </c>
      <c r="G28" s="3">
        <v>6.43</v>
      </c>
      <c r="H28" s="3">
        <v>6.43</v>
      </c>
      <c r="I28" s="3">
        <v>6.43</v>
      </c>
      <c r="J28" s="3">
        <v>6.43</v>
      </c>
      <c r="K28" s="3">
        <v>6.43</v>
      </c>
      <c r="L28" s="3">
        <v>6.43</v>
      </c>
      <c r="M28" s="3">
        <v>6.43</v>
      </c>
      <c r="N28" s="3">
        <v>6.43</v>
      </c>
      <c r="O28" s="3">
        <v>6.43</v>
      </c>
      <c r="P28" s="3">
        <v>6.43</v>
      </c>
      <c r="Q28" s="3">
        <v>6.43</v>
      </c>
    </row>
    <row r="29" spans="1:17" ht="18.75" customHeight="1" x14ac:dyDescent="0.25">
      <c r="A29" s="2">
        <v>39233</v>
      </c>
      <c r="B29" s="3">
        <f>(('Juro Nominal'!B29/100+1)/('Inflação Implícita'!B29/100+1)-1)*100</f>
        <v>9.0327582864896172</v>
      </c>
      <c r="C29" s="3">
        <v>7.45</v>
      </c>
      <c r="D29" s="3">
        <v>6.81</v>
      </c>
      <c r="E29" s="3">
        <v>6.57</v>
      </c>
      <c r="F29" s="3">
        <v>6.33</v>
      </c>
      <c r="G29" s="3">
        <v>6.17</v>
      </c>
      <c r="H29" s="3">
        <v>6.17</v>
      </c>
      <c r="I29" s="3">
        <v>6.17</v>
      </c>
      <c r="J29" s="3">
        <v>6.17</v>
      </c>
      <c r="K29" s="3">
        <v>6.17</v>
      </c>
      <c r="L29" s="3">
        <v>6.17</v>
      </c>
      <c r="M29" s="3">
        <v>6.17</v>
      </c>
      <c r="N29" s="3">
        <v>6.17</v>
      </c>
      <c r="O29" s="3">
        <v>6.17</v>
      </c>
      <c r="P29" s="3">
        <v>6.17</v>
      </c>
      <c r="Q29" s="3">
        <v>6.17</v>
      </c>
    </row>
    <row r="30" spans="1:17" ht="18.75" customHeight="1" x14ac:dyDescent="0.25">
      <c r="A30" s="2">
        <v>39263</v>
      </c>
      <c r="B30" s="3">
        <f>(('Juro Nominal'!B30/100+1)/('Inflação Implícita'!B30/100+1)-1)*100</f>
        <v>8.0142733146880261</v>
      </c>
      <c r="C30" s="3">
        <v>6.97</v>
      </c>
      <c r="D30" s="3">
        <v>6.58</v>
      </c>
      <c r="E30" s="3">
        <v>6.55</v>
      </c>
      <c r="F30" s="3">
        <v>6.47</v>
      </c>
      <c r="G30" s="3">
        <v>6.41</v>
      </c>
      <c r="H30" s="3">
        <v>6.37</v>
      </c>
      <c r="I30" s="3">
        <v>6.31</v>
      </c>
      <c r="J30" s="3">
        <v>6.3</v>
      </c>
      <c r="K30" s="3">
        <v>6.21</v>
      </c>
      <c r="L30" s="3">
        <v>6.15</v>
      </c>
      <c r="M30" s="3">
        <v>6.15</v>
      </c>
      <c r="N30" s="3">
        <v>6.15</v>
      </c>
      <c r="O30" s="3">
        <v>6.15</v>
      </c>
      <c r="P30" s="3">
        <v>6.15</v>
      </c>
      <c r="Q30" s="3">
        <v>6.15</v>
      </c>
    </row>
    <row r="31" spans="1:17" ht="18.75" customHeight="1" x14ac:dyDescent="0.25">
      <c r="A31" s="2">
        <v>39294</v>
      </c>
      <c r="B31" s="3">
        <f>(('Juro Nominal'!B31/100+1)/('Inflação Implícita'!B31/100+1)-1)*100</f>
        <v>7.4802390591864221</v>
      </c>
      <c r="C31" s="3">
        <v>6.85</v>
      </c>
      <c r="D31" s="3">
        <v>6.79</v>
      </c>
      <c r="E31" s="3">
        <v>6.77</v>
      </c>
      <c r="F31" s="3">
        <v>6.75</v>
      </c>
      <c r="G31" s="3">
        <v>6.73</v>
      </c>
      <c r="H31" s="3">
        <v>6.73</v>
      </c>
      <c r="I31" s="3">
        <v>6.67</v>
      </c>
      <c r="J31" s="3">
        <v>6.64</v>
      </c>
      <c r="K31" s="3">
        <v>6.59</v>
      </c>
      <c r="L31" s="3">
        <v>6.55</v>
      </c>
      <c r="M31" s="3">
        <v>6.55</v>
      </c>
      <c r="N31" s="3">
        <v>6.55</v>
      </c>
      <c r="O31" s="3">
        <v>6.55</v>
      </c>
      <c r="P31" s="3">
        <v>6.55</v>
      </c>
      <c r="Q31" s="3">
        <v>6.55</v>
      </c>
    </row>
    <row r="32" spans="1:17" ht="18.75" customHeight="1" x14ac:dyDescent="0.25">
      <c r="A32" s="2">
        <v>39325</v>
      </c>
      <c r="B32" s="3">
        <f>(('Juro Nominal'!B32/100+1)/('Inflação Implícita'!B32/100+1)-1)*100</f>
        <v>7.0263006335189004</v>
      </c>
      <c r="C32" s="3">
        <v>6.51</v>
      </c>
      <c r="D32" s="3">
        <v>6.99</v>
      </c>
      <c r="E32" s="3">
        <v>7.08</v>
      </c>
      <c r="F32" s="3">
        <v>7.08</v>
      </c>
      <c r="G32" s="3">
        <v>7.09</v>
      </c>
      <c r="H32" s="3">
        <v>7.1</v>
      </c>
      <c r="I32" s="3">
        <v>7.12</v>
      </c>
      <c r="J32" s="3">
        <v>7.05</v>
      </c>
      <c r="K32" s="3">
        <v>7.04</v>
      </c>
      <c r="L32" s="3">
        <v>6.98</v>
      </c>
      <c r="M32" s="3">
        <v>6.98</v>
      </c>
      <c r="N32" s="3">
        <v>6.98</v>
      </c>
      <c r="O32" s="3">
        <v>6.98</v>
      </c>
      <c r="P32" s="3">
        <v>6.98</v>
      </c>
      <c r="Q32" s="3">
        <v>6.98</v>
      </c>
    </row>
    <row r="33" spans="1:17" ht="18.75" customHeight="1" x14ac:dyDescent="0.25">
      <c r="A33" s="2">
        <v>39355</v>
      </c>
      <c r="B33" s="3">
        <f>(('Juro Nominal'!B33/100+1)/('Inflação Implícita'!B33/100+1)-1)*100</f>
        <v>6.817090734517528</v>
      </c>
      <c r="C33" s="3">
        <v>6.59</v>
      </c>
      <c r="D33" s="3">
        <v>6.76</v>
      </c>
      <c r="E33" s="3">
        <v>6.77</v>
      </c>
      <c r="F33" s="3">
        <v>6.74</v>
      </c>
      <c r="G33" s="3">
        <v>6.73</v>
      </c>
      <c r="H33" s="3">
        <v>6.76</v>
      </c>
      <c r="I33" s="3">
        <v>6.7</v>
      </c>
      <c r="J33" s="3">
        <v>6.68</v>
      </c>
      <c r="K33" s="3">
        <v>6.65</v>
      </c>
      <c r="L33" s="3">
        <v>6.65</v>
      </c>
      <c r="M33" s="3">
        <v>6.65</v>
      </c>
      <c r="N33" s="3">
        <v>6.65</v>
      </c>
      <c r="O33" s="3">
        <v>6.65</v>
      </c>
      <c r="P33" s="3">
        <v>6.65</v>
      </c>
      <c r="Q33" s="3">
        <v>6.65</v>
      </c>
    </row>
    <row r="34" spans="1:17" ht="18.75" customHeight="1" x14ac:dyDescent="0.25">
      <c r="A34" s="2">
        <v>39386</v>
      </c>
      <c r="B34" s="3">
        <f>(('Juro Nominal'!B34/100+1)/('Inflação Implícita'!B34/100+1)-1)*100</f>
        <v>6.8478678447944752</v>
      </c>
      <c r="C34" s="3">
        <v>7.02</v>
      </c>
      <c r="D34" s="3">
        <v>7.14</v>
      </c>
      <c r="E34" s="3">
        <v>7.13</v>
      </c>
      <c r="F34" s="3">
        <v>7.09</v>
      </c>
      <c r="G34" s="3">
        <v>7.09</v>
      </c>
      <c r="H34" s="3">
        <v>7.12</v>
      </c>
      <c r="I34" s="3">
        <v>7.09</v>
      </c>
      <c r="J34" s="3">
        <v>7.06</v>
      </c>
      <c r="K34" s="3">
        <v>7.01</v>
      </c>
      <c r="L34" s="3">
        <v>6.98</v>
      </c>
      <c r="M34" s="3">
        <v>6.98</v>
      </c>
      <c r="N34" s="3">
        <v>6.98</v>
      </c>
      <c r="O34" s="3">
        <v>6.98</v>
      </c>
      <c r="P34" s="3">
        <v>6.98</v>
      </c>
      <c r="Q34" s="3">
        <v>6.98</v>
      </c>
    </row>
    <row r="35" spans="1:17" ht="18.75" customHeight="1" x14ac:dyDescent="0.25">
      <c r="A35" s="2">
        <v>39416</v>
      </c>
      <c r="B35" s="3">
        <f>(('Juro Nominal'!B35/100+1)/('Inflação Implícita'!B35/100+1)-1)*100</f>
        <v>6.7760821575967078</v>
      </c>
      <c r="C35" s="3">
        <v>6.76</v>
      </c>
      <c r="D35" s="3">
        <v>7.22</v>
      </c>
      <c r="E35" s="3">
        <v>7.37</v>
      </c>
      <c r="F35" s="3">
        <v>7.39</v>
      </c>
      <c r="G35" s="3">
        <v>7.42</v>
      </c>
      <c r="H35" s="3">
        <v>7.47</v>
      </c>
      <c r="I35" s="3">
        <v>7.48</v>
      </c>
      <c r="J35" s="3">
        <v>7.49</v>
      </c>
      <c r="K35" s="3">
        <v>7.47</v>
      </c>
      <c r="L35" s="3">
        <v>7.42</v>
      </c>
      <c r="M35" s="3">
        <v>7.42</v>
      </c>
      <c r="N35" s="3">
        <v>7.42</v>
      </c>
      <c r="O35" s="3">
        <v>7.42</v>
      </c>
      <c r="P35" s="3">
        <v>7.42</v>
      </c>
      <c r="Q35" s="3">
        <v>7.42</v>
      </c>
    </row>
    <row r="36" spans="1:17" ht="18.75" customHeight="1" x14ac:dyDescent="0.25">
      <c r="A36" s="2">
        <v>39447</v>
      </c>
      <c r="B36" s="3">
        <f>(('Juro Nominal'!B36/100+1)/('Inflação Implícita'!B36/100+1)-1)*100</f>
        <v>6.5000957304231388</v>
      </c>
      <c r="C36" s="3">
        <v>6.59</v>
      </c>
      <c r="D36" s="3">
        <v>7.41</v>
      </c>
      <c r="E36" s="3">
        <v>7.54</v>
      </c>
      <c r="F36" s="3">
        <v>7.6</v>
      </c>
      <c r="G36" s="3">
        <v>7.62</v>
      </c>
      <c r="H36" s="3">
        <v>7.61</v>
      </c>
      <c r="I36" s="3">
        <v>7.55</v>
      </c>
      <c r="J36" s="3">
        <v>7.49</v>
      </c>
      <c r="K36" s="3">
        <v>7.4</v>
      </c>
      <c r="L36" s="3">
        <v>7.25</v>
      </c>
      <c r="M36" s="3">
        <v>7.25</v>
      </c>
      <c r="N36" s="3">
        <v>7.25</v>
      </c>
      <c r="O36" s="3">
        <v>7.25</v>
      </c>
      <c r="P36" s="3">
        <v>7.25</v>
      </c>
      <c r="Q36" s="3">
        <v>7.25</v>
      </c>
    </row>
    <row r="37" spans="1:17" ht="18.75" customHeight="1" x14ac:dyDescent="0.25">
      <c r="A37" s="2">
        <v>39478</v>
      </c>
      <c r="B37" s="3">
        <f>(('Juro Nominal'!B37/100+1)/('Inflação Implícita'!B37/100+1)-1)*100</f>
        <v>6.3982402448355069</v>
      </c>
      <c r="C37" s="3">
        <v>6.59</v>
      </c>
      <c r="D37" s="3">
        <v>7.25</v>
      </c>
      <c r="E37" s="3">
        <v>7.51</v>
      </c>
      <c r="F37" s="3">
        <v>7.56</v>
      </c>
      <c r="G37" s="3">
        <v>7.51</v>
      </c>
      <c r="H37" s="3">
        <v>7.53</v>
      </c>
      <c r="I37" s="3">
        <v>7.48</v>
      </c>
      <c r="J37" s="3">
        <v>7.39</v>
      </c>
      <c r="K37" s="3">
        <v>7.35</v>
      </c>
      <c r="L37" s="3">
        <v>7.29</v>
      </c>
      <c r="M37" s="3">
        <v>7.29</v>
      </c>
      <c r="N37" s="3">
        <v>7.29</v>
      </c>
      <c r="O37" s="3">
        <v>7.29</v>
      </c>
      <c r="P37" s="3">
        <v>7.29</v>
      </c>
      <c r="Q37" s="3">
        <v>7.29</v>
      </c>
    </row>
    <row r="38" spans="1:17" ht="18.75" customHeight="1" x14ac:dyDescent="0.25">
      <c r="A38" s="2">
        <v>39507</v>
      </c>
      <c r="B38" s="3">
        <f>(('Juro Nominal'!B38/100+1)/('Inflação Implícita'!B38/100+1)-1)*100</f>
        <v>6.3473855271962476</v>
      </c>
      <c r="C38" s="3">
        <v>6.87</v>
      </c>
      <c r="D38" s="3">
        <v>7.33</v>
      </c>
      <c r="E38" s="3">
        <v>7.31</v>
      </c>
      <c r="F38" s="3">
        <v>7.3</v>
      </c>
      <c r="G38" s="3">
        <v>7.27</v>
      </c>
      <c r="H38" s="3">
        <v>7.2</v>
      </c>
      <c r="I38" s="3">
        <v>7.13</v>
      </c>
      <c r="J38" s="3">
        <v>7.05</v>
      </c>
      <c r="K38" s="3">
        <v>7.01</v>
      </c>
      <c r="L38" s="3">
        <v>6.95</v>
      </c>
      <c r="M38" s="3">
        <v>6.95</v>
      </c>
      <c r="N38" s="3">
        <v>6.95</v>
      </c>
      <c r="O38" s="3">
        <v>6.95</v>
      </c>
      <c r="P38" s="3">
        <v>6.95</v>
      </c>
      <c r="Q38" s="3">
        <v>6.95</v>
      </c>
    </row>
    <row r="39" spans="1:17" ht="18.75" customHeight="1" x14ac:dyDescent="0.25">
      <c r="A39" s="2">
        <v>39538</v>
      </c>
      <c r="B39" s="3">
        <f>(('Juro Nominal'!B39/100+1)/('Inflação Implícita'!B39/100+1)-1)*100</f>
        <v>6.225532321206928</v>
      </c>
      <c r="C39" s="3">
        <v>7.69</v>
      </c>
      <c r="D39" s="3">
        <v>8.2100000000000009</v>
      </c>
      <c r="E39" s="3">
        <v>8.17</v>
      </c>
      <c r="F39" s="3">
        <v>8.16</v>
      </c>
      <c r="G39" s="3">
        <v>8.08</v>
      </c>
      <c r="H39" s="3">
        <v>7.97</v>
      </c>
      <c r="I39" s="3">
        <v>7.86</v>
      </c>
      <c r="J39" s="3">
        <v>7.76</v>
      </c>
      <c r="K39" s="3">
        <v>7.72</v>
      </c>
      <c r="L39" s="3">
        <v>7.69</v>
      </c>
      <c r="M39" s="3">
        <v>7.69</v>
      </c>
      <c r="N39" s="3">
        <v>7.69</v>
      </c>
      <c r="O39" s="3">
        <v>7.69</v>
      </c>
      <c r="P39" s="3">
        <v>7.69</v>
      </c>
      <c r="Q39" s="3">
        <v>7.69</v>
      </c>
    </row>
    <row r="40" spans="1:17" ht="18.75" customHeight="1" x14ac:dyDescent="0.25">
      <c r="A40" s="2">
        <v>39568</v>
      </c>
      <c r="B40" s="3">
        <f>(('Juro Nominal'!B40/100+1)/('Inflação Implícita'!B40/100+1)-1)*100</f>
        <v>6.3880426504188792</v>
      </c>
      <c r="C40" s="3">
        <v>7.59</v>
      </c>
      <c r="D40" s="3">
        <v>8.06</v>
      </c>
      <c r="E40" s="3">
        <v>7.99</v>
      </c>
      <c r="F40" s="3">
        <v>7.95</v>
      </c>
      <c r="G40" s="3">
        <v>7.78</v>
      </c>
      <c r="H40" s="3">
        <v>7.61</v>
      </c>
      <c r="I40" s="3">
        <v>7.49</v>
      </c>
      <c r="J40" s="3">
        <v>7.38</v>
      </c>
      <c r="K40" s="3">
        <v>7.31</v>
      </c>
      <c r="L40" s="3">
        <v>7.23</v>
      </c>
      <c r="M40" s="3">
        <v>7.23</v>
      </c>
      <c r="N40" s="3">
        <v>7.23</v>
      </c>
      <c r="O40" s="3">
        <v>7.23</v>
      </c>
      <c r="P40" s="3">
        <v>7.23</v>
      </c>
      <c r="Q40" s="3">
        <v>7.23</v>
      </c>
    </row>
    <row r="41" spans="1:17" ht="18.75" customHeight="1" x14ac:dyDescent="0.25">
      <c r="A41" s="2">
        <v>39599</v>
      </c>
      <c r="B41" s="3">
        <f>(('Juro Nominal'!B41/100+1)/('Inflação Implícita'!B41/100+1)-1)*100</f>
        <v>5.8439098314074567</v>
      </c>
      <c r="C41" s="3">
        <v>7.82</v>
      </c>
      <c r="D41" s="3">
        <v>8.31</v>
      </c>
      <c r="E41" s="3">
        <v>8.0500000000000007</v>
      </c>
      <c r="F41" s="3">
        <v>7.89</v>
      </c>
      <c r="G41" s="3">
        <v>7.65</v>
      </c>
      <c r="H41" s="3">
        <v>7.39</v>
      </c>
      <c r="I41" s="3">
        <v>7.22</v>
      </c>
      <c r="J41" s="3">
        <v>7.08</v>
      </c>
      <c r="K41" s="3">
        <v>6.94</v>
      </c>
      <c r="L41" s="3">
        <v>6.8</v>
      </c>
      <c r="M41" s="3">
        <v>6.8</v>
      </c>
      <c r="N41" s="3">
        <v>6.8</v>
      </c>
      <c r="O41" s="3">
        <v>6.8</v>
      </c>
      <c r="P41" s="3">
        <v>6.8</v>
      </c>
      <c r="Q41" s="3">
        <v>6.8</v>
      </c>
    </row>
    <row r="42" spans="1:17" ht="18.75" customHeight="1" x14ac:dyDescent="0.25">
      <c r="A42" s="2">
        <v>39629</v>
      </c>
      <c r="B42" s="3">
        <f>(('Juro Nominal'!B42/100+1)/('Inflação Implícita'!B42/100+1)-1)*100</f>
        <v>5.8363190646803842</v>
      </c>
      <c r="C42" s="3">
        <v>7.36</v>
      </c>
      <c r="D42" s="3">
        <v>8.66</v>
      </c>
      <c r="E42" s="3">
        <v>8.84</v>
      </c>
      <c r="F42" s="3">
        <v>8.74</v>
      </c>
      <c r="G42" s="3">
        <v>8.35</v>
      </c>
      <c r="H42" s="3">
        <v>8.0500000000000007</v>
      </c>
      <c r="I42" s="3">
        <v>7.78</v>
      </c>
      <c r="J42" s="3">
        <v>7.5</v>
      </c>
      <c r="K42" s="3">
        <v>7.63</v>
      </c>
      <c r="L42" s="3">
        <v>7.3</v>
      </c>
      <c r="M42" s="3">
        <v>7.3</v>
      </c>
      <c r="N42" s="3">
        <v>7.3</v>
      </c>
      <c r="O42" s="3">
        <v>7.3</v>
      </c>
      <c r="P42" s="3">
        <v>7.3</v>
      </c>
      <c r="Q42" s="3">
        <v>7.3</v>
      </c>
    </row>
    <row r="43" spans="1:17" ht="18.75" customHeight="1" x14ac:dyDescent="0.25">
      <c r="A43" s="2">
        <v>39660</v>
      </c>
      <c r="B43" s="3">
        <f>(('Juro Nominal'!B43/100+1)/('Inflação Implícita'!B43/100+1)-1)*100</f>
        <v>6.232960421171363</v>
      </c>
      <c r="C43" s="3">
        <v>8.3000000000000007</v>
      </c>
      <c r="D43" s="3">
        <v>9.1</v>
      </c>
      <c r="E43" s="3">
        <v>8.76</v>
      </c>
      <c r="F43" s="3">
        <v>8.49</v>
      </c>
      <c r="G43" s="3">
        <v>8.17</v>
      </c>
      <c r="H43" s="3">
        <v>7.85</v>
      </c>
      <c r="I43" s="3">
        <v>7.61</v>
      </c>
      <c r="J43" s="3">
        <v>7.44</v>
      </c>
      <c r="K43" s="3">
        <v>7.28</v>
      </c>
      <c r="L43" s="3">
        <v>7.15</v>
      </c>
      <c r="M43" s="3">
        <v>7.15</v>
      </c>
      <c r="N43" s="3">
        <v>7.15</v>
      </c>
      <c r="O43" s="3">
        <v>7.15</v>
      </c>
      <c r="P43" s="3">
        <v>7.15</v>
      </c>
      <c r="Q43" s="3">
        <v>7.15</v>
      </c>
    </row>
    <row r="44" spans="1:17" ht="18.75" customHeight="1" x14ac:dyDescent="0.25">
      <c r="A44" s="2">
        <v>39691</v>
      </c>
      <c r="B44" s="3">
        <f>(('Juro Nominal'!B44/100+1)/('Inflação Implícita'!B44/100+1)-1)*100</f>
        <v>6.4330790242064451</v>
      </c>
      <c r="C44" s="3">
        <v>9.2799999999999994</v>
      </c>
      <c r="D44" s="3">
        <v>9.09</v>
      </c>
      <c r="E44" s="3">
        <v>8.6</v>
      </c>
      <c r="F44" s="3">
        <v>8.42</v>
      </c>
      <c r="G44" s="3">
        <v>8.18</v>
      </c>
      <c r="H44" s="3">
        <v>7.94</v>
      </c>
      <c r="I44" s="3">
        <v>7.75</v>
      </c>
      <c r="J44" s="3">
        <v>7.59</v>
      </c>
      <c r="K44" s="3">
        <v>7.46</v>
      </c>
      <c r="L44" s="3">
        <v>7.42</v>
      </c>
      <c r="M44" s="3">
        <v>7.42</v>
      </c>
      <c r="N44" s="3">
        <v>7.42</v>
      </c>
      <c r="O44" s="3">
        <v>7.42</v>
      </c>
      <c r="P44" s="3">
        <v>7.42</v>
      </c>
      <c r="Q44" s="3">
        <v>7.42</v>
      </c>
    </row>
    <row r="45" spans="1:17" ht="18.75" customHeight="1" x14ac:dyDescent="0.25">
      <c r="A45" s="2">
        <v>39721</v>
      </c>
      <c r="B45" s="3">
        <f>(('Juro Nominal'!B45/100+1)/('Inflação Implícita'!B45/100+1)-1)*100</f>
        <v>7.0588235294117618</v>
      </c>
      <c r="C45" s="3">
        <v>9.2899999999999991</v>
      </c>
      <c r="D45" s="3">
        <v>9.18</v>
      </c>
      <c r="E45" s="3">
        <v>9.0299999999999994</v>
      </c>
      <c r="F45" s="3">
        <v>8.98</v>
      </c>
      <c r="G45" s="3">
        <v>8.9</v>
      </c>
      <c r="H45" s="3">
        <v>8.65</v>
      </c>
      <c r="I45" s="3">
        <v>8.4499999999999993</v>
      </c>
      <c r="J45" s="3">
        <v>8.2899999999999991</v>
      </c>
      <c r="K45" s="3">
        <v>8.1199999999999992</v>
      </c>
      <c r="L45" s="3">
        <v>8.0500000000000007</v>
      </c>
      <c r="M45" s="3">
        <v>8.0500000000000007</v>
      </c>
      <c r="N45" s="3">
        <v>8.0500000000000007</v>
      </c>
      <c r="O45" s="3">
        <v>8.0500000000000007</v>
      </c>
      <c r="P45" s="3">
        <v>8.0500000000000007</v>
      </c>
      <c r="Q45" s="3">
        <v>8.0500000000000007</v>
      </c>
    </row>
    <row r="46" spans="1:17" ht="18.75" customHeight="1" x14ac:dyDescent="0.25">
      <c r="A46" s="2">
        <v>39752</v>
      </c>
      <c r="B46" s="3">
        <f>(('Juro Nominal'!B46/100+1)/('Inflação Implícita'!B46/100+1)-1)*100</f>
        <v>6.8978479466215603</v>
      </c>
      <c r="C46" s="3">
        <v>8.9600000000000009</v>
      </c>
      <c r="D46" s="3">
        <v>10.27</v>
      </c>
      <c r="E46" s="3">
        <v>10.31</v>
      </c>
      <c r="F46" s="3">
        <v>10.5</v>
      </c>
      <c r="G46" s="3">
        <v>10.43</v>
      </c>
      <c r="H46" s="3">
        <v>10.3</v>
      </c>
      <c r="I46" s="3">
        <v>10.24</v>
      </c>
      <c r="J46" s="3">
        <v>10.14</v>
      </c>
      <c r="K46" s="3">
        <v>9.99</v>
      </c>
      <c r="L46" s="3">
        <v>9.93</v>
      </c>
      <c r="M46" s="3">
        <v>9.93</v>
      </c>
      <c r="N46" s="3">
        <v>9.93</v>
      </c>
      <c r="O46" s="3">
        <v>9.93</v>
      </c>
      <c r="P46" s="3">
        <v>9.93</v>
      </c>
      <c r="Q46" s="3">
        <v>9.93</v>
      </c>
    </row>
    <row r="47" spans="1:17" ht="18.75" customHeight="1" x14ac:dyDescent="0.25">
      <c r="A47" s="2">
        <v>39782</v>
      </c>
      <c r="B47" s="3">
        <f>(('Juro Nominal'!B47/100+1)/('Inflação Implícita'!B47/100+1)-1)*100</f>
        <v>6.917943415734551</v>
      </c>
      <c r="C47" s="3">
        <v>8.5</v>
      </c>
      <c r="D47" s="3">
        <v>9.6199999999999992</v>
      </c>
      <c r="E47" s="3">
        <v>9.64</v>
      </c>
      <c r="F47" s="3">
        <v>9.61</v>
      </c>
      <c r="G47" s="3">
        <v>9.52</v>
      </c>
      <c r="H47" s="3">
        <v>9.15</v>
      </c>
      <c r="I47" s="3">
        <v>9.09</v>
      </c>
      <c r="J47" s="3">
        <v>9.02</v>
      </c>
      <c r="K47" s="3">
        <v>8.93</v>
      </c>
      <c r="L47" s="3">
        <v>8.85</v>
      </c>
      <c r="M47" s="3">
        <v>8.85</v>
      </c>
      <c r="N47" s="3">
        <v>8.85</v>
      </c>
      <c r="O47" s="3">
        <v>8.85</v>
      </c>
      <c r="P47" s="3">
        <v>8.85</v>
      </c>
      <c r="Q47" s="3">
        <v>8.85</v>
      </c>
    </row>
    <row r="48" spans="1:17" ht="18.75" customHeight="1" x14ac:dyDescent="0.25">
      <c r="A48" s="2">
        <v>39813</v>
      </c>
      <c r="B48" s="3">
        <f>(('Juro Nominal'!B48/100+1)/('Inflação Implícita'!B48/100+1)-1)*100</f>
        <v>7.4126534466477878</v>
      </c>
      <c r="C48" s="3">
        <v>7.41</v>
      </c>
      <c r="D48" s="3">
        <v>7.78</v>
      </c>
      <c r="E48" s="3">
        <v>7.91</v>
      </c>
      <c r="F48" s="3">
        <v>8.17</v>
      </c>
      <c r="G48" s="3">
        <v>8.0299999999999994</v>
      </c>
      <c r="H48" s="3">
        <v>7.88</v>
      </c>
      <c r="I48" s="3">
        <v>7.75</v>
      </c>
      <c r="J48" s="3">
        <v>7.67</v>
      </c>
      <c r="K48" s="3">
        <v>7.58</v>
      </c>
      <c r="L48" s="3">
        <v>7.47</v>
      </c>
      <c r="M48" s="3">
        <v>7.47</v>
      </c>
      <c r="N48" s="3">
        <v>7.47</v>
      </c>
      <c r="O48" s="3">
        <v>7.47</v>
      </c>
      <c r="P48" s="3">
        <v>7.47</v>
      </c>
      <c r="Q48" s="3">
        <v>7.47</v>
      </c>
    </row>
    <row r="49" spans="1:17" ht="18.75" customHeight="1" x14ac:dyDescent="0.25">
      <c r="A49" s="2">
        <v>39844</v>
      </c>
      <c r="B49" s="3">
        <f>(('Juro Nominal'!B49/100+1)/('Inflação Implícita'!B49/100+1)-1)*100</f>
        <v>6.52872260015116</v>
      </c>
      <c r="C49" s="3">
        <v>6.67</v>
      </c>
      <c r="D49" s="3">
        <v>6.86</v>
      </c>
      <c r="E49" s="3">
        <v>6.86</v>
      </c>
      <c r="F49" s="3">
        <v>6.93</v>
      </c>
      <c r="G49" s="3">
        <v>6.94</v>
      </c>
      <c r="H49" s="3">
        <v>6.92</v>
      </c>
      <c r="I49" s="3">
        <v>6.91</v>
      </c>
      <c r="J49" s="3">
        <v>6.86</v>
      </c>
      <c r="K49" s="3">
        <v>6.8</v>
      </c>
      <c r="L49" s="3">
        <v>6.7</v>
      </c>
      <c r="M49" s="3">
        <v>6.7</v>
      </c>
      <c r="N49" s="3">
        <v>6.7</v>
      </c>
      <c r="O49" s="3">
        <v>6.7</v>
      </c>
      <c r="P49" s="3">
        <v>6.7</v>
      </c>
      <c r="Q49" s="3">
        <v>6.7</v>
      </c>
    </row>
    <row r="50" spans="1:17" ht="18.75" customHeight="1" x14ac:dyDescent="0.25">
      <c r="A50" s="2">
        <v>39872</v>
      </c>
      <c r="B50" s="3">
        <f>(('Juro Nominal'!B50/100+1)/('Inflação Implícita'!B50/100+1)-1)*100</f>
        <v>6.4683663833805527</v>
      </c>
      <c r="C50" s="3">
        <v>6.1</v>
      </c>
      <c r="D50" s="3">
        <v>6.52</v>
      </c>
      <c r="E50" s="3">
        <v>6.81</v>
      </c>
      <c r="F50" s="3">
        <v>7.03</v>
      </c>
      <c r="G50" s="3">
        <v>7.17</v>
      </c>
      <c r="H50" s="3">
        <v>7.16</v>
      </c>
      <c r="I50" s="3">
        <v>7.22</v>
      </c>
      <c r="J50" s="3">
        <v>7.17</v>
      </c>
      <c r="K50" s="3">
        <v>7.12</v>
      </c>
      <c r="L50" s="3">
        <v>7.06</v>
      </c>
      <c r="M50" s="3">
        <v>7.06</v>
      </c>
      <c r="N50" s="3">
        <v>7.06</v>
      </c>
      <c r="O50" s="3">
        <v>7.06</v>
      </c>
      <c r="P50" s="3">
        <v>7.06</v>
      </c>
      <c r="Q50" s="3">
        <v>7.06</v>
      </c>
    </row>
    <row r="51" spans="1:17" ht="18.75" customHeight="1" x14ac:dyDescent="0.25">
      <c r="A51" s="2">
        <v>39903</v>
      </c>
      <c r="B51" s="3">
        <f>(('Juro Nominal'!B51/100+1)/('Inflação Implícita'!B51/100+1)-1)*100</f>
        <v>5.3404033708928988</v>
      </c>
      <c r="C51" s="3">
        <v>5.88</v>
      </c>
      <c r="D51" s="3">
        <v>6.24</v>
      </c>
      <c r="E51" s="3">
        <v>6.32</v>
      </c>
      <c r="F51" s="3">
        <v>6.65</v>
      </c>
      <c r="G51" s="3">
        <v>6.73</v>
      </c>
      <c r="H51" s="3">
        <v>6.8</v>
      </c>
      <c r="I51" s="3">
        <v>6.79</v>
      </c>
      <c r="J51" s="3">
        <v>6.8</v>
      </c>
      <c r="K51" s="3">
        <v>6.73</v>
      </c>
      <c r="L51" s="3">
        <v>6.66</v>
      </c>
      <c r="M51" s="3">
        <v>6.66</v>
      </c>
      <c r="N51" s="3">
        <v>6.66</v>
      </c>
      <c r="O51" s="3">
        <v>6.66</v>
      </c>
      <c r="P51" s="3">
        <v>6.66</v>
      </c>
      <c r="Q51" s="3">
        <v>6.66</v>
      </c>
    </row>
    <row r="52" spans="1:17" ht="18.75" customHeight="1" x14ac:dyDescent="0.25">
      <c r="A52" s="2">
        <v>39933</v>
      </c>
      <c r="B52" s="3">
        <f>(('Juro Nominal'!B52/100+1)/('Inflação Implícita'!B52/100+1)-1)*100</f>
        <v>4.4726618023311016</v>
      </c>
      <c r="C52" s="3">
        <v>5.89</v>
      </c>
      <c r="D52" s="3">
        <v>6.54</v>
      </c>
      <c r="E52" s="3">
        <v>6.68</v>
      </c>
      <c r="F52" s="3">
        <v>6.98</v>
      </c>
      <c r="G52" s="3">
        <v>7.09</v>
      </c>
      <c r="H52" s="3">
        <v>7.06</v>
      </c>
      <c r="I52" s="3">
        <v>7.06</v>
      </c>
      <c r="J52" s="3">
        <v>7.02</v>
      </c>
      <c r="K52" s="3">
        <v>6.93</v>
      </c>
      <c r="L52" s="3">
        <v>6.86</v>
      </c>
      <c r="M52" s="3">
        <v>6.86</v>
      </c>
      <c r="N52" s="3">
        <v>6.86</v>
      </c>
      <c r="O52" s="3">
        <v>6.86</v>
      </c>
      <c r="P52" s="3">
        <v>6.86</v>
      </c>
      <c r="Q52" s="3">
        <v>6.86</v>
      </c>
    </row>
    <row r="53" spans="1:17" ht="18.75" customHeight="1" x14ac:dyDescent="0.25">
      <c r="A53" s="2">
        <v>39964</v>
      </c>
      <c r="B53" s="3">
        <f>(('Juro Nominal'!B53/100+1)/('Inflação Implícita'!B53/100+1)-1)*100</f>
        <v>4.8003802281368912</v>
      </c>
      <c r="C53" s="3">
        <v>5.03</v>
      </c>
      <c r="D53" s="3">
        <v>5.97</v>
      </c>
      <c r="E53" s="3">
        <v>6.52</v>
      </c>
      <c r="F53" s="3">
        <v>6.67</v>
      </c>
      <c r="G53" s="3">
        <v>6.76</v>
      </c>
      <c r="H53" s="3">
        <v>6.43</v>
      </c>
      <c r="I53" s="3">
        <v>6.34</v>
      </c>
      <c r="J53" s="3">
        <v>6.23</v>
      </c>
      <c r="K53" s="3">
        <v>6.1</v>
      </c>
      <c r="L53" s="3">
        <v>5.97</v>
      </c>
      <c r="M53" s="3">
        <v>5.97</v>
      </c>
      <c r="N53" s="3">
        <v>5.97</v>
      </c>
      <c r="O53" s="3">
        <v>5.97</v>
      </c>
      <c r="P53" s="3">
        <v>5.97</v>
      </c>
      <c r="Q53" s="3">
        <v>5.97</v>
      </c>
    </row>
    <row r="54" spans="1:17" ht="18.75" customHeight="1" x14ac:dyDescent="0.25">
      <c r="A54" s="2">
        <v>39994</v>
      </c>
      <c r="B54" s="3">
        <f>(('Juro Nominal'!B54/100+1)/('Inflação Implícita'!B54/100+1)-1)*100</f>
        <v>4.2461832061068794</v>
      </c>
      <c r="C54" s="3">
        <v>5.08</v>
      </c>
      <c r="D54" s="3">
        <v>5.96</v>
      </c>
      <c r="E54" s="3">
        <v>6.37</v>
      </c>
      <c r="F54" s="3">
        <v>6.35</v>
      </c>
      <c r="G54" s="3">
        <v>6.41</v>
      </c>
      <c r="H54" s="3">
        <v>6.5</v>
      </c>
      <c r="I54" s="3">
        <v>6.57</v>
      </c>
      <c r="J54" s="3">
        <v>6.61</v>
      </c>
      <c r="K54" s="3">
        <v>6.58</v>
      </c>
      <c r="L54" s="3">
        <v>6.48</v>
      </c>
      <c r="M54" s="3">
        <v>6.48</v>
      </c>
      <c r="N54" s="3">
        <v>6.48</v>
      </c>
      <c r="O54" s="3">
        <v>6.48</v>
      </c>
      <c r="P54" s="3">
        <v>6.48</v>
      </c>
      <c r="Q54" s="3">
        <v>6.48</v>
      </c>
    </row>
    <row r="55" spans="1:17" ht="18.75" customHeight="1" x14ac:dyDescent="0.25">
      <c r="A55" s="2">
        <v>40025</v>
      </c>
      <c r="B55" s="3">
        <f>(('Juro Nominal'!B55/100+1)/('Inflação Implícita'!B55/100+1)-1)*100</f>
        <v>4.0669856459330189</v>
      </c>
      <c r="C55" s="3">
        <v>4.63</v>
      </c>
      <c r="D55" s="3">
        <v>5.57</v>
      </c>
      <c r="E55" s="3">
        <v>6.26</v>
      </c>
      <c r="F55" s="3">
        <v>6.3</v>
      </c>
      <c r="G55" s="3">
        <v>6.35</v>
      </c>
      <c r="H55" s="3">
        <v>6.42</v>
      </c>
      <c r="I55" s="3">
        <v>6.48</v>
      </c>
      <c r="J55" s="3">
        <v>6.42</v>
      </c>
      <c r="K55" s="3">
        <v>6.42</v>
      </c>
      <c r="L55" s="3">
        <v>6.34</v>
      </c>
      <c r="M55" s="3">
        <v>6.42</v>
      </c>
      <c r="N55" s="3">
        <v>6.42</v>
      </c>
      <c r="O55" s="3">
        <v>6.42</v>
      </c>
      <c r="P55" s="3">
        <v>6.42</v>
      </c>
      <c r="Q55" s="3">
        <v>6.42</v>
      </c>
    </row>
    <row r="56" spans="1:17" ht="18.75" customHeight="1" x14ac:dyDescent="0.25">
      <c r="A56" s="2">
        <v>40056</v>
      </c>
      <c r="B56" s="3">
        <f>(('Juro Nominal'!B56/100+1)/('Inflação Implícita'!B56/100+1)-1)*100</f>
        <v>4.2065925642008173</v>
      </c>
      <c r="C56" s="3">
        <v>4.83</v>
      </c>
      <c r="D56" s="3">
        <v>5.77</v>
      </c>
      <c r="E56" s="3">
        <v>6.28</v>
      </c>
      <c r="F56" s="3">
        <v>6.29</v>
      </c>
      <c r="G56" s="3">
        <v>6.38</v>
      </c>
      <c r="H56" s="3">
        <v>6.38</v>
      </c>
      <c r="I56" s="3">
        <v>6.41</v>
      </c>
      <c r="J56" s="3">
        <v>6.37</v>
      </c>
      <c r="K56" s="3">
        <v>6.36</v>
      </c>
      <c r="L56" s="3">
        <v>6.28</v>
      </c>
      <c r="M56" s="3">
        <v>6.19</v>
      </c>
      <c r="N56" s="3">
        <v>6.19</v>
      </c>
      <c r="O56" s="3">
        <v>6.19</v>
      </c>
      <c r="P56" s="3">
        <v>6.19</v>
      </c>
      <c r="Q56" s="3">
        <v>6.19</v>
      </c>
    </row>
    <row r="57" spans="1:17" ht="18.75" customHeight="1" x14ac:dyDescent="0.25">
      <c r="A57" s="2">
        <v>40086</v>
      </c>
      <c r="B57" s="3">
        <f>(('Juro Nominal'!B57/100+1)/('Inflação Implícita'!B57/100+1)-1)*100</f>
        <v>4.2265669925244165</v>
      </c>
      <c r="C57" s="3">
        <v>5.0199999999999996</v>
      </c>
      <c r="D57" s="3">
        <v>5.96</v>
      </c>
      <c r="E57" s="3">
        <v>6.27</v>
      </c>
      <c r="F57" s="3">
        <v>6.32</v>
      </c>
      <c r="G57" s="3">
        <v>6.26</v>
      </c>
      <c r="H57" s="3">
        <v>6.26</v>
      </c>
      <c r="I57" s="3">
        <v>6.27</v>
      </c>
      <c r="J57" s="3">
        <v>6.23</v>
      </c>
      <c r="K57" s="3">
        <v>6.24</v>
      </c>
      <c r="L57" s="3">
        <v>6.22</v>
      </c>
      <c r="M57" s="3">
        <v>6.13</v>
      </c>
      <c r="N57" s="3">
        <v>6.13</v>
      </c>
      <c r="O57" s="3">
        <v>6.13</v>
      </c>
      <c r="P57" s="3">
        <v>6.13</v>
      </c>
      <c r="Q57" s="3">
        <v>6.13</v>
      </c>
    </row>
    <row r="58" spans="1:17" ht="18.75" customHeight="1" x14ac:dyDescent="0.25">
      <c r="A58" s="2">
        <v>40117</v>
      </c>
      <c r="B58" s="3">
        <f>(('Juro Nominal'!B58/100+1)/('Inflação Implícita'!B58/100+1)-1)*100</f>
        <v>4.396659306902162</v>
      </c>
      <c r="C58" s="3">
        <v>4.9800000000000004</v>
      </c>
      <c r="D58" s="3">
        <v>6.07</v>
      </c>
      <c r="E58" s="3">
        <v>6.42</v>
      </c>
      <c r="F58" s="3">
        <v>6.64</v>
      </c>
      <c r="G58" s="3">
        <v>6.6</v>
      </c>
      <c r="H58" s="3">
        <v>6.61</v>
      </c>
      <c r="I58" s="3">
        <v>6.58</v>
      </c>
      <c r="J58" s="3">
        <v>6.55</v>
      </c>
      <c r="K58" s="3">
        <v>6.52</v>
      </c>
      <c r="L58" s="3">
        <v>6.52</v>
      </c>
      <c r="M58" s="3">
        <v>6.51</v>
      </c>
      <c r="N58" s="3">
        <v>6.51</v>
      </c>
      <c r="O58" s="3">
        <v>6.51</v>
      </c>
      <c r="P58" s="3">
        <v>6.51</v>
      </c>
      <c r="Q58" s="3">
        <v>6.51</v>
      </c>
    </row>
    <row r="59" spans="1:17" ht="18.75" customHeight="1" x14ac:dyDescent="0.25">
      <c r="A59" s="2">
        <v>40147</v>
      </c>
      <c r="B59" s="3">
        <f>(('Juro Nominal'!B59/100+1)/('Inflação Implícita'!B59/100+1)-1)*100</f>
        <v>4.3465745538284306</v>
      </c>
      <c r="C59" s="3">
        <v>4.91</v>
      </c>
      <c r="D59" s="3">
        <v>6.1</v>
      </c>
      <c r="E59" s="3">
        <v>6.47</v>
      </c>
      <c r="F59" s="3">
        <v>6.74</v>
      </c>
      <c r="G59" s="3">
        <v>6.67</v>
      </c>
      <c r="H59" s="3">
        <v>6.73</v>
      </c>
      <c r="I59" s="3">
        <v>6.67</v>
      </c>
      <c r="J59" s="3">
        <v>6.62</v>
      </c>
      <c r="K59" s="3">
        <v>6.57</v>
      </c>
      <c r="L59" s="3">
        <v>6.55</v>
      </c>
      <c r="M59" s="3">
        <v>6.5</v>
      </c>
      <c r="N59" s="3">
        <v>6.5</v>
      </c>
      <c r="O59" s="3">
        <v>6.5</v>
      </c>
      <c r="P59" s="3">
        <v>6.5</v>
      </c>
      <c r="Q59" s="3">
        <v>6.5</v>
      </c>
    </row>
    <row r="60" spans="1:17" ht="18.75" customHeight="1" x14ac:dyDescent="0.25">
      <c r="A60" s="2">
        <v>40178</v>
      </c>
      <c r="B60" s="3">
        <f>(('Juro Nominal'!B60/100+1)/('Inflação Implícita'!B60/100+1)-1)*100</f>
        <v>4.2565429968363544</v>
      </c>
      <c r="C60" s="3">
        <v>4.9400000000000004</v>
      </c>
      <c r="D60" s="3">
        <v>6.21</v>
      </c>
      <c r="E60" s="3">
        <v>6.42</v>
      </c>
      <c r="F60" s="3">
        <v>6.65</v>
      </c>
      <c r="G60" s="3">
        <v>6.62</v>
      </c>
      <c r="H60" s="3">
        <v>6.63</v>
      </c>
      <c r="I60" s="3">
        <v>6.6</v>
      </c>
      <c r="J60" s="3">
        <v>6.57</v>
      </c>
      <c r="K60" s="3">
        <v>6.54</v>
      </c>
      <c r="L60" s="3">
        <v>6.53</v>
      </c>
      <c r="M60" s="3">
        <v>6.49</v>
      </c>
      <c r="N60" s="3">
        <v>6.49</v>
      </c>
      <c r="O60" s="3">
        <v>6.49</v>
      </c>
      <c r="P60" s="3">
        <v>6.49</v>
      </c>
      <c r="Q60" s="3">
        <v>6.49</v>
      </c>
    </row>
    <row r="61" spans="1:17" ht="18.75" customHeight="1" x14ac:dyDescent="0.25">
      <c r="A61" s="2">
        <v>40209</v>
      </c>
      <c r="B61" s="3">
        <f>(('Juro Nominal'!B61/100+1)/('Inflação Implícita'!B61/100+1)-1)*100</f>
        <v>3.9774357013098616</v>
      </c>
      <c r="C61" s="3">
        <v>4.8</v>
      </c>
      <c r="D61" s="3">
        <v>5.8</v>
      </c>
      <c r="E61" s="3">
        <v>6.38</v>
      </c>
      <c r="F61" s="3">
        <v>6.53</v>
      </c>
      <c r="G61" s="3">
        <v>6.49</v>
      </c>
      <c r="H61" s="3">
        <v>6.57</v>
      </c>
      <c r="I61" s="3">
        <v>6.55</v>
      </c>
      <c r="J61" s="3">
        <v>6.54</v>
      </c>
      <c r="K61" s="3">
        <v>6.53</v>
      </c>
      <c r="L61" s="3">
        <v>6.55</v>
      </c>
      <c r="M61" s="3">
        <v>6.52</v>
      </c>
      <c r="N61" s="3">
        <v>6.52</v>
      </c>
      <c r="O61" s="3">
        <v>6.52</v>
      </c>
      <c r="P61" s="3">
        <v>6.52</v>
      </c>
      <c r="Q61" s="3">
        <v>6.52</v>
      </c>
    </row>
    <row r="62" spans="1:17" ht="18.75" customHeight="1" x14ac:dyDescent="0.25">
      <c r="A62" s="2">
        <v>40237</v>
      </c>
      <c r="B62" s="3">
        <f>(('Juro Nominal'!B62/100+1)/('Inflação Implícita'!B62/100+1)-1)*100</f>
        <v>3.7393875798912513</v>
      </c>
      <c r="C62" s="3">
        <v>5.0199999999999996</v>
      </c>
      <c r="D62" s="3">
        <v>6</v>
      </c>
      <c r="E62" s="3">
        <v>6.25</v>
      </c>
      <c r="F62" s="3">
        <v>6.44</v>
      </c>
      <c r="G62" s="3">
        <v>6.41</v>
      </c>
      <c r="H62" s="3">
        <v>6.4</v>
      </c>
      <c r="I62" s="3">
        <v>6.39</v>
      </c>
      <c r="J62" s="3">
        <v>6.42</v>
      </c>
      <c r="K62" s="3">
        <v>6.45</v>
      </c>
      <c r="L62" s="3">
        <v>6.51</v>
      </c>
      <c r="M62" s="3">
        <v>6.51</v>
      </c>
      <c r="N62" s="3">
        <v>6.51</v>
      </c>
      <c r="O62" s="3">
        <v>6.51</v>
      </c>
      <c r="P62" s="3">
        <v>6.51</v>
      </c>
      <c r="Q62" s="3">
        <v>6.51</v>
      </c>
    </row>
    <row r="63" spans="1:17" ht="18.75" customHeight="1" x14ac:dyDescent="0.25">
      <c r="A63" s="2">
        <v>40268</v>
      </c>
      <c r="B63" s="3">
        <f>(('Juro Nominal'!B63/100+1)/('Inflação Implícita'!B63/100+1)-1)*100</f>
        <v>3.4040125511077157</v>
      </c>
      <c r="C63" s="3">
        <v>5.1100000000000003</v>
      </c>
      <c r="D63" s="3">
        <v>5.94</v>
      </c>
      <c r="E63" s="3">
        <v>6.1</v>
      </c>
      <c r="F63" s="3">
        <v>6.19</v>
      </c>
      <c r="G63" s="3">
        <v>6.15</v>
      </c>
      <c r="H63" s="3">
        <v>6.16</v>
      </c>
      <c r="I63" s="3">
        <v>6.15</v>
      </c>
      <c r="J63" s="3">
        <v>6.18</v>
      </c>
      <c r="K63" s="3">
        <v>6.22</v>
      </c>
      <c r="L63" s="3">
        <v>6.27</v>
      </c>
      <c r="M63" s="3">
        <v>6.27</v>
      </c>
      <c r="N63" s="3">
        <v>6.27</v>
      </c>
      <c r="O63" s="3">
        <v>6.27</v>
      </c>
      <c r="P63" s="3">
        <v>6.27</v>
      </c>
      <c r="Q63" s="3">
        <v>6.27</v>
      </c>
    </row>
    <row r="64" spans="1:17" ht="18.75" customHeight="1" x14ac:dyDescent="0.25">
      <c r="A64" s="2">
        <v>40298</v>
      </c>
      <c r="B64" s="3">
        <f>(('Juro Nominal'!B64/100+1)/('Inflação Implícita'!B64/100+1)-1)*100</f>
        <v>4.0281208436253158</v>
      </c>
      <c r="C64" s="3">
        <v>5.75</v>
      </c>
      <c r="D64" s="3">
        <v>6.53</v>
      </c>
      <c r="E64" s="3">
        <v>6.56</v>
      </c>
      <c r="F64" s="3">
        <v>6.67</v>
      </c>
      <c r="G64" s="3">
        <v>6.57</v>
      </c>
      <c r="H64" s="3">
        <v>6.46</v>
      </c>
      <c r="I64" s="3">
        <v>6.4</v>
      </c>
      <c r="J64" s="3">
        <v>6.36</v>
      </c>
      <c r="K64" s="3">
        <v>6.31</v>
      </c>
      <c r="L64" s="3">
        <v>6.3</v>
      </c>
      <c r="M64" s="3">
        <v>6.25</v>
      </c>
      <c r="N64" s="3">
        <v>6.25</v>
      </c>
      <c r="O64" s="3">
        <v>6.25</v>
      </c>
      <c r="P64" s="3">
        <v>6.25</v>
      </c>
      <c r="Q64" s="3">
        <v>6.25</v>
      </c>
    </row>
    <row r="65" spans="1:17" ht="18.75" customHeight="1" x14ac:dyDescent="0.25">
      <c r="A65" s="2">
        <v>40329</v>
      </c>
      <c r="B65" s="3">
        <f>(('Juro Nominal'!B65/100+1)/('Inflação Implícita'!B65/100+1)-1)*100</f>
        <v>4.0676677437749387</v>
      </c>
      <c r="C65" s="3">
        <v>6.05</v>
      </c>
      <c r="D65" s="3">
        <v>6.55</v>
      </c>
      <c r="E65" s="3">
        <v>6.58</v>
      </c>
      <c r="F65" s="3">
        <v>6.59</v>
      </c>
      <c r="G65" s="3">
        <v>6.67</v>
      </c>
      <c r="H65" s="3">
        <v>6.58</v>
      </c>
      <c r="I65" s="3">
        <v>6.59</v>
      </c>
      <c r="J65" s="3">
        <v>6.61</v>
      </c>
      <c r="K65" s="3">
        <v>6.59</v>
      </c>
      <c r="L65" s="3">
        <v>6.61</v>
      </c>
      <c r="M65" s="3">
        <v>6.58</v>
      </c>
      <c r="N65" s="3">
        <v>6.58</v>
      </c>
      <c r="O65" s="3">
        <v>6.58</v>
      </c>
      <c r="P65" s="3">
        <v>6.58</v>
      </c>
      <c r="Q65" s="3">
        <v>6.58</v>
      </c>
    </row>
    <row r="66" spans="1:17" ht="18.75" customHeight="1" x14ac:dyDescent="0.25">
      <c r="A66" s="2">
        <v>40359</v>
      </c>
      <c r="B66" s="3">
        <f>(('Juro Nominal'!B66/100+1)/('Inflação Implícita'!B66/100+1)-1)*100</f>
        <v>5.1602441816100741</v>
      </c>
      <c r="C66" s="3">
        <v>6.64</v>
      </c>
      <c r="D66" s="3">
        <v>6.62</v>
      </c>
      <c r="E66" s="3">
        <v>6.56</v>
      </c>
      <c r="F66" s="3">
        <v>6.63</v>
      </c>
      <c r="G66" s="3">
        <v>6.49</v>
      </c>
      <c r="H66" s="3">
        <v>6.43</v>
      </c>
      <c r="I66" s="3">
        <v>6.39</v>
      </c>
      <c r="J66" s="3">
        <v>6.43</v>
      </c>
      <c r="K66" s="3">
        <v>6.47</v>
      </c>
      <c r="L66" s="3">
        <v>6.48</v>
      </c>
      <c r="M66" s="3">
        <v>6.5</v>
      </c>
      <c r="N66" s="3">
        <v>6.5</v>
      </c>
      <c r="O66" s="3">
        <v>6.5</v>
      </c>
      <c r="P66" s="3">
        <v>6.5</v>
      </c>
      <c r="Q66" s="3">
        <v>6.5</v>
      </c>
    </row>
    <row r="67" spans="1:17" ht="18.75" customHeight="1" x14ac:dyDescent="0.25">
      <c r="A67" s="2">
        <v>40390</v>
      </c>
      <c r="B67" s="3">
        <f>(('Juro Nominal'!B67/100+1)/('Inflação Implícita'!B67/100+1)-1)*100</f>
        <v>5.8795411089866079</v>
      </c>
      <c r="C67" s="3">
        <v>6</v>
      </c>
      <c r="D67" s="3">
        <v>6.23</v>
      </c>
      <c r="E67" s="3">
        <v>6.19</v>
      </c>
      <c r="F67" s="3">
        <v>6.3</v>
      </c>
      <c r="G67" s="3">
        <v>6.26</v>
      </c>
      <c r="H67" s="3">
        <v>6.19</v>
      </c>
      <c r="I67" s="3">
        <v>6.17</v>
      </c>
      <c r="J67" s="3">
        <v>6.16</v>
      </c>
      <c r="K67" s="3">
        <v>6.15</v>
      </c>
      <c r="L67" s="3">
        <v>6.19</v>
      </c>
      <c r="M67" s="3">
        <v>6.19</v>
      </c>
      <c r="N67" s="3">
        <v>6.19</v>
      </c>
      <c r="O67" s="3">
        <v>6.19</v>
      </c>
      <c r="P67" s="3">
        <v>6.19</v>
      </c>
      <c r="Q67" s="3">
        <v>6.19</v>
      </c>
    </row>
    <row r="68" spans="1:17" ht="18.75" customHeight="1" x14ac:dyDescent="0.25">
      <c r="A68" s="2">
        <v>40421</v>
      </c>
      <c r="B68" s="3">
        <f>(('Juro Nominal'!B68/100+1)/('Inflação Implícita'!B68/100+1)-1)*100</f>
        <v>5.9910039238204593</v>
      </c>
      <c r="C68" s="3">
        <v>5.62</v>
      </c>
      <c r="D68" s="3">
        <v>6</v>
      </c>
      <c r="E68" s="3">
        <v>5.97</v>
      </c>
      <c r="F68" s="3">
        <v>6.01</v>
      </c>
      <c r="G68" s="3">
        <v>5.97</v>
      </c>
      <c r="H68" s="3">
        <v>5.85</v>
      </c>
      <c r="I68" s="3">
        <v>5.8</v>
      </c>
      <c r="J68" s="3">
        <v>5.78</v>
      </c>
      <c r="K68" s="3">
        <v>5.77</v>
      </c>
      <c r="L68" s="3">
        <v>5.78</v>
      </c>
      <c r="M68" s="3">
        <v>5.78</v>
      </c>
      <c r="N68" s="3">
        <v>5.78</v>
      </c>
      <c r="O68" s="3">
        <v>5.78</v>
      </c>
      <c r="P68" s="3">
        <v>5.78</v>
      </c>
      <c r="Q68" s="3">
        <v>5.78</v>
      </c>
    </row>
    <row r="69" spans="1:17" ht="18.75" customHeight="1" x14ac:dyDescent="0.25">
      <c r="A69" s="2">
        <v>40451</v>
      </c>
      <c r="B69" s="3">
        <f>(('Juro Nominal'!B69/100+1)/('Inflação Implícita'!B69/100+1)-1)*100</f>
        <v>5.778414517669539</v>
      </c>
      <c r="C69" s="3">
        <v>5.0999999999999996</v>
      </c>
      <c r="D69" s="3">
        <v>5.64</v>
      </c>
      <c r="E69" s="3">
        <v>5.85</v>
      </c>
      <c r="F69" s="3">
        <v>5.9</v>
      </c>
      <c r="G69" s="3">
        <v>5.9</v>
      </c>
      <c r="H69" s="3">
        <v>5.84</v>
      </c>
      <c r="I69" s="3">
        <v>5.9</v>
      </c>
      <c r="J69" s="3">
        <v>5.9</v>
      </c>
      <c r="K69" s="3">
        <v>5.9</v>
      </c>
      <c r="L69" s="3">
        <v>5.91</v>
      </c>
      <c r="M69" s="3">
        <v>5.93</v>
      </c>
      <c r="N69" s="3">
        <v>5.93</v>
      </c>
      <c r="O69" s="3">
        <v>5.93</v>
      </c>
      <c r="P69" s="3">
        <v>5.93</v>
      </c>
      <c r="Q69" s="3">
        <v>5.93</v>
      </c>
    </row>
    <row r="70" spans="1:17" ht="18.75" customHeight="1" x14ac:dyDescent="0.25">
      <c r="A70" s="2">
        <v>40482</v>
      </c>
      <c r="B70" s="3">
        <f>(('Juro Nominal'!B70/100+1)/('Inflação Implícita'!B70/100+1)-1)*100</f>
        <v>5.2756653992395375</v>
      </c>
      <c r="C70" s="3">
        <v>4.62</v>
      </c>
      <c r="D70" s="3">
        <v>5.45</v>
      </c>
      <c r="E70" s="3">
        <v>5.72</v>
      </c>
      <c r="F70" s="3">
        <v>5.81</v>
      </c>
      <c r="G70" s="3">
        <v>5.81</v>
      </c>
      <c r="H70" s="3">
        <v>5.76</v>
      </c>
      <c r="I70" s="3">
        <v>5.72</v>
      </c>
      <c r="J70" s="3">
        <v>5.68</v>
      </c>
      <c r="K70" s="3">
        <v>5.67</v>
      </c>
      <c r="L70" s="3">
        <v>5.7</v>
      </c>
      <c r="M70" s="3">
        <v>5.69</v>
      </c>
      <c r="N70" s="3">
        <v>5.69</v>
      </c>
      <c r="O70" s="3">
        <v>5.69</v>
      </c>
      <c r="P70" s="3">
        <v>5.69</v>
      </c>
      <c r="Q70" s="3">
        <v>5.69</v>
      </c>
    </row>
    <row r="71" spans="1:17" ht="18.75" customHeight="1" x14ac:dyDescent="0.25">
      <c r="A71" s="2">
        <v>40512</v>
      </c>
      <c r="B71" s="3">
        <f>(('Juro Nominal'!B71/100+1)/('Inflação Implícita'!B71/100+1)-1)*100</f>
        <v>4.8471078292151804</v>
      </c>
      <c r="C71" s="3">
        <v>5.13</v>
      </c>
      <c r="D71" s="3">
        <v>5.88</v>
      </c>
      <c r="E71" s="3">
        <v>6.12</v>
      </c>
      <c r="F71" s="3">
        <v>6.14</v>
      </c>
      <c r="G71" s="3">
        <v>5.95</v>
      </c>
      <c r="H71" s="3">
        <v>5.84</v>
      </c>
      <c r="I71" s="3">
        <v>5.85</v>
      </c>
      <c r="J71" s="3">
        <v>5.9</v>
      </c>
      <c r="K71" s="3">
        <v>5.92</v>
      </c>
      <c r="L71" s="3">
        <v>5.97</v>
      </c>
      <c r="M71" s="3">
        <v>6</v>
      </c>
      <c r="N71" s="3">
        <v>6</v>
      </c>
      <c r="O71" s="3">
        <v>6</v>
      </c>
      <c r="P71" s="3">
        <v>6</v>
      </c>
      <c r="Q71" s="3">
        <v>6</v>
      </c>
    </row>
    <row r="72" spans="1:17" ht="18.75" customHeight="1" x14ac:dyDescent="0.25">
      <c r="A72" s="2">
        <v>40543</v>
      </c>
      <c r="B72" s="3">
        <f>(('Juro Nominal'!B72/100+1)/('Inflação Implícita'!B72/100+1)-1)*100</f>
        <v>4.5699178547823571</v>
      </c>
      <c r="C72" s="3">
        <v>5.79</v>
      </c>
      <c r="D72" s="3">
        <v>5.98</v>
      </c>
      <c r="E72" s="3">
        <v>6.09</v>
      </c>
      <c r="F72" s="3">
        <v>6.06</v>
      </c>
      <c r="G72" s="3">
        <v>5.84</v>
      </c>
      <c r="H72" s="3">
        <v>5.74</v>
      </c>
      <c r="I72" s="3">
        <v>5.79</v>
      </c>
      <c r="J72" s="3">
        <v>5.86</v>
      </c>
      <c r="K72" s="3">
        <v>5.9</v>
      </c>
      <c r="L72" s="3">
        <v>5.95</v>
      </c>
      <c r="M72" s="3">
        <v>5.98</v>
      </c>
      <c r="N72" s="3">
        <v>5.98</v>
      </c>
      <c r="O72" s="3">
        <v>5.98</v>
      </c>
      <c r="P72" s="3">
        <v>5.98</v>
      </c>
      <c r="Q72" s="3">
        <v>5.98</v>
      </c>
    </row>
    <row r="73" spans="1:17" ht="18.75" customHeight="1" x14ac:dyDescent="0.25">
      <c r="A73" s="2">
        <v>40574</v>
      </c>
      <c r="B73" s="3">
        <f>(('Juro Nominal'!B73/100+1)/('Inflação Implícita'!B73/100+1)-1)*100</f>
        <v>4.9627323332389839</v>
      </c>
      <c r="C73" s="3">
        <v>5.6</v>
      </c>
      <c r="D73" s="3">
        <v>6.16</v>
      </c>
      <c r="E73" s="3">
        <v>6.32</v>
      </c>
      <c r="F73" s="3">
        <v>6.45</v>
      </c>
      <c r="G73" s="3">
        <v>6.43</v>
      </c>
      <c r="H73" s="3">
        <v>6.29</v>
      </c>
      <c r="I73" s="3">
        <v>6.18</v>
      </c>
      <c r="J73" s="3">
        <v>6.13</v>
      </c>
      <c r="K73" s="3">
        <v>6.11</v>
      </c>
      <c r="L73" s="3">
        <v>6.1</v>
      </c>
      <c r="M73" s="3">
        <v>6.07</v>
      </c>
      <c r="N73" s="3">
        <v>6.07</v>
      </c>
      <c r="O73" s="3">
        <v>6.07</v>
      </c>
      <c r="P73" s="3">
        <v>6.07</v>
      </c>
      <c r="Q73" s="3">
        <v>6.07</v>
      </c>
    </row>
    <row r="74" spans="1:17" ht="18.75" customHeight="1" x14ac:dyDescent="0.25">
      <c r="A74" s="2">
        <v>40602</v>
      </c>
      <c r="B74" s="3">
        <f>(('Juro Nominal'!B74/100+1)/('Inflação Implícita'!B74/100+1)-1)*100</f>
        <v>4.9429299122724313</v>
      </c>
      <c r="C74" s="3">
        <v>6.3</v>
      </c>
      <c r="D74" s="3">
        <v>6.39</v>
      </c>
      <c r="E74" s="3">
        <v>6.48</v>
      </c>
      <c r="F74" s="3">
        <v>6.61</v>
      </c>
      <c r="G74" s="3">
        <v>6.5</v>
      </c>
      <c r="H74" s="3">
        <v>6.3</v>
      </c>
      <c r="I74" s="3">
        <v>6.21</v>
      </c>
      <c r="J74" s="3">
        <v>6.19</v>
      </c>
      <c r="K74" s="3">
        <v>6.17</v>
      </c>
      <c r="L74" s="3">
        <v>6.17</v>
      </c>
      <c r="M74" s="3">
        <v>6.15</v>
      </c>
      <c r="N74" s="3">
        <v>6.15</v>
      </c>
      <c r="O74" s="3">
        <v>6.15</v>
      </c>
      <c r="P74" s="3">
        <v>6.15</v>
      </c>
      <c r="Q74" s="3">
        <v>6.15</v>
      </c>
    </row>
    <row r="75" spans="1:17" ht="18.75" customHeight="1" x14ac:dyDescent="0.25">
      <c r="A75" s="2">
        <v>40633</v>
      </c>
      <c r="B75" s="3">
        <f>(('Juro Nominal'!B75/100+1)/('Inflação Implícita'!B75/100+1)-1)*100</f>
        <v>5.1269990592662351</v>
      </c>
      <c r="C75" s="3">
        <v>5.91</v>
      </c>
      <c r="D75" s="3">
        <v>6.02</v>
      </c>
      <c r="E75" s="3">
        <v>6.22</v>
      </c>
      <c r="F75" s="3">
        <v>6.44</v>
      </c>
      <c r="G75" s="3">
        <v>6.39</v>
      </c>
      <c r="H75" s="3">
        <v>6.27</v>
      </c>
      <c r="I75" s="3">
        <v>6.23</v>
      </c>
      <c r="J75" s="3">
        <v>6.21</v>
      </c>
      <c r="K75" s="3">
        <v>6.17</v>
      </c>
      <c r="L75" s="3">
        <v>6.16</v>
      </c>
      <c r="M75" s="3">
        <v>6.16</v>
      </c>
      <c r="N75" s="3">
        <v>6.16</v>
      </c>
      <c r="O75" s="3">
        <v>6.16</v>
      </c>
      <c r="P75" s="3">
        <v>6.16</v>
      </c>
      <c r="Q75" s="3">
        <v>6.16</v>
      </c>
    </row>
    <row r="76" spans="1:17" ht="18.75" customHeight="1" x14ac:dyDescent="0.25">
      <c r="A76" s="2">
        <v>40663</v>
      </c>
      <c r="B76" s="3">
        <f>(('Juro Nominal'!B76/100+1)/('Inflação Implícita'!B76/100+1)-1)*100</f>
        <v>5.1544455919632082</v>
      </c>
      <c r="C76" s="3">
        <v>6.4</v>
      </c>
      <c r="D76" s="3">
        <v>6.47</v>
      </c>
      <c r="E76" s="3">
        <v>6.49</v>
      </c>
      <c r="F76" s="3">
        <v>6.63</v>
      </c>
      <c r="G76" s="3">
        <v>6.52</v>
      </c>
      <c r="H76" s="3">
        <v>6.41</v>
      </c>
      <c r="I76" s="3">
        <v>6.38</v>
      </c>
      <c r="J76" s="3">
        <v>6.37</v>
      </c>
      <c r="K76" s="3">
        <v>6.38</v>
      </c>
      <c r="L76" s="3">
        <v>6.39</v>
      </c>
      <c r="M76" s="3">
        <v>6.36</v>
      </c>
      <c r="N76" s="3">
        <v>6.36</v>
      </c>
      <c r="O76" s="3">
        <v>6.36</v>
      </c>
      <c r="P76" s="3">
        <v>6.36</v>
      </c>
      <c r="Q76" s="3">
        <v>6.36</v>
      </c>
    </row>
    <row r="77" spans="1:17" ht="18.75" customHeight="1" x14ac:dyDescent="0.25">
      <c r="A77" s="2">
        <v>40694</v>
      </c>
      <c r="B77" s="3">
        <f>(('Juro Nominal'!B77/100+1)/('Inflação Implícita'!B77/100+1)-1)*100</f>
        <v>5.114969497888322</v>
      </c>
      <c r="C77" s="3">
        <v>6.72</v>
      </c>
      <c r="D77" s="3">
        <v>6.5</v>
      </c>
      <c r="E77" s="3">
        <v>6.44</v>
      </c>
      <c r="F77" s="3">
        <v>6.4</v>
      </c>
      <c r="G77" s="3">
        <v>6.38</v>
      </c>
      <c r="H77" s="3">
        <v>6.18</v>
      </c>
      <c r="I77" s="3">
        <v>6.22</v>
      </c>
      <c r="J77" s="3">
        <v>6.2</v>
      </c>
      <c r="K77" s="3">
        <v>6.2</v>
      </c>
      <c r="L77" s="3">
        <v>6.21</v>
      </c>
      <c r="M77" s="3">
        <v>6.1</v>
      </c>
      <c r="N77" s="3">
        <v>6.1</v>
      </c>
      <c r="O77" s="3">
        <v>6.1</v>
      </c>
      <c r="P77" s="3">
        <v>6.1</v>
      </c>
      <c r="Q77" s="3">
        <v>6.1</v>
      </c>
    </row>
    <row r="78" spans="1:17" ht="18.75" customHeight="1" x14ac:dyDescent="0.25">
      <c r="A78" s="2">
        <v>40724</v>
      </c>
      <c r="B78" s="3">
        <f>(('Juro Nominal'!B78/100+1)/('Inflação Implícita'!B78/100+1)-1)*100</f>
        <v>5.1916408958860627</v>
      </c>
      <c r="C78" s="3">
        <v>7.03</v>
      </c>
      <c r="D78" s="3">
        <v>6.7</v>
      </c>
      <c r="E78" s="3">
        <v>6.69</v>
      </c>
      <c r="F78" s="3">
        <v>6.6</v>
      </c>
      <c r="G78" s="3">
        <v>6.54</v>
      </c>
      <c r="H78" s="3">
        <v>6.45</v>
      </c>
      <c r="I78" s="3">
        <v>6.42</v>
      </c>
      <c r="J78" s="3">
        <v>6.41</v>
      </c>
      <c r="K78" s="3">
        <v>6.38</v>
      </c>
      <c r="L78" s="3">
        <v>6.31</v>
      </c>
      <c r="M78" s="3">
        <v>6.25</v>
      </c>
      <c r="N78" s="3">
        <v>6.18</v>
      </c>
      <c r="O78" s="3">
        <v>6.14</v>
      </c>
      <c r="P78" s="3">
        <v>6.13</v>
      </c>
      <c r="Q78" s="3">
        <v>6.13</v>
      </c>
    </row>
    <row r="79" spans="1:17" ht="18.75" customHeight="1" x14ac:dyDescent="0.25">
      <c r="A79" s="2">
        <v>40755</v>
      </c>
      <c r="B79" s="3">
        <f>(('Juro Nominal'!B79/100+1)/('Inflação Implícita'!B79/100+1)-1)*100</f>
        <v>5.2680827173201106</v>
      </c>
      <c r="C79" s="3">
        <v>6.47</v>
      </c>
      <c r="D79" s="3">
        <v>6.42</v>
      </c>
      <c r="E79" s="3">
        <v>6.42</v>
      </c>
      <c r="F79" s="3">
        <v>6.53</v>
      </c>
      <c r="G79" s="3">
        <v>6.48</v>
      </c>
      <c r="H79" s="3">
        <v>6.47</v>
      </c>
      <c r="I79" s="3">
        <v>6.37</v>
      </c>
      <c r="J79" s="3">
        <v>6.36</v>
      </c>
      <c r="K79" s="3">
        <v>6.33</v>
      </c>
      <c r="L79" s="3">
        <v>6.32</v>
      </c>
      <c r="M79" s="3">
        <v>6.3</v>
      </c>
      <c r="N79" s="3">
        <v>6.3</v>
      </c>
      <c r="O79" s="3">
        <v>6.3</v>
      </c>
      <c r="P79" s="3">
        <v>6.3</v>
      </c>
      <c r="Q79" s="3">
        <v>6.3</v>
      </c>
    </row>
    <row r="80" spans="1:17" ht="18.75" customHeight="1" x14ac:dyDescent="0.25">
      <c r="A80" s="2">
        <v>40786</v>
      </c>
      <c r="B80" s="3">
        <f>(('Juro Nominal'!B80/100+1)/('Inflação Implícita'!B80/100+1)-1)*100</f>
        <v>4.9146694022195181</v>
      </c>
      <c r="C80" s="3">
        <v>4.87</v>
      </c>
      <c r="D80" s="3">
        <v>4.9400000000000004</v>
      </c>
      <c r="E80" s="3">
        <v>4.91</v>
      </c>
      <c r="F80" s="3">
        <v>5.15</v>
      </c>
      <c r="G80" s="3">
        <v>5.29</v>
      </c>
      <c r="H80" s="3">
        <v>5.3</v>
      </c>
      <c r="I80" s="3">
        <v>5.38</v>
      </c>
      <c r="J80" s="3">
        <v>5.41</v>
      </c>
      <c r="K80" s="3">
        <v>5.49</v>
      </c>
      <c r="L80" s="3">
        <v>5.44</v>
      </c>
      <c r="M80" s="3">
        <v>5.4</v>
      </c>
      <c r="N80" s="3">
        <v>5.4</v>
      </c>
      <c r="O80" s="3">
        <v>5.4</v>
      </c>
      <c r="P80" s="3">
        <v>5.4</v>
      </c>
      <c r="Q80" s="3">
        <v>5.4</v>
      </c>
    </row>
    <row r="81" spans="1:17" ht="18.75" customHeight="1" x14ac:dyDescent="0.25">
      <c r="A81" s="2">
        <v>40816</v>
      </c>
      <c r="B81" s="3">
        <f>(('Juro Nominal'!B81/100+1)/('Inflação Implícita'!B81/100+1)-1)*100</f>
        <v>4.3705153294194554</v>
      </c>
      <c r="C81" s="3">
        <v>4.12</v>
      </c>
      <c r="D81" s="3">
        <v>4.17</v>
      </c>
      <c r="E81" s="3">
        <v>4.62</v>
      </c>
      <c r="F81" s="3">
        <v>4.96</v>
      </c>
      <c r="G81" s="3">
        <v>5.1100000000000003</v>
      </c>
      <c r="H81" s="3">
        <v>5.18</v>
      </c>
      <c r="I81" s="3">
        <v>5.32</v>
      </c>
      <c r="J81" s="3">
        <v>5.37</v>
      </c>
      <c r="K81" s="3">
        <v>5.36</v>
      </c>
      <c r="L81" s="3">
        <v>5.4</v>
      </c>
      <c r="M81" s="3">
        <v>5.4</v>
      </c>
      <c r="N81" s="3">
        <v>5.4</v>
      </c>
      <c r="O81" s="3">
        <v>5.4</v>
      </c>
      <c r="P81" s="3">
        <v>5.4</v>
      </c>
      <c r="Q81" s="3">
        <v>5.4</v>
      </c>
    </row>
    <row r="82" spans="1:17" ht="18.75" customHeight="1" x14ac:dyDescent="0.25">
      <c r="A82" s="2">
        <v>40847</v>
      </c>
      <c r="B82" s="3">
        <f>(('Juro Nominal'!B82/100+1)/('Inflação Implícita'!B82/100+1)-1)*100</f>
        <v>4.2348321959427837</v>
      </c>
      <c r="C82" s="3">
        <v>4.17</v>
      </c>
      <c r="D82" s="3">
        <v>4.22</v>
      </c>
      <c r="E82" s="3">
        <v>4.5999999999999996</v>
      </c>
      <c r="F82" s="3">
        <v>4.92</v>
      </c>
      <c r="G82" s="3">
        <v>5.03</v>
      </c>
      <c r="H82" s="3">
        <v>5.0999999999999996</v>
      </c>
      <c r="I82" s="3">
        <v>5.2</v>
      </c>
      <c r="J82" s="3">
        <v>5.23</v>
      </c>
      <c r="K82" s="3">
        <v>5.26</v>
      </c>
      <c r="L82" s="3">
        <v>5.28</v>
      </c>
      <c r="M82" s="3">
        <v>5.28</v>
      </c>
      <c r="N82" s="3">
        <v>5.28</v>
      </c>
      <c r="O82" s="3">
        <v>5.28</v>
      </c>
      <c r="P82" s="3">
        <v>5.28</v>
      </c>
      <c r="Q82" s="3">
        <v>5.28</v>
      </c>
    </row>
    <row r="83" spans="1:17" ht="18.75" customHeight="1" x14ac:dyDescent="0.25">
      <c r="A83" s="2">
        <v>40877</v>
      </c>
      <c r="B83" s="3">
        <f>(('Juro Nominal'!B83/100+1)/('Inflação Implícita'!B83/100+1)-1)*100</f>
        <v>4.5573893473368265</v>
      </c>
      <c r="C83" s="3">
        <v>4.16</v>
      </c>
      <c r="D83" s="3">
        <v>4.08</v>
      </c>
      <c r="E83" s="3">
        <v>4.51</v>
      </c>
      <c r="F83" s="3">
        <v>4.8</v>
      </c>
      <c r="G83" s="3">
        <v>5.07</v>
      </c>
      <c r="H83" s="3">
        <v>5.05</v>
      </c>
      <c r="I83" s="3">
        <v>4.8499999999999996</v>
      </c>
      <c r="J83" s="3">
        <v>5</v>
      </c>
      <c r="K83" s="3">
        <v>5.05</v>
      </c>
      <c r="L83" s="3">
        <v>5.05</v>
      </c>
      <c r="M83" s="3">
        <v>5.03</v>
      </c>
      <c r="N83" s="3">
        <v>5.03</v>
      </c>
      <c r="O83" s="3">
        <v>5.03</v>
      </c>
      <c r="P83" s="3">
        <v>5.03</v>
      </c>
      <c r="Q83" s="3">
        <v>5.03</v>
      </c>
    </row>
    <row r="84" spans="1:17" ht="18.75" customHeight="1" x14ac:dyDescent="0.25">
      <c r="A84" s="2">
        <v>40908</v>
      </c>
      <c r="B84" s="3">
        <f>(('Juro Nominal'!B84/100+1)/('Inflação Implícita'!B84/100+1)-1)*100</f>
        <v>4.2253521126760729</v>
      </c>
      <c r="C84" s="3">
        <v>4.28</v>
      </c>
      <c r="D84" s="3">
        <v>4.71</v>
      </c>
      <c r="E84" s="3">
        <v>4.97</v>
      </c>
      <c r="F84" s="3">
        <v>5.16</v>
      </c>
      <c r="G84" s="3">
        <v>5.26</v>
      </c>
      <c r="H84" s="3">
        <v>5.23</v>
      </c>
      <c r="I84" s="3">
        <v>5.25</v>
      </c>
      <c r="J84" s="3">
        <v>5.31</v>
      </c>
      <c r="K84" s="3">
        <v>5.32</v>
      </c>
      <c r="L84" s="3">
        <v>5.34</v>
      </c>
      <c r="M84" s="3">
        <v>5.33</v>
      </c>
      <c r="N84" s="3">
        <v>5.33</v>
      </c>
      <c r="O84" s="3">
        <v>5.33</v>
      </c>
      <c r="P84" s="3">
        <v>5.33</v>
      </c>
      <c r="Q84" s="3">
        <v>5.33</v>
      </c>
    </row>
    <row r="85" spans="1:17" ht="18.75" customHeight="1" x14ac:dyDescent="0.25">
      <c r="A85" s="2">
        <v>40939</v>
      </c>
      <c r="B85" s="3">
        <f>(('Juro Nominal'!B85/100+1)/('Inflação Implícita'!B85/100+1)-1)*100</f>
        <v>4.0293729994351324</v>
      </c>
      <c r="C85" s="3">
        <v>4.0599999999999996</v>
      </c>
      <c r="D85" s="3">
        <v>4.22</v>
      </c>
      <c r="E85" s="3">
        <v>4.45</v>
      </c>
      <c r="F85" s="3">
        <v>4.87</v>
      </c>
      <c r="G85" s="3">
        <v>4.9800000000000004</v>
      </c>
      <c r="H85" s="3">
        <v>5.07</v>
      </c>
      <c r="I85" s="3">
        <v>5.13</v>
      </c>
      <c r="J85" s="3">
        <v>5.15</v>
      </c>
      <c r="K85" s="3">
        <v>5.22</v>
      </c>
      <c r="L85" s="3">
        <v>5.26</v>
      </c>
      <c r="M85" s="3">
        <v>5.27</v>
      </c>
      <c r="N85" s="3">
        <v>5.26</v>
      </c>
      <c r="O85" s="3">
        <v>5.23</v>
      </c>
      <c r="P85" s="3">
        <v>5.18</v>
      </c>
      <c r="Q85" s="3">
        <v>5.18</v>
      </c>
    </row>
    <row r="86" spans="1:17" ht="18.75" customHeight="1" x14ac:dyDescent="0.25">
      <c r="A86" s="2">
        <v>40968</v>
      </c>
      <c r="B86" s="3">
        <f>(('Juro Nominal'!B86/100+1)/('Inflação Implícita'!B86/100+1)-1)*100</f>
        <v>4.393008974964574</v>
      </c>
      <c r="C86" s="3">
        <v>3.57</v>
      </c>
      <c r="D86" s="3">
        <v>3.65</v>
      </c>
      <c r="E86" s="3">
        <v>4.12</v>
      </c>
      <c r="F86" s="3">
        <v>4.5</v>
      </c>
      <c r="G86" s="3">
        <v>4.55</v>
      </c>
      <c r="H86" s="3">
        <v>4.8499999999999996</v>
      </c>
      <c r="I86" s="3">
        <v>4.97</v>
      </c>
      <c r="J86" s="3">
        <v>5.04</v>
      </c>
      <c r="K86" s="3">
        <v>5.0999999999999996</v>
      </c>
      <c r="L86" s="3">
        <v>5.16</v>
      </c>
      <c r="M86" s="3">
        <v>5.19</v>
      </c>
      <c r="N86" s="3">
        <v>5.0999999999999996</v>
      </c>
      <c r="O86" s="3">
        <v>5.05</v>
      </c>
      <c r="P86" s="3">
        <v>5.05</v>
      </c>
      <c r="Q86" s="3">
        <v>5.05</v>
      </c>
    </row>
    <row r="87" spans="1:17" ht="18.75" customHeight="1" x14ac:dyDescent="0.25">
      <c r="A87" s="2">
        <v>40999</v>
      </c>
      <c r="B87" s="3">
        <f>(('Juro Nominal'!B87/100+1)/('Inflação Implícita'!B87/100+1)-1)*100</f>
        <v>4.2854427974154286</v>
      </c>
      <c r="C87" s="3">
        <v>3.28</v>
      </c>
      <c r="D87" s="3">
        <v>3.35</v>
      </c>
      <c r="E87" s="3">
        <v>4.05</v>
      </c>
      <c r="F87" s="3">
        <v>4.34</v>
      </c>
      <c r="G87" s="3">
        <v>4.47</v>
      </c>
      <c r="H87" s="3">
        <v>4.59</v>
      </c>
      <c r="I87" s="3">
        <v>4.68</v>
      </c>
      <c r="J87" s="3">
        <v>4.7300000000000004</v>
      </c>
      <c r="K87" s="3">
        <v>4.79</v>
      </c>
      <c r="L87" s="3">
        <v>4.8499999999999996</v>
      </c>
      <c r="M87" s="3">
        <v>4.8899999999999997</v>
      </c>
      <c r="N87" s="3">
        <v>4.91</v>
      </c>
      <c r="O87" s="3">
        <v>4.91</v>
      </c>
      <c r="P87" s="3">
        <v>4.88</v>
      </c>
      <c r="Q87" s="3">
        <v>4.88</v>
      </c>
    </row>
    <row r="88" spans="1:17" ht="18.75" customHeight="1" x14ac:dyDescent="0.25">
      <c r="A88" s="2">
        <v>41029</v>
      </c>
      <c r="B88" s="3">
        <f>(('Juro Nominal'!B88/100+1)/('Inflação Implícita'!B88/100+1)-1)*100</f>
        <v>3.7107516650808803</v>
      </c>
      <c r="C88" s="3">
        <v>2.72</v>
      </c>
      <c r="D88" s="3">
        <v>3.08</v>
      </c>
      <c r="E88" s="3">
        <v>3.45</v>
      </c>
      <c r="F88" s="3">
        <v>3.77</v>
      </c>
      <c r="G88" s="3">
        <v>3.97</v>
      </c>
      <c r="H88" s="3">
        <v>4.09</v>
      </c>
      <c r="I88" s="3">
        <v>4.17</v>
      </c>
      <c r="J88" s="3">
        <v>4.22</v>
      </c>
      <c r="K88" s="3">
        <v>4.28</v>
      </c>
      <c r="L88" s="3">
        <v>4.33</v>
      </c>
      <c r="M88" s="3">
        <v>4.37</v>
      </c>
      <c r="N88" s="3">
        <v>4.4000000000000004</v>
      </c>
      <c r="O88" s="3">
        <v>4.41</v>
      </c>
      <c r="P88" s="3">
        <v>4.41</v>
      </c>
      <c r="Q88" s="3">
        <v>4.41</v>
      </c>
    </row>
    <row r="89" spans="1:17" ht="18.75" customHeight="1" x14ac:dyDescent="0.25">
      <c r="A89" s="2">
        <v>41060</v>
      </c>
      <c r="B89" s="3">
        <f>(('Juro Nominal'!B89/100+1)/('Inflação Implícita'!B89/100+1)-1)*100</f>
        <v>3.3431755405276542</v>
      </c>
      <c r="C89" s="3">
        <v>2.98</v>
      </c>
      <c r="D89" s="3">
        <v>3.12</v>
      </c>
      <c r="E89" s="3">
        <v>3.47</v>
      </c>
      <c r="F89" s="3">
        <v>3.82</v>
      </c>
      <c r="G89" s="3">
        <v>3.94</v>
      </c>
      <c r="H89" s="3">
        <v>4</v>
      </c>
      <c r="I89" s="3">
        <v>4.05</v>
      </c>
      <c r="J89" s="3">
        <v>4.09</v>
      </c>
      <c r="K89" s="3">
        <v>4.12</v>
      </c>
      <c r="L89" s="3">
        <v>4.1399999999999997</v>
      </c>
      <c r="M89" s="3">
        <v>4.17</v>
      </c>
      <c r="N89" s="3">
        <v>4.1900000000000004</v>
      </c>
      <c r="O89" s="3">
        <v>4.2</v>
      </c>
      <c r="P89" s="3">
        <v>4.2</v>
      </c>
      <c r="Q89" s="3">
        <v>4.2</v>
      </c>
    </row>
    <row r="90" spans="1:17" ht="18.75" customHeight="1" x14ac:dyDescent="0.25">
      <c r="A90" s="2">
        <v>41090</v>
      </c>
      <c r="B90" s="3">
        <f>(('Juro Nominal'!B90/100+1)/('Inflação Implícita'!B90/100+1)-1)*100</f>
        <v>3.412123522683963</v>
      </c>
      <c r="C90" s="3">
        <v>3.3</v>
      </c>
      <c r="D90" s="3">
        <v>3.12</v>
      </c>
      <c r="E90" s="3">
        <v>3.53</v>
      </c>
      <c r="F90" s="3">
        <v>3.95</v>
      </c>
      <c r="G90" s="3">
        <v>4.1100000000000003</v>
      </c>
      <c r="H90" s="3">
        <v>4.17</v>
      </c>
      <c r="I90" s="3">
        <v>4.24</v>
      </c>
      <c r="J90" s="3">
        <v>4.28</v>
      </c>
      <c r="K90" s="3">
        <v>4.32</v>
      </c>
      <c r="L90" s="3">
        <v>4.3499999999999996</v>
      </c>
      <c r="M90" s="3">
        <v>4.3499999999999996</v>
      </c>
      <c r="N90" s="3">
        <v>4.3499999999999996</v>
      </c>
      <c r="O90" s="3">
        <v>4.3499999999999996</v>
      </c>
      <c r="P90" s="3">
        <v>4.3499999999999996</v>
      </c>
      <c r="Q90" s="3">
        <v>4.3499999999999996</v>
      </c>
    </row>
    <row r="91" spans="1:17" ht="18.75" customHeight="1" x14ac:dyDescent="0.25">
      <c r="A91" s="2">
        <v>41121</v>
      </c>
      <c r="B91" s="3">
        <f>(('Juro Nominal'!B91/100+1)/('Inflação Implícita'!B91/100+1)-1)*100</f>
        <v>2.6615969581749166</v>
      </c>
      <c r="C91" s="3">
        <v>1.85</v>
      </c>
      <c r="D91" s="3">
        <v>2.48</v>
      </c>
      <c r="E91" s="3">
        <v>2.97</v>
      </c>
      <c r="F91" s="3">
        <v>3.33</v>
      </c>
      <c r="G91" s="3">
        <v>3.53</v>
      </c>
      <c r="H91" s="3">
        <v>3.69</v>
      </c>
      <c r="I91" s="3">
        <v>3.81</v>
      </c>
      <c r="J91" s="3">
        <v>3.9</v>
      </c>
      <c r="K91" s="3">
        <v>4.03</v>
      </c>
      <c r="L91" s="3">
        <v>4.1399999999999997</v>
      </c>
      <c r="M91" s="3">
        <v>4.1500000000000004</v>
      </c>
      <c r="N91" s="3">
        <v>4.1500000000000004</v>
      </c>
      <c r="O91" s="3">
        <v>4.1500000000000004</v>
      </c>
      <c r="P91" s="3">
        <v>4.1500000000000004</v>
      </c>
      <c r="Q91" s="3">
        <v>4.1500000000000004</v>
      </c>
    </row>
    <row r="92" spans="1:17" ht="18.75" customHeight="1" x14ac:dyDescent="0.25">
      <c r="A92" s="2">
        <v>41152</v>
      </c>
      <c r="B92" s="3">
        <f>(('Juro Nominal'!B92/100+1)/('Inflação Implícita'!B92/100+1)-1)*100</f>
        <v>2.1474724439376702</v>
      </c>
      <c r="C92" s="3">
        <v>1.64</v>
      </c>
      <c r="D92" s="3">
        <v>2.76</v>
      </c>
      <c r="E92" s="3">
        <v>3.07</v>
      </c>
      <c r="F92" s="3">
        <v>3.31</v>
      </c>
      <c r="G92" s="3">
        <v>3.46</v>
      </c>
      <c r="H92" s="3">
        <v>3.57</v>
      </c>
      <c r="I92" s="3">
        <v>3.72</v>
      </c>
      <c r="J92" s="3">
        <v>3.83</v>
      </c>
      <c r="K92" s="3">
        <v>3.86</v>
      </c>
      <c r="L92" s="3">
        <v>3.88</v>
      </c>
      <c r="M92" s="3">
        <v>3.91</v>
      </c>
      <c r="N92" s="3">
        <v>3.94</v>
      </c>
      <c r="O92" s="3">
        <v>3.94</v>
      </c>
      <c r="P92" s="3">
        <v>3.94</v>
      </c>
      <c r="Q92" s="3">
        <v>3.94</v>
      </c>
    </row>
    <row r="93" spans="1:17" ht="18.75" customHeight="1" x14ac:dyDescent="0.25">
      <c r="A93" s="2">
        <v>41182</v>
      </c>
      <c r="B93" s="3">
        <f>(('Juro Nominal'!B93/100+1)/('Inflação Implícita'!B93/100+1)-1)*100</f>
        <v>2.108662613981771</v>
      </c>
      <c r="C93" s="3">
        <v>1.43</v>
      </c>
      <c r="D93" s="3">
        <v>2.31</v>
      </c>
      <c r="E93" s="3">
        <v>2.65</v>
      </c>
      <c r="F93" s="3">
        <v>3.01</v>
      </c>
      <c r="G93" s="3">
        <v>3.26</v>
      </c>
      <c r="H93" s="3">
        <v>3.43</v>
      </c>
      <c r="I93" s="3">
        <v>3.52</v>
      </c>
      <c r="J93" s="3">
        <v>3.6</v>
      </c>
      <c r="K93" s="3">
        <v>3.71</v>
      </c>
      <c r="L93" s="3">
        <v>3.78</v>
      </c>
      <c r="M93" s="3">
        <v>3.82</v>
      </c>
      <c r="N93" s="3">
        <v>3.84</v>
      </c>
      <c r="O93" s="3">
        <v>3.84</v>
      </c>
      <c r="P93" s="3">
        <v>3.84</v>
      </c>
      <c r="Q93" s="3">
        <v>3.84</v>
      </c>
    </row>
    <row r="94" spans="1:17" ht="18.75" customHeight="1" x14ac:dyDescent="0.25">
      <c r="A94" s="2">
        <v>41213</v>
      </c>
      <c r="B94" s="3">
        <f>(('Juro Nominal'!B94/100+1)/('Inflação Implícita'!B94/100+1)-1)*100</f>
        <v>1.7069701280227667</v>
      </c>
      <c r="C94" s="3">
        <v>1.41</v>
      </c>
      <c r="D94" s="3">
        <v>1.95</v>
      </c>
      <c r="E94" s="3">
        <v>2.2400000000000002</v>
      </c>
      <c r="F94" s="3">
        <v>2.59</v>
      </c>
      <c r="G94" s="3">
        <v>2.82</v>
      </c>
      <c r="H94" s="3">
        <v>2.98</v>
      </c>
      <c r="I94" s="3">
        <v>3.1</v>
      </c>
      <c r="J94" s="3">
        <v>3.2</v>
      </c>
      <c r="K94" s="3">
        <v>3.31</v>
      </c>
      <c r="L94" s="3">
        <v>3.39</v>
      </c>
      <c r="M94" s="3">
        <v>3.46</v>
      </c>
      <c r="N94" s="3">
        <v>3.51</v>
      </c>
      <c r="O94" s="3">
        <v>3.51</v>
      </c>
      <c r="P94" s="3">
        <v>3.51</v>
      </c>
      <c r="Q94" s="3">
        <v>3.51</v>
      </c>
    </row>
    <row r="95" spans="1:17" ht="18.75" customHeight="1" x14ac:dyDescent="0.25">
      <c r="A95" s="2">
        <v>41243</v>
      </c>
      <c r="B95" s="3">
        <f>(('Juro Nominal'!B95/100+1)/('Inflação Implícita'!B95/100+1)-1)*100</f>
        <v>1.6298682839003265</v>
      </c>
      <c r="C95" s="3">
        <v>1.48</v>
      </c>
      <c r="D95" s="3">
        <v>1.66</v>
      </c>
      <c r="E95" s="3">
        <v>2.1800000000000002</v>
      </c>
      <c r="F95" s="3">
        <v>2.63</v>
      </c>
      <c r="G95" s="3">
        <v>2.86</v>
      </c>
      <c r="H95" s="3">
        <v>3.08</v>
      </c>
      <c r="I95" s="3">
        <v>3.22</v>
      </c>
      <c r="J95" s="3">
        <v>3.32</v>
      </c>
      <c r="K95" s="3">
        <v>3.41</v>
      </c>
      <c r="L95" s="3">
        <v>3.49</v>
      </c>
      <c r="M95" s="3">
        <v>3.55</v>
      </c>
      <c r="N95" s="3">
        <v>3.59</v>
      </c>
      <c r="O95" s="3">
        <v>3.59</v>
      </c>
      <c r="P95" s="3">
        <v>3.59</v>
      </c>
      <c r="Q95" s="3">
        <v>3.59</v>
      </c>
    </row>
    <row r="96" spans="1:17" ht="18.75" customHeight="1" x14ac:dyDescent="0.25">
      <c r="A96" s="2">
        <v>41274</v>
      </c>
      <c r="B96" s="3">
        <f>(('Juro Nominal'!B96/100+1)/('Inflação Implícita'!B96/100+1)-1)*100</f>
        <v>1.3321995464852687</v>
      </c>
      <c r="C96" s="3">
        <v>0.82</v>
      </c>
      <c r="D96" s="3">
        <v>1.54</v>
      </c>
      <c r="E96" s="3">
        <v>2.0099999999999998</v>
      </c>
      <c r="F96" s="3">
        <v>2.39</v>
      </c>
      <c r="G96" s="3">
        <v>2.64</v>
      </c>
      <c r="H96" s="3">
        <v>2.86</v>
      </c>
      <c r="I96" s="3">
        <v>3.04</v>
      </c>
      <c r="J96" s="3">
        <v>3.18</v>
      </c>
      <c r="K96" s="3">
        <v>3.29</v>
      </c>
      <c r="L96" s="3">
        <v>3.38</v>
      </c>
      <c r="M96" s="3">
        <v>3.43</v>
      </c>
      <c r="N96" s="3">
        <v>3.48</v>
      </c>
      <c r="O96" s="3">
        <v>3.48</v>
      </c>
      <c r="P96" s="3">
        <v>3.48</v>
      </c>
      <c r="Q96" s="3">
        <v>3.48</v>
      </c>
    </row>
    <row r="97" spans="1:17" ht="18.75" customHeight="1" x14ac:dyDescent="0.25">
      <c r="A97" s="2">
        <v>41305</v>
      </c>
      <c r="B97" s="3">
        <f>(('Juro Nominal'!B97/100+1)/('Inflação Implícita'!B97/100+1)-1)*100</f>
        <v>1.0362694300517949</v>
      </c>
      <c r="C97" s="3">
        <v>1.27</v>
      </c>
      <c r="D97" s="3">
        <v>2</v>
      </c>
      <c r="E97" s="3">
        <v>2.44</v>
      </c>
      <c r="F97" s="3">
        <v>2.8</v>
      </c>
      <c r="G97" s="3">
        <v>2.91</v>
      </c>
      <c r="H97" s="3">
        <v>3.09</v>
      </c>
      <c r="I97" s="3">
        <v>3.24</v>
      </c>
      <c r="J97" s="3">
        <v>3.36</v>
      </c>
      <c r="K97" s="3">
        <v>3.45</v>
      </c>
      <c r="L97" s="3">
        <v>3.52</v>
      </c>
      <c r="M97" s="3">
        <v>3.56</v>
      </c>
      <c r="N97" s="3">
        <v>3.58</v>
      </c>
      <c r="O97" s="3">
        <v>3.58</v>
      </c>
      <c r="P97" s="3">
        <v>3.58</v>
      </c>
      <c r="Q97" s="3">
        <v>3.58</v>
      </c>
    </row>
    <row r="98" spans="1:17" ht="18.75" customHeight="1" x14ac:dyDescent="0.25">
      <c r="A98" s="2">
        <v>41333</v>
      </c>
      <c r="B98" s="3">
        <f>(('Juro Nominal'!B98/100+1)/('Inflação Implícita'!B98/100+1)-1)*100</f>
        <v>0.88420656570407097</v>
      </c>
      <c r="C98" s="3">
        <v>2.15</v>
      </c>
      <c r="D98" s="3">
        <v>2.61</v>
      </c>
      <c r="E98" s="3">
        <v>3.03</v>
      </c>
      <c r="F98" s="3">
        <v>3.34</v>
      </c>
      <c r="G98" s="3">
        <v>3.49</v>
      </c>
      <c r="H98" s="3">
        <v>3.58</v>
      </c>
      <c r="I98" s="3">
        <v>3.66</v>
      </c>
      <c r="J98" s="3">
        <v>3.74</v>
      </c>
      <c r="K98" s="3">
        <v>3.83</v>
      </c>
      <c r="L98" s="3">
        <v>3.88</v>
      </c>
      <c r="M98" s="3">
        <v>3.89</v>
      </c>
      <c r="N98" s="3">
        <v>3.9</v>
      </c>
      <c r="O98" s="3">
        <v>3.9</v>
      </c>
      <c r="P98" s="3">
        <v>3.9</v>
      </c>
      <c r="Q98" s="3">
        <v>3.9</v>
      </c>
    </row>
    <row r="99" spans="1:17" ht="18.75" customHeight="1" x14ac:dyDescent="0.25">
      <c r="A99" s="2">
        <v>41364</v>
      </c>
      <c r="B99" s="3">
        <f>(('Juro Nominal'!B99/100+1)/('Inflação Implícita'!B99/100+1)-1)*100</f>
        <v>0.61919504643961343</v>
      </c>
      <c r="C99" s="3">
        <v>2.68</v>
      </c>
      <c r="D99" s="3">
        <v>2.84</v>
      </c>
      <c r="E99" s="3">
        <v>3.19</v>
      </c>
      <c r="F99" s="3">
        <v>3.44</v>
      </c>
      <c r="G99" s="3">
        <v>3.65</v>
      </c>
      <c r="H99" s="3">
        <v>3.73</v>
      </c>
      <c r="I99" s="3">
        <v>3.77</v>
      </c>
      <c r="J99" s="3">
        <v>3.81</v>
      </c>
      <c r="K99" s="3">
        <v>3.85</v>
      </c>
      <c r="L99" s="3">
        <v>3.92</v>
      </c>
      <c r="M99" s="3">
        <v>4</v>
      </c>
      <c r="N99" s="3">
        <v>4.04</v>
      </c>
      <c r="O99" s="3">
        <v>4.04</v>
      </c>
      <c r="P99" s="3">
        <v>4.04</v>
      </c>
      <c r="Q99" s="3">
        <v>4.04</v>
      </c>
    </row>
    <row r="100" spans="1:17" ht="18.75" customHeight="1" x14ac:dyDescent="0.25">
      <c r="A100" s="2">
        <v>41394</v>
      </c>
      <c r="B100" s="3">
        <f>(('Juro Nominal'!B100/100+1)/('Inflação Implícita'!B100/100+1)-1)*100</f>
        <v>0.94844586346136683</v>
      </c>
      <c r="C100" s="3">
        <v>2.68</v>
      </c>
      <c r="D100" s="3">
        <v>2.75</v>
      </c>
      <c r="E100" s="3">
        <v>3.04</v>
      </c>
      <c r="F100" s="3">
        <v>3.33</v>
      </c>
      <c r="G100" s="3">
        <v>3.45</v>
      </c>
      <c r="H100" s="3">
        <v>3.59</v>
      </c>
      <c r="I100" s="3">
        <v>3.7</v>
      </c>
      <c r="J100" s="3">
        <v>3.79</v>
      </c>
      <c r="K100" s="3">
        <v>3.86</v>
      </c>
      <c r="L100" s="3">
        <v>3.96</v>
      </c>
      <c r="M100" s="3">
        <v>4.0599999999999996</v>
      </c>
      <c r="N100" s="3">
        <v>4.0999999999999996</v>
      </c>
      <c r="O100" s="3">
        <v>4.0999999999999996</v>
      </c>
      <c r="P100" s="3">
        <v>4.0999999999999996</v>
      </c>
      <c r="Q100" s="3">
        <v>4.0999999999999996</v>
      </c>
    </row>
    <row r="101" spans="1:17" ht="18.75" customHeight="1" x14ac:dyDescent="0.25">
      <c r="A101" s="2">
        <v>41425</v>
      </c>
      <c r="B101" s="3">
        <f>(('Juro Nominal'!B101/100+1)/('Inflação Implícita'!B101/100+1)-1)*100</f>
        <v>1.4084507042253724</v>
      </c>
      <c r="C101" s="3">
        <v>3.17</v>
      </c>
      <c r="D101" s="3">
        <v>3.68</v>
      </c>
      <c r="E101" s="3">
        <v>3.98</v>
      </c>
      <c r="F101" s="3">
        <v>4.2</v>
      </c>
      <c r="G101" s="3">
        <v>4.32</v>
      </c>
      <c r="H101" s="3">
        <v>4.38</v>
      </c>
      <c r="I101" s="3">
        <v>4.41</v>
      </c>
      <c r="J101" s="3">
        <v>4.51</v>
      </c>
      <c r="K101" s="3">
        <v>4.62</v>
      </c>
      <c r="L101" s="3">
        <v>4.68</v>
      </c>
      <c r="M101" s="3">
        <v>4.72</v>
      </c>
      <c r="N101" s="3">
        <v>4.7300000000000004</v>
      </c>
      <c r="O101" s="3">
        <v>4.7300000000000004</v>
      </c>
      <c r="P101" s="3">
        <v>4.7300000000000004</v>
      </c>
      <c r="Q101" s="3">
        <v>4.7300000000000004</v>
      </c>
    </row>
    <row r="102" spans="1:17" ht="18.75" customHeight="1" x14ac:dyDescent="0.25">
      <c r="A102" s="2">
        <v>41455</v>
      </c>
      <c r="B102" s="3">
        <f>(('Juro Nominal'!B102/100+1)/('Inflação Implícita'!B102/100+1)-1)*100</f>
        <v>1.2183692596063889</v>
      </c>
      <c r="C102" s="3">
        <v>3.97</v>
      </c>
      <c r="D102" s="3">
        <v>4.09</v>
      </c>
      <c r="E102" s="3">
        <v>4.6100000000000003</v>
      </c>
      <c r="F102" s="3">
        <v>4.84</v>
      </c>
      <c r="G102" s="3">
        <v>5.03</v>
      </c>
      <c r="H102" s="3">
        <v>5.15</v>
      </c>
      <c r="I102" s="3">
        <v>5.23</v>
      </c>
      <c r="J102" s="3">
        <v>5.27</v>
      </c>
      <c r="K102" s="3">
        <v>5.3</v>
      </c>
      <c r="L102" s="3">
        <v>5.28</v>
      </c>
      <c r="M102" s="3">
        <v>5.35</v>
      </c>
      <c r="N102" s="3">
        <v>5.37</v>
      </c>
      <c r="O102" s="3">
        <v>5.37</v>
      </c>
      <c r="P102" s="3">
        <v>5.37</v>
      </c>
      <c r="Q102" s="3">
        <v>5.37</v>
      </c>
    </row>
    <row r="103" spans="1:17" ht="18.75" customHeight="1" x14ac:dyDescent="0.25">
      <c r="A103" s="2">
        <v>41486</v>
      </c>
      <c r="B103" s="3">
        <f>(('Juro Nominal'!B103/100+1)/('Inflação Implícita'!B103/100+1)-1)*100</f>
        <v>2.0984285311000273</v>
      </c>
      <c r="C103" s="3">
        <v>3.57</v>
      </c>
      <c r="D103" s="3">
        <v>4.05</v>
      </c>
      <c r="E103" s="3">
        <v>4.45</v>
      </c>
      <c r="F103" s="3">
        <v>4.74</v>
      </c>
      <c r="G103" s="3">
        <v>4.92</v>
      </c>
      <c r="H103" s="3">
        <v>5.05</v>
      </c>
      <c r="I103" s="3">
        <v>5.14</v>
      </c>
      <c r="J103" s="3">
        <v>5.23</v>
      </c>
      <c r="K103" s="3">
        <v>5.3</v>
      </c>
      <c r="L103" s="3">
        <v>5.36</v>
      </c>
      <c r="M103" s="3">
        <v>5.39</v>
      </c>
      <c r="N103" s="3">
        <v>5.39</v>
      </c>
      <c r="O103" s="3">
        <v>5.39</v>
      </c>
      <c r="P103" s="3">
        <v>5.39</v>
      </c>
      <c r="Q103" s="3">
        <v>5.39</v>
      </c>
    </row>
    <row r="104" spans="1:17" ht="18.75" customHeight="1" x14ac:dyDescent="0.25">
      <c r="A104" s="2">
        <v>41517</v>
      </c>
      <c r="B104" s="3">
        <f>(('Juro Nominal'!B104/100+1)/('Inflação Implícita'!B104/100+1)-1)*100</f>
        <v>2.7429540955792309</v>
      </c>
      <c r="C104" s="3">
        <v>3.75</v>
      </c>
      <c r="D104" s="3">
        <v>4.2</v>
      </c>
      <c r="E104" s="3">
        <v>5.1100000000000003</v>
      </c>
      <c r="F104" s="3">
        <v>5.33</v>
      </c>
      <c r="G104" s="3">
        <v>5.48</v>
      </c>
      <c r="H104" s="3">
        <v>5.52</v>
      </c>
      <c r="I104" s="3">
        <v>5.55</v>
      </c>
      <c r="J104" s="3">
        <v>5.61</v>
      </c>
      <c r="K104" s="3">
        <v>5.65</v>
      </c>
      <c r="L104" s="3">
        <v>5.69</v>
      </c>
      <c r="M104" s="3">
        <v>5.73</v>
      </c>
      <c r="N104" s="3">
        <v>5.73</v>
      </c>
      <c r="O104" s="3">
        <v>5.73</v>
      </c>
      <c r="P104" s="3">
        <v>5.73</v>
      </c>
      <c r="Q104" s="3">
        <v>5.73</v>
      </c>
    </row>
    <row r="105" spans="1:17" ht="18.75" customHeight="1" x14ac:dyDescent="0.25">
      <c r="A105" s="2">
        <v>41547</v>
      </c>
      <c r="B105" s="3">
        <f>(('Juro Nominal'!B105/100+1)/('Inflação Implícita'!B105/100+1)-1)*100</f>
        <v>2.9661817494804454</v>
      </c>
      <c r="C105" s="3">
        <v>3.51</v>
      </c>
      <c r="D105" s="3">
        <v>4.0599999999999996</v>
      </c>
      <c r="E105" s="3">
        <v>4.87</v>
      </c>
      <c r="F105" s="3">
        <v>5.14</v>
      </c>
      <c r="G105" s="3">
        <v>5.35</v>
      </c>
      <c r="H105" s="3">
        <v>5.45</v>
      </c>
      <c r="I105" s="3">
        <v>5.52</v>
      </c>
      <c r="J105" s="3">
        <v>5.56</v>
      </c>
      <c r="K105" s="3">
        <v>5.6</v>
      </c>
      <c r="L105" s="3">
        <v>5.65</v>
      </c>
      <c r="M105" s="3">
        <v>5.69</v>
      </c>
      <c r="N105" s="3">
        <v>5.69</v>
      </c>
      <c r="O105" s="3">
        <v>5.69</v>
      </c>
      <c r="P105" s="3">
        <v>5.69</v>
      </c>
      <c r="Q105" s="3">
        <v>5.69</v>
      </c>
    </row>
    <row r="106" spans="1:17" ht="18.75" customHeight="1" x14ac:dyDescent="0.25">
      <c r="A106" s="2">
        <v>41578</v>
      </c>
      <c r="B106" s="3">
        <f>(('Juro Nominal'!B106/100+1)/('Inflação Implícita'!B106/100+1)-1)*100</f>
        <v>3.4580498866213061</v>
      </c>
      <c r="C106" s="3">
        <v>3.91</v>
      </c>
      <c r="D106" s="3">
        <v>4.37</v>
      </c>
      <c r="E106" s="3">
        <v>5.09</v>
      </c>
      <c r="F106" s="3">
        <v>5.31</v>
      </c>
      <c r="G106" s="3">
        <v>5.58</v>
      </c>
      <c r="H106" s="3">
        <v>5.73</v>
      </c>
      <c r="I106" s="3">
        <v>5.82</v>
      </c>
      <c r="J106" s="3">
        <v>5.85</v>
      </c>
      <c r="K106" s="3">
        <v>5.86</v>
      </c>
      <c r="L106" s="3">
        <v>5.89</v>
      </c>
      <c r="M106" s="3">
        <v>5.9</v>
      </c>
      <c r="N106" s="3">
        <v>5.9</v>
      </c>
      <c r="O106" s="3">
        <v>5.9</v>
      </c>
      <c r="P106" s="3">
        <v>5.9</v>
      </c>
      <c r="Q106" s="3">
        <v>5.9</v>
      </c>
    </row>
    <row r="107" spans="1:17" ht="18.75" customHeight="1" x14ac:dyDescent="0.25">
      <c r="A107" s="2">
        <v>41608</v>
      </c>
      <c r="B107" s="3">
        <f>(('Juro Nominal'!B107/100+1)/('Inflação Implícita'!B107/100+1)-1)*100</f>
        <v>3.9992436418644139</v>
      </c>
      <c r="C107" s="3">
        <v>4.09</v>
      </c>
      <c r="D107" s="3">
        <v>4.92</v>
      </c>
      <c r="E107" s="3">
        <v>5.47</v>
      </c>
      <c r="F107" s="3">
        <v>5.65</v>
      </c>
      <c r="G107" s="3">
        <v>5.88</v>
      </c>
      <c r="H107" s="3">
        <v>6.06</v>
      </c>
      <c r="I107" s="3">
        <v>6.19</v>
      </c>
      <c r="J107" s="3">
        <v>6.32</v>
      </c>
      <c r="K107" s="3">
        <v>6.4</v>
      </c>
      <c r="L107" s="3">
        <v>6.41</v>
      </c>
      <c r="M107" s="3">
        <v>6.4</v>
      </c>
      <c r="N107" s="3">
        <v>6.4</v>
      </c>
      <c r="O107" s="3">
        <v>6.4</v>
      </c>
      <c r="P107" s="3">
        <v>6.4</v>
      </c>
      <c r="Q107" s="3">
        <v>6.4</v>
      </c>
    </row>
    <row r="108" spans="1:17" ht="18.75" customHeight="1" x14ac:dyDescent="0.25">
      <c r="A108" s="2">
        <v>41639</v>
      </c>
      <c r="B108" s="3">
        <f>(('Juro Nominal'!B108/100+1)/('Inflação Implícita'!B108/100+1)-1)*100</f>
        <v>3.8617694268718861</v>
      </c>
      <c r="C108" s="3">
        <v>4.0999999999999996</v>
      </c>
      <c r="D108" s="3">
        <v>4.51</v>
      </c>
      <c r="E108" s="3">
        <v>5.28</v>
      </c>
      <c r="F108" s="3">
        <v>5.76</v>
      </c>
      <c r="G108" s="3">
        <v>5.95</v>
      </c>
      <c r="H108" s="3">
        <v>6.09</v>
      </c>
      <c r="I108" s="3">
        <v>6.17</v>
      </c>
      <c r="J108" s="3">
        <v>6.21</v>
      </c>
      <c r="K108" s="3">
        <v>6.24</v>
      </c>
      <c r="L108" s="3">
        <v>6.27</v>
      </c>
      <c r="M108" s="3">
        <v>6.3</v>
      </c>
      <c r="N108" s="3">
        <v>6.3</v>
      </c>
      <c r="O108" s="3">
        <v>6.3</v>
      </c>
      <c r="P108" s="3">
        <v>6.3</v>
      </c>
      <c r="Q108" s="3">
        <v>6.3</v>
      </c>
    </row>
    <row r="109" spans="1:17" ht="18.75" customHeight="1" x14ac:dyDescent="0.25">
      <c r="A109" s="2">
        <v>41670</v>
      </c>
      <c r="B109" s="3">
        <f>(('Juro Nominal'!B109/100+1)/('Inflação Implícita'!B109/100+1)-1)*100</f>
        <v>4.6500615588597416</v>
      </c>
      <c r="C109" s="3">
        <v>5.22</v>
      </c>
      <c r="D109" s="3">
        <v>5.93</v>
      </c>
      <c r="E109" s="3">
        <v>6.39</v>
      </c>
      <c r="F109" s="3">
        <v>6.57</v>
      </c>
      <c r="G109" s="3">
        <v>6.68</v>
      </c>
      <c r="H109" s="3">
        <v>6.7</v>
      </c>
      <c r="I109" s="3">
        <v>6.71</v>
      </c>
      <c r="J109" s="3">
        <v>6.74</v>
      </c>
      <c r="K109" s="3">
        <v>6.76</v>
      </c>
      <c r="L109" s="3">
        <v>6.8</v>
      </c>
      <c r="M109" s="3">
        <v>6.85</v>
      </c>
      <c r="N109" s="3">
        <v>6.88</v>
      </c>
      <c r="O109" s="3">
        <v>6.91</v>
      </c>
      <c r="P109" s="3">
        <v>6.94</v>
      </c>
      <c r="Q109" s="3">
        <v>6.96</v>
      </c>
    </row>
    <row r="110" spans="1:17" ht="18.75" customHeight="1" x14ac:dyDescent="0.25">
      <c r="A110" s="2">
        <v>41698</v>
      </c>
      <c r="B110" s="3">
        <f>(('Juro Nominal'!B110/100+1)/('Inflação Implícita'!B110/100+1)-1)*100</f>
        <v>4.7975018925056734</v>
      </c>
      <c r="C110" s="3">
        <v>4.8499999999999996</v>
      </c>
      <c r="D110" s="3">
        <v>5.01</v>
      </c>
      <c r="E110" s="3">
        <v>5.52</v>
      </c>
      <c r="F110" s="3">
        <v>5.8</v>
      </c>
      <c r="G110" s="3">
        <v>5.95</v>
      </c>
      <c r="H110" s="3">
        <v>6.05</v>
      </c>
      <c r="I110" s="3">
        <v>6.17</v>
      </c>
      <c r="J110" s="3">
        <v>6.29</v>
      </c>
      <c r="K110" s="3">
        <v>6.37</v>
      </c>
      <c r="L110" s="3">
        <v>6.37</v>
      </c>
      <c r="M110" s="3">
        <v>6.47</v>
      </c>
      <c r="N110" s="3">
        <v>6.53</v>
      </c>
      <c r="O110" s="3">
        <v>6.57</v>
      </c>
      <c r="P110" s="3">
        <v>6.61</v>
      </c>
      <c r="Q110" s="3">
        <v>6.64</v>
      </c>
    </row>
    <row r="111" spans="1:17" ht="18.75" customHeight="1" x14ac:dyDescent="0.25">
      <c r="A111" s="2">
        <v>41729</v>
      </c>
      <c r="B111" s="3">
        <f>(('Juro Nominal'!B111/100+1)/('Inflação Implícita'!B111/100+1)-1)*100</f>
        <v>4.3334903438530192</v>
      </c>
      <c r="C111" s="3">
        <v>4.33</v>
      </c>
      <c r="D111" s="3">
        <v>5.33</v>
      </c>
      <c r="E111" s="3">
        <v>5.69</v>
      </c>
      <c r="F111" s="3">
        <v>5.99</v>
      </c>
      <c r="G111" s="3">
        <v>6.22</v>
      </c>
      <c r="H111" s="3">
        <v>6.25</v>
      </c>
      <c r="I111" s="3">
        <v>6.34</v>
      </c>
      <c r="J111" s="3">
        <v>6.45</v>
      </c>
      <c r="K111" s="3">
        <v>6.54</v>
      </c>
      <c r="L111" s="3">
        <v>6.55</v>
      </c>
      <c r="M111" s="3">
        <v>6.64</v>
      </c>
      <c r="N111" s="3">
        <v>6.63</v>
      </c>
      <c r="O111" s="3">
        <v>6.62</v>
      </c>
      <c r="P111" s="3">
        <v>6.62</v>
      </c>
      <c r="Q111" s="3">
        <v>6.61</v>
      </c>
    </row>
    <row r="112" spans="1:17" ht="18.75" customHeight="1" x14ac:dyDescent="0.25">
      <c r="A112" s="2">
        <v>41759</v>
      </c>
      <c r="B112" s="3">
        <f>(('Juro Nominal'!B112/100+1)/('Inflação Implícita'!B112/100+1)-1)*100</f>
        <v>4.4410989838163495</v>
      </c>
      <c r="C112" s="3">
        <v>4.41</v>
      </c>
      <c r="D112" s="3">
        <v>5.44</v>
      </c>
      <c r="E112" s="3">
        <v>5.82</v>
      </c>
      <c r="F112" s="3">
        <v>6.05</v>
      </c>
      <c r="G112" s="3">
        <v>6.15</v>
      </c>
      <c r="H112" s="3">
        <v>6.18</v>
      </c>
      <c r="I112" s="3">
        <v>6.19</v>
      </c>
      <c r="J112" s="3">
        <v>6.2</v>
      </c>
      <c r="K112" s="3">
        <v>6.27</v>
      </c>
      <c r="L112" s="3">
        <v>6.32</v>
      </c>
      <c r="M112" s="3">
        <v>6.39</v>
      </c>
      <c r="N112" s="3">
        <v>6.43</v>
      </c>
      <c r="O112" s="3">
        <v>6.46</v>
      </c>
      <c r="P112" s="3">
        <v>6.49</v>
      </c>
      <c r="Q112" s="3">
        <v>6.51</v>
      </c>
    </row>
    <row r="113" spans="1:17" ht="18.75" customHeight="1" x14ac:dyDescent="0.25">
      <c r="A113" s="2">
        <v>41790</v>
      </c>
      <c r="B113" s="3">
        <f>(('Juro Nominal'!B113/100+1)/('Inflação Implícita'!B113/100+1)-1)*100</f>
        <v>4.3527310331860525</v>
      </c>
      <c r="C113" s="3">
        <v>4.49</v>
      </c>
      <c r="D113" s="3">
        <v>5.45</v>
      </c>
      <c r="E113" s="3">
        <v>5.39</v>
      </c>
      <c r="F113" s="3">
        <v>5.54</v>
      </c>
      <c r="G113" s="3">
        <v>5.67</v>
      </c>
      <c r="H113" s="3">
        <v>5.81</v>
      </c>
      <c r="I113" s="3">
        <v>5.85</v>
      </c>
      <c r="J113" s="3">
        <v>5.87</v>
      </c>
      <c r="K113" s="3">
        <v>5.95</v>
      </c>
      <c r="L113" s="3">
        <v>6.01</v>
      </c>
      <c r="M113" s="3">
        <v>6.04</v>
      </c>
      <c r="N113" s="3">
        <v>6.03</v>
      </c>
      <c r="O113" s="3">
        <v>6.03</v>
      </c>
      <c r="P113" s="3">
        <v>6.02</v>
      </c>
      <c r="Q113" s="3">
        <v>6.01</v>
      </c>
    </row>
    <row r="114" spans="1:17" ht="18.75" customHeight="1" x14ac:dyDescent="0.25">
      <c r="A114" s="2">
        <v>41820</v>
      </c>
      <c r="B114" s="3">
        <f>(('Juro Nominal'!B114/100+1)/('Inflação Implícita'!B114/100+1)-1)*100</f>
        <v>4.2057829515584011</v>
      </c>
      <c r="C114" s="3">
        <v>4.9000000000000004</v>
      </c>
      <c r="D114" s="3">
        <v>5.0599999999999996</v>
      </c>
      <c r="E114" s="3">
        <v>5.21</v>
      </c>
      <c r="F114" s="3">
        <v>5.6</v>
      </c>
      <c r="G114" s="3">
        <v>5.77</v>
      </c>
      <c r="H114" s="3">
        <v>5.82</v>
      </c>
      <c r="I114" s="3">
        <v>5.87</v>
      </c>
      <c r="J114" s="3">
        <v>5.9</v>
      </c>
      <c r="K114" s="3">
        <v>5.88</v>
      </c>
      <c r="L114" s="3">
        <v>6.03</v>
      </c>
      <c r="M114" s="3">
        <v>6.07</v>
      </c>
      <c r="N114" s="3">
        <v>6.1</v>
      </c>
      <c r="O114" s="3">
        <v>6.12</v>
      </c>
      <c r="P114" s="3">
        <v>6.14</v>
      </c>
      <c r="Q114" s="3">
        <v>6.15</v>
      </c>
    </row>
    <row r="115" spans="1:17" ht="18.75" customHeight="1" x14ac:dyDescent="0.25">
      <c r="A115" s="2">
        <v>41851</v>
      </c>
      <c r="B115" s="3">
        <f>(('Juro Nominal'!B115/100+1)/('Inflação Implícita'!B115/100+1)-1)*100</f>
        <v>4.2253521126760729</v>
      </c>
      <c r="C115" s="3">
        <v>5.03</v>
      </c>
      <c r="D115" s="3">
        <v>5.12</v>
      </c>
      <c r="E115" s="3">
        <v>5.25</v>
      </c>
      <c r="F115" s="3">
        <v>5.57</v>
      </c>
      <c r="G115" s="3">
        <v>5.71</v>
      </c>
      <c r="H115" s="3">
        <v>5.78</v>
      </c>
      <c r="I115" s="3">
        <v>5.83</v>
      </c>
      <c r="J115" s="3">
        <v>5.87</v>
      </c>
      <c r="K115" s="3">
        <v>5.77</v>
      </c>
      <c r="L115" s="3">
        <v>5.91</v>
      </c>
      <c r="M115" s="3">
        <v>5.94</v>
      </c>
      <c r="N115" s="3">
        <v>5.95</v>
      </c>
      <c r="O115" s="3">
        <v>5.96</v>
      </c>
      <c r="P115" s="3">
        <v>5.96</v>
      </c>
      <c r="Q115" s="3">
        <v>5.97</v>
      </c>
    </row>
    <row r="116" spans="1:17" ht="18.75" customHeight="1" x14ac:dyDescent="0.25">
      <c r="A116" s="2">
        <v>41882</v>
      </c>
      <c r="B116" s="3">
        <f>(('Juro Nominal'!B116/100+1)/('Inflação Implícita'!B116/100+1)-1)*100</f>
        <v>4.2155666134635394</v>
      </c>
      <c r="C116" s="3">
        <v>4.6100000000000003</v>
      </c>
      <c r="D116" s="3">
        <v>4.59</v>
      </c>
      <c r="E116" s="3">
        <v>4.8600000000000003</v>
      </c>
      <c r="F116" s="3">
        <v>5.36</v>
      </c>
      <c r="G116" s="3">
        <v>5.44</v>
      </c>
      <c r="H116" s="3">
        <v>5.47</v>
      </c>
      <c r="I116" s="3">
        <v>5.48</v>
      </c>
      <c r="J116" s="3">
        <v>5.48</v>
      </c>
      <c r="K116" s="3">
        <v>5.43</v>
      </c>
      <c r="L116" s="3">
        <v>5.5</v>
      </c>
      <c r="M116" s="3">
        <v>5.5</v>
      </c>
      <c r="N116" s="3">
        <v>5.5</v>
      </c>
      <c r="O116" s="3">
        <v>5.49</v>
      </c>
      <c r="P116" s="3">
        <v>5.49</v>
      </c>
      <c r="Q116" s="3">
        <v>5.49</v>
      </c>
    </row>
    <row r="117" spans="1:17" ht="18.75" customHeight="1" x14ac:dyDescent="0.25">
      <c r="A117" s="2">
        <v>41912</v>
      </c>
      <c r="B117" s="3">
        <f>(('Juro Nominal'!B117/100+1)/('Inflação Implícita'!B117/100+1)-1)*100</f>
        <v>3.9812646370023685</v>
      </c>
      <c r="C117" s="3">
        <v>4.29</v>
      </c>
      <c r="D117" s="3">
        <v>5.19</v>
      </c>
      <c r="E117" s="3">
        <v>5.32</v>
      </c>
      <c r="F117" s="3">
        <v>5.64</v>
      </c>
      <c r="G117" s="3">
        <v>5.81</v>
      </c>
      <c r="H117" s="3">
        <v>5.85</v>
      </c>
      <c r="I117" s="3">
        <v>5.87</v>
      </c>
      <c r="J117" s="3">
        <v>5.89</v>
      </c>
      <c r="K117" s="3">
        <v>5.86</v>
      </c>
      <c r="L117" s="3">
        <v>5.9</v>
      </c>
      <c r="M117" s="3">
        <v>5.94</v>
      </c>
      <c r="N117" s="3">
        <v>5.97</v>
      </c>
      <c r="O117" s="3">
        <v>6</v>
      </c>
      <c r="P117" s="3">
        <v>6.02</v>
      </c>
      <c r="Q117" s="3">
        <v>6.04</v>
      </c>
    </row>
    <row r="118" spans="1:17" ht="18.75" customHeight="1" x14ac:dyDescent="0.25">
      <c r="A118" s="2">
        <v>41943</v>
      </c>
      <c r="B118" s="3">
        <f>(('Juro Nominal'!B118/100+1)/('Inflação Implícita'!B118/100+1)-1)*100</f>
        <v>4.3718922975888974</v>
      </c>
      <c r="C118" s="3">
        <v>4.88</v>
      </c>
      <c r="D118" s="3">
        <v>5.0999999999999996</v>
      </c>
      <c r="E118" s="3">
        <v>5.35</v>
      </c>
      <c r="F118" s="3">
        <v>5.63</v>
      </c>
      <c r="G118" s="3">
        <v>5.74</v>
      </c>
      <c r="H118" s="3">
        <v>5.76</v>
      </c>
      <c r="I118" s="3">
        <v>5.81</v>
      </c>
      <c r="J118" s="3">
        <v>5.83</v>
      </c>
      <c r="K118" s="3">
        <v>5.83</v>
      </c>
      <c r="L118" s="3">
        <v>5.83</v>
      </c>
      <c r="M118" s="3">
        <v>5.85</v>
      </c>
      <c r="N118" s="3">
        <v>5.87</v>
      </c>
      <c r="O118" s="3">
        <v>5.88</v>
      </c>
      <c r="P118" s="3">
        <v>5.89</v>
      </c>
      <c r="Q118" s="3">
        <v>5.9</v>
      </c>
    </row>
    <row r="119" spans="1:17" ht="18.75" customHeight="1" x14ac:dyDescent="0.25">
      <c r="A119" s="2">
        <v>41973</v>
      </c>
      <c r="B119" s="3">
        <f>(('Juro Nominal'!B119/100+1)/('Inflação Implícita'!B119/100+1)-1)*100</f>
        <v>4.4012762762762891</v>
      </c>
      <c r="C119" s="3">
        <v>4.66</v>
      </c>
      <c r="D119" s="3">
        <v>5.05</v>
      </c>
      <c r="E119" s="3">
        <v>5.32</v>
      </c>
      <c r="F119" s="3">
        <v>5.54</v>
      </c>
      <c r="G119" s="3">
        <v>5.54</v>
      </c>
      <c r="H119" s="3">
        <v>5.55</v>
      </c>
      <c r="I119" s="3">
        <v>5.55</v>
      </c>
      <c r="J119" s="3">
        <v>5.57</v>
      </c>
      <c r="K119" s="3">
        <v>5.6</v>
      </c>
      <c r="L119" s="3">
        <v>5.6</v>
      </c>
      <c r="M119" s="3">
        <v>5.6</v>
      </c>
      <c r="N119" s="3">
        <v>5.6</v>
      </c>
      <c r="O119" s="3">
        <v>5.6</v>
      </c>
      <c r="P119" s="3">
        <v>5.6</v>
      </c>
      <c r="Q119" s="3">
        <v>5.6</v>
      </c>
    </row>
    <row r="120" spans="1:17" ht="18.75" customHeight="1" x14ac:dyDescent="0.25">
      <c r="A120" s="2">
        <v>42004</v>
      </c>
      <c r="B120" s="3">
        <f>(('Juro Nominal'!B120/100+1)/('Inflação Implícita'!B120/100+1)-1)*100</f>
        <v>5.0183253453622623</v>
      </c>
      <c r="C120" s="3">
        <v>4.88</v>
      </c>
      <c r="D120" s="3">
        <v>5.71</v>
      </c>
      <c r="E120" s="3">
        <v>5.94</v>
      </c>
      <c r="F120" s="3">
        <v>6.1</v>
      </c>
      <c r="G120" s="3">
        <v>6.12</v>
      </c>
      <c r="H120" s="3">
        <v>6.12</v>
      </c>
      <c r="I120" s="3">
        <v>6.09</v>
      </c>
      <c r="J120" s="3">
        <v>6.08</v>
      </c>
      <c r="K120" s="3">
        <v>6.11</v>
      </c>
      <c r="L120" s="3">
        <v>6.14</v>
      </c>
      <c r="M120" s="3">
        <v>6.15</v>
      </c>
      <c r="N120" s="3">
        <v>6.16</v>
      </c>
      <c r="O120" s="3">
        <v>6.17</v>
      </c>
      <c r="P120" s="3">
        <v>6.17</v>
      </c>
      <c r="Q120" s="3">
        <v>6.18</v>
      </c>
    </row>
    <row r="121" spans="1:17" ht="18.75" customHeight="1" x14ac:dyDescent="0.25">
      <c r="A121" s="2">
        <v>42035</v>
      </c>
      <c r="B121" s="3">
        <f>(('Juro Nominal'!B121/100+1)/('Inflação Implícita'!B121/100+1)-1)*100</f>
        <v>4.7694605189471773</v>
      </c>
      <c r="C121" s="3">
        <v>4.8600000000000003</v>
      </c>
      <c r="D121" s="3">
        <v>5.5</v>
      </c>
      <c r="E121" s="3">
        <v>5.46</v>
      </c>
      <c r="F121" s="3">
        <v>5.58</v>
      </c>
      <c r="G121" s="3">
        <v>5.6</v>
      </c>
      <c r="H121" s="3">
        <v>5.61</v>
      </c>
      <c r="I121" s="3">
        <v>5.64</v>
      </c>
      <c r="J121" s="3">
        <v>5.65</v>
      </c>
      <c r="K121" s="3">
        <v>5.71</v>
      </c>
      <c r="L121" s="3">
        <v>5.75</v>
      </c>
      <c r="M121" s="3">
        <v>5.75</v>
      </c>
      <c r="N121" s="3">
        <v>5.75</v>
      </c>
      <c r="O121" s="3">
        <v>5.75</v>
      </c>
      <c r="P121" s="3">
        <v>5.75</v>
      </c>
      <c r="Q121" s="3">
        <v>5.75</v>
      </c>
    </row>
    <row r="122" spans="1:17" ht="18.75" customHeight="1" x14ac:dyDescent="0.25">
      <c r="A122" s="2">
        <v>42063</v>
      </c>
      <c r="B122" s="3">
        <f>(('Juro Nominal'!B122/100+1)/('Inflação Implícita'!B122/100+1)-1)*100</f>
        <v>4.2246982358403073</v>
      </c>
      <c r="C122" s="3">
        <v>5.15</v>
      </c>
      <c r="D122" s="3">
        <v>5.33</v>
      </c>
      <c r="E122" s="3">
        <v>5.65</v>
      </c>
      <c r="F122" s="3">
        <v>5.77</v>
      </c>
      <c r="G122" s="3">
        <v>5.79</v>
      </c>
      <c r="H122" s="3">
        <v>5.81</v>
      </c>
      <c r="I122" s="3">
        <v>5.82</v>
      </c>
      <c r="J122" s="3">
        <v>5.83</v>
      </c>
      <c r="K122" s="3">
        <v>5.87</v>
      </c>
      <c r="L122" s="3">
        <v>5.88</v>
      </c>
      <c r="M122" s="3">
        <v>5.88</v>
      </c>
      <c r="N122" s="3">
        <v>5.88</v>
      </c>
      <c r="O122" s="3">
        <v>5.88</v>
      </c>
      <c r="P122" s="3">
        <v>5.88</v>
      </c>
      <c r="Q122" s="3">
        <v>5.88</v>
      </c>
    </row>
    <row r="123" spans="1:17" ht="18.75" customHeight="1" x14ac:dyDescent="0.25">
      <c r="A123" s="2">
        <v>42094</v>
      </c>
      <c r="B123" s="3">
        <f>(('Juro Nominal'!B123/100+1)/('Inflação Implícita'!B123/100+1)-1)*100</f>
        <v>4.2726347914547214</v>
      </c>
      <c r="C123" s="3">
        <v>5.85</v>
      </c>
      <c r="D123" s="3">
        <v>6.15</v>
      </c>
      <c r="E123" s="3">
        <v>6.04</v>
      </c>
      <c r="F123" s="3">
        <v>6.1</v>
      </c>
      <c r="G123" s="3">
        <v>6.16</v>
      </c>
      <c r="H123" s="3">
        <v>6.17</v>
      </c>
      <c r="I123" s="3">
        <v>6.15</v>
      </c>
      <c r="J123" s="3">
        <v>6.19</v>
      </c>
      <c r="K123" s="3">
        <v>6.25</v>
      </c>
      <c r="L123" s="3">
        <v>6.24</v>
      </c>
      <c r="M123" s="3">
        <v>6.18</v>
      </c>
      <c r="N123" s="3">
        <v>6.13</v>
      </c>
      <c r="O123" s="3">
        <v>6.08</v>
      </c>
      <c r="P123" s="3">
        <v>6.04</v>
      </c>
      <c r="Q123" s="3">
        <v>6.01</v>
      </c>
    </row>
    <row r="124" spans="1:17" ht="18.75" customHeight="1" x14ac:dyDescent="0.25">
      <c r="A124" s="2">
        <v>42124</v>
      </c>
      <c r="B124" s="3">
        <f>(('Juro Nominal'!B124/100+1)/('Inflação Implícita'!B124/100+1)-1)*100</f>
        <v>4.6963113617453978</v>
      </c>
      <c r="C124" s="3">
        <v>6.61</v>
      </c>
      <c r="D124" s="3">
        <v>6.7</v>
      </c>
      <c r="E124" s="3">
        <v>6.61</v>
      </c>
      <c r="F124" s="3">
        <v>6.53</v>
      </c>
      <c r="G124" s="3">
        <v>6.35</v>
      </c>
      <c r="H124" s="3">
        <v>6.26</v>
      </c>
      <c r="I124" s="3">
        <v>6.21</v>
      </c>
      <c r="J124" s="3">
        <v>6.2</v>
      </c>
      <c r="K124" s="3">
        <v>6.22</v>
      </c>
      <c r="L124" s="3">
        <v>6.16</v>
      </c>
      <c r="M124" s="3">
        <v>6.08</v>
      </c>
      <c r="N124" s="3">
        <v>6.01</v>
      </c>
      <c r="O124" s="3">
        <v>5.95</v>
      </c>
      <c r="P124" s="3">
        <v>5.9</v>
      </c>
      <c r="Q124" s="3">
        <v>5.86</v>
      </c>
    </row>
    <row r="125" spans="1:17" ht="18.75" customHeight="1" x14ac:dyDescent="0.25">
      <c r="A125" s="2">
        <v>42155</v>
      </c>
      <c r="B125" s="3">
        <f>(('Juro Nominal'!B125/100+1)/('Inflação Implícita'!B125/100+1)-1)*100</f>
        <v>4.4067484096985465</v>
      </c>
      <c r="C125" s="3">
        <v>6.56</v>
      </c>
      <c r="D125" s="3">
        <v>6.25</v>
      </c>
      <c r="E125" s="3">
        <v>6.24</v>
      </c>
      <c r="F125" s="3">
        <v>6.28</v>
      </c>
      <c r="G125" s="3">
        <v>6.3</v>
      </c>
      <c r="H125" s="3">
        <v>6.22</v>
      </c>
      <c r="I125" s="3">
        <v>6.15</v>
      </c>
      <c r="J125" s="3">
        <v>6.13</v>
      </c>
      <c r="K125" s="3">
        <v>6.16</v>
      </c>
      <c r="L125" s="3">
        <v>6.1</v>
      </c>
      <c r="M125" s="3">
        <v>6.02</v>
      </c>
      <c r="N125" s="3">
        <v>5.96</v>
      </c>
      <c r="O125" s="3">
        <v>5.9</v>
      </c>
      <c r="P125" s="3">
        <v>5.85</v>
      </c>
      <c r="Q125" s="3">
        <v>5.81</v>
      </c>
    </row>
    <row r="126" spans="1:17" ht="18.75" customHeight="1" x14ac:dyDescent="0.25">
      <c r="A126" s="2">
        <v>42185</v>
      </c>
      <c r="B126" s="3">
        <f>(('Juro Nominal'!B126/100+1)/('Inflação Implícita'!B126/100+1)-1)*100</f>
        <v>4.4632197630636306</v>
      </c>
      <c r="C126" s="3">
        <v>6.73</v>
      </c>
      <c r="D126" s="3">
        <v>6.51</v>
      </c>
      <c r="E126" s="3">
        <v>6.53</v>
      </c>
      <c r="F126" s="3">
        <v>6.59</v>
      </c>
      <c r="G126" s="3">
        <v>6.51</v>
      </c>
      <c r="H126" s="3">
        <v>6.42</v>
      </c>
      <c r="I126" s="3">
        <v>6.36</v>
      </c>
      <c r="J126" s="3">
        <v>6.39</v>
      </c>
      <c r="K126" s="3">
        <v>6.29</v>
      </c>
      <c r="L126" s="3">
        <v>6.21</v>
      </c>
      <c r="M126" s="3">
        <v>6.14</v>
      </c>
      <c r="N126" s="3">
        <v>6.08</v>
      </c>
      <c r="O126" s="3">
        <v>6.04</v>
      </c>
      <c r="P126" s="3">
        <v>5.99</v>
      </c>
      <c r="Q126" s="3">
        <v>5.96</v>
      </c>
    </row>
    <row r="127" spans="1:17" ht="18.75" customHeight="1" x14ac:dyDescent="0.25">
      <c r="A127" s="2">
        <v>42216</v>
      </c>
      <c r="B127" s="3">
        <f>(('Juro Nominal'!B127/100+1)/('Inflação Implícita'!B127/100+1)-1)*100</f>
        <v>4.2807594012413519</v>
      </c>
      <c r="C127" s="3">
        <v>6.58</v>
      </c>
      <c r="D127" s="3">
        <v>6.29</v>
      </c>
      <c r="E127" s="3">
        <v>6.3</v>
      </c>
      <c r="F127" s="3">
        <v>6.36</v>
      </c>
      <c r="G127" s="3">
        <v>6.42</v>
      </c>
      <c r="H127" s="3">
        <v>6.44</v>
      </c>
      <c r="I127" s="3">
        <v>6.45</v>
      </c>
      <c r="J127" s="3">
        <v>6.5</v>
      </c>
      <c r="K127" s="3">
        <v>6.53</v>
      </c>
      <c r="L127" s="3">
        <v>6.5</v>
      </c>
      <c r="M127" s="3">
        <v>6.48</v>
      </c>
      <c r="N127" s="3">
        <v>6.45</v>
      </c>
      <c r="O127" s="3">
        <v>6.43</v>
      </c>
      <c r="P127" s="3">
        <v>6.42</v>
      </c>
      <c r="Q127" s="3">
        <v>6.4</v>
      </c>
    </row>
    <row r="128" spans="1:17" ht="18.75" customHeight="1" x14ac:dyDescent="0.25">
      <c r="A128" s="2">
        <v>42247</v>
      </c>
      <c r="B128" s="3">
        <f>(('Juro Nominal'!B128/100+1)/('Inflação Implícita'!B128/100+1)-1)*100</f>
        <v>4.3093216470373452</v>
      </c>
      <c r="C128" s="3">
        <v>7.57</v>
      </c>
      <c r="D128" s="3">
        <v>7.05</v>
      </c>
      <c r="E128" s="3">
        <v>7.15</v>
      </c>
      <c r="F128" s="3">
        <v>7.19</v>
      </c>
      <c r="G128" s="3">
        <v>7.15</v>
      </c>
      <c r="H128" s="3">
        <v>7.12</v>
      </c>
      <c r="I128" s="3">
        <v>7.1</v>
      </c>
      <c r="J128" s="3">
        <v>7.1</v>
      </c>
      <c r="K128" s="3">
        <v>7.1</v>
      </c>
      <c r="L128" s="3">
        <v>7.04</v>
      </c>
      <c r="M128" s="3">
        <v>6.99</v>
      </c>
      <c r="N128" s="3">
        <v>6.95</v>
      </c>
      <c r="O128" s="3">
        <v>6.91</v>
      </c>
      <c r="P128" s="3">
        <v>6.88</v>
      </c>
      <c r="Q128" s="3">
        <v>6.86</v>
      </c>
    </row>
    <row r="129" spans="1:17" ht="18.75" customHeight="1" x14ac:dyDescent="0.25">
      <c r="A129" s="2">
        <v>42277</v>
      </c>
      <c r="B129" s="3">
        <f>(('Juro Nominal'!B129/100+1)/('Inflação Implícita'!B129/100+1)-1)*100</f>
        <v>4.3474289889487761</v>
      </c>
      <c r="C129" s="3">
        <v>7.1</v>
      </c>
      <c r="D129" s="3">
        <v>6.96</v>
      </c>
      <c r="E129" s="3">
        <v>7.42</v>
      </c>
      <c r="F129" s="3">
        <v>7.4</v>
      </c>
      <c r="G129" s="3">
        <v>7.4</v>
      </c>
      <c r="H129" s="3">
        <v>7.41</v>
      </c>
      <c r="I129" s="3">
        <v>7.41</v>
      </c>
      <c r="J129" s="3">
        <v>7.38</v>
      </c>
      <c r="K129" s="3">
        <v>7.33</v>
      </c>
      <c r="L129" s="3">
        <v>7.33</v>
      </c>
      <c r="M129" s="3">
        <v>7.32</v>
      </c>
      <c r="N129" s="3">
        <v>7.32</v>
      </c>
      <c r="O129" s="3">
        <v>7.32</v>
      </c>
      <c r="P129" s="3">
        <v>7.31</v>
      </c>
      <c r="Q129" s="3">
        <v>7.31</v>
      </c>
    </row>
    <row r="130" spans="1:17" ht="18.75" customHeight="1" x14ac:dyDescent="0.25">
      <c r="A130" s="2">
        <v>42308</v>
      </c>
      <c r="B130" s="3">
        <f>(('Juro Nominal'!B130/100+1)/('Inflação Implícita'!B130/100+1)-1)*100</f>
        <v>3.9297734922223437</v>
      </c>
      <c r="C130" s="3">
        <v>6.18</v>
      </c>
      <c r="D130" s="3">
        <v>6.15</v>
      </c>
      <c r="E130" s="3">
        <v>6.77</v>
      </c>
      <c r="F130" s="3">
        <v>7.03</v>
      </c>
      <c r="G130" s="3">
        <v>7.17</v>
      </c>
      <c r="H130" s="3">
        <v>7.28</v>
      </c>
      <c r="I130" s="3">
        <v>7.35</v>
      </c>
      <c r="J130" s="3">
        <v>7.37</v>
      </c>
      <c r="K130" s="3">
        <v>7.39</v>
      </c>
      <c r="L130" s="3">
        <v>7.32</v>
      </c>
      <c r="M130" s="3">
        <v>7.26</v>
      </c>
      <c r="N130" s="3">
        <v>7.21</v>
      </c>
      <c r="O130" s="3">
        <v>7.17</v>
      </c>
      <c r="P130" s="3">
        <v>7.14</v>
      </c>
      <c r="Q130" s="3">
        <v>7.11</v>
      </c>
    </row>
    <row r="131" spans="1:17" ht="18.75" customHeight="1" x14ac:dyDescent="0.25">
      <c r="A131" s="2">
        <v>42338</v>
      </c>
      <c r="B131" s="3">
        <f>(('Juro Nominal'!B131/100+1)/('Inflação Implícita'!B131/100+1)-1)*100</f>
        <v>3.4123823316437374</v>
      </c>
      <c r="C131" s="3">
        <v>6.78</v>
      </c>
      <c r="D131" s="3">
        <v>6.7</v>
      </c>
      <c r="E131" s="3">
        <v>7.14</v>
      </c>
      <c r="F131" s="3">
        <v>7.4</v>
      </c>
      <c r="G131" s="3">
        <v>7.45</v>
      </c>
      <c r="H131" s="3">
        <v>7.45</v>
      </c>
      <c r="I131" s="3">
        <v>7.47</v>
      </c>
      <c r="J131" s="3">
        <v>7.46</v>
      </c>
      <c r="K131" s="3">
        <v>7.37</v>
      </c>
      <c r="L131" s="3">
        <v>7.28</v>
      </c>
      <c r="M131" s="3">
        <v>7.21</v>
      </c>
      <c r="N131" s="3">
        <v>7.15</v>
      </c>
      <c r="O131" s="3">
        <v>7.09</v>
      </c>
      <c r="P131" s="3">
        <v>7.05</v>
      </c>
      <c r="Q131" s="3">
        <v>7.01</v>
      </c>
    </row>
    <row r="132" spans="1:17" ht="18.75" customHeight="1" x14ac:dyDescent="0.25">
      <c r="A132" s="2">
        <v>42369</v>
      </c>
      <c r="B132" s="3">
        <f>(('Juro Nominal'!B132/100+1)/('Inflação Implícita'!B132/100+1)-1)*100</f>
        <v>3.234842324026399</v>
      </c>
      <c r="C132" s="3">
        <v>6.72</v>
      </c>
      <c r="D132" s="3">
        <v>6.58</v>
      </c>
      <c r="E132" s="3">
        <v>6.96</v>
      </c>
      <c r="F132" s="3">
        <v>7.05</v>
      </c>
      <c r="G132" s="3">
        <v>7.09</v>
      </c>
      <c r="H132" s="3">
        <v>7.16</v>
      </c>
      <c r="I132" s="3">
        <v>7.25</v>
      </c>
      <c r="J132" s="3">
        <v>7.27</v>
      </c>
      <c r="K132" s="3">
        <v>7.25</v>
      </c>
      <c r="L132" s="3">
        <v>7.23</v>
      </c>
      <c r="M132" s="3">
        <v>7.23</v>
      </c>
      <c r="N132" s="3">
        <v>7.22</v>
      </c>
      <c r="O132" s="3">
        <v>7.21</v>
      </c>
      <c r="P132" s="3">
        <v>7.21</v>
      </c>
      <c r="Q132" s="3">
        <v>7.2</v>
      </c>
    </row>
    <row r="133" spans="1:17" ht="18.75" customHeight="1" x14ac:dyDescent="0.25">
      <c r="A133" s="2">
        <v>42400</v>
      </c>
      <c r="B133" s="3">
        <f>(('Juro Nominal'!B133/100+1)/('Inflação Implícita'!B133/100+1)-1)*100</f>
        <v>3.1975431307018409</v>
      </c>
      <c r="C133" s="3">
        <v>5.05</v>
      </c>
      <c r="D133" s="3">
        <v>5.64</v>
      </c>
      <c r="E133" s="3">
        <v>6.19</v>
      </c>
      <c r="F133" s="3">
        <v>6.55</v>
      </c>
      <c r="G133" s="3">
        <v>6.9</v>
      </c>
      <c r="H133" s="3">
        <v>7.13</v>
      </c>
      <c r="I133" s="3">
        <v>7.2</v>
      </c>
      <c r="J133" s="3">
        <v>7.23</v>
      </c>
      <c r="K133" s="3">
        <v>7.28</v>
      </c>
      <c r="L133" s="3">
        <v>7.36</v>
      </c>
      <c r="M133" s="3">
        <v>7.38</v>
      </c>
      <c r="N133" s="3">
        <v>7.34</v>
      </c>
      <c r="O133" s="3">
        <v>7.3</v>
      </c>
      <c r="P133" s="3">
        <v>7.26</v>
      </c>
      <c r="Q133" s="3">
        <v>7.25</v>
      </c>
    </row>
    <row r="134" spans="1:17" ht="18.75" customHeight="1" x14ac:dyDescent="0.25">
      <c r="A134" s="2">
        <v>42429</v>
      </c>
      <c r="B134" s="3">
        <f>(('Juro Nominal'!B134/100+1)/('Inflação Implícita'!B134/100+1)-1)*100</f>
        <v>3.5248278361725394</v>
      </c>
      <c r="C134" s="3">
        <v>5.78</v>
      </c>
      <c r="D134" s="3">
        <v>5.97</v>
      </c>
      <c r="E134" s="3">
        <v>6.18</v>
      </c>
      <c r="F134" s="3">
        <v>6.34</v>
      </c>
      <c r="G134" s="3">
        <v>6.61</v>
      </c>
      <c r="H134" s="3">
        <v>6.88</v>
      </c>
      <c r="I134" s="3">
        <v>7.07</v>
      </c>
      <c r="J134" s="3">
        <v>7.04</v>
      </c>
      <c r="K134" s="3">
        <v>7.04</v>
      </c>
      <c r="L134" s="3">
        <v>7.12</v>
      </c>
      <c r="M134" s="3">
        <v>7.16</v>
      </c>
      <c r="N134" s="3">
        <v>7.17</v>
      </c>
      <c r="O134" s="3">
        <v>7.18</v>
      </c>
      <c r="P134" s="3">
        <v>7.2</v>
      </c>
      <c r="Q134" s="3">
        <v>7.2</v>
      </c>
    </row>
    <row r="135" spans="1:17" ht="18.75" customHeight="1" x14ac:dyDescent="0.25">
      <c r="A135" s="2">
        <v>42460</v>
      </c>
      <c r="B135" s="3">
        <f>(('Juro Nominal'!B135/100+1)/('Inflação Implícita'!B135/100+1)-1)*100</f>
        <v>4.4428192705000535</v>
      </c>
      <c r="C135" s="3">
        <v>6.43</v>
      </c>
      <c r="D135" s="3">
        <v>6.52</v>
      </c>
      <c r="E135" s="3">
        <v>6.51</v>
      </c>
      <c r="F135" s="3">
        <v>6.46</v>
      </c>
      <c r="G135" s="3">
        <v>6.58</v>
      </c>
      <c r="H135" s="3">
        <v>6.64</v>
      </c>
      <c r="I135" s="3">
        <v>6.65</v>
      </c>
      <c r="J135" s="3">
        <v>6.63</v>
      </c>
      <c r="K135" s="3">
        <v>6.62</v>
      </c>
      <c r="L135" s="3">
        <v>6.62</v>
      </c>
      <c r="M135" s="3">
        <v>6.59</v>
      </c>
      <c r="N135" s="3">
        <v>6.55</v>
      </c>
      <c r="O135" s="3">
        <v>6.51</v>
      </c>
      <c r="P135" s="3">
        <v>6.47</v>
      </c>
      <c r="Q135" s="3">
        <v>6.46</v>
      </c>
    </row>
    <row r="136" spans="1:17" ht="18.75" customHeight="1" x14ac:dyDescent="0.25">
      <c r="A136" s="2">
        <v>42490</v>
      </c>
      <c r="B136" s="3">
        <f>(('Juro Nominal'!B136/100+1)/('Inflação Implícita'!B136/100+1)-1)*100</f>
        <v>4.5479502196193344</v>
      </c>
      <c r="C136" s="3">
        <v>6.25</v>
      </c>
      <c r="D136" s="3">
        <v>6.02</v>
      </c>
      <c r="E136" s="3">
        <v>5.91</v>
      </c>
      <c r="F136" s="3">
        <v>5.97</v>
      </c>
      <c r="G136" s="3">
        <v>6.08</v>
      </c>
      <c r="H136" s="3">
        <v>6.06</v>
      </c>
      <c r="I136" s="3">
        <v>6.05</v>
      </c>
      <c r="J136" s="3">
        <v>6.05</v>
      </c>
      <c r="K136" s="3">
        <v>6.05</v>
      </c>
      <c r="L136" s="3">
        <v>6.05</v>
      </c>
      <c r="M136" s="3">
        <v>6.06</v>
      </c>
      <c r="N136" s="3">
        <v>6.07</v>
      </c>
      <c r="O136" s="3">
        <v>6.07</v>
      </c>
      <c r="P136" s="3">
        <v>6.08</v>
      </c>
      <c r="Q136" s="3">
        <v>6.08</v>
      </c>
    </row>
    <row r="137" spans="1:17" ht="18.75" customHeight="1" x14ac:dyDescent="0.25">
      <c r="A137" s="2">
        <v>42521</v>
      </c>
      <c r="B137" s="3">
        <f>(('Juro Nominal'!B137/100+1)/('Inflação Implícita'!B137/100+1)-1)*100</f>
        <v>4.5096963044273908</v>
      </c>
      <c r="C137" s="3">
        <v>6.27</v>
      </c>
      <c r="D137" s="3">
        <v>6.28</v>
      </c>
      <c r="E137" s="3">
        <v>6.08</v>
      </c>
      <c r="F137" s="3">
        <v>6.12</v>
      </c>
      <c r="G137" s="3">
        <v>6.19</v>
      </c>
      <c r="H137" s="3">
        <v>6.2</v>
      </c>
      <c r="I137" s="3">
        <v>6.14</v>
      </c>
      <c r="J137" s="3">
        <v>6.07</v>
      </c>
      <c r="K137" s="3">
        <v>6.11</v>
      </c>
      <c r="L137" s="3">
        <v>6.18</v>
      </c>
      <c r="M137" s="3">
        <v>6.18</v>
      </c>
      <c r="N137" s="3">
        <v>6.15</v>
      </c>
      <c r="O137" s="3">
        <v>6.12</v>
      </c>
      <c r="P137" s="3">
        <v>6.1</v>
      </c>
      <c r="Q137" s="3">
        <v>6.1</v>
      </c>
    </row>
    <row r="138" spans="1:17" ht="18.75" customHeight="1" x14ac:dyDescent="0.25">
      <c r="A138" s="2">
        <v>42551</v>
      </c>
      <c r="B138" s="3">
        <f>(('Juro Nominal'!B138/100+1)/('Inflação Implícita'!B138/100+1)-1)*100</f>
        <v>4.9705990444689485</v>
      </c>
      <c r="C138" s="3">
        <v>6.56</v>
      </c>
      <c r="D138" s="3">
        <v>6.42</v>
      </c>
      <c r="E138" s="3">
        <v>6.35</v>
      </c>
      <c r="F138" s="3">
        <v>6.35</v>
      </c>
      <c r="G138" s="3">
        <v>6.44</v>
      </c>
      <c r="H138" s="3">
        <v>6.4</v>
      </c>
      <c r="I138" s="3">
        <v>6.34</v>
      </c>
      <c r="J138" s="3">
        <v>6.3</v>
      </c>
      <c r="K138" s="3">
        <v>6.3</v>
      </c>
      <c r="L138" s="3">
        <v>6.3</v>
      </c>
      <c r="M138" s="3">
        <v>6.24</v>
      </c>
      <c r="N138" s="3">
        <v>6.19</v>
      </c>
      <c r="O138" s="3">
        <v>6.14</v>
      </c>
      <c r="P138" s="3">
        <v>6.1</v>
      </c>
      <c r="Q138" s="3">
        <v>6.1</v>
      </c>
    </row>
    <row r="139" spans="1:17" ht="18.75" customHeight="1" x14ac:dyDescent="0.25">
      <c r="A139" s="2">
        <v>42582</v>
      </c>
      <c r="B139" s="3">
        <f>(('Juro Nominal'!B139/100+1)/('Inflação Implícita'!B139/100+1)-1)*100</f>
        <v>5.0671326098951752</v>
      </c>
      <c r="C139" s="3">
        <v>6.54</v>
      </c>
      <c r="D139" s="3">
        <v>6.35</v>
      </c>
      <c r="E139" s="3">
        <v>6.24</v>
      </c>
      <c r="F139" s="3">
        <v>6.18</v>
      </c>
      <c r="G139" s="3">
        <v>6.1</v>
      </c>
      <c r="H139" s="3">
        <v>6.13</v>
      </c>
      <c r="I139" s="3">
        <v>6.09</v>
      </c>
      <c r="J139" s="3">
        <v>6.03</v>
      </c>
      <c r="K139" s="3">
        <v>6.06</v>
      </c>
      <c r="L139" s="3">
        <v>6.1</v>
      </c>
      <c r="M139" s="3">
        <v>6.04</v>
      </c>
      <c r="N139" s="3">
        <v>5.98</v>
      </c>
      <c r="O139" s="3">
        <v>5.94</v>
      </c>
      <c r="P139" s="3">
        <v>5.9</v>
      </c>
      <c r="Q139" s="3">
        <v>5.9</v>
      </c>
    </row>
    <row r="140" spans="1:17" ht="18.75" customHeight="1" x14ac:dyDescent="0.25">
      <c r="A140" s="2">
        <v>42613</v>
      </c>
      <c r="B140" s="3">
        <f>(('Juro Nominal'!B140/100+1)/('Inflação Implícita'!B140/100+1)-1)*100</f>
        <v>4.8453702853996417</v>
      </c>
      <c r="C140" s="3">
        <v>6.29</v>
      </c>
      <c r="D140" s="3">
        <v>6.39</v>
      </c>
      <c r="E140" s="3">
        <v>6.22</v>
      </c>
      <c r="F140" s="3">
        <v>6.15</v>
      </c>
      <c r="G140" s="3">
        <v>6.15</v>
      </c>
      <c r="H140" s="3">
        <v>6.14</v>
      </c>
      <c r="I140" s="3">
        <v>6.01</v>
      </c>
      <c r="J140" s="3">
        <v>5.93</v>
      </c>
      <c r="K140" s="3">
        <v>5.94</v>
      </c>
      <c r="L140" s="3">
        <v>5.95</v>
      </c>
      <c r="M140" s="3">
        <v>5.89</v>
      </c>
      <c r="N140" s="3">
        <v>5.83</v>
      </c>
      <c r="O140" s="3">
        <v>5.79</v>
      </c>
      <c r="P140" s="3">
        <v>5.75</v>
      </c>
      <c r="Q140" s="3">
        <v>5.75</v>
      </c>
    </row>
    <row r="141" spans="1:17" ht="18.75" customHeight="1" x14ac:dyDescent="0.25">
      <c r="A141" s="2">
        <v>42643</v>
      </c>
      <c r="B141" s="3">
        <f>(('Juro Nominal'!B141/100+1)/('Inflação Implícita'!B141/100+1)-1)*100</f>
        <v>5.3189528023598998</v>
      </c>
      <c r="C141" s="3">
        <v>6.91</v>
      </c>
      <c r="D141" s="3">
        <v>6.05</v>
      </c>
      <c r="E141" s="3">
        <v>5.93</v>
      </c>
      <c r="F141" s="3">
        <v>5.98</v>
      </c>
      <c r="G141" s="3">
        <v>6.03</v>
      </c>
      <c r="H141" s="3">
        <v>6.02</v>
      </c>
      <c r="I141" s="3">
        <v>5.95</v>
      </c>
      <c r="J141" s="3">
        <v>5.92</v>
      </c>
      <c r="K141" s="3">
        <v>5.93</v>
      </c>
      <c r="L141" s="3">
        <v>5.93</v>
      </c>
      <c r="M141" s="3">
        <v>5.9</v>
      </c>
      <c r="N141" s="3">
        <v>5.88</v>
      </c>
      <c r="O141" s="3">
        <v>5.87</v>
      </c>
      <c r="P141" s="3">
        <v>5.85</v>
      </c>
      <c r="Q141" s="3">
        <v>5.85</v>
      </c>
    </row>
    <row r="142" spans="1:17" ht="18.75" customHeight="1" x14ac:dyDescent="0.25">
      <c r="A142" s="2">
        <v>42674</v>
      </c>
      <c r="B142" s="3">
        <f>(('Juro Nominal'!B142/100+1)/('Inflação Implícita'!B142/100+1)-1)*100</f>
        <v>5.682766292759811</v>
      </c>
      <c r="C142" s="3">
        <v>7.33</v>
      </c>
      <c r="D142" s="3">
        <v>6.14</v>
      </c>
      <c r="E142" s="3">
        <v>5.97</v>
      </c>
      <c r="F142" s="3">
        <v>5.99</v>
      </c>
      <c r="G142" s="3">
        <v>6.01</v>
      </c>
      <c r="H142" s="3">
        <v>5.99</v>
      </c>
      <c r="I142" s="3">
        <v>5.94</v>
      </c>
      <c r="J142" s="3">
        <v>5.92</v>
      </c>
      <c r="K142" s="3">
        <v>5.91</v>
      </c>
      <c r="L142" s="3">
        <v>5.9</v>
      </c>
      <c r="M142" s="3">
        <v>5.84</v>
      </c>
      <c r="N142" s="3">
        <v>5.8</v>
      </c>
      <c r="O142" s="3">
        <v>5.77</v>
      </c>
      <c r="P142" s="3">
        <v>5.75</v>
      </c>
      <c r="Q142" s="3">
        <v>5.75</v>
      </c>
    </row>
    <row r="143" spans="1:17" ht="18.75" customHeight="1" x14ac:dyDescent="0.25">
      <c r="A143" s="2">
        <v>42704</v>
      </c>
      <c r="B143" s="3">
        <f>(('Juro Nominal'!B143/100+1)/('Inflação Implícita'!B143/100+1)-1)*100</f>
        <v>6.5520142069352305</v>
      </c>
      <c r="C143" s="3">
        <v>7.16</v>
      </c>
      <c r="D143" s="3">
        <v>6.18</v>
      </c>
      <c r="E143" s="3">
        <v>6.15</v>
      </c>
      <c r="F143" s="3">
        <v>6.19</v>
      </c>
      <c r="G143" s="3">
        <v>6.24</v>
      </c>
      <c r="H143" s="3">
        <v>6.21</v>
      </c>
      <c r="I143" s="3">
        <v>6.16</v>
      </c>
      <c r="J143" s="3">
        <v>6.1</v>
      </c>
      <c r="K143" s="3">
        <v>6.1</v>
      </c>
      <c r="L143" s="3">
        <v>6.1</v>
      </c>
      <c r="M143" s="3">
        <v>6.08</v>
      </c>
      <c r="N143" s="3">
        <v>6.07</v>
      </c>
      <c r="O143" s="3">
        <v>6.06</v>
      </c>
      <c r="P143" s="3">
        <v>6.05</v>
      </c>
      <c r="Q143" s="3">
        <v>6.05</v>
      </c>
    </row>
    <row r="144" spans="1:17" ht="18.75" customHeight="1" x14ac:dyDescent="0.25">
      <c r="A144" s="2">
        <v>42735</v>
      </c>
      <c r="B144" s="3">
        <f>(('Juro Nominal'!B144/100+1)/('Inflação Implícita'!B144/100+1)-1)*100</f>
        <v>7.0185341988898253</v>
      </c>
      <c r="C144" s="3">
        <v>6.32</v>
      </c>
      <c r="D144" s="3">
        <v>5.87</v>
      </c>
      <c r="E144" s="3">
        <v>5.89</v>
      </c>
      <c r="F144" s="3">
        <v>5.93</v>
      </c>
      <c r="G144" s="3">
        <v>5.95</v>
      </c>
      <c r="H144" s="3">
        <v>5.95</v>
      </c>
      <c r="I144" s="3">
        <v>5.92</v>
      </c>
      <c r="J144" s="3">
        <v>5.91</v>
      </c>
      <c r="K144" s="3">
        <v>5.94</v>
      </c>
      <c r="L144" s="3">
        <v>5.93</v>
      </c>
      <c r="M144" s="3">
        <v>5.89</v>
      </c>
      <c r="N144" s="3">
        <v>5.85</v>
      </c>
      <c r="O144" s="3">
        <v>5.82</v>
      </c>
      <c r="P144" s="3">
        <v>5.8</v>
      </c>
      <c r="Q144" s="3">
        <v>5.8</v>
      </c>
    </row>
    <row r="145" spans="1:17" ht="18.75" customHeight="1" x14ac:dyDescent="0.25">
      <c r="A145" s="2">
        <v>42766</v>
      </c>
      <c r="B145" s="3">
        <f>(('Juro Nominal'!B145/100+1)/('Inflação Implícita'!B145/100+1)-1)*100</f>
        <v>7.2615092548647064</v>
      </c>
      <c r="C145" s="3">
        <v>5.7707319999999998</v>
      </c>
      <c r="D145" s="3">
        <v>5.7641850000000003</v>
      </c>
      <c r="E145" s="3">
        <v>5.8166679999999999</v>
      </c>
      <c r="F145" s="3">
        <v>5.8424589999999998</v>
      </c>
      <c r="G145" s="3">
        <v>5.8376390000000002</v>
      </c>
      <c r="H145" s="3">
        <v>5.8144790000000004</v>
      </c>
      <c r="I145" s="3">
        <v>5.781345</v>
      </c>
      <c r="J145" s="3">
        <v>5.7526799999999998</v>
      </c>
      <c r="K145" s="3">
        <v>5.7220950000000004</v>
      </c>
      <c r="L145" s="3">
        <v>5.6920809999999999</v>
      </c>
      <c r="M145" s="3">
        <v>5.6681990000000004</v>
      </c>
      <c r="N145" s="3">
        <v>5.6479189999999999</v>
      </c>
      <c r="O145" s="3">
        <v>5.6300080000000001</v>
      </c>
      <c r="P145" s="3">
        <v>5.6143590000000003</v>
      </c>
      <c r="Q145" s="3">
        <v>5.6008310000000003</v>
      </c>
    </row>
    <row r="146" spans="1:17" ht="18.75" customHeight="1" x14ac:dyDescent="0.25">
      <c r="A146" s="2">
        <v>42794</v>
      </c>
      <c r="B146" s="3">
        <f>(('Juro Nominal'!B146/100+1)/('Inflação Implícita'!B146/100+1)-1)*100</f>
        <v>7.1496754486445102</v>
      </c>
      <c r="C146" s="3">
        <v>5.6374709999999997</v>
      </c>
      <c r="D146" s="3">
        <v>5.4228069999999997</v>
      </c>
      <c r="E146" s="3">
        <v>5.4199250000000001</v>
      </c>
      <c r="F146" s="3">
        <v>5.4267940000000001</v>
      </c>
      <c r="G146" s="3">
        <v>5.4127580000000002</v>
      </c>
      <c r="H146" s="3">
        <v>5.3843480000000001</v>
      </c>
      <c r="I146" s="3">
        <v>5.35236</v>
      </c>
      <c r="J146" s="3">
        <v>5.3184649999999998</v>
      </c>
      <c r="K146" s="3">
        <v>5.2881049999999998</v>
      </c>
      <c r="L146" s="3">
        <v>5.262016</v>
      </c>
      <c r="M146" s="3">
        <v>5.2388880000000002</v>
      </c>
      <c r="N146" s="3">
        <v>5.2195109999999998</v>
      </c>
      <c r="O146" s="3">
        <v>5.202566</v>
      </c>
      <c r="P146" s="3">
        <v>5.1878690000000001</v>
      </c>
      <c r="Q146" s="3">
        <v>5.1752269999999996</v>
      </c>
    </row>
    <row r="147" spans="1:17" ht="18.75" customHeight="1" x14ac:dyDescent="0.25">
      <c r="A147" s="2">
        <v>42825</v>
      </c>
      <c r="B147" s="3">
        <f>(('Juro Nominal'!B147/100+1)/('Inflação Implícita'!B147/100+1)-1)*100</f>
        <v>7.3443626279047436</v>
      </c>
      <c r="C147" s="3">
        <v>5.4469950000000003</v>
      </c>
      <c r="D147" s="3">
        <v>4.9691479999999997</v>
      </c>
      <c r="E147" s="3">
        <v>5.0627490000000002</v>
      </c>
      <c r="F147" s="3">
        <v>5.1729479999999999</v>
      </c>
      <c r="G147" s="3">
        <v>5.232037</v>
      </c>
      <c r="H147" s="3">
        <v>5.2533669999999999</v>
      </c>
      <c r="I147" s="3">
        <v>5.255058</v>
      </c>
      <c r="J147" s="3">
        <v>5.2495000000000003</v>
      </c>
      <c r="K147" s="3">
        <v>5.2400399999999996</v>
      </c>
      <c r="L147" s="3">
        <v>5.2301770000000003</v>
      </c>
      <c r="M147" s="3">
        <v>5.2205880000000002</v>
      </c>
      <c r="N147" s="3">
        <v>5.212148</v>
      </c>
      <c r="O147" s="3">
        <v>5.2037560000000003</v>
      </c>
      <c r="P147" s="3">
        <v>5.197889</v>
      </c>
      <c r="Q147" s="3">
        <v>5.1920950000000001</v>
      </c>
    </row>
    <row r="148" spans="1:17" ht="18.75" customHeight="1" x14ac:dyDescent="0.25">
      <c r="A148" s="2">
        <v>42855</v>
      </c>
      <c r="B148" s="3">
        <f>(('Juro Nominal'!B148/100+1)/('Inflação Implícita'!B148/100+1)-1)*100</f>
        <v>6.8889315910837912</v>
      </c>
      <c r="C148" s="3">
        <v>5.196326</v>
      </c>
      <c r="D148" s="3">
        <v>4.7661179999999996</v>
      </c>
      <c r="E148" s="3">
        <v>4.9767440000000001</v>
      </c>
      <c r="F148" s="3">
        <v>5.1944210000000002</v>
      </c>
      <c r="G148" s="3">
        <v>5.3097310000000002</v>
      </c>
      <c r="H148" s="3">
        <v>5.3663129999999999</v>
      </c>
      <c r="I148" s="3">
        <v>5.387372</v>
      </c>
      <c r="J148" s="3">
        <v>5.3914559999999998</v>
      </c>
      <c r="K148" s="3">
        <v>5.3884189999999998</v>
      </c>
      <c r="L148" s="3">
        <v>5.3823020000000001</v>
      </c>
      <c r="M148" s="3">
        <v>5.37392</v>
      </c>
      <c r="N148" s="3">
        <v>5.3671430000000004</v>
      </c>
      <c r="O148" s="3">
        <v>5.3609470000000004</v>
      </c>
      <c r="P148" s="3">
        <v>5.3553600000000001</v>
      </c>
      <c r="Q148" s="3">
        <v>5.350346</v>
      </c>
    </row>
    <row r="149" spans="1:17" ht="18.75" customHeight="1" x14ac:dyDescent="0.25">
      <c r="A149" s="2">
        <v>42886</v>
      </c>
      <c r="B149" s="3">
        <f>(('Juro Nominal'!B149/100+1)/('Inflação Implícita'!B149/100+1)-1)*100</f>
        <v>7.3841698841698777</v>
      </c>
      <c r="C149" s="3">
        <v>5.1264830000000003</v>
      </c>
      <c r="D149" s="3">
        <v>4.9244849999999998</v>
      </c>
      <c r="E149" s="3">
        <v>5.2456870000000002</v>
      </c>
      <c r="F149" s="3">
        <v>5.4651249999999996</v>
      </c>
      <c r="G149" s="3">
        <v>5.5683939999999996</v>
      </c>
      <c r="H149" s="3">
        <v>5.6086729999999996</v>
      </c>
      <c r="I149" s="3">
        <v>5.6207130000000003</v>
      </c>
      <c r="J149" s="3">
        <v>5.6211359999999999</v>
      </c>
      <c r="K149" s="3">
        <v>5.617337</v>
      </c>
      <c r="L149" s="3">
        <v>5.6124499999999999</v>
      </c>
      <c r="M149" s="3">
        <v>5.6076280000000001</v>
      </c>
      <c r="N149" s="3">
        <v>5.6032320000000002</v>
      </c>
      <c r="O149" s="3">
        <v>5.5993440000000003</v>
      </c>
      <c r="P149" s="3">
        <v>5.5959120000000002</v>
      </c>
      <c r="Q149" s="3">
        <v>5.592873</v>
      </c>
    </row>
    <row r="150" spans="1:17" ht="18.75" customHeight="1" x14ac:dyDescent="0.25">
      <c r="A150" s="2">
        <v>42916</v>
      </c>
      <c r="B150" s="3">
        <f>(('Juro Nominal'!B150/100+1)/('Inflação Implícita'!B150/100+1)-1)*100</f>
        <v>7.0388349514563187</v>
      </c>
      <c r="C150" s="3">
        <v>4.9257340000000003</v>
      </c>
      <c r="D150" s="3">
        <v>4.7452839999999998</v>
      </c>
      <c r="E150" s="3">
        <v>5.2299040000000003</v>
      </c>
      <c r="F150" s="3">
        <v>5.4942549999999999</v>
      </c>
      <c r="G150" s="3">
        <v>5.6032760000000001</v>
      </c>
      <c r="H150" s="3">
        <v>5.6420969999999997</v>
      </c>
      <c r="I150" s="3">
        <v>5.653524</v>
      </c>
      <c r="J150" s="3">
        <v>5.6550380000000002</v>
      </c>
      <c r="K150" s="3">
        <v>5.6531840000000004</v>
      </c>
      <c r="L150" s="3">
        <v>5.6504859999999999</v>
      </c>
      <c r="M150" s="3">
        <v>5.6477740000000001</v>
      </c>
      <c r="N150" s="3">
        <v>5.6453430000000004</v>
      </c>
      <c r="O150" s="3">
        <v>5.6432039999999999</v>
      </c>
      <c r="P150" s="3">
        <v>5.6415420000000003</v>
      </c>
      <c r="Q150" s="3">
        <v>5.6398469999999996</v>
      </c>
    </row>
    <row r="151" spans="1:17" ht="18.75" customHeight="1" x14ac:dyDescent="0.25">
      <c r="A151" s="2">
        <v>42947</v>
      </c>
      <c r="B151" s="3">
        <f>(('Juro Nominal'!B151/100+1)/('Inflação Implícita'!B151/100+1)-1)*100</f>
        <v>6.3674423133093239</v>
      </c>
      <c r="C151" s="3">
        <v>3.3511039999999999</v>
      </c>
      <c r="D151" s="3">
        <v>3.6026639999999999</v>
      </c>
      <c r="E151" s="3">
        <v>4.259601</v>
      </c>
      <c r="F151" s="3">
        <v>4.6304720000000001</v>
      </c>
      <c r="G151" s="3">
        <v>4.8524640000000003</v>
      </c>
      <c r="H151" s="3">
        <v>4.9809070000000002</v>
      </c>
      <c r="I151" s="3">
        <v>5.058897</v>
      </c>
      <c r="J151" s="3">
        <v>5.1157640000000004</v>
      </c>
      <c r="K151" s="3">
        <v>5.157578</v>
      </c>
      <c r="L151" s="3">
        <v>5.1896079999999998</v>
      </c>
      <c r="M151" s="3">
        <v>5.215401</v>
      </c>
      <c r="N151" s="3">
        <v>5.2388599999999999</v>
      </c>
      <c r="O151" s="3">
        <v>5.256259</v>
      </c>
      <c r="P151" s="3">
        <v>5.2712640000000004</v>
      </c>
      <c r="Q151" s="3">
        <v>5.2843479999999996</v>
      </c>
    </row>
    <row r="152" spans="1:17" ht="18.75" customHeight="1" x14ac:dyDescent="0.25">
      <c r="A152" s="2">
        <v>42978</v>
      </c>
      <c r="B152" s="3">
        <f>(('Juro Nominal'!B152/100+1)/('Inflação Implícita'!B152/100+1)-1)*100</f>
        <v>6.626976381026739</v>
      </c>
      <c r="C152" s="3">
        <v>3.2841320000000001</v>
      </c>
      <c r="D152" s="3">
        <v>3.5441760000000002</v>
      </c>
      <c r="E152" s="3">
        <v>4.112609</v>
      </c>
      <c r="F152" s="3">
        <v>4.4584530000000004</v>
      </c>
      <c r="G152" s="3">
        <v>4.6737219999999997</v>
      </c>
      <c r="H152" s="3">
        <v>4.8164449999999999</v>
      </c>
      <c r="I152" s="3">
        <v>4.9135580000000001</v>
      </c>
      <c r="J152" s="3">
        <v>4.9910329999999998</v>
      </c>
      <c r="K152" s="3">
        <v>5.0513159999999999</v>
      </c>
      <c r="L152" s="3">
        <v>5.0988870000000004</v>
      </c>
      <c r="M152" s="3">
        <v>5.1379450000000002</v>
      </c>
      <c r="N152" s="3">
        <v>5.17035</v>
      </c>
      <c r="O152" s="3">
        <v>5.1977700000000002</v>
      </c>
      <c r="P152" s="3">
        <v>5.2214470000000004</v>
      </c>
      <c r="Q152" s="3">
        <v>5.2420970000000002</v>
      </c>
    </row>
    <row r="153" spans="1:17" ht="18.75" customHeight="1" x14ac:dyDescent="0.25">
      <c r="A153" s="2">
        <v>43008</v>
      </c>
      <c r="B153" s="3">
        <f>(('Juro Nominal'!B153/100+1)/('Inflação Implícita'!B153/100+1)-1)*100</f>
        <v>5.5685586112736329</v>
      </c>
      <c r="C153" s="3">
        <v>2.9649380000000001</v>
      </c>
      <c r="D153" s="3">
        <v>3.2968980000000001</v>
      </c>
      <c r="E153" s="3">
        <v>3.871429</v>
      </c>
      <c r="F153" s="3">
        <v>4.2509050000000004</v>
      </c>
      <c r="G153" s="3">
        <v>4.4867439999999998</v>
      </c>
      <c r="H153" s="3">
        <v>4.638668</v>
      </c>
      <c r="I153" s="3">
        <v>4.7347710000000003</v>
      </c>
      <c r="J153" s="3">
        <v>4.8139560000000001</v>
      </c>
      <c r="K153" s="3">
        <v>4.8758970000000001</v>
      </c>
      <c r="L153" s="3">
        <v>4.9245830000000002</v>
      </c>
      <c r="M153" s="3">
        <v>4.9643620000000004</v>
      </c>
      <c r="N153" s="3">
        <v>4.997268</v>
      </c>
      <c r="O153" s="3">
        <v>5.0250589999999997</v>
      </c>
      <c r="P153" s="3">
        <v>5.0490250000000003</v>
      </c>
      <c r="Q153" s="3">
        <v>5.0699059999999996</v>
      </c>
    </row>
    <row r="154" spans="1:17" ht="18.75" customHeight="1" x14ac:dyDescent="0.25">
      <c r="A154" s="2">
        <v>43039</v>
      </c>
      <c r="B154" s="3">
        <f>(('Juro Nominal'!B154/100+1)/('Inflação Implícita'!B154/100+1)-1)*100</f>
        <v>4.6738072054527846</v>
      </c>
      <c r="C154" s="3">
        <v>2.502624</v>
      </c>
      <c r="D154" s="3">
        <v>3.2511489999999998</v>
      </c>
      <c r="E154" s="3">
        <v>3.968035</v>
      </c>
      <c r="F154" s="3">
        <v>4.406377</v>
      </c>
      <c r="G154" s="3">
        <v>4.665095</v>
      </c>
      <c r="H154" s="3">
        <v>4.8253370000000002</v>
      </c>
      <c r="I154" s="3">
        <v>4.9281639999999998</v>
      </c>
      <c r="J154" s="3">
        <v>5.0059519999999997</v>
      </c>
      <c r="K154" s="3">
        <v>5.0639219999999998</v>
      </c>
      <c r="L154" s="3">
        <v>5.1166790000000004</v>
      </c>
      <c r="M154" s="3">
        <v>5.1525910000000001</v>
      </c>
      <c r="N154" s="3">
        <v>5.182061</v>
      </c>
      <c r="O154" s="3">
        <v>5.2071829999999997</v>
      </c>
      <c r="P154" s="3">
        <v>5.2285640000000004</v>
      </c>
      <c r="Q154" s="3">
        <v>5.2469260000000002</v>
      </c>
    </row>
    <row r="155" spans="1:17" ht="18.75" customHeight="1" x14ac:dyDescent="0.25">
      <c r="A155" s="2">
        <v>43069</v>
      </c>
      <c r="B155" s="3">
        <f>(('Juro Nominal'!B155/100+1)/('Inflação Implícita'!B155/100+1)-1)*100</f>
        <v>4.5719844357976491</v>
      </c>
      <c r="C155" s="3">
        <v>2.4532569999999998</v>
      </c>
      <c r="D155" s="3">
        <v>3.5101659999999999</v>
      </c>
      <c r="E155" s="3">
        <v>4.3201850000000004</v>
      </c>
      <c r="F155" s="3">
        <v>4.7012400000000003</v>
      </c>
      <c r="G155" s="3">
        <v>4.9104289999999997</v>
      </c>
      <c r="H155" s="3">
        <v>5.0439860000000003</v>
      </c>
      <c r="I155" s="3">
        <v>5.1392480000000003</v>
      </c>
      <c r="J155" s="3">
        <v>5.209721</v>
      </c>
      <c r="K155" s="3">
        <v>5.2638290000000003</v>
      </c>
      <c r="L155" s="3">
        <v>5.3073079999999999</v>
      </c>
      <c r="M155" s="3">
        <v>5.3431410000000001</v>
      </c>
      <c r="N155" s="3">
        <v>5.3692330000000004</v>
      </c>
      <c r="O155" s="3">
        <v>5.3980730000000001</v>
      </c>
      <c r="P155" s="3">
        <v>5.4196689999999998</v>
      </c>
      <c r="Q155" s="3">
        <v>5.438231</v>
      </c>
    </row>
    <row r="156" spans="1:17" ht="18.75" customHeight="1" x14ac:dyDescent="0.25">
      <c r="A156" s="2">
        <v>43100</v>
      </c>
      <c r="B156" s="3">
        <f>(('Juro Nominal'!B156/100+1)/('Inflação Implícita'!B156/100+1)-1)*100</f>
        <v>3.9339485186983936</v>
      </c>
      <c r="C156" s="3">
        <v>2.5265019999999998</v>
      </c>
      <c r="D156" s="3">
        <v>3.258521</v>
      </c>
      <c r="E156" s="3">
        <v>4.1431360000000002</v>
      </c>
      <c r="F156" s="3">
        <v>4.619656</v>
      </c>
      <c r="G156" s="3">
        <v>4.8821500000000002</v>
      </c>
      <c r="H156" s="3">
        <v>5.0375949999999996</v>
      </c>
      <c r="I156" s="3">
        <v>5.1411769999999999</v>
      </c>
      <c r="J156" s="3">
        <v>5.21394</v>
      </c>
      <c r="K156" s="3">
        <v>5.2679590000000003</v>
      </c>
      <c r="L156" s="3">
        <v>5.3105690000000001</v>
      </c>
      <c r="M156" s="3">
        <v>5.3448419999999999</v>
      </c>
      <c r="N156" s="3">
        <v>5.3734070000000003</v>
      </c>
      <c r="O156" s="3">
        <v>5.397799</v>
      </c>
      <c r="P156" s="3">
        <v>5.4161869999999999</v>
      </c>
      <c r="Q156" s="3">
        <v>5.434355</v>
      </c>
    </row>
    <row r="157" spans="1:17" ht="18.75" customHeight="1" x14ac:dyDescent="0.25">
      <c r="A157" s="2">
        <v>43131</v>
      </c>
      <c r="B157" s="3">
        <f>(('Juro Nominal'!B157/100+1)/('Inflação Implícita'!B157/100+1)-1)*100</f>
        <v>4.0248881975500694</v>
      </c>
      <c r="C157" s="3">
        <v>2.336792</v>
      </c>
      <c r="D157" s="3">
        <v>3.3809450000000001</v>
      </c>
      <c r="E157" s="3">
        <v>4.0225549999999997</v>
      </c>
      <c r="F157" s="3">
        <v>4.3551229999999999</v>
      </c>
      <c r="G157" s="3">
        <v>4.5487320000000002</v>
      </c>
      <c r="H157" s="3">
        <v>4.6712199999999999</v>
      </c>
      <c r="I157" s="3">
        <v>4.764259</v>
      </c>
      <c r="J157" s="3">
        <v>4.8332940000000004</v>
      </c>
      <c r="K157" s="3">
        <v>4.8861929999999996</v>
      </c>
      <c r="L157" s="3">
        <v>4.9286240000000001</v>
      </c>
      <c r="M157" s="3">
        <v>4.9667680000000001</v>
      </c>
      <c r="N157" s="3">
        <v>4.9951689999999997</v>
      </c>
      <c r="O157" s="3">
        <v>5.0192870000000003</v>
      </c>
      <c r="P157" s="3">
        <v>5.0397189999999998</v>
      </c>
      <c r="Q157" s="3">
        <v>5.0577110000000003</v>
      </c>
    </row>
    <row r="158" spans="1:17" ht="18.75" customHeight="1" x14ac:dyDescent="0.25">
      <c r="A158" s="2">
        <v>43159</v>
      </c>
      <c r="B158" s="3">
        <f>(('Juro Nominal'!B158/100+1)/('Inflação Implícita'!B158/100+1)-1)*100</f>
        <v>3.8020225593154322</v>
      </c>
      <c r="C158" s="3">
        <v>2.5055239999999999</v>
      </c>
      <c r="D158" s="3">
        <v>3.3911899999999999</v>
      </c>
      <c r="E158" s="3">
        <v>4.0326930000000001</v>
      </c>
      <c r="F158" s="3">
        <v>4.3779130000000004</v>
      </c>
      <c r="G158" s="3">
        <v>4.5737709999999998</v>
      </c>
      <c r="H158" s="3">
        <v>4.6948319999999999</v>
      </c>
      <c r="I158" s="3">
        <v>4.7862970000000002</v>
      </c>
      <c r="J158" s="3">
        <v>4.8530369999999996</v>
      </c>
      <c r="K158" s="3">
        <v>4.9038240000000002</v>
      </c>
      <c r="L158" s="3">
        <v>4.9455710000000002</v>
      </c>
      <c r="M158" s="3">
        <v>4.9788889999999997</v>
      </c>
      <c r="N158" s="3">
        <v>5.0071079999999997</v>
      </c>
      <c r="O158" s="3">
        <v>5.0310480000000002</v>
      </c>
      <c r="P158" s="3">
        <v>5.0513110000000001</v>
      </c>
      <c r="Q158" s="3">
        <v>5.0691410000000001</v>
      </c>
    </row>
    <row r="159" spans="1:17" ht="18.75" customHeight="1" x14ac:dyDescent="0.25">
      <c r="A159" s="2">
        <v>43190</v>
      </c>
      <c r="B159" s="3">
        <f>(('Juro Nominal'!B159/100+1)/('Inflação Implícita'!B159/100+1)-1)*100</f>
        <v>3.7202960654460382</v>
      </c>
      <c r="C159" s="3">
        <v>2.0485190000000002</v>
      </c>
      <c r="D159" s="3">
        <v>2.8824230000000002</v>
      </c>
      <c r="E159" s="3">
        <v>3.5755300000000001</v>
      </c>
      <c r="F159" s="3">
        <v>3.99099</v>
      </c>
      <c r="G159" s="3">
        <v>4.26539</v>
      </c>
      <c r="H159" s="3">
        <v>4.4417770000000001</v>
      </c>
      <c r="I159" s="3">
        <v>4.5942049999999997</v>
      </c>
      <c r="J159" s="3">
        <v>4.7116150000000001</v>
      </c>
      <c r="K159" s="3">
        <v>4.8049780000000002</v>
      </c>
      <c r="L159" s="3">
        <v>4.8833080000000004</v>
      </c>
      <c r="M159" s="3">
        <v>4.9466809999999999</v>
      </c>
      <c r="N159" s="3">
        <v>5.0065059999999999</v>
      </c>
      <c r="O159" s="3">
        <v>5.0470269999999999</v>
      </c>
      <c r="P159" s="3">
        <v>5.0862639999999999</v>
      </c>
      <c r="Q159" s="3">
        <v>5.120857</v>
      </c>
    </row>
    <row r="160" spans="1:17" ht="18.75" customHeight="1" x14ac:dyDescent="0.25">
      <c r="A160" s="2">
        <v>43220</v>
      </c>
      <c r="B160" s="3">
        <f>(('Juro Nominal'!B160/100+1)/('Inflação Implícita'!B160/100+1)-1)*100</f>
        <v>3.6395484624367258</v>
      </c>
      <c r="C160" s="3">
        <v>1.968439</v>
      </c>
      <c r="D160" s="3">
        <v>2.7328389999999998</v>
      </c>
      <c r="E160" s="3">
        <v>3.5457269999999999</v>
      </c>
      <c r="F160" s="3">
        <v>4.0512199999999998</v>
      </c>
      <c r="G160" s="3">
        <v>4.3870899999999997</v>
      </c>
      <c r="H160" s="3">
        <v>4.6065459999999998</v>
      </c>
      <c r="I160" s="3">
        <v>4.768675</v>
      </c>
      <c r="J160" s="3">
        <v>4.8705970000000001</v>
      </c>
      <c r="K160" s="3">
        <v>4.9579589999999998</v>
      </c>
      <c r="L160" s="3">
        <v>5.027971</v>
      </c>
      <c r="M160" s="3">
        <v>5.094659</v>
      </c>
      <c r="N160" s="3">
        <v>5.1408800000000001</v>
      </c>
      <c r="O160" s="3">
        <v>5.1802890000000001</v>
      </c>
      <c r="P160" s="3">
        <v>5.2064570000000003</v>
      </c>
      <c r="Q160" s="3">
        <v>5.2435130000000001</v>
      </c>
    </row>
    <row r="161" spans="1:17" ht="18.75" customHeight="1" x14ac:dyDescent="0.25">
      <c r="A161" s="2">
        <v>43251</v>
      </c>
      <c r="B161" s="3">
        <f>(('Juro Nominal'!B161/100+1)/('Inflação Implícita'!B161/100+1)-1)*100</f>
        <v>3.538790589150298</v>
      </c>
      <c r="C161" s="3">
        <v>2.203878</v>
      </c>
      <c r="D161" s="3">
        <v>3.5660159999999999</v>
      </c>
      <c r="E161" s="3">
        <v>4.4651360000000002</v>
      </c>
      <c r="F161" s="3">
        <v>4.9842029999999999</v>
      </c>
      <c r="G161" s="3">
        <v>5.270359</v>
      </c>
      <c r="H161" s="3">
        <v>5.430847</v>
      </c>
      <c r="I161" s="3">
        <v>5.5241490000000004</v>
      </c>
      <c r="J161" s="3">
        <v>5.5816100000000004</v>
      </c>
      <c r="K161" s="3">
        <v>5.619186</v>
      </c>
      <c r="L161" s="3">
        <v>5.6457230000000003</v>
      </c>
      <c r="M161" s="3">
        <v>5.6657390000000003</v>
      </c>
      <c r="N161" s="3">
        <v>5.6815810000000004</v>
      </c>
      <c r="O161" s="3">
        <v>5.6946729999999999</v>
      </c>
      <c r="P161" s="3">
        <v>5.7058020000000003</v>
      </c>
      <c r="Q161" s="3">
        <v>5.7151870000000002</v>
      </c>
    </row>
    <row r="162" spans="1:17" ht="18.75" customHeight="1" x14ac:dyDescent="0.25">
      <c r="A162" s="2">
        <v>43281</v>
      </c>
      <c r="B162" s="3">
        <f>(('Juro Nominal'!B162/100+1)/('Inflação Implícita'!B162/100+1)-1)*100</f>
        <v>2.0212664048280482</v>
      </c>
      <c r="C162" s="3">
        <v>2.6383760000000001</v>
      </c>
      <c r="D162" s="3">
        <v>4.2382210000000002</v>
      </c>
      <c r="E162" s="3">
        <v>4.9803689999999996</v>
      </c>
      <c r="F162" s="3">
        <v>5.3557569999999997</v>
      </c>
      <c r="G162" s="3">
        <v>5.5579159999999996</v>
      </c>
      <c r="H162" s="3">
        <v>5.6745530000000004</v>
      </c>
      <c r="I162" s="3">
        <v>5.7480089999999997</v>
      </c>
      <c r="J162" s="3">
        <v>5.7968529999999996</v>
      </c>
      <c r="K162" s="3">
        <v>5.8309899999999999</v>
      </c>
      <c r="L162" s="3">
        <v>5.8564730000000003</v>
      </c>
      <c r="M162" s="3">
        <v>5.8760529999999997</v>
      </c>
      <c r="N162" s="3">
        <v>5.8918379999999999</v>
      </c>
      <c r="O162" s="3">
        <v>5.9035029999999997</v>
      </c>
      <c r="P162" s="3">
        <v>5.9150179999999999</v>
      </c>
      <c r="Q162" s="3">
        <v>5.9247240000000003</v>
      </c>
    </row>
    <row r="163" spans="1:17" ht="18.75" customHeight="1" x14ac:dyDescent="0.25">
      <c r="A163" s="2">
        <v>43312</v>
      </c>
      <c r="B163" s="3">
        <f>(('Juro Nominal'!B163/100+1)/('Inflação Implícita'!B163/100+1)-1)*100</f>
        <v>1.9333843797856076</v>
      </c>
      <c r="C163" s="3">
        <v>3.2821509999999998</v>
      </c>
      <c r="D163" s="3">
        <v>4.1062289999999999</v>
      </c>
      <c r="E163" s="3">
        <v>4.7420869999999997</v>
      </c>
      <c r="F163" s="3">
        <v>5.1486219999999996</v>
      </c>
      <c r="G163" s="3">
        <v>5.3726180000000001</v>
      </c>
      <c r="H163" s="3">
        <v>5.4937279999999999</v>
      </c>
      <c r="I163" s="3">
        <v>5.5705859999999996</v>
      </c>
      <c r="J163" s="3">
        <v>5.6201290000000004</v>
      </c>
      <c r="K163" s="3">
        <v>5.6544129999999999</v>
      </c>
      <c r="L163" s="3">
        <v>5.6801469999999998</v>
      </c>
      <c r="M163" s="3">
        <v>5.7017420000000003</v>
      </c>
      <c r="N163" s="3">
        <v>5.7184749999999998</v>
      </c>
      <c r="O163" s="3">
        <v>5.7320229999999999</v>
      </c>
      <c r="P163" s="3">
        <v>5.740939</v>
      </c>
      <c r="Q163" s="3">
        <v>5.7536079999999998</v>
      </c>
    </row>
    <row r="164" spans="1:17" ht="18.75" customHeight="1" x14ac:dyDescent="0.25">
      <c r="A164" s="2">
        <v>43343</v>
      </c>
      <c r="B164" s="3">
        <f>(('Juro Nominal'!B164/100+1)/('Inflação Implícita'!B164/100+1)-1)*100</f>
        <v>2.2171033688453745</v>
      </c>
      <c r="C164" s="3">
        <v>3.1822279999999998</v>
      </c>
      <c r="D164" s="3">
        <v>4.4295039999999997</v>
      </c>
      <c r="E164" s="3">
        <v>5.2069479999999997</v>
      </c>
      <c r="F164" s="3">
        <v>5.5101089999999999</v>
      </c>
      <c r="G164" s="3">
        <v>5.6321760000000003</v>
      </c>
      <c r="H164" s="3">
        <v>5.6898679999999997</v>
      </c>
      <c r="I164" s="3">
        <v>5.7271520000000002</v>
      </c>
      <c r="J164" s="3">
        <v>5.7531220000000003</v>
      </c>
      <c r="K164" s="3">
        <v>5.7725030000000004</v>
      </c>
      <c r="L164" s="3">
        <v>5.7879160000000001</v>
      </c>
      <c r="M164" s="3">
        <v>5.8004319999999998</v>
      </c>
      <c r="N164" s="3">
        <v>5.8108510000000004</v>
      </c>
      <c r="O164" s="3">
        <v>5.8197299999999998</v>
      </c>
      <c r="P164" s="3">
        <v>5.8273869999999999</v>
      </c>
      <c r="Q164" s="3">
        <v>5.8339359999999996</v>
      </c>
    </row>
    <row r="165" spans="1:17" ht="18.75" customHeight="1" x14ac:dyDescent="0.25">
      <c r="A165" s="2">
        <v>43373</v>
      </c>
      <c r="B165" s="3">
        <f>(('Juro Nominal'!B165/100+1)/('Inflação Implícita'!B165/100+1)-1)*100</f>
        <v>1.8846264230364618</v>
      </c>
      <c r="C165" s="3">
        <v>2.5854560000000002</v>
      </c>
      <c r="D165" s="3">
        <v>4.0620880000000001</v>
      </c>
      <c r="E165" s="3">
        <v>5.0768310000000003</v>
      </c>
      <c r="F165" s="3">
        <v>5.5696479999999999</v>
      </c>
      <c r="G165" s="3">
        <v>5.7873000000000001</v>
      </c>
      <c r="H165" s="3">
        <v>5.8783839999999996</v>
      </c>
      <c r="I165" s="3">
        <v>5.9278079999999997</v>
      </c>
      <c r="J165" s="3">
        <v>5.9534960000000003</v>
      </c>
      <c r="K165" s="3">
        <v>5.9687960000000002</v>
      </c>
      <c r="L165" s="3">
        <v>5.9790409999999996</v>
      </c>
      <c r="M165" s="3">
        <v>5.9865570000000004</v>
      </c>
      <c r="N165" s="3">
        <v>5.992483</v>
      </c>
      <c r="O165" s="3">
        <v>5.9973960000000002</v>
      </c>
      <c r="P165" s="3">
        <v>6.001576</v>
      </c>
      <c r="Q165" s="3">
        <v>6.0051269999999999</v>
      </c>
    </row>
    <row r="166" spans="1:17" ht="18.75" customHeight="1" x14ac:dyDescent="0.25">
      <c r="A166" s="2">
        <v>43404</v>
      </c>
      <c r="B166" s="3">
        <f>(('Juro Nominal'!B166/100+1)/('Inflação Implícita'!B166/100+1)-1)*100</f>
        <v>1.8553940321346385</v>
      </c>
      <c r="C166" s="3">
        <v>2.5014439999999998</v>
      </c>
      <c r="D166" s="3">
        <v>3.5835659999999998</v>
      </c>
      <c r="E166" s="3">
        <v>4.1955150000000003</v>
      </c>
      <c r="F166" s="3">
        <v>4.5090329999999996</v>
      </c>
      <c r="G166" s="3">
        <v>4.690868</v>
      </c>
      <c r="H166" s="3">
        <v>4.8072489999999997</v>
      </c>
      <c r="I166" s="3">
        <v>4.8930280000000002</v>
      </c>
      <c r="J166" s="3">
        <v>4.957522</v>
      </c>
      <c r="K166" s="3">
        <v>5.0070779999999999</v>
      </c>
      <c r="L166" s="3">
        <v>5.0470680000000003</v>
      </c>
      <c r="M166" s="3">
        <v>5.0854309999999998</v>
      </c>
      <c r="N166" s="3">
        <v>5.1067239999999998</v>
      </c>
      <c r="O166" s="3">
        <v>5.1298209999999997</v>
      </c>
      <c r="P166" s="3">
        <v>5.1541240000000004</v>
      </c>
      <c r="Q166" s="3">
        <v>5.1709430000000003</v>
      </c>
    </row>
    <row r="167" spans="1:17" ht="18.75" customHeight="1" x14ac:dyDescent="0.25">
      <c r="A167" s="2">
        <v>43434</v>
      </c>
      <c r="B167" s="3">
        <f>(('Juro Nominal'!B167/100+1)/('Inflação Implícita'!B167/100+1)-1)*100</f>
        <v>2.3546371936568944</v>
      </c>
      <c r="C167" s="3">
        <v>3.0424150000000001</v>
      </c>
      <c r="D167" s="3">
        <v>3.778546</v>
      </c>
      <c r="E167" s="3">
        <v>4.3339259999999999</v>
      </c>
      <c r="F167" s="3">
        <v>4.6153019999999998</v>
      </c>
      <c r="G167" s="3">
        <v>4.7592610000000004</v>
      </c>
      <c r="H167" s="3">
        <v>4.8445309999999999</v>
      </c>
      <c r="I167" s="3">
        <v>4.9005510000000001</v>
      </c>
      <c r="J167" s="3">
        <v>4.94069</v>
      </c>
      <c r="K167" s="3">
        <v>4.9716209999999998</v>
      </c>
      <c r="L167" s="3">
        <v>4.9964050000000002</v>
      </c>
      <c r="M167" s="3">
        <v>5.0164660000000003</v>
      </c>
      <c r="N167" s="3">
        <v>5.0333560000000004</v>
      </c>
      <c r="O167" s="3">
        <v>5.0475659999999998</v>
      </c>
      <c r="P167" s="3">
        <v>5.0596449999999997</v>
      </c>
      <c r="Q167" s="3">
        <v>5.0701939999999999</v>
      </c>
    </row>
    <row r="168" spans="1:17" ht="18.75" customHeight="1" x14ac:dyDescent="0.25">
      <c r="A168" s="2">
        <v>43465</v>
      </c>
      <c r="B168" s="3">
        <f>(('Juro Nominal'!B168/100+1)/('Inflação Implícita'!B168/100+1)-1)*100</f>
        <v>2.6506024096385472</v>
      </c>
      <c r="C168" s="3">
        <v>2.5564230000000001</v>
      </c>
      <c r="D168" s="3">
        <v>3.2941319999999998</v>
      </c>
      <c r="E168" s="3">
        <v>3.848678</v>
      </c>
      <c r="F168" s="3">
        <v>4.2141630000000001</v>
      </c>
      <c r="G168" s="3">
        <v>4.4184289999999997</v>
      </c>
      <c r="H168" s="3">
        <v>4.5547149999999998</v>
      </c>
      <c r="I168" s="3">
        <v>4.6498540000000004</v>
      </c>
      <c r="J168" s="3">
        <v>4.7197240000000003</v>
      </c>
      <c r="K168" s="3">
        <v>4.7741030000000002</v>
      </c>
      <c r="L168" s="3">
        <v>4.8172269999999999</v>
      </c>
      <c r="M168" s="3">
        <v>4.8526749999999996</v>
      </c>
      <c r="N168" s="3">
        <v>4.882555</v>
      </c>
      <c r="O168" s="3">
        <v>4.9048309999999997</v>
      </c>
      <c r="P168" s="3">
        <v>4.9266259999999997</v>
      </c>
      <c r="Q168" s="3">
        <v>4.9456470000000001</v>
      </c>
    </row>
    <row r="169" spans="1:17" ht="18.75" customHeight="1" x14ac:dyDescent="0.25">
      <c r="A169" s="2">
        <v>43496</v>
      </c>
      <c r="B169" s="3">
        <f>(('Juro Nominal'!B169/100+1)/('Inflação Implícita'!B169/100+1)-1)*100</f>
        <v>2.6209288880323589</v>
      </c>
      <c r="C169" s="3">
        <v>2.2948940000000002</v>
      </c>
      <c r="D169" s="3">
        <v>2.9894229999999999</v>
      </c>
      <c r="E169" s="3">
        <v>3.5151159999999999</v>
      </c>
      <c r="F169" s="3">
        <v>3.8233229999999998</v>
      </c>
      <c r="G169" s="3">
        <v>3.9999959999999999</v>
      </c>
      <c r="H169" s="3">
        <v>4.1175160000000002</v>
      </c>
      <c r="I169" s="3">
        <v>4.1988580000000004</v>
      </c>
      <c r="J169" s="3">
        <v>4.2577290000000003</v>
      </c>
      <c r="K169" s="3">
        <v>4.3031550000000003</v>
      </c>
      <c r="L169" s="3">
        <v>4.3389949999999997</v>
      </c>
      <c r="M169" s="3">
        <v>4.3683630000000004</v>
      </c>
      <c r="N169" s="3">
        <v>4.393065</v>
      </c>
      <c r="O169" s="3">
        <v>4.4160919999999999</v>
      </c>
      <c r="P169" s="3">
        <v>4.4295580000000001</v>
      </c>
      <c r="Q169" s="3">
        <v>4.4450909999999997</v>
      </c>
    </row>
    <row r="170" spans="1:17" ht="18.75" customHeight="1" x14ac:dyDescent="0.25">
      <c r="A170" s="2">
        <v>43524</v>
      </c>
      <c r="B170" s="3">
        <f>(('Juro Nominal'!B170/100+1)/('Inflação Implícita'!B170/100+1)-1)*100</f>
        <v>2.5122725960150083</v>
      </c>
      <c r="C170" s="3">
        <v>2.0822289999999999</v>
      </c>
      <c r="D170" s="3">
        <v>3.022516</v>
      </c>
      <c r="E170" s="3">
        <v>3.5681379999999998</v>
      </c>
      <c r="F170" s="3">
        <v>3.8629190000000002</v>
      </c>
      <c r="G170" s="3">
        <v>4.0277719999999997</v>
      </c>
      <c r="H170" s="3">
        <v>4.1409010000000004</v>
      </c>
      <c r="I170" s="3">
        <v>4.2175029999999998</v>
      </c>
      <c r="J170" s="3">
        <v>4.2729160000000004</v>
      </c>
      <c r="K170" s="3">
        <v>4.3168850000000001</v>
      </c>
      <c r="L170" s="3">
        <v>4.3510840000000002</v>
      </c>
      <c r="M170" s="3">
        <v>4.379486</v>
      </c>
      <c r="N170" s="3">
        <v>4.4031979999999997</v>
      </c>
      <c r="O170" s="3">
        <v>4.423006</v>
      </c>
      <c r="P170" s="3">
        <v>4.4402410000000003</v>
      </c>
      <c r="Q170" s="3">
        <v>4.4550400000000003</v>
      </c>
    </row>
    <row r="171" spans="1:17" ht="18.75" customHeight="1" x14ac:dyDescent="0.25">
      <c r="A171" s="2">
        <v>43555</v>
      </c>
      <c r="B171" s="3">
        <f>(('Juro Nominal'!B171/100+1)/('Inflação Implícita'!B171/100+1)-1)*100</f>
        <v>1.8359150889271314</v>
      </c>
      <c r="C171" s="3">
        <v>2.1859419999999998</v>
      </c>
      <c r="D171" s="3">
        <v>3.132898</v>
      </c>
      <c r="E171" s="3">
        <v>3.6196980000000001</v>
      </c>
      <c r="F171" s="3">
        <v>3.8880870000000001</v>
      </c>
      <c r="G171" s="3">
        <v>4.0415219999999996</v>
      </c>
      <c r="H171" s="3">
        <v>4.1454089999999999</v>
      </c>
      <c r="I171" s="3">
        <v>4.2166480000000002</v>
      </c>
      <c r="J171" s="3">
        <v>4.2687900000000001</v>
      </c>
      <c r="K171" s="3">
        <v>4.3106650000000002</v>
      </c>
      <c r="L171" s="3">
        <v>4.3440200000000004</v>
      </c>
      <c r="M171" s="3">
        <v>4.3759449999999998</v>
      </c>
      <c r="N171" s="3">
        <v>4.3983429999999997</v>
      </c>
      <c r="O171" s="3">
        <v>4.4210909999999997</v>
      </c>
      <c r="P171" s="3">
        <v>4.4424080000000004</v>
      </c>
      <c r="Q171" s="3">
        <v>4.4622089999999996</v>
      </c>
    </row>
    <row r="172" spans="1:17" ht="18.75" customHeight="1" x14ac:dyDescent="0.25">
      <c r="A172" s="2">
        <v>43585</v>
      </c>
      <c r="B172" s="3">
        <f>(('Juro Nominal'!B172/100+1)/('Inflação Implícita'!B172/100+1)-1)*100</f>
        <v>1.4865637507146756</v>
      </c>
      <c r="C172" s="3">
        <v>2.1668050000000001</v>
      </c>
      <c r="D172" s="3">
        <v>3.2215220000000002</v>
      </c>
      <c r="E172" s="3">
        <v>3.6550389999999999</v>
      </c>
      <c r="F172" s="3">
        <v>3.8880249999999998</v>
      </c>
      <c r="G172" s="3">
        <v>4.0254580000000004</v>
      </c>
      <c r="H172" s="3">
        <v>4.1223809999999999</v>
      </c>
      <c r="I172" s="3">
        <v>4.1829099999999997</v>
      </c>
      <c r="J172" s="3">
        <v>4.2340369999999998</v>
      </c>
      <c r="K172" s="3">
        <v>4.2749009999999998</v>
      </c>
      <c r="L172" s="3">
        <v>4.308484</v>
      </c>
      <c r="M172" s="3">
        <v>4.3421349999999999</v>
      </c>
      <c r="N172" s="3">
        <v>4.3664440000000004</v>
      </c>
      <c r="O172" s="3">
        <v>4.3832709999999997</v>
      </c>
      <c r="P172" s="3">
        <v>4.4023079999999997</v>
      </c>
      <c r="Q172" s="3">
        <v>4.4231480000000003</v>
      </c>
    </row>
    <row r="173" spans="1:17" ht="18.75" customHeight="1" x14ac:dyDescent="0.25">
      <c r="A173" s="2">
        <v>43616</v>
      </c>
      <c r="B173" s="3">
        <f>(('Juro Nominal'!B173/100+1)/('Inflação Implícita'!B173/100+1)-1)*100</f>
        <v>1.7580737626600396</v>
      </c>
      <c r="C173" s="3">
        <v>3.007666</v>
      </c>
      <c r="D173" s="3">
        <v>2.883003</v>
      </c>
      <c r="E173" s="3">
        <v>3.2571400000000001</v>
      </c>
      <c r="F173" s="3">
        <v>3.490615</v>
      </c>
      <c r="G173" s="3">
        <v>3.6272600000000002</v>
      </c>
      <c r="H173" s="3">
        <v>3.7139030000000002</v>
      </c>
      <c r="I173" s="3">
        <v>3.7739560000000001</v>
      </c>
      <c r="J173" s="3">
        <v>3.8185829999999998</v>
      </c>
      <c r="K173" s="3">
        <v>3.854295</v>
      </c>
      <c r="L173" s="3">
        <v>3.8846310000000002</v>
      </c>
      <c r="M173" s="3">
        <v>3.911521</v>
      </c>
      <c r="N173" s="3">
        <v>3.9363000000000001</v>
      </c>
      <c r="O173" s="3">
        <v>3.9597159999999998</v>
      </c>
      <c r="P173" s="3">
        <v>3.9815649999999998</v>
      </c>
      <c r="Q173" s="3">
        <v>4.0023960000000001</v>
      </c>
    </row>
    <row r="174" spans="1:17" ht="18.75" customHeight="1" x14ac:dyDescent="0.25">
      <c r="A174" s="2">
        <v>43646</v>
      </c>
      <c r="B174" s="3">
        <f>(('Juro Nominal'!B174/100+1)/('Inflação Implícita'!B174/100+1)-1)*100</f>
        <v>3.0279578214182035</v>
      </c>
      <c r="C174" s="3">
        <v>2.5432250000000001</v>
      </c>
      <c r="D174" s="3">
        <v>2.3796590000000002</v>
      </c>
      <c r="E174" s="3">
        <v>2.658401</v>
      </c>
      <c r="F174" s="3">
        <v>2.906765</v>
      </c>
      <c r="G174" s="3">
        <v>3.0690080000000002</v>
      </c>
      <c r="H174" s="3">
        <v>3.1866829999999999</v>
      </c>
      <c r="I174" s="3">
        <v>3.2764530000000001</v>
      </c>
      <c r="J174" s="3">
        <v>3.3480989999999999</v>
      </c>
      <c r="K174" s="3">
        <v>3.4085200000000002</v>
      </c>
      <c r="L174" s="3">
        <v>3.4602140000000001</v>
      </c>
      <c r="M174" s="3">
        <v>3.5059179999999999</v>
      </c>
      <c r="N174" s="3">
        <v>3.542319</v>
      </c>
      <c r="O174" s="3">
        <v>3.580638</v>
      </c>
      <c r="P174" s="3">
        <v>3.6148940000000001</v>
      </c>
      <c r="Q174" s="3">
        <v>3.646058</v>
      </c>
    </row>
    <row r="175" spans="1:17" ht="18.75" customHeight="1" x14ac:dyDescent="0.25">
      <c r="A175" s="2">
        <v>43677</v>
      </c>
      <c r="B175" s="3">
        <f>(('Juro Nominal'!B175/100+1)/('Inflação Implícita'!B175/100+1)-1)*100</f>
        <v>3.1776787444293575</v>
      </c>
      <c r="C175" s="3">
        <v>2.0558709999999998</v>
      </c>
      <c r="D175" s="3">
        <v>2.0519069999999999</v>
      </c>
      <c r="E175" s="3">
        <v>2.4262899999999998</v>
      </c>
      <c r="F175" s="3">
        <v>2.7323680000000001</v>
      </c>
      <c r="G175" s="3">
        <v>2.940264</v>
      </c>
      <c r="H175" s="3">
        <v>3.0932900000000001</v>
      </c>
      <c r="I175" s="3">
        <v>3.2085300000000001</v>
      </c>
      <c r="J175" s="3">
        <v>3.2968030000000002</v>
      </c>
      <c r="K175" s="3">
        <v>3.3676279999999998</v>
      </c>
      <c r="L175" s="3">
        <v>3.42964</v>
      </c>
      <c r="M175" s="3">
        <v>3.4731529999999999</v>
      </c>
      <c r="N175" s="3">
        <v>3.511155</v>
      </c>
      <c r="O175" s="3">
        <v>3.5468920000000002</v>
      </c>
      <c r="P175" s="3">
        <v>3.5776940000000002</v>
      </c>
      <c r="Q175" s="3">
        <v>3.6047020000000001</v>
      </c>
    </row>
    <row r="176" spans="1:17" ht="18.75" customHeight="1" x14ac:dyDescent="0.25">
      <c r="A176" s="2">
        <v>43708</v>
      </c>
      <c r="B176" s="3">
        <f>(('Juro Nominal'!B176/100+1)/('Inflação Implícita'!B176/100+1)-1)*100</f>
        <v>2.4847723097747298</v>
      </c>
      <c r="C176" s="3">
        <v>2.0818500000000002</v>
      </c>
      <c r="D176" s="3">
        <v>2.2211379999999998</v>
      </c>
      <c r="E176" s="3">
        <v>2.6098889999999999</v>
      </c>
      <c r="F176" s="3">
        <v>2.8707029999999998</v>
      </c>
      <c r="G176" s="3">
        <v>3.037318</v>
      </c>
      <c r="H176" s="3">
        <v>3.166112</v>
      </c>
      <c r="I176" s="3">
        <v>3.2665950000000001</v>
      </c>
      <c r="J176" s="3">
        <v>3.3477869999999998</v>
      </c>
      <c r="K176" s="3">
        <v>3.4166289999999999</v>
      </c>
      <c r="L176" s="3">
        <v>3.4756809999999998</v>
      </c>
      <c r="M176" s="3">
        <v>3.5272079999999999</v>
      </c>
      <c r="N176" s="3">
        <v>3.5729009999999999</v>
      </c>
      <c r="O176" s="3">
        <v>3.6136409999999999</v>
      </c>
      <c r="P176" s="3">
        <v>3.6494439999999999</v>
      </c>
      <c r="Q176" s="3">
        <v>3.6814429999999998</v>
      </c>
    </row>
    <row r="177" spans="1:17" ht="18.75" customHeight="1" x14ac:dyDescent="0.25">
      <c r="A177" s="2">
        <v>43738</v>
      </c>
      <c r="B177" s="3">
        <f>(('Juro Nominal'!B177/100+1)/('Inflação Implícita'!B177/100+1)-1)*100</f>
        <v>2.536689668578096</v>
      </c>
      <c r="C177" s="3">
        <v>1.404674</v>
      </c>
      <c r="D177" s="3">
        <v>1.5660890000000001</v>
      </c>
      <c r="E177" s="3">
        <v>2.0434839999999999</v>
      </c>
      <c r="F177" s="3">
        <v>2.370533</v>
      </c>
      <c r="G177" s="3">
        <v>2.5805099999999999</v>
      </c>
      <c r="H177" s="3">
        <v>2.7499359999999999</v>
      </c>
      <c r="I177" s="3">
        <v>2.8828330000000002</v>
      </c>
      <c r="J177" s="3">
        <v>2.9919129999999998</v>
      </c>
      <c r="K177" s="3">
        <v>3.083704</v>
      </c>
      <c r="L177" s="3">
        <v>3.1627540000000001</v>
      </c>
      <c r="M177" s="3">
        <v>3.2309709999999998</v>
      </c>
      <c r="N177" s="3">
        <v>3.2907510000000002</v>
      </c>
      <c r="O177" s="3">
        <v>3.3434189999999999</v>
      </c>
      <c r="P177" s="3">
        <v>3.3891800000000001</v>
      </c>
      <c r="Q177" s="3">
        <v>3.4296549999999999</v>
      </c>
    </row>
    <row r="178" spans="1:17" ht="18.75" customHeight="1" x14ac:dyDescent="0.25">
      <c r="A178" s="2">
        <v>43769</v>
      </c>
      <c r="B178" s="3">
        <f>(('Juro Nominal'!B178/100+1)/('Inflação Implícita'!B178/100+1)-1)*100</f>
        <v>2.3990637799882863</v>
      </c>
      <c r="C178" s="3">
        <v>0.51431199999999999</v>
      </c>
      <c r="D178" s="3">
        <v>0.87706700000000004</v>
      </c>
      <c r="E178" s="3">
        <v>1.406617</v>
      </c>
      <c r="F178" s="3">
        <v>1.7945629999999999</v>
      </c>
      <c r="G178" s="3">
        <v>2.0715629999999998</v>
      </c>
      <c r="H178" s="3">
        <v>2.2762579999999999</v>
      </c>
      <c r="I178" s="3">
        <v>2.442488</v>
      </c>
      <c r="J178" s="3">
        <v>2.5793509999999999</v>
      </c>
      <c r="K178" s="3">
        <v>2.694102</v>
      </c>
      <c r="L178" s="3">
        <v>2.7936290000000001</v>
      </c>
      <c r="M178" s="3">
        <v>2.8792810000000002</v>
      </c>
      <c r="N178" s="3">
        <v>2.9557479999999998</v>
      </c>
      <c r="O178" s="3">
        <v>3.0378259999999999</v>
      </c>
      <c r="P178" s="3">
        <v>3.0966710000000002</v>
      </c>
      <c r="Q178" s="3">
        <v>3.1487059999999998</v>
      </c>
    </row>
    <row r="179" spans="1:17" ht="18.75" customHeight="1" x14ac:dyDescent="0.25">
      <c r="A179" s="2">
        <v>43799</v>
      </c>
      <c r="B179" s="3">
        <f>(('Juro Nominal'!B179/100+1)/('Inflação Implícita'!B179/100+1)-1)*100</f>
        <v>1.6752202963106422</v>
      </c>
      <c r="C179" s="3">
        <v>0.193157</v>
      </c>
      <c r="D179" s="3">
        <v>1.229231</v>
      </c>
      <c r="E179" s="3">
        <v>1.8654770000000001</v>
      </c>
      <c r="F179" s="3">
        <v>2.2460070000000001</v>
      </c>
      <c r="G179" s="3">
        <v>2.505401</v>
      </c>
      <c r="H179" s="3">
        <v>2.6962660000000001</v>
      </c>
      <c r="I179" s="3">
        <v>2.8455599999999999</v>
      </c>
      <c r="J179" s="3">
        <v>2.9691730000000001</v>
      </c>
      <c r="K179" s="3">
        <v>3.074589</v>
      </c>
      <c r="L179" s="3">
        <v>3.1646960000000002</v>
      </c>
      <c r="M179" s="3">
        <v>3.2442530000000001</v>
      </c>
      <c r="N179" s="3">
        <v>3.3139720000000001</v>
      </c>
      <c r="O179" s="3">
        <v>3.3752490000000002</v>
      </c>
      <c r="P179" s="3">
        <v>3.4302049999999999</v>
      </c>
      <c r="Q179" s="3">
        <v>3.4790290000000001</v>
      </c>
    </row>
    <row r="180" spans="1:17" ht="18.75" customHeight="1" x14ac:dyDescent="0.25">
      <c r="A180" s="2">
        <v>43830</v>
      </c>
      <c r="B180" s="3">
        <f>(('Juro Nominal'!B180/100+1)/('Inflação Implícita'!B180/100+1)-1)*100</f>
        <v>0.18214936247722413</v>
      </c>
      <c r="C180" s="3">
        <v>0.282939</v>
      </c>
      <c r="D180" s="3">
        <v>1.204323</v>
      </c>
      <c r="E180" s="3">
        <v>1.7738529999999999</v>
      </c>
      <c r="F180" s="3">
        <v>2.1635680000000002</v>
      </c>
      <c r="G180" s="3">
        <v>2.4544830000000002</v>
      </c>
      <c r="H180" s="3">
        <v>2.67116</v>
      </c>
      <c r="I180" s="3">
        <v>2.8345530000000001</v>
      </c>
      <c r="J180" s="3">
        <v>2.9622549999999999</v>
      </c>
      <c r="K180" s="3">
        <v>3.0628310000000001</v>
      </c>
      <c r="L180" s="3">
        <v>3.1445509999999999</v>
      </c>
      <c r="M180" s="3">
        <v>3.2125460000000001</v>
      </c>
      <c r="N180" s="3">
        <v>3.2626330000000001</v>
      </c>
      <c r="O180" s="3">
        <v>3.3111009999999998</v>
      </c>
      <c r="P180" s="3">
        <v>3.352951</v>
      </c>
      <c r="Q180" s="3">
        <v>3.3890370000000001</v>
      </c>
    </row>
    <row r="181" spans="1:17" ht="18.75" customHeight="1" x14ac:dyDescent="0.25">
      <c r="A181" s="2">
        <v>43861</v>
      </c>
      <c r="B181" s="3">
        <f>(('Juro Nominal'!B181/100+1)/('Inflação Implícita'!B181/100+1)-1)*100</f>
        <v>0.29753335252902247</v>
      </c>
      <c r="C181" s="3">
        <v>1.070109</v>
      </c>
      <c r="D181" s="3">
        <v>1.4264840000000001</v>
      </c>
      <c r="E181" s="3">
        <v>1.8826989999999999</v>
      </c>
      <c r="F181" s="3">
        <v>2.2068080000000001</v>
      </c>
      <c r="G181" s="3">
        <v>2.4490949999999998</v>
      </c>
      <c r="H181" s="3">
        <v>2.6381860000000001</v>
      </c>
      <c r="I181" s="3">
        <v>2.7918120000000002</v>
      </c>
      <c r="J181" s="3">
        <v>2.9216280000000001</v>
      </c>
      <c r="K181" s="3">
        <v>3.0445190000000002</v>
      </c>
      <c r="L181" s="3">
        <v>3.1402869999999998</v>
      </c>
      <c r="M181" s="3">
        <v>3.2144810000000001</v>
      </c>
      <c r="N181" s="3">
        <v>3.2979039999999999</v>
      </c>
      <c r="O181" s="3">
        <v>3.3561239999999999</v>
      </c>
      <c r="P181" s="3">
        <v>3.4076629999999999</v>
      </c>
      <c r="Q181" s="3">
        <v>3.4714779999999998</v>
      </c>
    </row>
    <row r="182" spans="1:17" ht="18.75" customHeight="1" x14ac:dyDescent="0.25">
      <c r="A182" s="2">
        <v>43890</v>
      </c>
      <c r="B182" s="3">
        <f>(('Juro Nominal'!B182/100+1)/('Inflação Implícita'!B182/100+1)-1)*100</f>
        <v>0.23074704355350306</v>
      </c>
      <c r="C182" s="3">
        <v>0.78224899999999997</v>
      </c>
      <c r="D182" s="3">
        <v>1.2387619999999999</v>
      </c>
      <c r="E182" s="3">
        <v>1.7430829999999999</v>
      </c>
      <c r="F182" s="3">
        <v>2.082757</v>
      </c>
      <c r="G182" s="3">
        <v>2.3502580000000002</v>
      </c>
      <c r="H182" s="3">
        <v>2.555688</v>
      </c>
      <c r="I182" s="3">
        <v>2.7211789999999998</v>
      </c>
      <c r="J182" s="3">
        <v>2.8652160000000002</v>
      </c>
      <c r="K182" s="3">
        <v>2.9864549999999999</v>
      </c>
      <c r="L182" s="3">
        <v>3.0940110000000001</v>
      </c>
      <c r="M182" s="3">
        <v>3.188879</v>
      </c>
      <c r="N182" s="3">
        <v>3.2716639999999999</v>
      </c>
      <c r="O182" s="3">
        <v>3.34612</v>
      </c>
      <c r="P182" s="3">
        <v>3.4115449999999998</v>
      </c>
      <c r="Q182" s="3">
        <v>3.4684219999999999</v>
      </c>
    </row>
    <row r="183" spans="1:17" ht="18.75" customHeight="1" x14ac:dyDescent="0.25">
      <c r="A183" s="2">
        <v>43921</v>
      </c>
      <c r="B183" s="3">
        <f>(('Juro Nominal'!B183/100+1)/('Inflação Implícita'!B183/100+1)-1)*100</f>
        <v>0.43562439496613869</v>
      </c>
      <c r="C183" s="3">
        <v>1.99884</v>
      </c>
      <c r="D183" s="3">
        <v>2.1317300000000001</v>
      </c>
      <c r="E183" s="3">
        <v>2.617359</v>
      </c>
      <c r="F183" s="3">
        <v>2.9770530000000002</v>
      </c>
      <c r="G183" s="3">
        <v>3.249981</v>
      </c>
      <c r="H183" s="3">
        <v>3.4887079999999999</v>
      </c>
      <c r="I183" s="3">
        <v>3.6820460000000002</v>
      </c>
      <c r="J183" s="3">
        <v>3.846301</v>
      </c>
      <c r="K183" s="3">
        <v>3.979762</v>
      </c>
      <c r="L183" s="3">
        <v>4.1066229999999999</v>
      </c>
      <c r="M183" s="3">
        <v>4.1915959999999997</v>
      </c>
      <c r="N183" s="3">
        <v>4.2728219999999997</v>
      </c>
      <c r="O183" s="3">
        <v>4.3433830000000002</v>
      </c>
      <c r="P183" s="3">
        <v>4.4037179999999996</v>
      </c>
      <c r="Q183" s="3">
        <v>4.4552110000000003</v>
      </c>
    </row>
    <row r="184" spans="1:17" ht="18.75" customHeight="1" x14ac:dyDescent="0.25">
      <c r="A184" s="2">
        <v>43951</v>
      </c>
      <c r="B184" s="3">
        <f>(('Juro Nominal'!B184/100+1)/('Inflação Implícita'!B184/100+1)-1)*100</f>
        <v>1.318359375</v>
      </c>
      <c r="C184" s="3">
        <v>1.9763189999999999</v>
      </c>
      <c r="D184" s="3">
        <v>1.8897029999999999</v>
      </c>
      <c r="E184" s="3">
        <v>2.4028659999999999</v>
      </c>
      <c r="F184" s="3">
        <v>2.7939690000000001</v>
      </c>
      <c r="G184" s="3">
        <v>3.1032030000000002</v>
      </c>
      <c r="H184" s="3">
        <v>3.317933</v>
      </c>
      <c r="I184" s="3">
        <v>3.509252</v>
      </c>
      <c r="J184" s="3">
        <v>3.6722359999999998</v>
      </c>
      <c r="K184" s="3">
        <v>3.8110520000000001</v>
      </c>
      <c r="L184" s="3">
        <v>3.9533499999999999</v>
      </c>
      <c r="M184" s="3">
        <v>4.0593370000000002</v>
      </c>
      <c r="N184" s="3">
        <v>4.1342879999999997</v>
      </c>
      <c r="O184" s="3">
        <v>4.2167630000000003</v>
      </c>
      <c r="P184" s="3">
        <v>4.3042550000000004</v>
      </c>
      <c r="Q184" s="3">
        <v>4.3657279999999998</v>
      </c>
    </row>
    <row r="185" spans="1:17" ht="18.75" customHeight="1" x14ac:dyDescent="0.25">
      <c r="A185" s="2">
        <v>43982</v>
      </c>
      <c r="B185" s="3">
        <f>(('Juro Nominal'!B185/100+1)/('Inflação Implícita'!B185/100+1)-1)*100</f>
        <v>1.0993325480957994</v>
      </c>
      <c r="C185" s="3">
        <v>0.53392899999999999</v>
      </c>
      <c r="D185" s="3">
        <v>0.89124800000000004</v>
      </c>
      <c r="E185" s="3">
        <v>1.3667990000000001</v>
      </c>
      <c r="F185" s="3">
        <v>1.885964</v>
      </c>
      <c r="G185" s="3">
        <v>2.3606539999999998</v>
      </c>
      <c r="H185" s="3">
        <v>2.7617210000000001</v>
      </c>
      <c r="I185" s="3">
        <v>3.0861909999999999</v>
      </c>
      <c r="J185" s="3">
        <v>3.3478159999999999</v>
      </c>
      <c r="K185" s="3">
        <v>3.5603899999999999</v>
      </c>
      <c r="L185" s="3">
        <v>3.7346710000000001</v>
      </c>
      <c r="M185" s="3">
        <v>3.8802650000000001</v>
      </c>
      <c r="N185" s="3">
        <v>4.0036649999999998</v>
      </c>
      <c r="O185" s="3">
        <v>4.1066690000000001</v>
      </c>
      <c r="P185" s="3">
        <v>4.1947900000000002</v>
      </c>
      <c r="Q185" s="3">
        <v>4.2712669999999999</v>
      </c>
    </row>
    <row r="186" spans="1:17" ht="18.75" customHeight="1" x14ac:dyDescent="0.25">
      <c r="A186" s="2">
        <v>44012</v>
      </c>
      <c r="B186" s="3">
        <f>(('Juro Nominal'!B186/100+1)/('Inflação Implícita'!B186/100+1)-1)*100</f>
        <v>0.11749730735335362</v>
      </c>
      <c r="C186" s="3">
        <v>-0.31987300000000002</v>
      </c>
      <c r="D186" s="3">
        <v>0.47961500000000001</v>
      </c>
      <c r="E186" s="3">
        <v>1.072506</v>
      </c>
      <c r="F186" s="3">
        <v>1.6354</v>
      </c>
      <c r="G186" s="3">
        <v>2.1333769999999999</v>
      </c>
      <c r="H186" s="3">
        <v>2.5463840000000002</v>
      </c>
      <c r="I186" s="3">
        <v>2.8774009999999999</v>
      </c>
      <c r="J186" s="3">
        <v>3.1449069999999999</v>
      </c>
      <c r="K186" s="3">
        <v>3.3590369999999998</v>
      </c>
      <c r="L186" s="3">
        <v>3.5345309999999999</v>
      </c>
      <c r="M186" s="3">
        <v>3.6644730000000001</v>
      </c>
      <c r="N186" s="3">
        <v>3.7919550000000002</v>
      </c>
      <c r="O186" s="3">
        <v>3.8982260000000002</v>
      </c>
      <c r="P186" s="3">
        <v>3.9890430000000001</v>
      </c>
      <c r="Q186" s="3">
        <v>4.0677880000000002</v>
      </c>
    </row>
    <row r="187" spans="1:17" ht="18.75" customHeight="1" x14ac:dyDescent="0.25">
      <c r="A187" s="2">
        <v>44043</v>
      </c>
      <c r="B187" s="3">
        <f>(('Juro Nominal'!B187/100+1)/('Inflação Implícita'!B187/100+1)-1)*100</f>
        <v>-5.8645293715176017E-2</v>
      </c>
      <c r="C187" s="3">
        <v>-0.48840099999999997</v>
      </c>
      <c r="D187" s="3">
        <v>0.215198</v>
      </c>
      <c r="E187" s="3">
        <v>0.81224300000000005</v>
      </c>
      <c r="F187" s="3">
        <v>1.2969809999999999</v>
      </c>
      <c r="G187" s="3">
        <v>1.7058260000000001</v>
      </c>
      <c r="H187" s="3">
        <v>2.0492219999999999</v>
      </c>
      <c r="I187" s="3">
        <v>2.3398460000000001</v>
      </c>
      <c r="J187" s="3">
        <v>2.5843430000000001</v>
      </c>
      <c r="K187" s="3">
        <v>2.803407</v>
      </c>
      <c r="L187" s="3">
        <v>2.9786419999999998</v>
      </c>
      <c r="M187" s="3">
        <v>3.1220089999999998</v>
      </c>
      <c r="N187" s="3">
        <v>3.2200489999999999</v>
      </c>
      <c r="O187" s="3">
        <v>3.3267190000000002</v>
      </c>
      <c r="P187" s="3">
        <v>3.4399000000000002</v>
      </c>
      <c r="Q187" s="3">
        <v>3.5184760000000002</v>
      </c>
    </row>
    <row r="188" spans="1:17" ht="18.75" customHeight="1" x14ac:dyDescent="0.25">
      <c r="A188" s="2">
        <v>44074</v>
      </c>
      <c r="B188" s="3">
        <f>(('Juro Nominal'!B188/100+1)/('Inflação Implícita'!B188/100+1)-1)*100</f>
        <v>-0.42951971885981655</v>
      </c>
      <c r="C188" s="3">
        <v>-1.1128899999999999</v>
      </c>
      <c r="D188" s="3">
        <v>-6.1040999999999998E-2</v>
      </c>
      <c r="E188" s="3">
        <v>0.90637800000000002</v>
      </c>
      <c r="F188" s="3">
        <v>1.5655870000000001</v>
      </c>
      <c r="G188" s="3">
        <v>2.0694189999999999</v>
      </c>
      <c r="H188" s="3">
        <v>2.4482940000000002</v>
      </c>
      <c r="I188" s="3">
        <v>2.741708</v>
      </c>
      <c r="J188" s="3">
        <v>2.9802430000000002</v>
      </c>
      <c r="K188" s="3">
        <v>3.1767840000000001</v>
      </c>
      <c r="L188" s="3">
        <v>3.341907</v>
      </c>
      <c r="M188" s="3">
        <v>3.4832610000000002</v>
      </c>
      <c r="N188" s="3">
        <v>3.6052550000000001</v>
      </c>
      <c r="O188" s="3">
        <v>3.709362</v>
      </c>
      <c r="P188" s="3">
        <v>3.8000150000000001</v>
      </c>
      <c r="Q188" s="3">
        <v>3.8791980000000001</v>
      </c>
    </row>
    <row r="189" spans="1:17" ht="18.75" customHeight="1" x14ac:dyDescent="0.25">
      <c r="A189" s="2">
        <v>44104</v>
      </c>
      <c r="B189" s="3">
        <f>(('Juro Nominal'!B189/100+1)/('Inflação Implícita'!B189/100+1)-1)*100</f>
        <v>-1.1052937754508552</v>
      </c>
      <c r="C189" s="3">
        <v>-1.5441780000000001</v>
      </c>
      <c r="D189" s="3">
        <v>0.22944700000000001</v>
      </c>
      <c r="E189" s="3">
        <v>1.3256520000000001</v>
      </c>
      <c r="F189" s="3">
        <v>2.0035590000000001</v>
      </c>
      <c r="G189" s="3">
        <v>2.444461</v>
      </c>
      <c r="H189" s="3">
        <v>2.803102</v>
      </c>
      <c r="I189" s="3">
        <v>3.084263</v>
      </c>
      <c r="J189" s="3">
        <v>3.3134950000000001</v>
      </c>
      <c r="K189" s="3">
        <v>3.5013000000000001</v>
      </c>
      <c r="L189" s="3">
        <v>3.6607759999999998</v>
      </c>
      <c r="M189" s="3">
        <v>3.7962039999999999</v>
      </c>
      <c r="N189" s="3">
        <v>3.912147</v>
      </c>
      <c r="O189" s="3">
        <v>4.0103609999999996</v>
      </c>
      <c r="P189" s="3">
        <v>4.0953359999999996</v>
      </c>
      <c r="Q189" s="3">
        <v>4.1691560000000001</v>
      </c>
    </row>
    <row r="190" spans="1:17" ht="18.75" customHeight="1" x14ac:dyDescent="0.25">
      <c r="A190" s="2">
        <v>44135</v>
      </c>
      <c r="B190" s="3">
        <f>(('Juro Nominal'!B190/100+1)/('Inflação Implícita'!B190/100+1)-1)*100</f>
        <v>-1.8475750577367056</v>
      </c>
      <c r="C190" s="3">
        <v>-1.595291</v>
      </c>
      <c r="D190" s="3">
        <v>0.69538500000000003</v>
      </c>
      <c r="E190" s="3">
        <v>1.7610939999999999</v>
      </c>
      <c r="F190" s="3">
        <v>2.3617689999999998</v>
      </c>
      <c r="G190" s="3">
        <v>2.7680660000000001</v>
      </c>
      <c r="H190" s="3">
        <v>3.0723069999999999</v>
      </c>
      <c r="I190" s="3">
        <v>3.3136040000000002</v>
      </c>
      <c r="J190" s="3">
        <v>3.5078450000000001</v>
      </c>
      <c r="K190" s="3">
        <v>3.6688499999999999</v>
      </c>
      <c r="L190" s="3">
        <v>3.8033519999999998</v>
      </c>
      <c r="M190" s="3">
        <v>3.9172980000000002</v>
      </c>
      <c r="N190" s="3">
        <v>4.0153920000000003</v>
      </c>
      <c r="O190" s="3">
        <v>4.0982459999999996</v>
      </c>
      <c r="P190" s="3">
        <v>4.186299</v>
      </c>
      <c r="Q190" s="3">
        <v>4.2476789999999998</v>
      </c>
    </row>
    <row r="191" spans="1:17" ht="18.75" customHeight="1" x14ac:dyDescent="0.25">
      <c r="A191" s="2">
        <v>44165</v>
      </c>
      <c r="B191" s="3">
        <f>(('Juro Nominal'!B191/100+1)/('Inflação Implícita'!B191/100+1)-1)*100</f>
        <v>-2.2145527753810623</v>
      </c>
      <c r="C191" s="3">
        <v>-1.9388430000000001</v>
      </c>
      <c r="D191" s="3">
        <v>0.61312900000000004</v>
      </c>
      <c r="E191" s="3">
        <v>1.6825950000000001</v>
      </c>
      <c r="F191" s="3">
        <v>2.268875</v>
      </c>
      <c r="G191" s="3">
        <v>2.656542</v>
      </c>
      <c r="H191" s="3">
        <v>2.9450569999999998</v>
      </c>
      <c r="I191" s="3">
        <v>3.1767799999999999</v>
      </c>
      <c r="J191" s="3">
        <v>3.369243</v>
      </c>
      <c r="K191" s="3">
        <v>3.5293589999999999</v>
      </c>
      <c r="L191" s="3">
        <v>3.6667670000000001</v>
      </c>
      <c r="M191" s="3">
        <v>3.7837499999999999</v>
      </c>
      <c r="N191" s="3">
        <v>3.8837609999999998</v>
      </c>
      <c r="O191" s="3">
        <v>3.9712139999999998</v>
      </c>
      <c r="P191" s="3">
        <v>4.0472320000000002</v>
      </c>
      <c r="Q191" s="3">
        <v>4.113747</v>
      </c>
    </row>
    <row r="192" spans="1:17" ht="18.75" customHeight="1" x14ac:dyDescent="0.25">
      <c r="A192" s="2">
        <v>44196</v>
      </c>
      <c r="B192" s="3">
        <f>(('Juro Nominal'!B192/100+1)/('Inflação Implícita'!B192/100+1)-1)*100</f>
        <v>-2.4110218140068751</v>
      </c>
      <c r="C192" s="3">
        <v>-1.6147629999999999</v>
      </c>
      <c r="D192" s="3">
        <v>0.54234499999999997</v>
      </c>
      <c r="E192" s="3">
        <v>1.3608210000000001</v>
      </c>
      <c r="F192" s="3">
        <v>1.8107340000000001</v>
      </c>
      <c r="G192" s="3">
        <v>2.1257329999999999</v>
      </c>
      <c r="H192" s="3">
        <v>2.3762150000000002</v>
      </c>
      <c r="I192" s="3">
        <v>2.5904370000000001</v>
      </c>
      <c r="J192" s="3">
        <v>2.7755529999999999</v>
      </c>
      <c r="K192" s="3">
        <v>2.93885</v>
      </c>
      <c r="L192" s="3">
        <v>3.0843660000000002</v>
      </c>
      <c r="M192" s="3">
        <v>3.1972659999999999</v>
      </c>
      <c r="N192" s="3">
        <v>3.3253889999999999</v>
      </c>
      <c r="O192" s="3">
        <v>3.4123999999999999</v>
      </c>
      <c r="P192" s="3">
        <v>3.5123340000000001</v>
      </c>
      <c r="Q192" s="3">
        <v>3.5813670000000002</v>
      </c>
    </row>
    <row r="193" spans="1:17" ht="18.75" customHeight="1" x14ac:dyDescent="0.25">
      <c r="A193" s="2">
        <v>44227</v>
      </c>
      <c r="B193" s="3">
        <f>(('Juro Nominal'!B193/100+1)/('Inflação Implícita'!B193/100+1)-1)*100</f>
        <v>-2.4483550114766661</v>
      </c>
      <c r="C193" s="3">
        <v>-1.0302990000000001</v>
      </c>
      <c r="D193" s="3">
        <v>1.0021679999999999</v>
      </c>
      <c r="E193" s="3">
        <v>1.8012360000000001</v>
      </c>
      <c r="F193" s="3">
        <v>2.2243309999999998</v>
      </c>
      <c r="G193" s="3">
        <v>2.510643</v>
      </c>
      <c r="H193" s="3">
        <v>2.7337560000000001</v>
      </c>
      <c r="I193" s="3">
        <v>2.9229280000000002</v>
      </c>
      <c r="J193" s="3">
        <v>3.0860289999999999</v>
      </c>
      <c r="K193" s="3">
        <v>3.2304179999999998</v>
      </c>
      <c r="L193" s="3">
        <v>3.3599100000000002</v>
      </c>
      <c r="M193" s="3">
        <v>3.4662899999999999</v>
      </c>
      <c r="N193" s="3">
        <v>3.5767880000000001</v>
      </c>
      <c r="O193" s="3">
        <v>3.6573190000000002</v>
      </c>
      <c r="P193" s="3">
        <v>3.756516</v>
      </c>
      <c r="Q193" s="3">
        <v>3.8282150000000001</v>
      </c>
    </row>
    <row r="194" spans="1:17" ht="18.75" customHeight="1" x14ac:dyDescent="0.25">
      <c r="A194" s="2">
        <v>44255</v>
      </c>
      <c r="B194" s="3">
        <f>(('Juro Nominal'!B194/100+1)/('Inflação Implícita'!B194/100+1)-1)*100</f>
        <v>-3.041825095057038</v>
      </c>
      <c r="C194" s="3">
        <v>-0.77126899999999998</v>
      </c>
      <c r="D194" s="3">
        <v>1.5582260000000001</v>
      </c>
      <c r="E194" s="3">
        <v>2.4243130000000002</v>
      </c>
      <c r="F194" s="3">
        <v>2.8603100000000001</v>
      </c>
      <c r="G194" s="3">
        <v>3.1174629999999999</v>
      </c>
      <c r="H194" s="3">
        <v>3.294308</v>
      </c>
      <c r="I194" s="3">
        <v>3.4350930000000002</v>
      </c>
      <c r="J194" s="3">
        <v>3.5485250000000002</v>
      </c>
      <c r="K194" s="3">
        <v>3.6476899999999999</v>
      </c>
      <c r="L194" s="3">
        <v>3.7354020000000001</v>
      </c>
      <c r="M194" s="3">
        <v>3.812983</v>
      </c>
      <c r="N194" s="3">
        <v>3.8841890000000001</v>
      </c>
      <c r="O194" s="3">
        <v>3.948356</v>
      </c>
      <c r="P194" s="3">
        <v>4.0057700000000001</v>
      </c>
      <c r="Q194" s="3">
        <v>4.0593779999999997</v>
      </c>
    </row>
    <row r="195" spans="1:17" ht="18.75" customHeight="1" x14ac:dyDescent="0.25">
      <c r="A195" s="2">
        <v>44286</v>
      </c>
      <c r="B195" s="3">
        <f>(('Juro Nominal'!B195/100+1)/('Inflação Implícita'!B195/100+1)-1)*100</f>
        <v>-3.1573986804900867</v>
      </c>
      <c r="C195" s="3">
        <v>-0.11282300000000001</v>
      </c>
      <c r="D195" s="3">
        <v>2.1959149999999998</v>
      </c>
      <c r="E195" s="3">
        <v>2.9825520000000001</v>
      </c>
      <c r="F195" s="3">
        <v>3.3477290000000002</v>
      </c>
      <c r="G195" s="3">
        <v>3.5475970000000001</v>
      </c>
      <c r="H195" s="3">
        <v>3.6918769999999999</v>
      </c>
      <c r="I195" s="3">
        <v>3.8016269999999999</v>
      </c>
      <c r="J195" s="3">
        <v>3.8879260000000002</v>
      </c>
      <c r="K195" s="3">
        <v>3.9709270000000001</v>
      </c>
      <c r="L195" s="3">
        <v>4.0292979999999998</v>
      </c>
      <c r="M195" s="3">
        <v>4.0880720000000004</v>
      </c>
      <c r="N195" s="3">
        <v>4.1423490000000003</v>
      </c>
      <c r="O195" s="3">
        <v>4.191738</v>
      </c>
      <c r="P195" s="3">
        <v>4.2364490000000004</v>
      </c>
      <c r="Q195" s="3">
        <v>4.2787379999999997</v>
      </c>
    </row>
    <row r="196" spans="1:17" ht="18.75" customHeight="1" x14ac:dyDescent="0.25">
      <c r="A196" s="2">
        <v>44316</v>
      </c>
      <c r="B196" s="3">
        <f>(('Juro Nominal'!B196/100+1)/('Inflação Implícita'!B196/100+1)-1)*100</f>
        <v>-3.7560884226301994</v>
      </c>
      <c r="C196" s="3">
        <v>1.223209</v>
      </c>
      <c r="D196" s="3">
        <v>1.9520029999999999</v>
      </c>
      <c r="E196" s="3">
        <v>2.6095429999999999</v>
      </c>
      <c r="F196" s="3">
        <v>3.1120009999999998</v>
      </c>
      <c r="G196" s="3">
        <v>3.4148399999999999</v>
      </c>
      <c r="H196" s="3">
        <v>3.6337449999999998</v>
      </c>
      <c r="I196" s="3">
        <v>3.7915420000000002</v>
      </c>
      <c r="J196" s="3">
        <v>3.904874</v>
      </c>
      <c r="K196" s="3">
        <v>3.9970300000000001</v>
      </c>
      <c r="L196" s="3">
        <v>4.0646769999999997</v>
      </c>
      <c r="M196" s="3">
        <v>4.1242679999999998</v>
      </c>
      <c r="N196" s="3">
        <v>4.1761650000000001</v>
      </c>
      <c r="O196" s="3">
        <v>4.2214770000000001</v>
      </c>
      <c r="P196" s="3">
        <v>4.2723409999999999</v>
      </c>
      <c r="Q196" s="3">
        <v>4.3108940000000002</v>
      </c>
    </row>
    <row r="197" spans="1:17" ht="18.75" customHeight="1" x14ac:dyDescent="0.25">
      <c r="A197" s="2">
        <v>44347</v>
      </c>
      <c r="B197" s="3">
        <f>(('Juro Nominal'!B197/100+1)/('Inflação Implícita'!B197/100+1)-1)*100</f>
        <v>-4.2198778456413173</v>
      </c>
      <c r="C197" s="3">
        <v>1.1674340000000001</v>
      </c>
      <c r="D197" s="3">
        <v>1.9208700000000001</v>
      </c>
      <c r="E197" s="3">
        <v>2.6548210000000001</v>
      </c>
      <c r="F197" s="3">
        <v>3.1763309999999998</v>
      </c>
      <c r="G197" s="3">
        <v>3.5154390000000002</v>
      </c>
      <c r="H197" s="3">
        <v>3.7349649999999999</v>
      </c>
      <c r="I197" s="3">
        <v>3.8824209999999999</v>
      </c>
      <c r="J197" s="3">
        <v>3.9857939999999998</v>
      </c>
      <c r="K197" s="3">
        <v>4.0612389999999996</v>
      </c>
      <c r="L197" s="3">
        <v>4.1190110000000004</v>
      </c>
      <c r="M197" s="3">
        <v>4.1652050000000003</v>
      </c>
      <c r="N197" s="3">
        <v>4.2026659999999998</v>
      </c>
      <c r="O197" s="3">
        <v>4.2346870000000001</v>
      </c>
      <c r="P197" s="3">
        <v>4.2631540000000001</v>
      </c>
      <c r="Q197" s="3">
        <v>4.289237</v>
      </c>
    </row>
    <row r="198" spans="1:17" ht="18.75" customHeight="1" x14ac:dyDescent="0.25">
      <c r="A198" s="2">
        <v>44377</v>
      </c>
      <c r="B198" s="3">
        <f>(('Juro Nominal'!B198/100+1)/('Inflação Implícita'!B198/100+1)-1)*100</f>
        <v>-3.7840332256575793</v>
      </c>
      <c r="C198" s="3">
        <v>1.6477390000000001</v>
      </c>
      <c r="D198" s="3">
        <v>2.6679309999999998</v>
      </c>
      <c r="E198" s="3">
        <v>3.2774459999999999</v>
      </c>
      <c r="F198" s="3">
        <v>3.5871200000000001</v>
      </c>
      <c r="G198" s="3">
        <v>3.7646220000000001</v>
      </c>
      <c r="H198" s="3">
        <v>3.8784100000000001</v>
      </c>
      <c r="I198" s="3">
        <v>3.959848</v>
      </c>
      <c r="J198" s="3">
        <v>4.0218850000000002</v>
      </c>
      <c r="K198" s="3">
        <v>4.0727770000000003</v>
      </c>
      <c r="L198" s="3">
        <v>4.1116919999999997</v>
      </c>
      <c r="M198" s="3">
        <v>4.1519360000000001</v>
      </c>
      <c r="N198" s="3">
        <v>4.1878820000000001</v>
      </c>
      <c r="O198" s="3">
        <v>4.2209820000000002</v>
      </c>
      <c r="P198" s="3">
        <v>4.2519499999999999</v>
      </c>
      <c r="Q198" s="3">
        <v>4.2811459999999997</v>
      </c>
    </row>
    <row r="199" spans="1:17" ht="18.75" customHeight="1" x14ac:dyDescent="0.25">
      <c r="A199" s="2">
        <v>44408</v>
      </c>
      <c r="B199" s="3">
        <f>(('Juro Nominal'!B199/100+1)/('Inflação Implícita'!B199/100+1)-1)*100</f>
        <v>-4.3490228461326774</v>
      </c>
      <c r="C199" s="3">
        <v>1.88568</v>
      </c>
      <c r="D199" s="3">
        <v>3.2912970000000001</v>
      </c>
      <c r="E199" s="3">
        <v>3.751039</v>
      </c>
      <c r="F199" s="3">
        <v>3.972693</v>
      </c>
      <c r="G199" s="3">
        <v>4.1015300000000003</v>
      </c>
      <c r="H199" s="3">
        <v>4.1847989999999999</v>
      </c>
      <c r="I199" s="3">
        <v>4.2450060000000001</v>
      </c>
      <c r="J199" s="3">
        <v>4.2938549999999998</v>
      </c>
      <c r="K199" s="3">
        <v>4.3268389999999997</v>
      </c>
      <c r="L199" s="3">
        <v>4.3561350000000001</v>
      </c>
      <c r="M199" s="3">
        <v>4.3829060000000002</v>
      </c>
      <c r="N199" s="3">
        <v>4.4067639999999999</v>
      </c>
      <c r="O199" s="3">
        <v>4.4279960000000003</v>
      </c>
      <c r="P199" s="3">
        <v>4.45221</v>
      </c>
      <c r="Q199" s="3">
        <v>4.47018</v>
      </c>
    </row>
    <row r="200" spans="1:17" ht="18.75" customHeight="1" x14ac:dyDescent="0.25">
      <c r="A200" s="2">
        <v>44439</v>
      </c>
      <c r="B200" s="3">
        <f>(('Juro Nominal'!B200/100+1)/('Inflação Implícita'!B200/100+1)-1)*100</f>
        <v>-4.0390226112326788</v>
      </c>
      <c r="C200" s="3">
        <v>2.7085189999999999</v>
      </c>
      <c r="D200" s="3">
        <v>3.8337620000000001</v>
      </c>
      <c r="E200" s="3">
        <v>4.1790149999999997</v>
      </c>
      <c r="F200" s="3">
        <v>4.3541980000000002</v>
      </c>
      <c r="G200" s="3">
        <v>4.4550150000000004</v>
      </c>
      <c r="H200" s="3">
        <v>4.5207100000000002</v>
      </c>
      <c r="I200" s="3">
        <v>4.5689460000000004</v>
      </c>
      <c r="J200" s="3">
        <v>4.6068660000000001</v>
      </c>
      <c r="K200" s="3">
        <v>4.6385430000000003</v>
      </c>
      <c r="L200" s="3">
        <v>4.6662920000000003</v>
      </c>
      <c r="M200" s="3">
        <v>4.6912640000000003</v>
      </c>
      <c r="N200" s="3">
        <v>4.7137200000000004</v>
      </c>
      <c r="O200" s="3">
        <v>4.7344210000000002</v>
      </c>
      <c r="P200" s="3">
        <v>4.7535809999999996</v>
      </c>
      <c r="Q200" s="3">
        <v>4.7714790000000002</v>
      </c>
    </row>
    <row r="201" spans="1:17" ht="18.75" customHeight="1" x14ac:dyDescent="0.25">
      <c r="A201" s="2">
        <v>44469</v>
      </c>
      <c r="B201" s="3">
        <f>(('Juro Nominal'!B201/100+1)/('Inflação Implícita'!B201/100+1)-1)*100</f>
        <v>-3.6281179138322073</v>
      </c>
      <c r="C201" s="3">
        <v>2.9985140000000001</v>
      </c>
      <c r="D201" s="3">
        <v>4.084924</v>
      </c>
      <c r="E201" s="3">
        <v>4.4464490000000003</v>
      </c>
      <c r="F201" s="3">
        <v>4.627872</v>
      </c>
      <c r="G201" s="3">
        <v>4.7310660000000002</v>
      </c>
      <c r="H201" s="3">
        <v>4.8054730000000001</v>
      </c>
      <c r="I201" s="3">
        <v>4.8600459999999996</v>
      </c>
      <c r="J201" s="3">
        <v>4.9014550000000003</v>
      </c>
      <c r="K201" s="3">
        <v>4.9344570000000001</v>
      </c>
      <c r="L201" s="3">
        <v>4.9618539999999998</v>
      </c>
      <c r="M201" s="3">
        <v>4.9847479999999997</v>
      </c>
      <c r="N201" s="3">
        <v>5.0038330000000002</v>
      </c>
      <c r="O201" s="3">
        <v>5.0201710000000004</v>
      </c>
      <c r="P201" s="3">
        <v>5.034262</v>
      </c>
      <c r="Q201" s="3">
        <v>5.046583</v>
      </c>
    </row>
    <row r="202" spans="1:17" ht="18.75" customHeight="1" x14ac:dyDescent="0.25">
      <c r="A202" s="2">
        <v>44500</v>
      </c>
      <c r="B202" s="3">
        <f>(('Juro Nominal'!B202/100+1)/('Inflação Implícita'!B202/100+1)-1)*100</f>
        <v>-2.6384747447366186</v>
      </c>
      <c r="C202" s="3">
        <v>5.2019580000000003</v>
      </c>
      <c r="D202" s="3">
        <v>5.6177250000000001</v>
      </c>
      <c r="E202" s="3">
        <v>5.522913</v>
      </c>
      <c r="F202" s="3">
        <v>5.4653460000000003</v>
      </c>
      <c r="G202" s="3">
        <v>5.4487069999999997</v>
      </c>
      <c r="H202" s="3">
        <v>5.449624</v>
      </c>
      <c r="I202" s="3">
        <v>5.4563649999999999</v>
      </c>
      <c r="J202" s="3">
        <v>5.4642099999999996</v>
      </c>
      <c r="K202" s="3">
        <v>5.4717169999999999</v>
      </c>
      <c r="L202" s="3">
        <v>5.478326</v>
      </c>
      <c r="M202" s="3">
        <v>5.4840439999999999</v>
      </c>
      <c r="N202" s="3">
        <v>5.4889060000000001</v>
      </c>
      <c r="O202" s="3">
        <v>5.4930250000000003</v>
      </c>
      <c r="P202" s="3">
        <v>5.4974020000000001</v>
      </c>
      <c r="Q202" s="3">
        <v>5.4997129999999999</v>
      </c>
    </row>
    <row r="203" spans="1:17" ht="18.75" customHeight="1" x14ac:dyDescent="0.25">
      <c r="A203" s="2">
        <v>44530</v>
      </c>
      <c r="B203" s="3">
        <f>(('Juro Nominal'!B203/100+1)/('Inflação Implícita'!B203/100+1)-1)*100</f>
        <v>-2.7000180603214741</v>
      </c>
      <c r="C203" s="3">
        <v>5.0039879999999997</v>
      </c>
      <c r="D203" s="3">
        <v>5.1834049999999996</v>
      </c>
      <c r="E203" s="3">
        <v>5.1482830000000002</v>
      </c>
      <c r="F203" s="3">
        <v>5.1134329999999997</v>
      </c>
      <c r="G203" s="3">
        <v>5.0909719999999998</v>
      </c>
      <c r="H203" s="3">
        <v>5.0799570000000003</v>
      </c>
      <c r="I203" s="3">
        <v>5.0783480000000001</v>
      </c>
      <c r="J203" s="3">
        <v>5.0838950000000001</v>
      </c>
      <c r="K203" s="3">
        <v>5.0947560000000003</v>
      </c>
      <c r="L203" s="3">
        <v>5.1092110000000002</v>
      </c>
      <c r="M203" s="3">
        <v>5.1259009999999998</v>
      </c>
      <c r="N203" s="3">
        <v>5.1441429999999997</v>
      </c>
      <c r="O203" s="3">
        <v>5.1630229999999999</v>
      </c>
      <c r="P203" s="3">
        <v>5.1820170000000001</v>
      </c>
      <c r="Q203" s="3">
        <v>5.2010550000000002</v>
      </c>
    </row>
    <row r="204" spans="1:17" ht="18.75" customHeight="1" x14ac:dyDescent="0.25">
      <c r="A204" s="2">
        <v>44561</v>
      </c>
      <c r="B204" s="3">
        <f>(('Juro Nominal'!B204/100+1)/('Inflação Implícita'!B204/100+1)-1)*100</f>
        <v>-0.73596220243503652</v>
      </c>
      <c r="C204" s="3">
        <v>5.7512420000000004</v>
      </c>
      <c r="D204" s="3">
        <v>5.3769439999999999</v>
      </c>
      <c r="E204" s="3">
        <v>5.1763680000000001</v>
      </c>
      <c r="F204" s="3">
        <v>5.1046110000000002</v>
      </c>
      <c r="G204" s="3">
        <v>5.0896980000000003</v>
      </c>
      <c r="H204" s="3">
        <v>5.1073630000000003</v>
      </c>
      <c r="I204" s="3">
        <v>5.1389649999999998</v>
      </c>
      <c r="J204" s="3">
        <v>5.1761920000000003</v>
      </c>
      <c r="K204" s="3">
        <v>5.2147589999999999</v>
      </c>
      <c r="L204" s="3">
        <v>5.2472269999999996</v>
      </c>
      <c r="M204" s="3">
        <v>5.2859759999999998</v>
      </c>
      <c r="N204" s="3">
        <v>5.313091</v>
      </c>
      <c r="O204" s="3">
        <v>5.3447360000000002</v>
      </c>
      <c r="P204" s="3">
        <v>5.3697330000000001</v>
      </c>
      <c r="Q204" s="3">
        <v>5.3924589999999997</v>
      </c>
    </row>
    <row r="205" spans="1:17" ht="18.75" customHeight="1" x14ac:dyDescent="0.25">
      <c r="A205" s="2">
        <v>44592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ht="18.75" customHeight="1" x14ac:dyDescent="0.25">
      <c r="A206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EDC5-4825-40E6-8F7F-5C247A48721E}">
  <dimension ref="A1:Q205"/>
  <sheetViews>
    <sheetView workbookViewId="0">
      <pane ySplit="1" topLeftCell="A179" activePane="bottomLeft" state="frozen"/>
      <selection activeCell="A2" sqref="A2"/>
      <selection pane="bottomLeft" activeCell="A205" sqref="A205"/>
    </sheetView>
  </sheetViews>
  <sheetFormatPr defaultColWidth="11.875" defaultRowHeight="18.75" customHeight="1" x14ac:dyDescent="0.25"/>
  <cols>
    <col min="1" max="16384" width="11.875" style="1"/>
  </cols>
  <sheetData>
    <row r="1" spans="1:17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customHeight="1" x14ac:dyDescent="0.25">
      <c r="A2" s="2">
        <v>38411</v>
      </c>
      <c r="B2" s="3">
        <v>7.39</v>
      </c>
      <c r="C2" s="3">
        <v>6.1577016020764264</v>
      </c>
      <c r="D2" s="3">
        <v>5.4138983659543838</v>
      </c>
      <c r="E2" s="3">
        <v>6.1971061971062058</v>
      </c>
      <c r="F2" s="3">
        <v>6.2631434579866418</v>
      </c>
      <c r="G2" s="3">
        <v>6.0875137312339733</v>
      </c>
      <c r="H2" s="3">
        <v>5.624543462381304</v>
      </c>
      <c r="I2" s="3">
        <v>5.5352575812933846</v>
      </c>
      <c r="J2" s="3">
        <v>5.4636820465966185</v>
      </c>
      <c r="K2" s="3">
        <v>5.4636820465966185</v>
      </c>
      <c r="L2" s="3">
        <v>5.4636820465966185</v>
      </c>
      <c r="M2" s="3">
        <v>5.4636820465966185</v>
      </c>
      <c r="N2" s="3">
        <v>5.4636820465966185</v>
      </c>
      <c r="O2" s="3">
        <v>5.4636820465966185</v>
      </c>
      <c r="P2" s="3">
        <v>5.4636820465966185</v>
      </c>
      <c r="Q2" s="3">
        <v>5.4636820465966185</v>
      </c>
    </row>
    <row r="3" spans="1:17" ht="18.75" customHeight="1" x14ac:dyDescent="0.25">
      <c r="A3" s="2">
        <v>38442</v>
      </c>
      <c r="B3" s="3">
        <v>7.54</v>
      </c>
      <c r="C3" s="3">
        <v>7.0024239159709012</v>
      </c>
      <c r="D3" s="3">
        <v>6.8750564639985523</v>
      </c>
      <c r="E3" s="3">
        <v>7.3166287015945297</v>
      </c>
      <c r="F3" s="3">
        <v>7.5563289979849735</v>
      </c>
      <c r="G3" s="3">
        <v>7.3414701293933904</v>
      </c>
      <c r="H3" s="3">
        <v>7.0733944954128436</v>
      </c>
      <c r="I3" s="3">
        <v>6.8990825688073354</v>
      </c>
      <c r="J3" s="3">
        <v>6.7706422018348533</v>
      </c>
      <c r="K3" s="3">
        <v>6.7706422018348533</v>
      </c>
      <c r="L3" s="3">
        <v>6.7706422018348533</v>
      </c>
      <c r="M3" s="3">
        <v>6.7706422018348533</v>
      </c>
      <c r="N3" s="3">
        <v>6.7706422018348533</v>
      </c>
      <c r="O3" s="3">
        <v>6.7706422018348533</v>
      </c>
      <c r="P3" s="3">
        <v>6.7706422018348533</v>
      </c>
      <c r="Q3" s="3">
        <v>6.7706422018348533</v>
      </c>
    </row>
    <row r="4" spans="1:17" ht="18.75" customHeight="1" x14ac:dyDescent="0.25">
      <c r="A4" s="2">
        <v>38472</v>
      </c>
      <c r="B4" s="3">
        <v>8.07</v>
      </c>
      <c r="C4" s="3">
        <v>6.8029040064533586</v>
      </c>
      <c r="D4" s="3">
        <v>6.5794223826714848</v>
      </c>
      <c r="E4" s="3">
        <v>6.9288901028862648</v>
      </c>
      <c r="F4" s="3">
        <v>7.0572082379862566</v>
      </c>
      <c r="G4" s="3">
        <v>6.8744271310724026</v>
      </c>
      <c r="H4" s="3">
        <v>6.7614678899082348</v>
      </c>
      <c r="I4" s="3">
        <v>6.6146788990825822</v>
      </c>
      <c r="J4" s="3">
        <v>6.5137614678899114</v>
      </c>
      <c r="K4" s="3">
        <v>6.5137614678899114</v>
      </c>
      <c r="L4" s="3">
        <v>6.5137614678899114</v>
      </c>
      <c r="M4" s="3">
        <v>6.5137614678899114</v>
      </c>
      <c r="N4" s="3">
        <v>6.5137614678899114</v>
      </c>
      <c r="O4" s="3">
        <v>6.5137614678899114</v>
      </c>
      <c r="P4" s="3">
        <v>6.5137614678899114</v>
      </c>
      <c r="Q4" s="3">
        <v>6.5137614678899114</v>
      </c>
    </row>
    <row r="5" spans="1:17" ht="18.75" customHeight="1" x14ac:dyDescent="0.25">
      <c r="A5" s="2">
        <v>38503</v>
      </c>
      <c r="B5" s="3">
        <v>8.0500000000000007</v>
      </c>
      <c r="C5" s="3">
        <v>5.5229455709711939</v>
      </c>
      <c r="D5" s="3">
        <v>5.6313993174061494</v>
      </c>
      <c r="E5" s="3">
        <v>6.1796733212341248</v>
      </c>
      <c r="F5" s="3">
        <v>6.5229307509592438</v>
      </c>
      <c r="G5" s="3">
        <v>6.2517137373183429</v>
      </c>
      <c r="H5" s="3">
        <v>6.7034482758620895</v>
      </c>
      <c r="I5" s="3">
        <v>6.5655172413793261</v>
      </c>
      <c r="J5" s="3">
        <v>6.4643678160919649</v>
      </c>
      <c r="K5" s="3">
        <v>6.4643678160919649</v>
      </c>
      <c r="L5" s="3">
        <v>6.4643678160919649</v>
      </c>
      <c r="M5" s="3">
        <v>6.4643678160919649</v>
      </c>
      <c r="N5" s="3">
        <v>6.4643678160919649</v>
      </c>
      <c r="O5" s="3">
        <v>6.4643678160919649</v>
      </c>
      <c r="P5" s="3">
        <v>6.4643678160919649</v>
      </c>
      <c r="Q5" s="3">
        <v>6.4643678160919649</v>
      </c>
    </row>
    <row r="6" spans="1:17" ht="18.75" customHeight="1" x14ac:dyDescent="0.25">
      <c r="A6" s="2">
        <v>38533</v>
      </c>
      <c r="B6" s="3">
        <v>7.27</v>
      </c>
      <c r="C6" s="3">
        <v>5.407817240763868</v>
      </c>
      <c r="D6" s="3">
        <v>6.2482996281853609</v>
      </c>
      <c r="E6" s="3">
        <v>6.3876450699076992</v>
      </c>
      <c r="F6" s="3">
        <v>6.2843532429461613</v>
      </c>
      <c r="G6" s="3">
        <v>6.1031571218795877</v>
      </c>
      <c r="H6" s="3">
        <v>5.9130913091309134</v>
      </c>
      <c r="I6" s="3">
        <v>5.9039237257058952</v>
      </c>
      <c r="J6" s="3">
        <v>5.8947561422808992</v>
      </c>
      <c r="K6" s="3">
        <v>5.8947561422808992</v>
      </c>
      <c r="L6" s="3">
        <v>5.8947561422808992</v>
      </c>
      <c r="M6" s="3">
        <v>5.8947561422808992</v>
      </c>
      <c r="N6" s="3">
        <v>5.8947561422808992</v>
      </c>
      <c r="O6" s="3">
        <v>5.8947561422808992</v>
      </c>
      <c r="P6" s="3">
        <v>5.8947561422808992</v>
      </c>
      <c r="Q6" s="3">
        <v>5.8947561422808992</v>
      </c>
    </row>
    <row r="7" spans="1:17" ht="18.75" customHeight="1" x14ac:dyDescent="0.25">
      <c r="A7" s="2">
        <v>38564</v>
      </c>
      <c r="B7" s="3">
        <v>6.57</v>
      </c>
      <c r="C7" s="3">
        <v>5.0701473983306933</v>
      </c>
      <c r="D7" s="3">
        <v>6.5048015944917381</v>
      </c>
      <c r="E7" s="3">
        <v>6.7409572524662176</v>
      </c>
      <c r="F7" s="3">
        <v>6.7534133602126012</v>
      </c>
      <c r="G7" s="3">
        <v>6.7113477781858499</v>
      </c>
      <c r="H7" s="3">
        <v>6.4880242268514188</v>
      </c>
      <c r="I7" s="3">
        <v>6.3296945234382118</v>
      </c>
      <c r="J7" s="3">
        <v>6.2179016874541304</v>
      </c>
      <c r="K7" s="3">
        <v>6.2179016874541304</v>
      </c>
      <c r="L7" s="3">
        <v>6.2179016874541304</v>
      </c>
      <c r="M7" s="3">
        <v>6.2179016874541304</v>
      </c>
      <c r="N7" s="3">
        <v>6.2179016874541304</v>
      </c>
      <c r="O7" s="3">
        <v>6.2179016874541304</v>
      </c>
      <c r="P7" s="3">
        <v>6.2179016874541304</v>
      </c>
      <c r="Q7" s="3">
        <v>6.2179016874541304</v>
      </c>
    </row>
    <row r="8" spans="1:17" ht="18.75" customHeight="1" x14ac:dyDescent="0.25">
      <c r="A8" s="2">
        <v>38595</v>
      </c>
      <c r="B8" s="3">
        <v>6.02</v>
      </c>
      <c r="C8" s="3">
        <v>2.291000259358511</v>
      </c>
      <c r="D8" s="3">
        <v>4.8445988066613266</v>
      </c>
      <c r="E8" s="3">
        <v>5.5901181137859579</v>
      </c>
      <c r="F8" s="3">
        <v>6.0468494643181492</v>
      </c>
      <c r="G8" s="3">
        <v>6.2038808417600455</v>
      </c>
      <c r="H8" s="3">
        <v>6.0490115696456348</v>
      </c>
      <c r="I8" s="3">
        <v>5.9305821262640279</v>
      </c>
      <c r="J8" s="3">
        <v>5.8485925116152027</v>
      </c>
      <c r="K8" s="3">
        <v>5.8485925116152027</v>
      </c>
      <c r="L8" s="3">
        <v>5.8485925116152027</v>
      </c>
      <c r="M8" s="3">
        <v>5.8485925116152027</v>
      </c>
      <c r="N8" s="3">
        <v>5.8485925116152027</v>
      </c>
      <c r="O8" s="3">
        <v>5.8485925116152027</v>
      </c>
      <c r="P8" s="3">
        <v>5.8485925116152027</v>
      </c>
      <c r="Q8" s="3">
        <v>5.8485925116152027</v>
      </c>
    </row>
    <row r="9" spans="1:17" ht="18.75" customHeight="1" x14ac:dyDescent="0.25">
      <c r="A9" s="2">
        <v>38625</v>
      </c>
      <c r="B9" s="3">
        <v>6.04</v>
      </c>
      <c r="C9" s="3">
        <v>3.8766519823788537</v>
      </c>
      <c r="D9" s="3">
        <v>5.0655649362313593</v>
      </c>
      <c r="E9" s="3">
        <v>5.3823849220732356</v>
      </c>
      <c r="F9" s="3">
        <v>5.2282233133296829</v>
      </c>
      <c r="G9" s="3">
        <v>5.2112804599799389</v>
      </c>
      <c r="H9" s="3">
        <v>5.028748745094469</v>
      </c>
      <c r="I9" s="3">
        <v>4.910103130418908</v>
      </c>
      <c r="J9" s="3">
        <v>4.8188372729762063</v>
      </c>
      <c r="K9" s="3">
        <v>4.7458245870219962</v>
      </c>
      <c r="L9" s="3">
        <v>4.6819384868120872</v>
      </c>
      <c r="M9" s="3">
        <v>4.6819384868120872</v>
      </c>
      <c r="N9" s="3">
        <v>4.5906726293693634</v>
      </c>
      <c r="O9" s="3">
        <v>4.5906726293693634</v>
      </c>
      <c r="P9" s="3">
        <v>4.5906726293693634</v>
      </c>
      <c r="Q9" s="3">
        <v>4.5906726293693634</v>
      </c>
    </row>
    <row r="10" spans="1:17" ht="18.75" customHeight="1" x14ac:dyDescent="0.25">
      <c r="A10" s="2">
        <v>38656</v>
      </c>
      <c r="B10" s="3">
        <v>6.36</v>
      </c>
      <c r="C10" s="3">
        <v>3.8410596026489996</v>
      </c>
      <c r="D10" s="3">
        <v>4.4171342060735475</v>
      </c>
      <c r="E10" s="3">
        <v>4.5080500894454367</v>
      </c>
      <c r="F10" s="3">
        <v>5.2526896302323545</v>
      </c>
      <c r="G10" s="3">
        <v>5.704667455190604</v>
      </c>
      <c r="H10" s="3">
        <v>5.5863888636156878</v>
      </c>
      <c r="I10" s="3">
        <v>5.5227003912291961</v>
      </c>
      <c r="J10" s="3">
        <v>5.4681102720407715</v>
      </c>
      <c r="K10" s="3">
        <v>5.422618506050414</v>
      </c>
      <c r="L10" s="3">
        <v>5.3953234464561906</v>
      </c>
      <c r="M10" s="3">
        <v>5.3953234464561906</v>
      </c>
      <c r="N10" s="3">
        <v>5.340733327267766</v>
      </c>
      <c r="O10" s="3">
        <v>5.340733327267766</v>
      </c>
      <c r="P10" s="3">
        <v>5.340733327267766</v>
      </c>
      <c r="Q10" s="3">
        <v>5.340733327267766</v>
      </c>
    </row>
    <row r="11" spans="1:17" ht="18.75" customHeight="1" x14ac:dyDescent="0.25">
      <c r="A11" s="2">
        <v>38686</v>
      </c>
      <c r="B11" s="3">
        <v>6.22</v>
      </c>
      <c r="C11" s="3">
        <v>3.4192576844715994</v>
      </c>
      <c r="D11" s="3">
        <v>4.0189336429400813</v>
      </c>
      <c r="E11" s="3">
        <v>4.3057050592034463</v>
      </c>
      <c r="F11" s="3">
        <v>5.0747621205255999</v>
      </c>
      <c r="G11" s="3">
        <v>5.6188999361488579</v>
      </c>
      <c r="H11" s="3">
        <v>5.3908601660129563</v>
      </c>
      <c r="I11" s="3">
        <v>5.1993067590987874</v>
      </c>
      <c r="J11" s="3">
        <v>5.0442397154063512</v>
      </c>
      <c r="K11" s="3">
        <v>4.9347806257411087</v>
      </c>
      <c r="L11" s="3">
        <v>4.8435647176867658</v>
      </c>
      <c r="M11" s="3">
        <v>4.8435647176867658</v>
      </c>
      <c r="N11" s="3">
        <v>4.6976192647997683</v>
      </c>
      <c r="O11" s="3">
        <v>4.6976192647997683</v>
      </c>
      <c r="P11" s="3">
        <v>4.6976192647997683</v>
      </c>
      <c r="Q11" s="3">
        <v>4.6976192647997683</v>
      </c>
    </row>
    <row r="12" spans="1:17" ht="18.75" customHeight="1" x14ac:dyDescent="0.25">
      <c r="A12" s="2">
        <v>38717</v>
      </c>
      <c r="B12" s="3">
        <v>5.69</v>
      </c>
      <c r="C12" s="3">
        <v>3.7436491665923999</v>
      </c>
      <c r="D12" s="3">
        <v>3.6917562724014141</v>
      </c>
      <c r="E12" s="3">
        <v>3.7769784172661636</v>
      </c>
      <c r="F12" s="3">
        <v>4.464609800362962</v>
      </c>
      <c r="G12" s="3">
        <v>4.8453326033397026</v>
      </c>
      <c r="H12" s="3">
        <v>4.8524170702732183</v>
      </c>
      <c r="I12" s="3">
        <v>4.799341804552526</v>
      </c>
      <c r="J12" s="3">
        <v>4.717067373617323</v>
      </c>
      <c r="K12" s="3">
        <v>4.6530761495566342</v>
      </c>
      <c r="L12" s="3">
        <v>4.607368132370393</v>
      </c>
      <c r="M12" s="3">
        <v>4.607368132370393</v>
      </c>
      <c r="N12" s="3">
        <v>4.5250937014352122</v>
      </c>
      <c r="O12" s="3">
        <v>4.5250937014352122</v>
      </c>
      <c r="P12" s="3">
        <v>4.5250937014352122</v>
      </c>
      <c r="Q12" s="3">
        <v>4.5250937014352122</v>
      </c>
    </row>
    <row r="13" spans="1:17" ht="18.75" customHeight="1" x14ac:dyDescent="0.25">
      <c r="A13" s="2">
        <v>38748</v>
      </c>
      <c r="B13" s="3">
        <v>5.7</v>
      </c>
      <c r="C13" s="3">
        <v>4.1449379607984227</v>
      </c>
      <c r="D13" s="3">
        <v>4.0527123386587371</v>
      </c>
      <c r="E13" s="3">
        <v>4.1032608695652062</v>
      </c>
      <c r="F13" s="3">
        <v>4.3989071038251337</v>
      </c>
      <c r="G13" s="3">
        <v>4.5126518680917105</v>
      </c>
      <c r="H13" s="3">
        <v>4.41216771718278</v>
      </c>
      <c r="I13" s="3">
        <v>4.41216771718278</v>
      </c>
      <c r="J13" s="3">
        <v>4.2842787978441432</v>
      </c>
      <c r="K13" s="3">
        <v>4.2477391066045422</v>
      </c>
      <c r="L13" s="3">
        <v>4.2111994153649412</v>
      </c>
      <c r="M13" s="3">
        <v>4.2111994153649412</v>
      </c>
      <c r="N13" s="3">
        <v>4.1655248013154234</v>
      </c>
      <c r="O13" s="3">
        <v>4.1655248013154234</v>
      </c>
      <c r="P13" s="3">
        <v>4.1655248013154234</v>
      </c>
      <c r="Q13" s="3">
        <v>4.1655248013154234</v>
      </c>
    </row>
    <row r="14" spans="1:17" ht="18.75" customHeight="1" x14ac:dyDescent="0.25">
      <c r="A14" s="2">
        <v>38776</v>
      </c>
      <c r="B14" s="3">
        <v>5.51</v>
      </c>
      <c r="C14" s="3">
        <v>4.1862567811934648</v>
      </c>
      <c r="D14" s="3">
        <v>4.2291950886766738</v>
      </c>
      <c r="E14" s="3">
        <v>4.1773075519883074</v>
      </c>
      <c r="F14" s="3">
        <v>4.4821264894592039</v>
      </c>
      <c r="G14" s="3">
        <v>4.5680147058823284</v>
      </c>
      <c r="H14" s="3">
        <v>4.4377067254685709</v>
      </c>
      <c r="I14" s="3">
        <v>4.4377067254685709</v>
      </c>
      <c r="J14" s="3">
        <v>4.7373271889401103</v>
      </c>
      <c r="K14" s="3">
        <v>4.7281105990783612</v>
      </c>
      <c r="L14" s="3">
        <v>4.7281105990783612</v>
      </c>
      <c r="M14" s="3">
        <v>4.7281105990783612</v>
      </c>
      <c r="N14" s="3">
        <v>4.7188940092166121</v>
      </c>
      <c r="O14" s="3">
        <v>4.7188940092166121</v>
      </c>
      <c r="P14" s="3">
        <v>4.7188940092166121</v>
      </c>
      <c r="Q14" s="3">
        <v>4.7188940092166121</v>
      </c>
    </row>
    <row r="15" spans="1:17" ht="18.75" customHeight="1" x14ac:dyDescent="0.25">
      <c r="A15" s="2">
        <v>38807</v>
      </c>
      <c r="B15" s="3">
        <v>5.32</v>
      </c>
      <c r="C15" s="3">
        <v>4.3529625590694065</v>
      </c>
      <c r="D15" s="3">
        <v>4.4464692482915957</v>
      </c>
      <c r="E15" s="3">
        <v>4.5902536959299134</v>
      </c>
      <c r="F15" s="3">
        <v>4.7062048798318434</v>
      </c>
      <c r="G15" s="3">
        <v>4.7858711566617806</v>
      </c>
      <c r="H15" s="3">
        <v>4.7697518996612676</v>
      </c>
      <c r="I15" s="3">
        <v>4.7697518996612676</v>
      </c>
      <c r="J15" s="3">
        <v>4.7366010077874554</v>
      </c>
      <c r="K15" s="3">
        <v>4.7640861200183293</v>
      </c>
      <c r="L15" s="3">
        <v>4.7915712322492032</v>
      </c>
      <c r="M15" s="3">
        <v>4.7915712322492032</v>
      </c>
      <c r="N15" s="3">
        <v>4.8190563444800771</v>
      </c>
      <c r="O15" s="3">
        <v>4.8190563444800771</v>
      </c>
      <c r="P15" s="3">
        <v>4.8190563444800771</v>
      </c>
      <c r="Q15" s="3">
        <v>4.8190563444800771</v>
      </c>
    </row>
    <row r="16" spans="1:17" ht="18.75" customHeight="1" x14ac:dyDescent="0.25">
      <c r="A16" s="2">
        <v>38837</v>
      </c>
      <c r="B16" s="3">
        <v>4.63</v>
      </c>
      <c r="C16" s="3">
        <v>4.2355935284493773</v>
      </c>
      <c r="D16" s="3">
        <v>4.4084160670370798</v>
      </c>
      <c r="E16" s="3">
        <v>4.5031905195989097</v>
      </c>
      <c r="F16" s="3">
        <v>4.5334306303019156</v>
      </c>
      <c r="G16" s="3">
        <v>4.5458694659972654</v>
      </c>
      <c r="H16" s="3">
        <v>4.5184847101780168</v>
      </c>
      <c r="I16" s="3">
        <v>4.5184847101780168</v>
      </c>
      <c r="J16" s="3">
        <v>4.3450479233226869</v>
      </c>
      <c r="K16" s="3">
        <v>4.2355089000456481</v>
      </c>
      <c r="L16" s="3">
        <v>4.1442263806481083</v>
      </c>
      <c r="M16" s="3">
        <v>4.1442263806481083</v>
      </c>
      <c r="N16" s="3">
        <v>4.0073026015517987</v>
      </c>
      <c r="O16" s="3">
        <v>4.0073026015517987</v>
      </c>
      <c r="P16" s="3">
        <v>4.0073026015517987</v>
      </c>
      <c r="Q16" s="3">
        <v>4.0073026015517987</v>
      </c>
    </row>
    <row r="17" spans="1:17" ht="18.75" customHeight="1" x14ac:dyDescent="0.25">
      <c r="A17" s="2">
        <v>38868</v>
      </c>
      <c r="B17" s="3">
        <v>4.2300000000000004</v>
      </c>
      <c r="C17" s="3">
        <v>4.2897137180529343</v>
      </c>
      <c r="D17" s="3">
        <v>4.8694552353419462</v>
      </c>
      <c r="E17" s="3">
        <v>5.2026782482808676</v>
      </c>
      <c r="F17" s="3">
        <v>5.2226647356987677</v>
      </c>
      <c r="G17" s="3">
        <v>5.5172413793103336</v>
      </c>
      <c r="H17" s="3">
        <v>5.598911070780388</v>
      </c>
      <c r="I17" s="3">
        <v>5.598911070780388</v>
      </c>
      <c r="J17" s="3">
        <v>5.6715063520870856</v>
      </c>
      <c r="K17" s="3">
        <v>5.6715063520870856</v>
      </c>
      <c r="L17" s="3">
        <v>5.6805807622504423</v>
      </c>
      <c r="M17" s="3">
        <v>5.6805807622504423</v>
      </c>
      <c r="N17" s="3">
        <v>5.7078039927404678</v>
      </c>
      <c r="O17" s="3">
        <v>5.7078039927404678</v>
      </c>
      <c r="P17" s="3">
        <v>5.7078039927404678</v>
      </c>
      <c r="Q17" s="3">
        <v>5.7078039927404678</v>
      </c>
    </row>
    <row r="18" spans="1:17" ht="18.75" customHeight="1" x14ac:dyDescent="0.25">
      <c r="A18" s="2">
        <v>38898</v>
      </c>
      <c r="B18" s="3">
        <v>4.03</v>
      </c>
      <c r="C18" s="3">
        <v>4.0141355563610093</v>
      </c>
      <c r="D18" s="3">
        <v>4.4663888385577</v>
      </c>
      <c r="E18" s="3">
        <v>4.5186996287240655</v>
      </c>
      <c r="F18" s="3">
        <v>4.6298813083265555</v>
      </c>
      <c r="G18" s="3">
        <v>4.6842439068587538</v>
      </c>
      <c r="H18" s="3">
        <v>4.7023647730361606</v>
      </c>
      <c r="I18" s="3">
        <v>4.7023647730361606</v>
      </c>
      <c r="J18" s="3">
        <v>4.711425206124864</v>
      </c>
      <c r="K18" s="3">
        <v>4.6933043399474572</v>
      </c>
      <c r="L18" s="3">
        <v>4.6751834737700504</v>
      </c>
      <c r="M18" s="3">
        <v>4.6751834737700504</v>
      </c>
      <c r="N18" s="3">
        <v>4.6480021745039624</v>
      </c>
      <c r="O18" s="3">
        <v>4.6480021745039624</v>
      </c>
      <c r="P18" s="3">
        <v>4.6480021745039624</v>
      </c>
      <c r="Q18" s="3">
        <v>4.6480021745039624</v>
      </c>
    </row>
    <row r="19" spans="1:17" ht="18.75" customHeight="1" x14ac:dyDescent="0.25">
      <c r="A19" s="2">
        <v>38929</v>
      </c>
      <c r="B19" s="3">
        <v>3.97</v>
      </c>
      <c r="C19" s="3">
        <v>4.5574938350534389</v>
      </c>
      <c r="D19" s="3">
        <v>4.5276487200510251</v>
      </c>
      <c r="E19" s="3">
        <v>4.6013667425968352</v>
      </c>
      <c r="F19" s="3">
        <v>4.7493163172288133</v>
      </c>
      <c r="G19" s="3">
        <v>4.9361313868613088</v>
      </c>
      <c r="H19" s="3">
        <v>4.9817518248175263</v>
      </c>
      <c r="I19" s="3">
        <v>4.9817518248175263</v>
      </c>
      <c r="J19" s="3">
        <v>4.9908759124087654</v>
      </c>
      <c r="K19" s="3">
        <v>4.9543795620437869</v>
      </c>
      <c r="L19" s="3">
        <v>4.9361313868613088</v>
      </c>
      <c r="M19" s="3">
        <v>4.9361313868613088</v>
      </c>
      <c r="N19" s="3">
        <v>4.963503649635026</v>
      </c>
      <c r="O19" s="3">
        <v>4.963503649635026</v>
      </c>
      <c r="P19" s="3">
        <v>4.963503649635026</v>
      </c>
      <c r="Q19" s="3">
        <v>4.963503649635026</v>
      </c>
    </row>
    <row r="20" spans="1:17" ht="18.75" customHeight="1" x14ac:dyDescent="0.25">
      <c r="A20" s="2">
        <v>38960</v>
      </c>
      <c r="B20" s="3">
        <v>3.84</v>
      </c>
      <c r="C20" s="3">
        <v>4.1876200054859813</v>
      </c>
      <c r="D20" s="3">
        <v>4.3430556825454936</v>
      </c>
      <c r="E20" s="3">
        <v>4.452367891753517</v>
      </c>
      <c r="F20" s="3">
        <v>4.5358939186099789</v>
      </c>
      <c r="G20" s="3">
        <v>4.6486090775988309</v>
      </c>
      <c r="H20" s="3">
        <v>4.6760614934114209</v>
      </c>
      <c r="I20" s="3">
        <v>4.6760614934114209</v>
      </c>
      <c r="J20" s="3">
        <v>4.6669106881405575</v>
      </c>
      <c r="K20" s="3">
        <v>4.6486090775988309</v>
      </c>
      <c r="L20" s="3">
        <v>4.6303074670571043</v>
      </c>
      <c r="M20" s="3">
        <v>4.6303074670571043</v>
      </c>
      <c r="N20" s="3">
        <v>4.593704245973651</v>
      </c>
      <c r="O20" s="3">
        <v>4.593704245973651</v>
      </c>
      <c r="P20" s="3">
        <v>4.593704245973651</v>
      </c>
      <c r="Q20" s="3">
        <v>4.593704245973651</v>
      </c>
    </row>
    <row r="21" spans="1:17" ht="18.75" customHeight="1" x14ac:dyDescent="0.25">
      <c r="A21" s="2">
        <v>38990</v>
      </c>
      <c r="B21" s="3">
        <v>3.7</v>
      </c>
      <c r="C21" s="3">
        <v>3.5939067773419486</v>
      </c>
      <c r="D21" s="3">
        <v>3.7749612473785055</v>
      </c>
      <c r="E21" s="3">
        <v>3.9872262773722467</v>
      </c>
      <c r="F21" s="3">
        <v>4.1157145464500777</v>
      </c>
      <c r="G21" s="3">
        <v>4.1708496851327936</v>
      </c>
      <c r="H21" s="3">
        <v>4.1343433421556997</v>
      </c>
      <c r="I21" s="3">
        <v>4.1343433421556997</v>
      </c>
      <c r="J21" s="3">
        <v>4.1252167564114428</v>
      </c>
      <c r="K21" s="3">
        <v>4.0978369991786279</v>
      </c>
      <c r="L21" s="3">
        <v>4.043077484712998</v>
      </c>
      <c r="M21" s="3">
        <v>4.043077484712998</v>
      </c>
      <c r="N21" s="3">
        <v>3.924431870037437</v>
      </c>
      <c r="O21" s="3">
        <v>3.924431870037437</v>
      </c>
      <c r="P21" s="3">
        <v>3.924431870037437</v>
      </c>
      <c r="Q21" s="3">
        <v>3.924431870037437</v>
      </c>
    </row>
    <row r="22" spans="1:17" ht="18.75" customHeight="1" x14ac:dyDescent="0.25">
      <c r="A22" s="2">
        <v>39021</v>
      </c>
      <c r="B22" s="3">
        <v>3.26</v>
      </c>
      <c r="C22" s="3">
        <v>3.8217730822232454</v>
      </c>
      <c r="D22" s="3">
        <v>3.9397557167784036</v>
      </c>
      <c r="E22" s="3">
        <v>4.0282620664341851</v>
      </c>
      <c r="F22" s="3">
        <v>4.1861746075461337</v>
      </c>
      <c r="G22" s="3">
        <v>4.2221202386415912</v>
      </c>
      <c r="H22" s="3">
        <v>4.24965580541532</v>
      </c>
      <c r="I22" s="3">
        <v>4.24965580541532</v>
      </c>
      <c r="J22" s="3">
        <v>4.304726938962844</v>
      </c>
      <c r="K22" s="3">
        <v>4.2955484167049196</v>
      </c>
      <c r="L22" s="3">
        <v>4.2771913721890709</v>
      </c>
      <c r="M22" s="3">
        <v>4.2771913721890709</v>
      </c>
      <c r="N22" s="3">
        <v>4.2588343276732443</v>
      </c>
      <c r="O22" s="3">
        <v>4.2588343276732443</v>
      </c>
      <c r="P22" s="3">
        <v>4.2588343276732443</v>
      </c>
      <c r="Q22" s="3">
        <v>4.2588343276732443</v>
      </c>
    </row>
    <row r="23" spans="1:17" ht="18.75" customHeight="1" x14ac:dyDescent="0.25">
      <c r="A23" s="2">
        <v>39051</v>
      </c>
      <c r="B23" s="3">
        <v>3.02</v>
      </c>
      <c r="C23" s="3">
        <v>4.2629924172369105</v>
      </c>
      <c r="D23" s="3">
        <v>4.1697416974169732</v>
      </c>
      <c r="E23" s="3">
        <v>4.2115934015298118</v>
      </c>
      <c r="F23" s="3">
        <v>4.2664946553630623</v>
      </c>
      <c r="G23" s="3">
        <v>4.3402137854773537</v>
      </c>
      <c r="H23" s="3">
        <v>4.3678584592701908</v>
      </c>
      <c r="I23" s="3">
        <v>4.3678584592701908</v>
      </c>
      <c r="J23" s="3">
        <v>4.3586435680059044</v>
      </c>
      <c r="K23" s="3">
        <v>4.3402137854773537</v>
      </c>
      <c r="L23" s="3">
        <v>4.3309988942130673</v>
      </c>
      <c r="M23" s="3">
        <v>4.3309988942130673</v>
      </c>
      <c r="N23" s="3">
        <v>4.3217840029487586</v>
      </c>
      <c r="O23" s="3">
        <v>4.3217840029487586</v>
      </c>
      <c r="P23" s="3">
        <v>4.3217840029487586</v>
      </c>
      <c r="Q23" s="3">
        <v>4.3217840029487586</v>
      </c>
    </row>
    <row r="24" spans="1:17" ht="18.75" customHeight="1" x14ac:dyDescent="0.25">
      <c r="A24" s="2">
        <v>39082</v>
      </c>
      <c r="B24" s="3">
        <v>3.14</v>
      </c>
      <c r="C24" s="3">
        <v>4.0559311047319024</v>
      </c>
      <c r="D24" s="3">
        <v>4.0196350838195949</v>
      </c>
      <c r="E24" s="3">
        <v>4.0081458854021923</v>
      </c>
      <c r="F24" s="3">
        <v>4.0570581696924624</v>
      </c>
      <c r="G24" s="3">
        <v>4.0570581696924624</v>
      </c>
      <c r="H24" s="3">
        <v>4.0477954798073146</v>
      </c>
      <c r="I24" s="3">
        <v>4.0477954798073146</v>
      </c>
      <c r="J24" s="3">
        <v>4.0941089292330313</v>
      </c>
      <c r="K24" s="3">
        <v>4.0663208595776101</v>
      </c>
      <c r="L24" s="3">
        <v>4.0570581696924624</v>
      </c>
      <c r="M24" s="3">
        <v>4.0570581696924624</v>
      </c>
      <c r="N24" s="3">
        <v>4.0477954798073146</v>
      </c>
      <c r="O24" s="3">
        <v>4.0477954798073146</v>
      </c>
      <c r="P24" s="3">
        <v>4.0477954798073146</v>
      </c>
      <c r="Q24" s="3">
        <v>4.0292701000370412</v>
      </c>
    </row>
    <row r="25" spans="1:17" ht="18.75" customHeight="1" x14ac:dyDescent="0.25">
      <c r="A25" s="2">
        <v>39113</v>
      </c>
      <c r="B25" s="3">
        <v>2.99</v>
      </c>
      <c r="C25" s="3">
        <v>4.1403281119658963</v>
      </c>
      <c r="D25" s="3">
        <v>4.1369075224932716</v>
      </c>
      <c r="E25" s="3">
        <v>4.1383787794472049</v>
      </c>
      <c r="F25" s="3">
        <v>4.094531974050053</v>
      </c>
      <c r="G25" s="3">
        <v>4.1162294930021437</v>
      </c>
      <c r="H25" s="3">
        <v>4.1338400222448834</v>
      </c>
      <c r="I25" s="3">
        <v>4.1338400222448834</v>
      </c>
      <c r="J25" s="3">
        <v>4.1959403095745529</v>
      </c>
      <c r="K25" s="3">
        <v>4.2033552692557263</v>
      </c>
      <c r="L25" s="3">
        <v>4.2079896190564625</v>
      </c>
      <c r="M25" s="3">
        <v>4.2079896190564625</v>
      </c>
      <c r="N25" s="3">
        <v>4.2154045787375916</v>
      </c>
      <c r="O25" s="3">
        <v>4.2154045787375916</v>
      </c>
      <c r="P25" s="3">
        <v>4.2154045787375916</v>
      </c>
      <c r="Q25" s="3">
        <v>4.2218926684586044</v>
      </c>
    </row>
    <row r="26" spans="1:17" ht="18.75" customHeight="1" x14ac:dyDescent="0.25">
      <c r="A26" s="2">
        <v>39141</v>
      </c>
      <c r="B26" s="3">
        <v>3.02</v>
      </c>
      <c r="C26" s="3">
        <v>3.8608357268600013</v>
      </c>
      <c r="D26" s="3">
        <v>3.9713940744868559</v>
      </c>
      <c r="E26" s="3">
        <v>4.0557620817843754</v>
      </c>
      <c r="F26" s="3">
        <v>4.0237785621400679</v>
      </c>
      <c r="G26" s="3">
        <v>4.0330670629760368</v>
      </c>
      <c r="H26" s="3">
        <v>4.0460709641463977</v>
      </c>
      <c r="I26" s="3">
        <v>4.0460709641463977</v>
      </c>
      <c r="J26" s="3">
        <v>4.0581460152331328</v>
      </c>
      <c r="K26" s="3">
        <v>4.0404978636448208</v>
      </c>
      <c r="L26" s="3">
        <v>4.0265651123908563</v>
      </c>
      <c r="M26" s="3">
        <v>4.0265651123908563</v>
      </c>
      <c r="N26" s="3">
        <v>4.0042727103845488</v>
      </c>
      <c r="O26" s="3">
        <v>4.0042727103845488</v>
      </c>
      <c r="P26" s="3">
        <v>4.0042727103845488</v>
      </c>
      <c r="Q26" s="3">
        <v>3.9847668586290075</v>
      </c>
    </row>
    <row r="27" spans="1:17" ht="18.75" customHeight="1" x14ac:dyDescent="0.25">
      <c r="A27" s="2">
        <v>39172</v>
      </c>
      <c r="B27" s="3">
        <v>2.96</v>
      </c>
      <c r="C27" s="3">
        <v>3.4884796890904068</v>
      </c>
      <c r="D27" s="3">
        <v>3.6022653421223572</v>
      </c>
      <c r="E27" s="3">
        <v>3.7901200111638333</v>
      </c>
      <c r="F27" s="3">
        <v>3.8782349655557713</v>
      </c>
      <c r="G27" s="3">
        <v>3.9232488822652956</v>
      </c>
      <c r="H27" s="3">
        <v>3.9325633383010539</v>
      </c>
      <c r="I27" s="3">
        <v>3.9325633383010539</v>
      </c>
      <c r="J27" s="3">
        <v>3.937220566318933</v>
      </c>
      <c r="K27" s="3">
        <v>3.9204545454545547</v>
      </c>
      <c r="L27" s="3">
        <v>3.9111400894187964</v>
      </c>
      <c r="M27" s="3">
        <v>3.9111400894187964</v>
      </c>
      <c r="N27" s="3">
        <v>3.8971684053651368</v>
      </c>
      <c r="O27" s="3">
        <v>3.8971684053651368</v>
      </c>
      <c r="P27" s="3">
        <v>3.8971684053651368</v>
      </c>
      <c r="Q27" s="3">
        <v>3.8841281669150574</v>
      </c>
    </row>
    <row r="28" spans="1:17" ht="18.75" customHeight="1" x14ac:dyDescent="0.25">
      <c r="A28" s="2">
        <v>39202</v>
      </c>
      <c r="B28" s="3">
        <v>3</v>
      </c>
      <c r="C28" s="3">
        <v>3.43462503484806</v>
      </c>
      <c r="D28" s="3">
        <v>3.5583566760037488</v>
      </c>
      <c r="E28" s="3">
        <v>3.6150893943648565</v>
      </c>
      <c r="F28" s="3">
        <v>3.7993806887491655</v>
      </c>
      <c r="G28" s="3">
        <v>3.907732782110318</v>
      </c>
      <c r="H28" s="3">
        <v>3.886122333928399</v>
      </c>
      <c r="I28" s="3">
        <v>3.886122333928399</v>
      </c>
      <c r="J28" s="3">
        <v>3.8889410880390995</v>
      </c>
      <c r="K28" s="3">
        <v>3.885182749224847</v>
      </c>
      <c r="L28" s="3">
        <v>3.885182749224847</v>
      </c>
      <c r="M28" s="3">
        <v>3.885182749224847</v>
      </c>
      <c r="N28" s="3">
        <v>3.8814244104105944</v>
      </c>
      <c r="O28" s="3">
        <v>3.8814244104105944</v>
      </c>
      <c r="P28" s="3">
        <v>3.8814244104105944</v>
      </c>
      <c r="Q28" s="3">
        <v>3.878605656299916</v>
      </c>
    </row>
    <row r="29" spans="1:17" ht="18.75" customHeight="1" x14ac:dyDescent="0.25">
      <c r="A29" s="2">
        <v>39233</v>
      </c>
      <c r="B29" s="3">
        <v>3.18</v>
      </c>
      <c r="C29" s="3">
        <v>3.2945556072591975</v>
      </c>
      <c r="D29" s="3">
        <v>3.4556689448553612</v>
      </c>
      <c r="E29" s="3">
        <v>3.4850333114384791</v>
      </c>
      <c r="F29" s="3">
        <v>3.6443148688046767</v>
      </c>
      <c r="G29" s="3">
        <v>3.748704907224254</v>
      </c>
      <c r="H29" s="3">
        <v>3.7025525101252565</v>
      </c>
      <c r="I29" s="3">
        <v>3.7025525101252565</v>
      </c>
      <c r="J29" s="3">
        <v>3.6705283978524905</v>
      </c>
      <c r="K29" s="3">
        <v>3.6545163417161186</v>
      </c>
      <c r="L29" s="3">
        <v>3.6253178864085855</v>
      </c>
      <c r="M29" s="3">
        <v>3.6121314872374466</v>
      </c>
      <c r="N29" s="3">
        <v>3.5914100028256568</v>
      </c>
      <c r="O29" s="3">
        <v>3.5914100028256568</v>
      </c>
      <c r="P29" s="3">
        <v>3.5914100028256568</v>
      </c>
      <c r="Q29" s="3">
        <v>3.5622115475181237</v>
      </c>
    </row>
    <row r="30" spans="1:17" ht="18.75" customHeight="1" x14ac:dyDescent="0.25">
      <c r="A30" s="2">
        <v>39263</v>
      </c>
      <c r="B30" s="3">
        <v>3.69</v>
      </c>
      <c r="C30" s="3">
        <v>3.5402449284846149</v>
      </c>
      <c r="D30" s="3">
        <v>3.7990242071683111</v>
      </c>
      <c r="E30" s="3">
        <v>3.857343969967153</v>
      </c>
      <c r="F30" s="3">
        <v>3.9776462853386096</v>
      </c>
      <c r="G30" s="3">
        <v>4.0033831406822706</v>
      </c>
      <c r="H30" s="3">
        <v>4.0255711196765853</v>
      </c>
      <c r="I30" s="3">
        <v>4.0255711196765853</v>
      </c>
      <c r="J30" s="3">
        <v>4.1034807149576746</v>
      </c>
      <c r="K30" s="3">
        <v>4.1803973260521543</v>
      </c>
      <c r="L30" s="3">
        <v>4.2392840320301328</v>
      </c>
      <c r="M30" s="3">
        <v>4.2392840320301328</v>
      </c>
      <c r="N30" s="3">
        <v>4.2392840320301328</v>
      </c>
      <c r="O30" s="3">
        <v>4.2392840320301328</v>
      </c>
      <c r="P30" s="3">
        <v>4.2392840320301328</v>
      </c>
      <c r="Q30" s="3">
        <v>4.2392840320301328</v>
      </c>
    </row>
    <row r="31" spans="1:17" ht="18.75" customHeight="1" x14ac:dyDescent="0.25">
      <c r="A31" s="2">
        <v>39294</v>
      </c>
      <c r="B31" s="3">
        <v>3.74</v>
      </c>
      <c r="C31" s="3">
        <v>3.82311651848386</v>
      </c>
      <c r="D31" s="3">
        <v>3.9629178762056183</v>
      </c>
      <c r="E31" s="3">
        <v>4.0151728013486876</v>
      </c>
      <c r="F31" s="3">
        <v>4.0655737704918149</v>
      </c>
      <c r="G31" s="3">
        <v>4.075705050126488</v>
      </c>
      <c r="H31" s="3">
        <v>4.0785158811955435</v>
      </c>
      <c r="I31" s="3">
        <v>4.0785158811955435</v>
      </c>
      <c r="J31" s="3">
        <v>4.1663540885221284</v>
      </c>
      <c r="K31" s="3">
        <v>4.2058354442255252</v>
      </c>
      <c r="L31" s="3">
        <v>4.2355701548568714</v>
      </c>
      <c r="M31" s="3">
        <v>4.2280619427498722</v>
      </c>
      <c r="N31" s="3">
        <v>4.2233693101830116</v>
      </c>
      <c r="O31" s="3">
        <v>4.2233693101830116</v>
      </c>
      <c r="P31" s="3">
        <v>4.2233693101830116</v>
      </c>
      <c r="Q31" s="3">
        <v>4.2186766776161289</v>
      </c>
    </row>
    <row r="32" spans="1:17" ht="18.75" customHeight="1" x14ac:dyDescent="0.25">
      <c r="A32" s="2">
        <v>39325</v>
      </c>
      <c r="B32" s="3">
        <v>4.18</v>
      </c>
      <c r="C32" s="3">
        <v>4.5535630457234078</v>
      </c>
      <c r="D32" s="3">
        <v>4.4723805963174046</v>
      </c>
      <c r="E32" s="3">
        <v>4.4611505416511044</v>
      </c>
      <c r="F32" s="3">
        <v>4.4508778483376865</v>
      </c>
      <c r="G32" s="3">
        <v>4.4476608460173761</v>
      </c>
      <c r="H32" s="3">
        <v>4.4313725490196187</v>
      </c>
      <c r="I32" s="3">
        <v>4.4313725490196187</v>
      </c>
      <c r="J32" s="3">
        <v>4.4894908921064847</v>
      </c>
      <c r="K32" s="3">
        <v>4.4936472346786216</v>
      </c>
      <c r="L32" s="3">
        <v>4.5522527575247773</v>
      </c>
      <c r="M32" s="3">
        <v>4.5522527575247773</v>
      </c>
      <c r="N32" s="3">
        <v>4.5522527575247773</v>
      </c>
      <c r="O32" s="3">
        <v>4.5522527575247773</v>
      </c>
      <c r="P32" s="3">
        <v>4.5522527575247773</v>
      </c>
      <c r="Q32" s="3">
        <v>4.5522527575247773</v>
      </c>
    </row>
    <row r="33" spans="1:17" ht="18.75" customHeight="1" x14ac:dyDescent="0.25">
      <c r="A33" s="2">
        <v>39355</v>
      </c>
      <c r="B33" s="3">
        <v>4.1500000000000004</v>
      </c>
      <c r="C33" s="3">
        <v>4.2902711323763887</v>
      </c>
      <c r="D33" s="3">
        <v>4.2712626451854474</v>
      </c>
      <c r="E33" s="3">
        <v>4.308326308888244</v>
      </c>
      <c r="F33" s="3">
        <v>4.3095371931797022</v>
      </c>
      <c r="G33" s="3">
        <v>4.3239951278928324</v>
      </c>
      <c r="H33" s="3">
        <v>4.3059198201573556</v>
      </c>
      <c r="I33" s="3">
        <v>4.3059198201573556</v>
      </c>
      <c r="J33" s="3">
        <v>4.3907011623547154</v>
      </c>
      <c r="K33" s="3">
        <v>4.4219409282700406</v>
      </c>
      <c r="L33" s="3">
        <v>4.420065635255499</v>
      </c>
      <c r="M33" s="3">
        <v>4.416315049226438</v>
      </c>
      <c r="N33" s="3">
        <v>4.4135021097046367</v>
      </c>
      <c r="O33" s="3">
        <v>4.4135021097046367</v>
      </c>
      <c r="P33" s="3">
        <v>4.4135021097046367</v>
      </c>
      <c r="Q33" s="3">
        <v>4.4116268166901174</v>
      </c>
    </row>
    <row r="34" spans="1:17" ht="18.75" customHeight="1" x14ac:dyDescent="0.25">
      <c r="A34" s="2">
        <v>39386</v>
      </c>
      <c r="B34" s="3">
        <v>4.12</v>
      </c>
      <c r="C34" s="3">
        <v>4.009530928798366</v>
      </c>
      <c r="D34" s="3">
        <v>4.1114429718125844</v>
      </c>
      <c r="E34" s="3">
        <v>4.2117054046485691</v>
      </c>
      <c r="F34" s="3">
        <v>4.2478289289382687</v>
      </c>
      <c r="G34" s="3">
        <v>4.2412923709029826</v>
      </c>
      <c r="H34" s="3">
        <v>4.2755787901419096</v>
      </c>
      <c r="I34" s="3">
        <v>4.2755787901419096</v>
      </c>
      <c r="J34" s="3">
        <v>4.4040724827199673</v>
      </c>
      <c r="K34" s="3">
        <v>4.4640687786188016</v>
      </c>
      <c r="L34" s="3">
        <v>4.5017760329033374</v>
      </c>
      <c r="M34" s="3">
        <v>4.503645541222645</v>
      </c>
      <c r="N34" s="3">
        <v>4.5139278369788594</v>
      </c>
      <c r="O34" s="3">
        <v>4.5139278369788594</v>
      </c>
      <c r="P34" s="3">
        <v>4.5139278369788594</v>
      </c>
      <c r="Q34" s="3">
        <v>4.5232753785754198</v>
      </c>
    </row>
    <row r="35" spans="1:17" ht="18.75" customHeight="1" x14ac:dyDescent="0.25">
      <c r="A35" s="2">
        <v>39416</v>
      </c>
      <c r="B35" s="3">
        <v>4.1900000000000004</v>
      </c>
      <c r="C35" s="3">
        <v>4.5288497564630825</v>
      </c>
      <c r="D35" s="3">
        <v>4.5513896661070641</v>
      </c>
      <c r="E35" s="3">
        <v>4.6176771910217074</v>
      </c>
      <c r="F35" s="3">
        <v>4.6428903994785387</v>
      </c>
      <c r="G35" s="3">
        <v>4.7002420405883427</v>
      </c>
      <c r="H35" s="3">
        <v>4.7101516702335422</v>
      </c>
      <c r="I35" s="3">
        <v>4.7101516702335422</v>
      </c>
      <c r="J35" s="3">
        <v>4.7799795329798167</v>
      </c>
      <c r="K35" s="3">
        <v>4.8152972922675952</v>
      </c>
      <c r="L35" s="3">
        <v>4.8724632284490532</v>
      </c>
      <c r="M35" s="3">
        <v>4.8743250791286608</v>
      </c>
      <c r="N35" s="3">
        <v>4.8864271085458766</v>
      </c>
      <c r="O35" s="3">
        <v>4.8864271085458766</v>
      </c>
      <c r="P35" s="3">
        <v>4.8864271085458766</v>
      </c>
      <c r="Q35" s="3">
        <v>4.8966672872835515</v>
      </c>
    </row>
    <row r="36" spans="1:17" ht="18.75" customHeight="1" x14ac:dyDescent="0.25">
      <c r="A36" s="2">
        <v>39447</v>
      </c>
      <c r="B36" s="3">
        <v>4.46</v>
      </c>
      <c r="C36" s="3">
        <v>5.1243080964443077</v>
      </c>
      <c r="D36" s="3">
        <v>5.0218787822362776</v>
      </c>
      <c r="E36" s="3">
        <v>5.0399851218151381</v>
      </c>
      <c r="F36" s="3">
        <v>4.9981412639405143</v>
      </c>
      <c r="G36" s="3">
        <v>4.9758409217617539</v>
      </c>
      <c r="H36" s="3">
        <v>5.029272372456095</v>
      </c>
      <c r="I36" s="3">
        <v>5.029272372456095</v>
      </c>
      <c r="J36" s="3">
        <v>5.2051353614289919</v>
      </c>
      <c r="K36" s="3">
        <v>5.2746741154562349</v>
      </c>
      <c r="L36" s="3">
        <v>5.4219114219114184</v>
      </c>
      <c r="M36" s="3">
        <v>5.4219114219114184</v>
      </c>
      <c r="N36" s="3">
        <v>5.4219114219114184</v>
      </c>
      <c r="O36" s="3">
        <v>5.4219114219114184</v>
      </c>
      <c r="P36" s="3">
        <v>5.4219114219114184</v>
      </c>
      <c r="Q36" s="3">
        <v>5.4219114219114184</v>
      </c>
    </row>
    <row r="37" spans="1:17" ht="18.75" customHeight="1" x14ac:dyDescent="0.25">
      <c r="A37" s="2">
        <v>39478</v>
      </c>
      <c r="B37" s="3">
        <v>4.5599999999999996</v>
      </c>
      <c r="C37" s="3">
        <v>5.1487006285767745</v>
      </c>
      <c r="D37" s="3">
        <v>5.1235431235431284</v>
      </c>
      <c r="E37" s="3">
        <v>5.0311598921030543</v>
      </c>
      <c r="F37" s="3">
        <v>4.9525846039419896</v>
      </c>
      <c r="G37" s="3">
        <v>5.0320900381359834</v>
      </c>
      <c r="H37" s="3">
        <v>5.0265042313773156</v>
      </c>
      <c r="I37" s="3">
        <v>5.0265042313773156</v>
      </c>
      <c r="J37" s="3">
        <v>5.2053263804823446</v>
      </c>
      <c r="K37" s="3">
        <v>5.2352119236143579</v>
      </c>
      <c r="L37" s="3">
        <v>5.2940628203933304</v>
      </c>
      <c r="M37" s="3">
        <v>5.2940628203933304</v>
      </c>
      <c r="N37" s="3">
        <v>5.2940628203933304</v>
      </c>
      <c r="O37" s="3">
        <v>5.2940628203933304</v>
      </c>
      <c r="P37" s="3">
        <v>5.2940628203933304</v>
      </c>
      <c r="Q37" s="3">
        <v>5.2940628203933304</v>
      </c>
    </row>
    <row r="38" spans="1:17" ht="18.75" customHeight="1" x14ac:dyDescent="0.25">
      <c r="A38" s="2">
        <v>39507</v>
      </c>
      <c r="B38" s="3">
        <v>4.6100000000000003</v>
      </c>
      <c r="C38" s="3">
        <v>4.7281744175166063</v>
      </c>
      <c r="D38" s="3">
        <v>4.7982856610453872</v>
      </c>
      <c r="E38" s="3">
        <v>4.8644115180318748</v>
      </c>
      <c r="F38" s="3">
        <v>4.8527493010251721</v>
      </c>
      <c r="G38" s="3">
        <v>4.9109723128554217</v>
      </c>
      <c r="H38" s="3">
        <v>4.9645522388059637</v>
      </c>
      <c r="I38" s="3">
        <v>4.9645522388059637</v>
      </c>
      <c r="J38" s="3">
        <v>5.11349836524988</v>
      </c>
      <c r="K38" s="3">
        <v>5.1406410615830289</v>
      </c>
      <c r="L38" s="3">
        <v>5.1986909770920908</v>
      </c>
      <c r="M38" s="3">
        <v>5.1986909770920908</v>
      </c>
      <c r="N38" s="3">
        <v>5.2164562879850385</v>
      </c>
      <c r="O38" s="3">
        <v>5.2164562879850385</v>
      </c>
      <c r="P38" s="3">
        <v>5.2267414679756818</v>
      </c>
      <c r="Q38" s="3">
        <v>5.2267414679756818</v>
      </c>
    </row>
    <row r="39" spans="1:17" ht="18.75" customHeight="1" x14ac:dyDescent="0.25">
      <c r="A39" s="2">
        <v>39538</v>
      </c>
      <c r="B39" s="3">
        <v>4.7300000000000004</v>
      </c>
      <c r="C39" s="3">
        <v>4.6457424087658961</v>
      </c>
      <c r="D39" s="3">
        <v>4.7075131688383731</v>
      </c>
      <c r="E39" s="3">
        <v>4.7702690209854737</v>
      </c>
      <c r="F39" s="3">
        <v>4.7744082840236901</v>
      </c>
      <c r="G39" s="3">
        <v>4.8528867505551299</v>
      </c>
      <c r="H39" s="3">
        <v>4.958784847642872</v>
      </c>
      <c r="I39" s="3">
        <v>4.958784847642872</v>
      </c>
      <c r="J39" s="3">
        <v>5.1586859688196096</v>
      </c>
      <c r="K39" s="3">
        <v>5.1893798737467467</v>
      </c>
      <c r="L39" s="3">
        <v>5.2186832574983688</v>
      </c>
      <c r="M39" s="3">
        <v>5.2186832574983688</v>
      </c>
      <c r="N39" s="3">
        <v>5.2186832574983688</v>
      </c>
      <c r="O39" s="3">
        <v>5.2186832574983688</v>
      </c>
      <c r="P39" s="3">
        <v>5.2186832574983688</v>
      </c>
      <c r="Q39" s="3">
        <v>5.2186832574983688</v>
      </c>
    </row>
    <row r="40" spans="1:17" ht="18.75" customHeight="1" x14ac:dyDescent="0.25">
      <c r="A40" s="2">
        <v>39568</v>
      </c>
      <c r="B40" s="3">
        <v>5.04</v>
      </c>
      <c r="C40" s="3">
        <v>5.221674876847282</v>
      </c>
      <c r="D40" s="3">
        <v>5.2304275402554001</v>
      </c>
      <c r="E40" s="3">
        <v>5.2717844244837497</v>
      </c>
      <c r="F40" s="3">
        <v>5.280222325150552</v>
      </c>
      <c r="G40" s="3">
        <v>5.4249396919651138</v>
      </c>
      <c r="H40" s="3">
        <v>5.5729021466406348</v>
      </c>
      <c r="I40" s="3">
        <v>5.5729021466406348</v>
      </c>
      <c r="J40" s="3">
        <v>5.749674054758791</v>
      </c>
      <c r="K40" s="3">
        <v>5.7962911191874023</v>
      </c>
      <c r="L40" s="3">
        <v>5.8752214865242847</v>
      </c>
      <c r="M40" s="3">
        <v>5.8752214865242847</v>
      </c>
      <c r="N40" s="3">
        <v>5.8752214865242847</v>
      </c>
      <c r="O40" s="3">
        <v>5.8752214865242847</v>
      </c>
      <c r="P40" s="3">
        <v>5.8752214865242847</v>
      </c>
      <c r="Q40" s="3">
        <v>5.8752214865242847</v>
      </c>
    </row>
    <row r="41" spans="1:17" ht="18.75" customHeight="1" x14ac:dyDescent="0.25">
      <c r="A41" s="2">
        <v>39599</v>
      </c>
      <c r="B41" s="3">
        <v>5.58</v>
      </c>
      <c r="C41" s="3">
        <v>5.4952698942682288</v>
      </c>
      <c r="D41" s="3">
        <v>5.4344012556550858</v>
      </c>
      <c r="E41" s="3">
        <v>5.5261453031004049</v>
      </c>
      <c r="F41" s="3">
        <v>5.4620446751320939</v>
      </c>
      <c r="G41" s="3">
        <v>5.4732930794240575</v>
      </c>
      <c r="H41" s="3">
        <v>5.6709190799888232</v>
      </c>
      <c r="I41" s="3">
        <v>5.6709190799888232</v>
      </c>
      <c r="J41" s="3">
        <v>5.8890549122151636</v>
      </c>
      <c r="K41" s="3">
        <v>6.0389003179353029</v>
      </c>
      <c r="L41" s="3">
        <v>6.1779026217228417</v>
      </c>
      <c r="M41" s="3">
        <v>6.1779026217228417</v>
      </c>
      <c r="N41" s="3">
        <v>6.1779026217228417</v>
      </c>
      <c r="O41" s="3">
        <v>6.1779026217228417</v>
      </c>
      <c r="P41" s="3">
        <v>6.1779026217228417</v>
      </c>
      <c r="Q41" s="3">
        <v>6.1779026217228417</v>
      </c>
    </row>
    <row r="42" spans="1:17" ht="18.75" customHeight="1" x14ac:dyDescent="0.25">
      <c r="A42" s="2">
        <v>39629</v>
      </c>
      <c r="B42" s="3">
        <v>6.06</v>
      </c>
      <c r="C42" s="3">
        <v>6.6039493293591933</v>
      </c>
      <c r="D42" s="3">
        <v>6.1651021535063411</v>
      </c>
      <c r="E42" s="3">
        <v>6.0281146637265692</v>
      </c>
      <c r="F42" s="3">
        <v>5.8313408129483157</v>
      </c>
      <c r="G42" s="3">
        <v>6.116289801568997</v>
      </c>
      <c r="H42" s="3">
        <v>6.3692734844979171</v>
      </c>
      <c r="I42" s="3">
        <v>6.3692734844979171</v>
      </c>
      <c r="J42" s="3">
        <v>6.8093023255814122</v>
      </c>
      <c r="K42" s="3">
        <v>6.6802935984391132</v>
      </c>
      <c r="L42" s="3">
        <v>7.0083876980428839</v>
      </c>
      <c r="M42" s="3">
        <v>7.0083876980428839</v>
      </c>
      <c r="N42" s="3">
        <v>7.0083876980428839</v>
      </c>
      <c r="O42" s="3">
        <v>7.0083876980428839</v>
      </c>
      <c r="P42" s="3">
        <v>7.0083876980428839</v>
      </c>
      <c r="Q42" s="3">
        <v>7.0083876980428839</v>
      </c>
    </row>
    <row r="43" spans="1:17" ht="18.75" customHeight="1" x14ac:dyDescent="0.25">
      <c r="A43" s="2">
        <v>39660</v>
      </c>
      <c r="B43" s="3">
        <v>6.37</v>
      </c>
      <c r="C43" s="3">
        <v>5.8679593721145062</v>
      </c>
      <c r="D43" s="3">
        <v>5.1640696608616032</v>
      </c>
      <c r="E43" s="3">
        <v>5.1259654284663725</v>
      </c>
      <c r="F43" s="3">
        <v>5.1184440962300792</v>
      </c>
      <c r="G43" s="3">
        <v>5.2556161597485218</v>
      </c>
      <c r="H43" s="3">
        <v>5.5057950857672733</v>
      </c>
      <c r="I43" s="3">
        <v>5.5057950857672733</v>
      </c>
      <c r="J43" s="3">
        <v>5.8023082650781932</v>
      </c>
      <c r="K43" s="3">
        <v>5.9442580164056791</v>
      </c>
      <c r="L43" s="3">
        <v>6.0625291647223634</v>
      </c>
      <c r="M43" s="3">
        <v>6.0625291647223634</v>
      </c>
      <c r="N43" s="3">
        <v>6.0494633691087429</v>
      </c>
      <c r="O43" s="3">
        <v>6.0494633691087429</v>
      </c>
      <c r="P43" s="3">
        <v>6.0429304713019327</v>
      </c>
      <c r="Q43" s="3">
        <v>6.0429304713019327</v>
      </c>
    </row>
    <row r="44" spans="1:17" ht="18.75" customHeight="1" x14ac:dyDescent="0.25">
      <c r="A44" s="2">
        <v>39691</v>
      </c>
      <c r="B44" s="3">
        <v>6.17</v>
      </c>
      <c r="C44" s="3">
        <v>4.8435212298682195</v>
      </c>
      <c r="D44" s="3">
        <v>4.8510404253368833</v>
      </c>
      <c r="E44" s="3">
        <v>4.9208103130754965</v>
      </c>
      <c r="F44" s="3">
        <v>4.8644161593801805</v>
      </c>
      <c r="G44" s="3">
        <v>5.0027731558513588</v>
      </c>
      <c r="H44" s="3">
        <v>5.1686121919584993</v>
      </c>
      <c r="I44" s="3">
        <v>5.1686121919584993</v>
      </c>
      <c r="J44" s="3">
        <v>5.427084301514995</v>
      </c>
      <c r="K44" s="3">
        <v>5.5378745579750532</v>
      </c>
      <c r="L44" s="3">
        <v>5.5669335319307178</v>
      </c>
      <c r="M44" s="3">
        <v>5.5613479798920062</v>
      </c>
      <c r="N44" s="3">
        <v>5.5557624278532725</v>
      </c>
      <c r="O44" s="3">
        <v>5.5511078011543535</v>
      </c>
      <c r="P44" s="3">
        <v>5.5464531744554124</v>
      </c>
      <c r="Q44" s="3">
        <v>5.5427294730962418</v>
      </c>
    </row>
    <row r="45" spans="1:17" ht="18.75" customHeight="1" x14ac:dyDescent="0.25">
      <c r="A45" s="2">
        <v>39721</v>
      </c>
      <c r="B45" s="3">
        <v>6.25</v>
      </c>
      <c r="C45" s="3">
        <v>4.7058285296001534</v>
      </c>
      <c r="D45" s="3">
        <v>4.7352995054039004</v>
      </c>
      <c r="E45" s="3">
        <v>4.7876731174905984</v>
      </c>
      <c r="F45" s="3">
        <v>4.7256377316938769</v>
      </c>
      <c r="G45" s="3">
        <v>4.8025711662075254</v>
      </c>
      <c r="H45" s="3">
        <v>5.0427979751495489</v>
      </c>
      <c r="I45" s="3">
        <v>5.0427979751495489</v>
      </c>
      <c r="J45" s="3">
        <v>5.358758888170656</v>
      </c>
      <c r="K45" s="3">
        <v>5.5364409914909318</v>
      </c>
      <c r="L45" s="3">
        <v>5.6085145765849109</v>
      </c>
      <c r="M45" s="3">
        <v>5.6085145765849109</v>
      </c>
      <c r="N45" s="3">
        <v>5.6085145765849109</v>
      </c>
      <c r="O45" s="3">
        <v>5.6085145765849109</v>
      </c>
      <c r="P45" s="3">
        <v>5.6085145765849109</v>
      </c>
      <c r="Q45" s="3">
        <v>5.6085145765849109</v>
      </c>
    </row>
    <row r="46" spans="1:17" ht="18.75" customHeight="1" x14ac:dyDescent="0.25">
      <c r="A46" s="2">
        <v>39752</v>
      </c>
      <c r="B46" s="3">
        <v>6.41</v>
      </c>
      <c r="C46" s="3">
        <v>5.8883994126285089</v>
      </c>
      <c r="D46" s="3">
        <v>5.394939693479639</v>
      </c>
      <c r="E46" s="3">
        <v>5.9314658689148869</v>
      </c>
      <c r="F46" s="3">
        <v>6.1140271493212772</v>
      </c>
      <c r="G46" s="3">
        <v>6.3026351534908986</v>
      </c>
      <c r="H46" s="3">
        <v>6.4342701722574835</v>
      </c>
      <c r="I46" s="3">
        <v>6.4342701722574835</v>
      </c>
      <c r="J46" s="3">
        <v>6.6333757036499019</v>
      </c>
      <c r="K46" s="3">
        <v>6.7824347667969853</v>
      </c>
      <c r="L46" s="3">
        <v>6.8407168197944346</v>
      </c>
      <c r="M46" s="3">
        <v>6.8407168197944346</v>
      </c>
      <c r="N46" s="3">
        <v>6.8407168197944346</v>
      </c>
      <c r="O46" s="3">
        <v>6.8407168197944346</v>
      </c>
      <c r="P46" s="3">
        <v>6.8407168197944346</v>
      </c>
      <c r="Q46" s="3">
        <v>6.8407168197944346</v>
      </c>
    </row>
    <row r="47" spans="1:17" ht="18.75" customHeight="1" x14ac:dyDescent="0.25">
      <c r="A47" s="2">
        <v>39782</v>
      </c>
      <c r="B47" s="3">
        <v>6.39</v>
      </c>
      <c r="C47" s="3">
        <v>5.4737327188940199</v>
      </c>
      <c r="D47" s="3">
        <v>5.0218938149972692</v>
      </c>
      <c r="E47" s="3">
        <v>5.2489967165268103</v>
      </c>
      <c r="F47" s="3">
        <v>5.4994982209652266</v>
      </c>
      <c r="G47" s="3">
        <v>5.7478086194302502</v>
      </c>
      <c r="H47" s="3">
        <v>6.1685753550160483</v>
      </c>
      <c r="I47" s="3">
        <v>6.1685753550160483</v>
      </c>
      <c r="J47" s="3">
        <v>6.381397908640607</v>
      </c>
      <c r="K47" s="3">
        <v>6.4766363719820141</v>
      </c>
      <c r="L47" s="3">
        <v>6.5548920532843447</v>
      </c>
      <c r="M47" s="3">
        <v>6.5548920532843447</v>
      </c>
      <c r="N47" s="3">
        <v>6.5548920532843447</v>
      </c>
      <c r="O47" s="3">
        <v>6.5548920532843447</v>
      </c>
      <c r="P47" s="3">
        <v>6.5548920532843447</v>
      </c>
      <c r="Q47" s="3">
        <v>6.5548920532843447</v>
      </c>
    </row>
    <row r="48" spans="1:17" ht="18.75" customHeight="1" x14ac:dyDescent="0.25">
      <c r="A48" s="2">
        <v>39813</v>
      </c>
      <c r="B48" s="3">
        <v>5.9</v>
      </c>
      <c r="C48" s="3">
        <v>4.4223070477608983</v>
      </c>
      <c r="D48" s="3">
        <v>4.0953794767118135</v>
      </c>
      <c r="E48" s="3">
        <v>4.0580113057177236</v>
      </c>
      <c r="F48" s="3">
        <v>4.046408431173143</v>
      </c>
      <c r="G48" s="3">
        <v>4.1932796445431686</v>
      </c>
      <c r="H48" s="3">
        <v>4.4169447534297301</v>
      </c>
      <c r="I48" s="3">
        <v>4.4169447534297301</v>
      </c>
      <c r="J48" s="3">
        <v>4.6967586142843798</v>
      </c>
      <c r="K48" s="3">
        <v>4.7843465328127888</v>
      </c>
      <c r="L48" s="3">
        <v>4.8915976551595852</v>
      </c>
      <c r="M48" s="3">
        <v>4.8915976551595852</v>
      </c>
      <c r="N48" s="3">
        <v>4.8915976551595852</v>
      </c>
      <c r="O48" s="3">
        <v>4.8915976551595852</v>
      </c>
      <c r="P48" s="3">
        <v>4.8915976551595852</v>
      </c>
      <c r="Q48" s="3">
        <v>4.8915976551595852</v>
      </c>
    </row>
    <row r="49" spans="1:17" ht="18.75" customHeight="1" x14ac:dyDescent="0.25">
      <c r="A49" s="2">
        <v>39844</v>
      </c>
      <c r="B49" s="3">
        <v>5.84</v>
      </c>
      <c r="C49" s="3">
        <v>4.2139308146620369</v>
      </c>
      <c r="D49" s="3">
        <v>4.3524237319857884</v>
      </c>
      <c r="E49" s="3">
        <v>4.5639154033314533</v>
      </c>
      <c r="F49" s="3">
        <v>4.852707378658927</v>
      </c>
      <c r="G49" s="3">
        <v>5.0897699644660621</v>
      </c>
      <c r="H49" s="3">
        <v>5.1777029554807452</v>
      </c>
      <c r="I49" s="3">
        <v>5.1777029554807452</v>
      </c>
      <c r="J49" s="3">
        <v>5.2648324911098721</v>
      </c>
      <c r="K49" s="3">
        <v>5.3370786516853785</v>
      </c>
      <c r="L49" s="3">
        <v>5.4358013120899829</v>
      </c>
      <c r="M49" s="3">
        <v>5.4358013120899829</v>
      </c>
      <c r="N49" s="3">
        <v>5.4358013120899829</v>
      </c>
      <c r="O49" s="3">
        <v>5.4358013120899829</v>
      </c>
      <c r="P49" s="3">
        <v>5.4358013120899829</v>
      </c>
      <c r="Q49" s="3">
        <v>5.4358013120899829</v>
      </c>
    </row>
    <row r="50" spans="1:17" ht="18.75" customHeight="1" x14ac:dyDescent="0.25">
      <c r="A50" s="2">
        <v>39872</v>
      </c>
      <c r="B50" s="3">
        <v>5.9</v>
      </c>
      <c r="C50" s="3">
        <v>4.2582469368520171</v>
      </c>
      <c r="D50" s="3">
        <v>4.2170484416072185</v>
      </c>
      <c r="E50" s="3">
        <v>4.2496020971819259</v>
      </c>
      <c r="F50" s="3">
        <v>4.4183873680276653</v>
      </c>
      <c r="G50" s="3">
        <v>4.5488476252682597</v>
      </c>
      <c r="H50" s="3">
        <v>4.7107129525942426</v>
      </c>
      <c r="I50" s="3">
        <v>4.7107129525942426</v>
      </c>
      <c r="J50" s="3">
        <v>4.8446393580293012</v>
      </c>
      <c r="K50" s="3">
        <v>4.9299850634802134</v>
      </c>
      <c r="L50" s="3">
        <v>5.0177470577246419</v>
      </c>
      <c r="M50" s="3">
        <v>5.0429665608070273</v>
      </c>
      <c r="N50" s="3">
        <v>5.0663179525499702</v>
      </c>
      <c r="O50" s="3">
        <v>5.0812628432654661</v>
      </c>
      <c r="P50" s="3">
        <v>5.0962077339809397</v>
      </c>
      <c r="Q50" s="3">
        <v>5.105548290678108</v>
      </c>
    </row>
    <row r="51" spans="1:17" ht="18.75" customHeight="1" x14ac:dyDescent="0.25">
      <c r="A51" s="2">
        <v>39903</v>
      </c>
      <c r="B51" s="3">
        <v>5.61</v>
      </c>
      <c r="C51" s="3">
        <v>3.6985266339252032</v>
      </c>
      <c r="D51" s="3">
        <v>3.9721385542168752</v>
      </c>
      <c r="E51" s="3">
        <v>4.3077501881113589</v>
      </c>
      <c r="F51" s="3">
        <v>4.439756211908108</v>
      </c>
      <c r="G51" s="3">
        <v>4.5629157687623101</v>
      </c>
      <c r="H51" s="3">
        <v>4.6179775280899005</v>
      </c>
      <c r="I51" s="3">
        <v>4.6179775280899005</v>
      </c>
      <c r="J51" s="3">
        <v>4.7565543071161009</v>
      </c>
      <c r="K51" s="3">
        <v>4.8224491708048545</v>
      </c>
      <c r="L51" s="3">
        <v>4.8893680855053301</v>
      </c>
      <c r="M51" s="3">
        <v>4.8884305269079498</v>
      </c>
      <c r="N51" s="3">
        <v>4.8865554097131003</v>
      </c>
      <c r="O51" s="3">
        <v>4.8846802925182953</v>
      </c>
      <c r="P51" s="3">
        <v>4.8837427339208705</v>
      </c>
      <c r="Q51" s="3">
        <v>4.8828051753234458</v>
      </c>
    </row>
    <row r="52" spans="1:17" ht="18.75" customHeight="1" x14ac:dyDescent="0.25">
      <c r="A52" s="2">
        <v>39933</v>
      </c>
      <c r="B52" s="3">
        <v>5.53</v>
      </c>
      <c r="C52" s="3">
        <v>3.7945037302861584</v>
      </c>
      <c r="D52" s="3">
        <v>3.9834803829547516</v>
      </c>
      <c r="E52" s="3">
        <v>4.5153730783652035</v>
      </c>
      <c r="F52" s="3">
        <v>4.7597681809683934</v>
      </c>
      <c r="G52" s="3">
        <v>4.8790736763470122</v>
      </c>
      <c r="H52" s="3">
        <v>5.0569773958528019</v>
      </c>
      <c r="I52" s="3">
        <v>5.0569773958528019</v>
      </c>
      <c r="J52" s="3">
        <v>5.2737806017566946</v>
      </c>
      <c r="K52" s="3">
        <v>5.3726737117740564</v>
      </c>
      <c r="L52" s="3">
        <v>5.4491858506457103</v>
      </c>
      <c r="M52" s="3">
        <v>5.4557364776342876</v>
      </c>
      <c r="N52" s="3">
        <v>5.4613513007673475</v>
      </c>
      <c r="O52" s="3">
        <v>5.4650945161894171</v>
      </c>
      <c r="P52" s="3">
        <v>5.4650945161894171</v>
      </c>
      <c r="Q52" s="3">
        <v>5.4650945161894171</v>
      </c>
    </row>
    <row r="53" spans="1:17" ht="18.75" customHeight="1" x14ac:dyDescent="0.25">
      <c r="A53" s="2">
        <v>39964</v>
      </c>
      <c r="B53" s="3">
        <v>5.2</v>
      </c>
      <c r="C53" s="3">
        <v>4.1121584309244952</v>
      </c>
      <c r="D53" s="3">
        <v>3.9284703217891792</v>
      </c>
      <c r="E53" s="3">
        <v>4.1457003379647084</v>
      </c>
      <c r="F53" s="3">
        <v>4.4248617230711718</v>
      </c>
      <c r="G53" s="3">
        <v>4.4932559010865347</v>
      </c>
      <c r="H53" s="3">
        <v>4.9459738795452513</v>
      </c>
      <c r="I53" s="3">
        <v>4.9459738795452513</v>
      </c>
      <c r="J53" s="3">
        <v>5.1962722394803595</v>
      </c>
      <c r="K53" s="3">
        <v>5.3251649387370481</v>
      </c>
      <c r="L53" s="3">
        <v>5.4543738793998209</v>
      </c>
      <c r="M53" s="3">
        <v>5.4543738793998209</v>
      </c>
      <c r="N53" s="3">
        <v>5.4543738793998209</v>
      </c>
      <c r="O53" s="3">
        <v>5.4543738793998209</v>
      </c>
      <c r="P53" s="3">
        <v>5.4543738793998209</v>
      </c>
      <c r="Q53" s="3">
        <v>5.4543738793998209</v>
      </c>
    </row>
    <row r="54" spans="1:17" ht="18.75" customHeight="1" x14ac:dyDescent="0.25">
      <c r="A54" s="2">
        <v>39994</v>
      </c>
      <c r="B54" s="3">
        <v>4.8</v>
      </c>
      <c r="C54" s="3">
        <v>3.9588884659307322</v>
      </c>
      <c r="D54" s="3">
        <v>4.4356360890902113</v>
      </c>
      <c r="E54" s="3">
        <v>4.7428786311930038</v>
      </c>
      <c r="F54" s="3">
        <v>5.2468265162200378</v>
      </c>
      <c r="G54" s="3">
        <v>5.4825674278733194</v>
      </c>
      <c r="H54" s="3">
        <v>5.5727699530516484</v>
      </c>
      <c r="I54" s="3">
        <v>5.5727699530516484</v>
      </c>
      <c r="J54" s="3">
        <v>5.5979739236469372</v>
      </c>
      <c r="K54" s="3">
        <v>5.6558453743666526</v>
      </c>
      <c r="L54" s="3">
        <v>5.7766716754320102</v>
      </c>
      <c r="M54" s="3">
        <v>5.7954545454545592</v>
      </c>
      <c r="N54" s="3">
        <v>5.811419984973698</v>
      </c>
      <c r="O54" s="3">
        <v>5.8179939894815957</v>
      </c>
      <c r="P54" s="3">
        <v>5.8179939894815957</v>
      </c>
      <c r="Q54" s="3">
        <v>5.8179939894815957</v>
      </c>
    </row>
    <row r="55" spans="1:17" ht="18.75" customHeight="1" x14ac:dyDescent="0.25">
      <c r="A55" s="2">
        <v>40025</v>
      </c>
      <c r="B55" s="3">
        <v>4.5</v>
      </c>
      <c r="C55" s="3">
        <v>4.4040906049890083</v>
      </c>
      <c r="D55" s="3">
        <v>4.8062896656247078</v>
      </c>
      <c r="E55" s="3">
        <v>4.8983625070581516</v>
      </c>
      <c r="F55" s="3">
        <v>5.3000940733772373</v>
      </c>
      <c r="G55" s="3">
        <v>5.4395862717442567</v>
      </c>
      <c r="H55" s="3">
        <v>5.5919939860928247</v>
      </c>
      <c r="I55" s="3">
        <v>5.5919939860928247</v>
      </c>
      <c r="J55" s="3">
        <v>5.7526780680323242</v>
      </c>
      <c r="K55" s="3">
        <v>5.7564367600074995</v>
      </c>
      <c r="L55" s="3">
        <v>5.8397592627421613</v>
      </c>
      <c r="M55" s="3">
        <v>5.7620747979703069</v>
      </c>
      <c r="N55" s="3">
        <v>5.7639541439578945</v>
      </c>
      <c r="O55" s="3">
        <v>5.7648938169517105</v>
      </c>
      <c r="P55" s="3">
        <v>5.7648938169517105</v>
      </c>
      <c r="Q55" s="3">
        <v>5.7648938169517105</v>
      </c>
    </row>
    <row r="56" spans="1:17" ht="18.75" customHeight="1" x14ac:dyDescent="0.25">
      <c r="A56" s="2">
        <v>40056</v>
      </c>
      <c r="B56" s="3">
        <v>4.3600000000000003</v>
      </c>
      <c r="C56" s="3">
        <v>4.1829628923018225</v>
      </c>
      <c r="D56" s="3">
        <v>4.6676751441807607</v>
      </c>
      <c r="E56" s="3">
        <v>4.9708317651486533</v>
      </c>
      <c r="F56" s="3">
        <v>5.412550569197494</v>
      </c>
      <c r="G56" s="3">
        <v>5.5499153976311222</v>
      </c>
      <c r="H56" s="3">
        <v>5.7097198721564268</v>
      </c>
      <c r="I56" s="3">
        <v>5.7097198721564268</v>
      </c>
      <c r="J56" s="3">
        <v>5.8822976403120952</v>
      </c>
      <c r="K56" s="3">
        <v>5.9016547574276101</v>
      </c>
      <c r="L56" s="3">
        <v>5.9888972525404593</v>
      </c>
      <c r="M56" s="3">
        <v>6.0853187682455845</v>
      </c>
      <c r="N56" s="3">
        <v>6.0909690177982645</v>
      </c>
      <c r="O56" s="3">
        <v>6.0928524343158541</v>
      </c>
      <c r="P56" s="3">
        <v>6.0928524343158541</v>
      </c>
      <c r="Q56" s="3">
        <v>6.0928524343158541</v>
      </c>
    </row>
    <row r="57" spans="1:17" ht="18.75" customHeight="1" x14ac:dyDescent="0.25">
      <c r="A57" s="2">
        <v>40086</v>
      </c>
      <c r="B57" s="3">
        <v>4.34</v>
      </c>
      <c r="C57" s="3">
        <v>4.4277280517996509</v>
      </c>
      <c r="D57" s="3">
        <v>5.0396375990939823</v>
      </c>
      <c r="E57" s="3">
        <v>5.2601863178695751</v>
      </c>
      <c r="F57" s="3">
        <v>5.539879608728393</v>
      </c>
      <c r="G57" s="3">
        <v>5.8027479766610268</v>
      </c>
      <c r="H57" s="3">
        <v>5.9269715791455013</v>
      </c>
      <c r="I57" s="3">
        <v>5.9269715791455013</v>
      </c>
      <c r="J57" s="3">
        <v>6.0764379177256966</v>
      </c>
      <c r="K57" s="3">
        <v>6.0918674698795305</v>
      </c>
      <c r="L57" s="3">
        <v>6.1325550743739354</v>
      </c>
      <c r="M57" s="3">
        <v>6.2395175727881114</v>
      </c>
      <c r="N57" s="3">
        <v>6.2536511825120211</v>
      </c>
      <c r="O57" s="3">
        <v>6.2564779044568031</v>
      </c>
      <c r="P57" s="3">
        <v>6.2564779044568031</v>
      </c>
      <c r="Q57" s="3">
        <v>6.2564779044568031</v>
      </c>
    </row>
    <row r="58" spans="1:17" ht="18.75" customHeight="1" x14ac:dyDescent="0.25">
      <c r="A58" s="2">
        <v>40117</v>
      </c>
      <c r="B58" s="3">
        <v>4.17</v>
      </c>
      <c r="C58" s="3">
        <v>4.7170889693274987</v>
      </c>
      <c r="D58" s="3">
        <v>5.0890921089846275</v>
      </c>
      <c r="E58" s="3">
        <v>5.4679571509114844</v>
      </c>
      <c r="F58" s="3">
        <v>5.6029632408101993</v>
      </c>
      <c r="G58" s="3">
        <v>5.8039399624765453</v>
      </c>
      <c r="H58" s="3">
        <v>5.9243973360847857</v>
      </c>
      <c r="I58" s="3">
        <v>5.9243973360847857</v>
      </c>
      <c r="J58" s="3">
        <v>6.1698732989206917</v>
      </c>
      <c r="K58" s="3">
        <v>6.2232444611340476</v>
      </c>
      <c r="L58" s="3">
        <v>6.2410814870446973</v>
      </c>
      <c r="M58" s="3">
        <v>6.2660783025068056</v>
      </c>
      <c r="N58" s="3">
        <v>6.2782837292272964</v>
      </c>
      <c r="O58" s="3">
        <v>6.2811003661628284</v>
      </c>
      <c r="P58" s="3">
        <v>6.2811003661628284</v>
      </c>
      <c r="Q58" s="3">
        <v>6.2811003661628284</v>
      </c>
    </row>
    <row r="59" spans="1:17" ht="18.75" customHeight="1" x14ac:dyDescent="0.25">
      <c r="A59" s="2">
        <v>40147</v>
      </c>
      <c r="B59" s="3">
        <v>4.22</v>
      </c>
      <c r="C59" s="3">
        <v>4.9680678676961465</v>
      </c>
      <c r="D59" s="3">
        <v>5.3157398680490076</v>
      </c>
      <c r="E59" s="3">
        <v>5.6316333239410099</v>
      </c>
      <c r="F59" s="3">
        <v>5.6342514521266818</v>
      </c>
      <c r="G59" s="3">
        <v>5.8545045467329304</v>
      </c>
      <c r="H59" s="3">
        <v>5.9411599362878542</v>
      </c>
      <c r="I59" s="3">
        <v>5.9411599362878542</v>
      </c>
      <c r="J59" s="3">
        <v>6.1836428437441526</v>
      </c>
      <c r="K59" s="3">
        <v>6.2400300272121623</v>
      </c>
      <c r="L59" s="3">
        <v>6.2599718442045926</v>
      </c>
      <c r="M59" s="3">
        <v>6.3098591549295868</v>
      </c>
      <c r="N59" s="3">
        <v>6.3098591549295868</v>
      </c>
      <c r="O59" s="3">
        <v>6.3098591549295868</v>
      </c>
      <c r="P59" s="3">
        <v>6.3098591549295868</v>
      </c>
      <c r="Q59" s="3">
        <v>6.3098591549295868</v>
      </c>
    </row>
    <row r="60" spans="1:17" ht="18.75" customHeight="1" x14ac:dyDescent="0.25">
      <c r="A60" s="2">
        <v>40178</v>
      </c>
      <c r="B60" s="3">
        <v>4.3099999999999996</v>
      </c>
      <c r="C60" s="3">
        <v>5.2620545073374991</v>
      </c>
      <c r="D60" s="3">
        <v>5.3196497504943041</v>
      </c>
      <c r="E60" s="3">
        <v>5.647434692726927</v>
      </c>
      <c r="F60" s="3">
        <v>5.6258790436005679</v>
      </c>
      <c r="G60" s="3">
        <v>5.7803413993622099</v>
      </c>
      <c r="H60" s="3">
        <v>5.8801463002907228</v>
      </c>
      <c r="I60" s="3">
        <v>5.8801463002907228</v>
      </c>
      <c r="J60" s="3">
        <v>6.3150980576146987</v>
      </c>
      <c r="K60" s="3">
        <v>6.3506664163694548</v>
      </c>
      <c r="L60" s="3">
        <v>6.3662817985544073</v>
      </c>
      <c r="M60" s="3">
        <v>6.4099915485022141</v>
      </c>
      <c r="N60" s="3">
        <v>6.4137477697436385</v>
      </c>
      <c r="O60" s="3">
        <v>6.4137477697436385</v>
      </c>
      <c r="P60" s="3">
        <v>6.4137477697436385</v>
      </c>
      <c r="Q60" s="3">
        <v>6.4137477697436385</v>
      </c>
    </row>
    <row r="61" spans="1:17" ht="18.75" customHeight="1" x14ac:dyDescent="0.25">
      <c r="A61" s="2">
        <v>40209</v>
      </c>
      <c r="B61" s="3">
        <v>4.59</v>
      </c>
      <c r="C61" s="3">
        <v>5.3959923664121945</v>
      </c>
      <c r="D61" s="3">
        <v>5.6238185255198303</v>
      </c>
      <c r="E61" s="3">
        <v>5.5517954502726008</v>
      </c>
      <c r="F61" s="3">
        <v>5.6275227635407932</v>
      </c>
      <c r="G61" s="3">
        <v>5.8512536388393377</v>
      </c>
      <c r="H61" s="3">
        <v>6.0120108848643827</v>
      </c>
      <c r="I61" s="3">
        <v>6.0120108848643827</v>
      </c>
      <c r="J61" s="3">
        <v>6.2070583818284231</v>
      </c>
      <c r="K61" s="3">
        <v>6.2780437435464131</v>
      </c>
      <c r="L61" s="3">
        <v>6.3087752229000316</v>
      </c>
      <c r="M61" s="3">
        <v>6.3790837401427103</v>
      </c>
      <c r="N61" s="3">
        <v>6.4119414194517388</v>
      </c>
      <c r="O61" s="3">
        <v>6.4119414194517388</v>
      </c>
      <c r="P61" s="3">
        <v>6.4119414194517388</v>
      </c>
      <c r="Q61" s="3">
        <v>6.4119414194517388</v>
      </c>
    </row>
    <row r="62" spans="1:17" ht="18.75" customHeight="1" x14ac:dyDescent="0.25">
      <c r="A62" s="2">
        <v>40237</v>
      </c>
      <c r="B62" s="3">
        <v>4.83</v>
      </c>
      <c r="C62" s="3">
        <v>5.4551513997333823</v>
      </c>
      <c r="D62" s="3">
        <v>5.4198113207547083</v>
      </c>
      <c r="E62" s="3">
        <v>5.5096470588235302</v>
      </c>
      <c r="F62" s="3">
        <v>5.5467869222096899</v>
      </c>
      <c r="G62" s="3">
        <v>5.6874353914105669</v>
      </c>
      <c r="H62" s="3">
        <v>5.8092105263157778</v>
      </c>
      <c r="I62" s="3">
        <v>5.8092105263157778</v>
      </c>
      <c r="J62" s="3">
        <v>6.1012967487314329</v>
      </c>
      <c r="K62" s="3">
        <v>6.1456082667919132</v>
      </c>
      <c r="L62" s="3">
        <v>6.1740681626138327</v>
      </c>
      <c r="M62" s="3">
        <v>6.2576283917003206</v>
      </c>
      <c r="N62" s="3">
        <v>6.6097080086376936</v>
      </c>
      <c r="O62" s="3">
        <v>6.6097080086376936</v>
      </c>
      <c r="P62" s="3">
        <v>6.6097080086376936</v>
      </c>
      <c r="Q62" s="3">
        <v>6.6097080086376936</v>
      </c>
    </row>
    <row r="63" spans="1:17" ht="18.75" customHeight="1" x14ac:dyDescent="0.25">
      <c r="A63" s="2">
        <v>40268</v>
      </c>
      <c r="B63" s="3">
        <v>5.17</v>
      </c>
      <c r="C63" s="3">
        <v>5.4580915231662308</v>
      </c>
      <c r="D63" s="3">
        <v>5.5408721918067005</v>
      </c>
      <c r="E63" s="3">
        <v>5.655042412818112</v>
      </c>
      <c r="F63" s="3">
        <v>5.6408324701007428</v>
      </c>
      <c r="G63" s="3">
        <v>5.7183231276495494</v>
      </c>
      <c r="H63" s="3">
        <v>5.7394498869630661</v>
      </c>
      <c r="I63" s="3">
        <v>5.7394498869630661</v>
      </c>
      <c r="J63" s="3">
        <v>5.8438500659257819</v>
      </c>
      <c r="K63" s="3">
        <v>5.8388250800225805</v>
      </c>
      <c r="L63" s="3">
        <v>5.8633668956431739</v>
      </c>
      <c r="M63" s="3">
        <v>5.9612308271384196</v>
      </c>
      <c r="N63" s="3">
        <v>6.1070857250399957</v>
      </c>
      <c r="O63" s="3">
        <v>6.1070857250399957</v>
      </c>
      <c r="P63" s="3">
        <v>6.1070857250399957</v>
      </c>
      <c r="Q63" s="3">
        <v>6.1070857250399957</v>
      </c>
    </row>
    <row r="64" spans="1:17" ht="18.75" customHeight="1" x14ac:dyDescent="0.25">
      <c r="A64" s="2">
        <v>40298</v>
      </c>
      <c r="B64" s="3">
        <v>5.26</v>
      </c>
      <c r="C64" s="3">
        <v>5.5924349881796731</v>
      </c>
      <c r="D64" s="3">
        <v>5.5636909790669486</v>
      </c>
      <c r="E64" s="3">
        <v>5.6512762762762847</v>
      </c>
      <c r="F64" s="3">
        <v>5.5104527983500518</v>
      </c>
      <c r="G64" s="3">
        <v>5.5616027024490977</v>
      </c>
      <c r="H64" s="3">
        <v>5.627465714822466</v>
      </c>
      <c r="I64" s="3">
        <v>5.627465714822466</v>
      </c>
      <c r="J64" s="3">
        <v>5.6393380970289453</v>
      </c>
      <c r="K64" s="3">
        <v>5.6673878280500523</v>
      </c>
      <c r="L64" s="3">
        <v>5.6754468485418652</v>
      </c>
      <c r="M64" s="3">
        <v>5.7364705882352984</v>
      </c>
      <c r="N64" s="3">
        <v>5.7694117647058674</v>
      </c>
      <c r="O64" s="3">
        <v>5.7694117647058674</v>
      </c>
      <c r="P64" s="3">
        <v>5.7694117647058674</v>
      </c>
      <c r="Q64" s="3">
        <v>5.7694117647058674</v>
      </c>
    </row>
    <row r="65" spans="1:17" ht="18.75" customHeight="1" x14ac:dyDescent="0.25">
      <c r="A65" s="2">
        <v>40329</v>
      </c>
      <c r="B65" s="3">
        <v>5.22</v>
      </c>
      <c r="C65" s="3">
        <v>5.1796322489391811</v>
      </c>
      <c r="D65" s="3">
        <v>5.2595025809478946</v>
      </c>
      <c r="E65" s="3">
        <v>5.3068117845749718</v>
      </c>
      <c r="F65" s="3">
        <v>5.319448353504086</v>
      </c>
      <c r="G65" s="3">
        <v>5.2582731789631465</v>
      </c>
      <c r="H65" s="3">
        <v>5.3509101144679994</v>
      </c>
      <c r="I65" s="3">
        <v>5.3509101144679994</v>
      </c>
      <c r="J65" s="3">
        <v>5.3343963980864828</v>
      </c>
      <c r="K65" s="3">
        <v>5.3494699315132621</v>
      </c>
      <c r="L65" s="3">
        <v>5.3343963980864828</v>
      </c>
      <c r="M65" s="3">
        <v>5.3893788703321288</v>
      </c>
      <c r="N65" s="3">
        <v>5.4419215612685035</v>
      </c>
      <c r="O65" s="3">
        <v>5.4419215612685035</v>
      </c>
      <c r="P65" s="3">
        <v>5.4419215612685035</v>
      </c>
      <c r="Q65" s="3">
        <v>5.4419215612685035</v>
      </c>
    </row>
    <row r="66" spans="1:17" ht="18.75" customHeight="1" x14ac:dyDescent="0.25">
      <c r="A66" s="2">
        <v>40359</v>
      </c>
      <c r="B66" s="3">
        <v>4.84</v>
      </c>
      <c r="C66" s="3">
        <v>4.8959114778694746</v>
      </c>
      <c r="D66" s="3">
        <v>5.210091915212911</v>
      </c>
      <c r="E66" s="3">
        <v>5.2834084084084187</v>
      </c>
      <c r="F66" s="3">
        <v>5.2611835318390643</v>
      </c>
      <c r="G66" s="3">
        <v>5.3281998309700374</v>
      </c>
      <c r="H66" s="3">
        <v>5.3979141219580917</v>
      </c>
      <c r="I66" s="3">
        <v>5.3979141219580917</v>
      </c>
      <c r="J66" s="3">
        <v>5.3819411819975516</v>
      </c>
      <c r="K66" s="3">
        <v>5.3385930309007179</v>
      </c>
      <c r="L66" s="3">
        <v>5.325882794891057</v>
      </c>
      <c r="M66" s="3">
        <v>5.3530516431924857</v>
      </c>
      <c r="N66" s="3">
        <v>5.39906103286385</v>
      </c>
      <c r="O66" s="3">
        <v>5.39906103286385</v>
      </c>
      <c r="P66" s="3">
        <v>5.39906103286385</v>
      </c>
      <c r="Q66" s="3">
        <v>5.39906103286385</v>
      </c>
    </row>
    <row r="67" spans="1:17" ht="18.75" customHeight="1" x14ac:dyDescent="0.25">
      <c r="A67" s="2">
        <v>40390</v>
      </c>
      <c r="B67" s="3">
        <v>4.5999999999999996</v>
      </c>
      <c r="C67" s="3">
        <v>4.8669811320754652</v>
      </c>
      <c r="D67" s="3">
        <v>5.191565471147519</v>
      </c>
      <c r="E67" s="3">
        <v>5.3677370750541353</v>
      </c>
      <c r="F67" s="3">
        <v>5.30950141110067</v>
      </c>
      <c r="G67" s="3">
        <v>5.2851496329757275</v>
      </c>
      <c r="H67" s="3">
        <v>5.3159431208211538</v>
      </c>
      <c r="I67" s="3">
        <v>5.3159431208211538</v>
      </c>
      <c r="J67" s="3">
        <v>5.3315749811605029</v>
      </c>
      <c r="K67" s="3">
        <v>5.3367875647668317</v>
      </c>
      <c r="L67" s="3">
        <v>5.2933421226104116</v>
      </c>
      <c r="M67" s="3">
        <v>5.3291270364441035</v>
      </c>
      <c r="N67" s="3">
        <v>5.3583199924663205</v>
      </c>
      <c r="O67" s="3">
        <v>5.3583199924663205</v>
      </c>
      <c r="P67" s="3">
        <v>5.3583199924663205</v>
      </c>
      <c r="Q67" s="3">
        <v>5.3583199924663205</v>
      </c>
    </row>
    <row r="68" spans="1:17" ht="18.75" customHeight="1" x14ac:dyDescent="0.25">
      <c r="A68" s="2">
        <v>40421</v>
      </c>
      <c r="B68" s="3">
        <v>4.49</v>
      </c>
      <c r="C68" s="3">
        <v>5.183677333838288</v>
      </c>
      <c r="D68" s="3">
        <v>5.1499999999999879</v>
      </c>
      <c r="E68" s="3">
        <v>5.1665565726148666</v>
      </c>
      <c r="F68" s="3">
        <v>5.0844259975474149</v>
      </c>
      <c r="G68" s="3">
        <v>5.1127677644616343</v>
      </c>
      <c r="H68" s="3">
        <v>5.1752479924421335</v>
      </c>
      <c r="I68" s="3">
        <v>5.1752479924421335</v>
      </c>
      <c r="J68" s="3">
        <v>5.2117602571374544</v>
      </c>
      <c r="K68" s="3">
        <v>5.211307554126865</v>
      </c>
      <c r="L68" s="3">
        <v>5.1937984496124079</v>
      </c>
      <c r="M68" s="3">
        <v>5.2164870485914117</v>
      </c>
      <c r="N68" s="3">
        <v>5.2032520325203224</v>
      </c>
      <c r="O68" s="3">
        <v>5.1758366420873392</v>
      </c>
      <c r="P68" s="3">
        <v>5.1758366420873392</v>
      </c>
      <c r="Q68" s="3">
        <v>5.1758366420873392</v>
      </c>
    </row>
    <row r="69" spans="1:17" ht="18.75" customHeight="1" x14ac:dyDescent="0.25">
      <c r="A69" s="2">
        <v>40451</v>
      </c>
      <c r="B69" s="3">
        <v>4.7</v>
      </c>
      <c r="C69" s="3">
        <v>5.8839200761179988</v>
      </c>
      <c r="D69" s="3">
        <v>5.9115865202574724</v>
      </c>
      <c r="E69" s="3">
        <v>5.6778460085026072</v>
      </c>
      <c r="F69" s="3">
        <v>5.6137865911237039</v>
      </c>
      <c r="G69" s="3">
        <v>5.5231350330500639</v>
      </c>
      <c r="H69" s="3">
        <v>5.5073696145124584</v>
      </c>
      <c r="I69" s="3">
        <v>5.5073696145124584</v>
      </c>
      <c r="J69" s="3">
        <v>5.4296506137865963</v>
      </c>
      <c r="K69" s="3">
        <v>5.4296506137865963</v>
      </c>
      <c r="L69" s="3">
        <v>5.4196959682749624</v>
      </c>
      <c r="M69" s="3">
        <v>5.4139526102142899</v>
      </c>
      <c r="N69" s="3">
        <v>5.4186727083923358</v>
      </c>
      <c r="O69" s="3">
        <v>5.4186727083923358</v>
      </c>
      <c r="P69" s="3">
        <v>5.4186727083923358</v>
      </c>
      <c r="Q69" s="3">
        <v>5.4186727083923358</v>
      </c>
    </row>
    <row r="70" spans="1:17" ht="18.75" customHeight="1" x14ac:dyDescent="0.25">
      <c r="A70" s="2">
        <v>40482</v>
      </c>
      <c r="B70" s="3">
        <v>5.2</v>
      </c>
      <c r="C70" s="3">
        <v>6.2980309692219461</v>
      </c>
      <c r="D70" s="3">
        <v>5.9440493124703675</v>
      </c>
      <c r="E70" s="3">
        <v>5.6678017404464542</v>
      </c>
      <c r="F70" s="3">
        <v>5.5098761931764439</v>
      </c>
      <c r="G70" s="3">
        <v>5.4975900198469096</v>
      </c>
      <c r="H70" s="3">
        <v>5.5238275340393272</v>
      </c>
      <c r="I70" s="3">
        <v>5.5238275340393272</v>
      </c>
      <c r="J70" s="3">
        <v>5.6018168054504214</v>
      </c>
      <c r="K70" s="3">
        <v>5.6118103529857244</v>
      </c>
      <c r="L70" s="3">
        <v>5.5818353831599055</v>
      </c>
      <c r="M70" s="3">
        <v>5.6069637619453161</v>
      </c>
      <c r="N70" s="3">
        <v>5.6107484151764808</v>
      </c>
      <c r="O70" s="3">
        <v>5.6107484151764808</v>
      </c>
      <c r="P70" s="3">
        <v>5.6107484151764808</v>
      </c>
      <c r="Q70" s="3">
        <v>5.6107484151764808</v>
      </c>
    </row>
    <row r="71" spans="1:17" ht="18.75" customHeight="1" x14ac:dyDescent="0.25">
      <c r="A71" s="2">
        <v>40512</v>
      </c>
      <c r="B71" s="3">
        <v>5.63</v>
      </c>
      <c r="C71" s="3">
        <v>6.4738894701797722</v>
      </c>
      <c r="D71" s="3">
        <v>6.0483566301473557</v>
      </c>
      <c r="E71" s="3">
        <v>5.7510365623822279</v>
      </c>
      <c r="F71" s="3">
        <v>5.6585641605426895</v>
      </c>
      <c r="G71" s="3">
        <v>5.8480415290230958</v>
      </c>
      <c r="H71" s="3">
        <v>5.9240362811791458</v>
      </c>
      <c r="I71" s="3">
        <v>5.9240362811791458</v>
      </c>
      <c r="J71" s="3">
        <v>5.8762983947119984</v>
      </c>
      <c r="K71" s="3">
        <v>5.863859516616321</v>
      </c>
      <c r="L71" s="3">
        <v>5.8205152401623161</v>
      </c>
      <c r="M71" s="3">
        <v>5.8075471698113335</v>
      </c>
      <c r="N71" s="3">
        <v>5.8113207547169754</v>
      </c>
      <c r="O71" s="3">
        <v>5.8113207547169754</v>
      </c>
      <c r="P71" s="3">
        <v>5.8113207547169754</v>
      </c>
      <c r="Q71" s="3">
        <v>5.8113207547169754</v>
      </c>
    </row>
    <row r="72" spans="1:17" ht="18.75" customHeight="1" x14ac:dyDescent="0.25">
      <c r="A72" s="2">
        <v>40543</v>
      </c>
      <c r="B72" s="3">
        <v>5.91</v>
      </c>
      <c r="C72" s="3">
        <v>5.8994233859532841</v>
      </c>
      <c r="D72" s="3">
        <v>5.9350820909605639</v>
      </c>
      <c r="E72" s="3">
        <v>5.7243849561692928</v>
      </c>
      <c r="F72" s="3">
        <v>5.6383179332453404</v>
      </c>
      <c r="G72" s="3">
        <v>5.7728647014361201</v>
      </c>
      <c r="H72" s="3">
        <v>5.8161528276905683</v>
      </c>
      <c r="I72" s="3">
        <v>5.8161528276905683</v>
      </c>
      <c r="J72" s="3">
        <v>5.6782542981296258</v>
      </c>
      <c r="K72" s="3">
        <v>5.6468366383380708</v>
      </c>
      <c r="L72" s="3">
        <v>5.6158565361019264</v>
      </c>
      <c r="M72" s="3">
        <v>5.585959615021685</v>
      </c>
      <c r="N72" s="3">
        <v>5.585959615021685</v>
      </c>
      <c r="O72" s="3">
        <v>5.585959615021685</v>
      </c>
      <c r="P72" s="3">
        <v>5.585959615021685</v>
      </c>
      <c r="Q72" s="3">
        <v>5.585959615021685</v>
      </c>
    </row>
    <row r="73" spans="1:17" ht="18.75" customHeight="1" x14ac:dyDescent="0.25">
      <c r="A73" s="2">
        <v>40574</v>
      </c>
      <c r="B73" s="3">
        <v>5.99</v>
      </c>
      <c r="C73" s="3">
        <v>6.4782196969696892</v>
      </c>
      <c r="D73" s="3">
        <v>6.3573850791258213</v>
      </c>
      <c r="E73" s="3">
        <v>6.1982693754702778</v>
      </c>
      <c r="F73" s="3">
        <v>6.0347581023954877</v>
      </c>
      <c r="G73" s="3">
        <v>5.9926712393122195</v>
      </c>
      <c r="H73" s="3">
        <v>6.087120143004987</v>
      </c>
      <c r="I73" s="3">
        <v>6.087120143004987</v>
      </c>
      <c r="J73" s="3">
        <v>6.2206727598228762</v>
      </c>
      <c r="K73" s="3">
        <v>6.2293846008858678</v>
      </c>
      <c r="L73" s="3">
        <v>6.2393967954759599</v>
      </c>
      <c r="M73" s="3">
        <v>6.2694447063260217</v>
      </c>
      <c r="N73" s="3">
        <v>6.2694447063260217</v>
      </c>
      <c r="O73" s="3">
        <v>6.2694447063260217</v>
      </c>
      <c r="P73" s="3">
        <v>6.2694447063260217</v>
      </c>
      <c r="Q73" s="3">
        <v>6.2694447063260217</v>
      </c>
    </row>
    <row r="74" spans="1:17" ht="18.75" customHeight="1" x14ac:dyDescent="0.25">
      <c r="A74" s="2">
        <v>40602</v>
      </c>
      <c r="B74" s="3">
        <v>6.01</v>
      </c>
      <c r="C74" s="3">
        <v>5.9416745061147802</v>
      </c>
      <c r="D74" s="3">
        <v>5.9639063821787852</v>
      </c>
      <c r="E74" s="3">
        <v>5.7992111194590468</v>
      </c>
      <c r="F74" s="3">
        <v>5.6092299033861703</v>
      </c>
      <c r="G74" s="3">
        <v>5.5840375586854618</v>
      </c>
      <c r="H74" s="3">
        <v>5.6688617121354534</v>
      </c>
      <c r="I74" s="3">
        <v>5.6688617121354534</v>
      </c>
      <c r="J74" s="3">
        <v>5.7237027968735088</v>
      </c>
      <c r="K74" s="3">
        <v>5.7341998681359918</v>
      </c>
      <c r="L74" s="3">
        <v>5.7266647828953632</v>
      </c>
      <c r="M74" s="3">
        <v>5.7447008949599532</v>
      </c>
      <c r="N74" s="3">
        <v>5.6862929816297703</v>
      </c>
      <c r="O74" s="3">
        <v>5.6533207724917434</v>
      </c>
      <c r="P74" s="3">
        <v>5.6165803108808143</v>
      </c>
      <c r="Q74" s="3">
        <v>5.6146961846443633</v>
      </c>
    </row>
    <row r="75" spans="1:17" ht="18.75" customHeight="1" x14ac:dyDescent="0.25">
      <c r="A75" s="2">
        <v>40633</v>
      </c>
      <c r="B75" s="3">
        <v>6.3</v>
      </c>
      <c r="C75" s="3">
        <v>6.0220942309508141</v>
      </c>
      <c r="D75" s="3">
        <v>6.366723259762308</v>
      </c>
      <c r="E75" s="3">
        <v>6.2700056486537425</v>
      </c>
      <c r="F75" s="3">
        <v>6.1255167230364505</v>
      </c>
      <c r="G75" s="3">
        <v>6.0719992480496199</v>
      </c>
      <c r="H75" s="3">
        <v>6.155076691446304</v>
      </c>
      <c r="I75" s="3">
        <v>6.155076691446304</v>
      </c>
      <c r="J75" s="3">
        <v>6.1764428961491369</v>
      </c>
      <c r="K75" s="3">
        <v>6.1947819534708293</v>
      </c>
      <c r="L75" s="3">
        <v>6.1699321778447613</v>
      </c>
      <c r="M75" s="3">
        <v>6.1680482290881633</v>
      </c>
      <c r="N75" s="3">
        <v>6.1605124340617934</v>
      </c>
      <c r="O75" s="3">
        <v>6.1558025621702983</v>
      </c>
      <c r="P75" s="3">
        <v>6.1501507159005042</v>
      </c>
      <c r="Q75" s="3">
        <v>6.1501507159005042</v>
      </c>
    </row>
    <row r="76" spans="1:17" ht="18.75" customHeight="1" x14ac:dyDescent="0.25">
      <c r="A76" s="2">
        <v>40663</v>
      </c>
      <c r="B76" s="3">
        <v>6.51</v>
      </c>
      <c r="C76" s="3">
        <v>5.7471804511278313</v>
      </c>
      <c r="D76" s="3">
        <v>5.8711374095989477</v>
      </c>
      <c r="E76" s="3">
        <v>5.7676777162174897</v>
      </c>
      <c r="F76" s="3">
        <v>5.6334990152865139</v>
      </c>
      <c r="G76" s="3">
        <v>5.6759294029290253</v>
      </c>
      <c r="H76" s="3">
        <v>5.6911944366131006</v>
      </c>
      <c r="I76" s="3">
        <v>5.6911944366131006</v>
      </c>
      <c r="J76" s="3">
        <v>5.670771834163757</v>
      </c>
      <c r="K76" s="3">
        <v>5.6467381086670265</v>
      </c>
      <c r="L76" s="3">
        <v>5.6349280947457503</v>
      </c>
      <c r="M76" s="3">
        <v>5.6496803309514787</v>
      </c>
      <c r="N76" s="3">
        <v>5.6365174877773594</v>
      </c>
      <c r="O76" s="3">
        <v>5.6280556600225351</v>
      </c>
      <c r="P76" s="3">
        <v>5.6195938322677552</v>
      </c>
      <c r="Q76" s="3">
        <v>5.6195938322677552</v>
      </c>
    </row>
    <row r="77" spans="1:17" ht="18.75" customHeight="1" x14ac:dyDescent="0.25">
      <c r="A77" s="2">
        <v>40694</v>
      </c>
      <c r="B77" s="3">
        <v>6.55</v>
      </c>
      <c r="C77" s="3">
        <v>5.3720014992503895</v>
      </c>
      <c r="D77" s="3">
        <v>5.6244131455399193</v>
      </c>
      <c r="E77" s="3">
        <v>5.6134911687335531</v>
      </c>
      <c r="F77" s="3">
        <v>5.6625939849624052</v>
      </c>
      <c r="G77" s="3">
        <v>5.6439180297048086</v>
      </c>
      <c r="H77" s="3">
        <v>5.7393106046336406</v>
      </c>
      <c r="I77" s="3">
        <v>5.7393106046336406</v>
      </c>
      <c r="J77" s="3">
        <v>5.6732580037664793</v>
      </c>
      <c r="K77" s="3">
        <v>5.6563088512241011</v>
      </c>
      <c r="L77" s="3">
        <v>5.6275303643724683</v>
      </c>
      <c r="M77" s="3">
        <v>5.7295004712535569</v>
      </c>
      <c r="N77" s="3">
        <v>5.7229029217719329</v>
      </c>
      <c r="O77" s="3">
        <v>5.7181903864278905</v>
      </c>
      <c r="P77" s="3">
        <v>5.7144203581526831</v>
      </c>
      <c r="Q77" s="3">
        <v>5.7144203581526831</v>
      </c>
    </row>
    <row r="78" spans="1:17" ht="18.75" customHeight="1" x14ac:dyDescent="0.25">
      <c r="A78" s="2">
        <v>40724</v>
      </c>
      <c r="B78" s="3">
        <v>6.71</v>
      </c>
      <c r="C78" s="3">
        <v>5.2499299261889121</v>
      </c>
      <c r="D78" s="3">
        <v>5.6232427366448068</v>
      </c>
      <c r="E78" s="3">
        <v>5.5394132533508333</v>
      </c>
      <c r="F78" s="3">
        <v>5.544090056285178</v>
      </c>
      <c r="G78" s="3">
        <v>5.5331330955509683</v>
      </c>
      <c r="H78" s="3">
        <v>5.5209018318459258</v>
      </c>
      <c r="I78" s="3">
        <v>5.5209018318459258</v>
      </c>
      <c r="J78" s="3">
        <v>5.4985433699840103</v>
      </c>
      <c r="K78" s="3">
        <v>5.5076142131979644</v>
      </c>
      <c r="L78" s="3">
        <v>5.5639168469570066</v>
      </c>
      <c r="M78" s="3">
        <v>5.6122352941176512</v>
      </c>
      <c r="N78" s="3">
        <v>5.6696176304388501</v>
      </c>
      <c r="O78" s="3">
        <v>5.7019031467872683</v>
      </c>
      <c r="P78" s="3">
        <v>5.7052671252237896</v>
      </c>
      <c r="Q78" s="3">
        <v>5.7052671252237896</v>
      </c>
    </row>
    <row r="79" spans="1:17" ht="18.75" customHeight="1" x14ac:dyDescent="0.25">
      <c r="A79" s="2">
        <v>40755</v>
      </c>
      <c r="B79" s="3">
        <v>6.87</v>
      </c>
      <c r="C79" s="3">
        <v>5.7405842021226672</v>
      </c>
      <c r="D79" s="3">
        <v>5.9706822025934914</v>
      </c>
      <c r="E79" s="3">
        <v>5.9951137004322641</v>
      </c>
      <c r="F79" s="3">
        <v>5.883788604149065</v>
      </c>
      <c r="G79" s="3">
        <v>5.8743425995492204</v>
      </c>
      <c r="H79" s="3">
        <v>5.8448389217619967</v>
      </c>
      <c r="I79" s="3">
        <v>5.8448389217619967</v>
      </c>
      <c r="J79" s="3">
        <v>5.8743888679954726</v>
      </c>
      <c r="K79" s="3">
        <v>5.8901532963415715</v>
      </c>
      <c r="L79" s="3">
        <v>5.8596689240030031</v>
      </c>
      <c r="M79" s="3">
        <v>5.8645343367826896</v>
      </c>
      <c r="N79" s="3">
        <v>5.8513640639699105</v>
      </c>
      <c r="O79" s="3">
        <v>5.8400752587018046</v>
      </c>
      <c r="P79" s="3">
        <v>5.8363123236124359</v>
      </c>
      <c r="Q79" s="3">
        <v>5.8363123236124359</v>
      </c>
    </row>
    <row r="80" spans="1:17" ht="18.75" customHeight="1" x14ac:dyDescent="0.25">
      <c r="A80" s="2">
        <v>40786</v>
      </c>
      <c r="B80" s="3">
        <v>7.23</v>
      </c>
      <c r="C80" s="3">
        <v>6.0560694192810072</v>
      </c>
      <c r="D80" s="3">
        <v>5.9167143129407185</v>
      </c>
      <c r="E80" s="3">
        <v>6.063292345820237</v>
      </c>
      <c r="F80" s="3">
        <v>5.9048977650974832</v>
      </c>
      <c r="G80" s="3">
        <v>5.779276284547441</v>
      </c>
      <c r="H80" s="3">
        <v>5.7891737891738071</v>
      </c>
      <c r="I80" s="3">
        <v>5.7891737891738071</v>
      </c>
      <c r="J80" s="3">
        <v>5.6560098662365998</v>
      </c>
      <c r="K80" s="3">
        <v>5.5654564413688545</v>
      </c>
      <c r="L80" s="3">
        <v>5.6117223065250244</v>
      </c>
      <c r="M80" s="3">
        <v>5.6489563567362344</v>
      </c>
      <c r="N80" s="3">
        <v>5.6461100569259903</v>
      </c>
      <c r="O80" s="3">
        <v>5.6442125237191609</v>
      </c>
      <c r="P80" s="3">
        <v>5.6432637571157462</v>
      </c>
      <c r="Q80" s="3">
        <v>5.6432637571157462</v>
      </c>
    </row>
    <row r="81" spans="1:17" ht="18.75" customHeight="1" x14ac:dyDescent="0.25">
      <c r="A81" s="2">
        <v>40816</v>
      </c>
      <c r="B81" s="3">
        <v>7.31</v>
      </c>
      <c r="C81" s="3">
        <v>6.012293507491373</v>
      </c>
      <c r="D81" s="3">
        <v>6.2014015551502322</v>
      </c>
      <c r="E81" s="3">
        <v>6.0504683616899202</v>
      </c>
      <c r="F81" s="3">
        <v>5.8974847560975485</v>
      </c>
      <c r="G81" s="3">
        <v>5.8224716963181544</v>
      </c>
      <c r="H81" s="3">
        <v>5.7919756607719863</v>
      </c>
      <c r="I81" s="3">
        <v>5.7919756607719863</v>
      </c>
      <c r="J81" s="3">
        <v>5.621144538293632</v>
      </c>
      <c r="K81" s="3">
        <v>5.6378132118450885</v>
      </c>
      <c r="L81" s="3">
        <v>5.5502846299810171</v>
      </c>
      <c r="M81" s="3">
        <v>5.5502846299810171</v>
      </c>
      <c r="N81" s="3">
        <v>5.5502846299810171</v>
      </c>
      <c r="O81" s="3">
        <v>5.5502846299810171</v>
      </c>
      <c r="P81" s="3">
        <v>5.5502846299810171</v>
      </c>
      <c r="Q81" s="3">
        <v>5.5502846299810171</v>
      </c>
    </row>
    <row r="82" spans="1:17" ht="18.75" customHeight="1" x14ac:dyDescent="0.25">
      <c r="A82" s="2">
        <v>40847</v>
      </c>
      <c r="B82" s="3">
        <v>6.97</v>
      </c>
      <c r="C82" s="3">
        <v>5.8884515695497797</v>
      </c>
      <c r="D82" s="3">
        <v>6.0487430435616885</v>
      </c>
      <c r="E82" s="3">
        <v>5.9493307839388221</v>
      </c>
      <c r="F82" s="3">
        <v>5.8387342737323822</v>
      </c>
      <c r="G82" s="3">
        <v>5.8097686375321311</v>
      </c>
      <c r="H82" s="3">
        <v>5.7450047573739393</v>
      </c>
      <c r="I82" s="3">
        <v>5.7450047573739393</v>
      </c>
      <c r="J82" s="3">
        <v>5.6428775064145231</v>
      </c>
      <c r="K82" s="3">
        <v>5.6659699790993612</v>
      </c>
      <c r="L82" s="3">
        <v>5.613601823708203</v>
      </c>
      <c r="M82" s="3">
        <v>5.613601823708203</v>
      </c>
      <c r="N82" s="3">
        <v>5.613601823708203</v>
      </c>
      <c r="O82" s="3">
        <v>5.613601823708203</v>
      </c>
      <c r="P82" s="3">
        <v>5.613601823708203</v>
      </c>
      <c r="Q82" s="3">
        <v>5.613601823708203</v>
      </c>
    </row>
    <row r="83" spans="1:17" ht="18.75" customHeight="1" x14ac:dyDescent="0.25">
      <c r="A83" s="2">
        <v>40877</v>
      </c>
      <c r="B83" s="3">
        <v>6.64</v>
      </c>
      <c r="C83" s="3">
        <v>5.281298003072199</v>
      </c>
      <c r="D83" s="3">
        <v>5.5140276710222924</v>
      </c>
      <c r="E83" s="3">
        <v>5.4310592287819537</v>
      </c>
      <c r="F83" s="3">
        <v>5.4351145038167736</v>
      </c>
      <c r="G83" s="3">
        <v>5.2917102883791811</v>
      </c>
      <c r="H83" s="3">
        <v>5.3441218467396467</v>
      </c>
      <c r="I83" s="3">
        <v>5.3441218467396467</v>
      </c>
      <c r="J83" s="3">
        <v>5.5257142857142894</v>
      </c>
      <c r="K83" s="3">
        <v>5.5183246073298609</v>
      </c>
      <c r="L83" s="3">
        <v>5.5021418372203756</v>
      </c>
      <c r="M83" s="3">
        <v>5.5222317433114343</v>
      </c>
      <c r="N83" s="3">
        <v>5.5222317433114343</v>
      </c>
      <c r="O83" s="3">
        <v>5.5222317433114343</v>
      </c>
      <c r="P83" s="3">
        <v>5.5222317433114343</v>
      </c>
      <c r="Q83" s="3">
        <v>5.5222317433114343</v>
      </c>
    </row>
    <row r="84" spans="1:17" ht="18.75" customHeight="1" x14ac:dyDescent="0.25">
      <c r="A84" s="2">
        <v>40908</v>
      </c>
      <c r="B84" s="3">
        <v>6.5</v>
      </c>
      <c r="C84" s="3">
        <v>5.5235903337169212</v>
      </c>
      <c r="D84" s="3">
        <v>5.4999522490688513</v>
      </c>
      <c r="E84" s="3">
        <v>5.4977612651233576</v>
      </c>
      <c r="F84" s="3">
        <v>5.4573982502852614</v>
      </c>
      <c r="G84" s="3">
        <v>5.434163024890748</v>
      </c>
      <c r="H84" s="3">
        <v>5.5307421837879067</v>
      </c>
      <c r="I84" s="3">
        <v>5.5307421837879067</v>
      </c>
      <c r="J84" s="3">
        <v>5.4695660431108184</v>
      </c>
      <c r="K84" s="3">
        <v>5.5545005696923555</v>
      </c>
      <c r="L84" s="3">
        <v>5.5819251946079618</v>
      </c>
      <c r="M84" s="3">
        <v>5.5919491123136877</v>
      </c>
      <c r="N84" s="3">
        <v>5.5919491123136877</v>
      </c>
      <c r="O84" s="3">
        <v>5.5919491123136877</v>
      </c>
      <c r="P84" s="3">
        <v>5.5919491123136877</v>
      </c>
      <c r="Q84" s="3">
        <v>5.5919491123136877</v>
      </c>
    </row>
    <row r="85" spans="1:17" ht="18.75" customHeight="1" x14ac:dyDescent="0.25">
      <c r="A85" s="2">
        <v>40939</v>
      </c>
      <c r="B85" s="3">
        <v>6.22</v>
      </c>
      <c r="C85" s="3">
        <v>5.27964635787046</v>
      </c>
      <c r="D85" s="3">
        <v>5.562272116676259</v>
      </c>
      <c r="E85" s="3">
        <v>5.7721397797989349</v>
      </c>
      <c r="F85" s="3">
        <v>5.6603413750357712</v>
      </c>
      <c r="G85" s="3">
        <v>5.6734616117355419</v>
      </c>
      <c r="H85" s="3">
        <v>5.7142857142857162</v>
      </c>
      <c r="I85" s="3">
        <v>5.7142857142857162</v>
      </c>
      <c r="J85" s="3">
        <v>5.7945791726105478</v>
      </c>
      <c r="K85" s="3">
        <v>5.8182854970537878</v>
      </c>
      <c r="L85" s="3">
        <v>5.8236747102413222</v>
      </c>
      <c r="M85" s="3">
        <v>5.8136221145625777</v>
      </c>
      <c r="N85" s="3">
        <v>5.8236747102413222</v>
      </c>
      <c r="O85" s="3">
        <v>5.8538439608476711</v>
      </c>
      <c r="P85" s="3">
        <v>5.9041642897889268</v>
      </c>
      <c r="Q85" s="3">
        <v>5.9041642897889268</v>
      </c>
    </row>
    <row r="86" spans="1:17" ht="18.75" customHeight="1" x14ac:dyDescent="0.25">
      <c r="A86" s="2">
        <v>40968</v>
      </c>
      <c r="B86" s="3">
        <v>5.85</v>
      </c>
      <c r="C86" s="3">
        <v>5.4919378198319713</v>
      </c>
      <c r="D86" s="3">
        <v>5.9652677279305344</v>
      </c>
      <c r="E86" s="3">
        <v>5.9556281213984041</v>
      </c>
      <c r="F86" s="3">
        <v>5.8889952153110103</v>
      </c>
      <c r="G86" s="3">
        <v>6.0124342419894727</v>
      </c>
      <c r="H86" s="3">
        <v>5.8254649499284605</v>
      </c>
      <c r="I86" s="3">
        <v>5.8254649499284605</v>
      </c>
      <c r="J86" s="3">
        <v>5.7844630616907811</v>
      </c>
      <c r="K86" s="3">
        <v>5.8258801141769956</v>
      </c>
      <c r="L86" s="3">
        <v>5.8339672879421878</v>
      </c>
      <c r="M86" s="3">
        <v>5.9131096111797676</v>
      </c>
      <c r="N86" s="3">
        <v>6.0038058991436882</v>
      </c>
      <c r="O86" s="3">
        <v>6.0542598762494126</v>
      </c>
      <c r="P86" s="3">
        <v>6.0542598762494126</v>
      </c>
      <c r="Q86" s="3">
        <v>6.0542598762494126</v>
      </c>
    </row>
    <row r="87" spans="1:17" ht="18.75" customHeight="1" x14ac:dyDescent="0.25">
      <c r="A87" s="2">
        <v>40999</v>
      </c>
      <c r="B87" s="3">
        <v>5.24</v>
      </c>
      <c r="C87" s="3">
        <v>5.4996127033307474</v>
      </c>
      <c r="D87" s="3">
        <v>6.1635220125785928</v>
      </c>
      <c r="E87" s="3">
        <v>5.8913983661700975</v>
      </c>
      <c r="F87" s="3">
        <v>5.9325282729537854</v>
      </c>
      <c r="G87" s="3">
        <v>5.9538623528285761</v>
      </c>
      <c r="H87" s="3">
        <v>5.9728463524237441</v>
      </c>
      <c r="I87" s="3">
        <v>5.9728463524237441</v>
      </c>
      <c r="J87" s="3">
        <v>5.9896877685477135</v>
      </c>
      <c r="K87" s="3">
        <v>6.0177497852848427</v>
      </c>
      <c r="L87" s="3">
        <v>6.0534096328087594</v>
      </c>
      <c r="M87" s="3">
        <v>6.0825626847173409</v>
      </c>
      <c r="N87" s="3">
        <v>6.0623391478410227</v>
      </c>
      <c r="O87" s="3">
        <v>6.0623391478410227</v>
      </c>
      <c r="P87" s="3">
        <v>6.0926773455377559</v>
      </c>
      <c r="Q87" s="3">
        <v>6.0926773455377559</v>
      </c>
    </row>
    <row r="88" spans="1:17" ht="18.75" customHeight="1" x14ac:dyDescent="0.25">
      <c r="A88" s="2">
        <v>41029</v>
      </c>
      <c r="B88" s="3">
        <v>5.0999999999999996</v>
      </c>
      <c r="C88" s="3">
        <v>5.4643691588784904</v>
      </c>
      <c r="D88" s="3">
        <v>5.6936360108653661</v>
      </c>
      <c r="E88" s="3">
        <v>5.8878685355244098</v>
      </c>
      <c r="F88" s="3">
        <v>5.9294593813240759</v>
      </c>
      <c r="G88" s="3">
        <v>5.9151678368760008</v>
      </c>
      <c r="H88" s="3">
        <v>5.9448554135844045</v>
      </c>
      <c r="I88" s="3">
        <v>5.9448554135844045</v>
      </c>
      <c r="J88" s="3">
        <v>6.0986374976012447</v>
      </c>
      <c r="K88" s="3">
        <v>6.1277330264672081</v>
      </c>
      <c r="L88" s="3">
        <v>6.1794306527365173</v>
      </c>
      <c r="M88" s="3">
        <v>6.2182619526683913</v>
      </c>
      <c r="N88" s="3">
        <v>6.1877394636015381</v>
      </c>
      <c r="O88" s="3">
        <v>6.1775691983526393</v>
      </c>
      <c r="P88" s="3">
        <v>6.1775691983526393</v>
      </c>
      <c r="Q88" s="3">
        <v>6.1775691983526393</v>
      </c>
    </row>
    <row r="89" spans="1:17" ht="18.75" customHeight="1" x14ac:dyDescent="0.25">
      <c r="A89" s="2">
        <v>41060</v>
      </c>
      <c r="B89" s="3">
        <v>4.99</v>
      </c>
      <c r="C89" s="3">
        <v>4.8057875315595355</v>
      </c>
      <c r="D89" s="3">
        <v>5.1784328937160673</v>
      </c>
      <c r="E89" s="3">
        <v>5.4431236107084224</v>
      </c>
      <c r="F89" s="3">
        <v>5.4912348295126145</v>
      </c>
      <c r="G89" s="3">
        <v>5.6157398499133926</v>
      </c>
      <c r="H89" s="3">
        <v>5.6942307692307681</v>
      </c>
      <c r="I89" s="3">
        <v>5.6942307692307681</v>
      </c>
      <c r="J89" s="3">
        <v>5.8737630896339654</v>
      </c>
      <c r="K89" s="3">
        <v>5.9825201690357543</v>
      </c>
      <c r="L89" s="3">
        <v>6.0879585173804429</v>
      </c>
      <c r="M89" s="3">
        <v>6.1438033982912366</v>
      </c>
      <c r="N89" s="3">
        <v>6.1234283520491317</v>
      </c>
      <c r="O89" s="3">
        <v>6.1132437619961566</v>
      </c>
      <c r="P89" s="3">
        <v>6.1132437619961566</v>
      </c>
      <c r="Q89" s="3">
        <v>6.1132437619961566</v>
      </c>
    </row>
    <row r="90" spans="1:17" ht="18.75" customHeight="1" x14ac:dyDescent="0.25">
      <c r="A90" s="2">
        <v>41090</v>
      </c>
      <c r="B90" s="3">
        <v>4.92</v>
      </c>
      <c r="C90" s="3">
        <v>4.1335914811229557</v>
      </c>
      <c r="D90" s="3">
        <v>4.9069045771916509</v>
      </c>
      <c r="E90" s="3">
        <v>5.0613348787790891</v>
      </c>
      <c r="F90" s="3">
        <v>5.0312650312650309</v>
      </c>
      <c r="G90" s="3">
        <v>5.1301508020363151</v>
      </c>
      <c r="H90" s="3">
        <v>5.267351444753765</v>
      </c>
      <c r="I90" s="3">
        <v>5.267351444753765</v>
      </c>
      <c r="J90" s="3">
        <v>5.4516685845799939</v>
      </c>
      <c r="K90" s="3">
        <v>5.5281825153374431</v>
      </c>
      <c r="L90" s="3">
        <v>5.5984666986104381</v>
      </c>
      <c r="M90" s="3">
        <v>5.634882606612357</v>
      </c>
      <c r="N90" s="3">
        <v>5.634882606612357</v>
      </c>
      <c r="O90" s="3">
        <v>5.634882606612357</v>
      </c>
      <c r="P90" s="3">
        <v>5.634882606612357</v>
      </c>
      <c r="Q90" s="3">
        <v>5.634882606612357</v>
      </c>
    </row>
    <row r="91" spans="1:17" ht="18.75" customHeight="1" x14ac:dyDescent="0.25">
      <c r="A91" s="2">
        <v>41121</v>
      </c>
      <c r="B91" s="3">
        <v>5.2</v>
      </c>
      <c r="C91" s="3">
        <v>5.5120274914089329</v>
      </c>
      <c r="D91" s="3">
        <v>5.5796252927400536</v>
      </c>
      <c r="E91" s="3">
        <v>5.4850927454598297</v>
      </c>
      <c r="F91" s="3">
        <v>5.4195296622471467</v>
      </c>
      <c r="G91" s="3">
        <v>5.4216169226311228</v>
      </c>
      <c r="H91" s="3">
        <v>5.3881762947246781</v>
      </c>
      <c r="I91" s="3">
        <v>5.3881762947246781</v>
      </c>
      <c r="J91" s="3">
        <v>5.4263715110683508</v>
      </c>
      <c r="K91" s="3">
        <v>5.3984427568970483</v>
      </c>
      <c r="L91" s="3">
        <v>5.3668139043595131</v>
      </c>
      <c r="M91" s="3">
        <v>5.3864618338933967</v>
      </c>
      <c r="N91" s="3">
        <v>5.3864618338933967</v>
      </c>
      <c r="O91" s="3">
        <v>5.3864618338933967</v>
      </c>
      <c r="P91" s="3">
        <v>5.3864618338933967</v>
      </c>
      <c r="Q91" s="3">
        <v>5.3864618338933967</v>
      </c>
    </row>
    <row r="92" spans="1:17" ht="18.75" customHeight="1" x14ac:dyDescent="0.25">
      <c r="A92" s="2">
        <v>41152</v>
      </c>
      <c r="B92" s="3">
        <v>5.24</v>
      </c>
      <c r="C92" s="3">
        <v>5.7703659976387378</v>
      </c>
      <c r="D92" s="3">
        <v>5.3649279875437772</v>
      </c>
      <c r="E92" s="3">
        <v>5.4215581643543453</v>
      </c>
      <c r="F92" s="3">
        <v>5.4350982479914878</v>
      </c>
      <c r="G92" s="3">
        <v>5.4591146336748553</v>
      </c>
      <c r="H92" s="3">
        <v>5.5112484310128496</v>
      </c>
      <c r="I92" s="3">
        <v>5.5112484310128496</v>
      </c>
      <c r="J92" s="3">
        <v>5.5696812096696524</v>
      </c>
      <c r="K92" s="3">
        <v>5.585403427691138</v>
      </c>
      <c r="L92" s="3">
        <v>5.6276472853292292</v>
      </c>
      <c r="M92" s="3">
        <v>5.6106245789625753</v>
      </c>
      <c r="N92" s="3">
        <v>5.5801423898402813</v>
      </c>
      <c r="O92" s="3">
        <v>5.5801423898402813</v>
      </c>
      <c r="P92" s="3">
        <v>5.5801423898402813</v>
      </c>
      <c r="Q92" s="3">
        <v>5.5801423898402813</v>
      </c>
    </row>
    <row r="93" spans="1:17" ht="18.75" customHeight="1" x14ac:dyDescent="0.25">
      <c r="A93" s="2">
        <v>41182</v>
      </c>
      <c r="B93" s="3">
        <v>5.28</v>
      </c>
      <c r="C93" s="3">
        <v>5.974563738538885</v>
      </c>
      <c r="D93" s="3">
        <v>5.7570129997067898</v>
      </c>
      <c r="E93" s="3">
        <v>5.8451047247929822</v>
      </c>
      <c r="F93" s="3">
        <v>5.8149694204446156</v>
      </c>
      <c r="G93" s="3">
        <v>5.7718380786364598</v>
      </c>
      <c r="H93" s="3">
        <v>5.7555834864159383</v>
      </c>
      <c r="I93" s="3">
        <v>5.7555834864159383</v>
      </c>
      <c r="J93" s="3">
        <v>5.8725868725868713</v>
      </c>
      <c r="K93" s="3">
        <v>5.8518947063928461</v>
      </c>
      <c r="L93" s="3">
        <v>5.8383118134515133</v>
      </c>
      <c r="M93" s="3">
        <v>5.8081294548256723</v>
      </c>
      <c r="N93" s="3">
        <v>5.7877503852080237</v>
      </c>
      <c r="O93" s="3">
        <v>5.7877503852080237</v>
      </c>
      <c r="P93" s="3">
        <v>5.7877503852080237</v>
      </c>
      <c r="Q93" s="3">
        <v>5.7877503852080237</v>
      </c>
    </row>
    <row r="94" spans="1:17" ht="18.75" customHeight="1" x14ac:dyDescent="0.25">
      <c r="A94" s="2">
        <v>41213</v>
      </c>
      <c r="B94" s="3">
        <v>5.45</v>
      </c>
      <c r="C94" s="3">
        <v>5.7588009072083723</v>
      </c>
      <c r="D94" s="3">
        <v>5.6674840608141208</v>
      </c>
      <c r="E94" s="3">
        <v>5.7580203442879396</v>
      </c>
      <c r="F94" s="3">
        <v>5.7179062286772497</v>
      </c>
      <c r="G94" s="3">
        <v>5.6564870647733967</v>
      </c>
      <c r="H94" s="3">
        <v>5.620508836667315</v>
      </c>
      <c r="I94" s="3">
        <v>5.620508836667315</v>
      </c>
      <c r="J94" s="3">
        <v>5.7257751937984436</v>
      </c>
      <c r="K94" s="3">
        <v>5.6819281773303754</v>
      </c>
      <c r="L94" s="3">
        <v>5.665925137827621</v>
      </c>
      <c r="M94" s="3">
        <v>5.6060313164508102</v>
      </c>
      <c r="N94" s="3">
        <v>5.5550188387595512</v>
      </c>
      <c r="O94" s="3">
        <v>5.5550188387595512</v>
      </c>
      <c r="P94" s="3">
        <v>5.5550188387595512</v>
      </c>
      <c r="Q94" s="3">
        <v>5.5550188387595512</v>
      </c>
    </row>
    <row r="95" spans="1:17" ht="18.75" customHeight="1" x14ac:dyDescent="0.25">
      <c r="A95" s="2">
        <v>41243</v>
      </c>
      <c r="B95" s="3">
        <v>5.53</v>
      </c>
      <c r="C95" s="3">
        <v>5.6148994875837577</v>
      </c>
      <c r="D95" s="3">
        <v>5.9876057446389908</v>
      </c>
      <c r="E95" s="3">
        <v>5.9943237424153528</v>
      </c>
      <c r="F95" s="3">
        <v>5.8900906167787204</v>
      </c>
      <c r="G95" s="3">
        <v>5.8681703286019848</v>
      </c>
      <c r="H95" s="3">
        <v>5.8051998447807618</v>
      </c>
      <c r="I95" s="3">
        <v>5.8051998447807618</v>
      </c>
      <c r="J95" s="3">
        <v>5.8497870692992615</v>
      </c>
      <c r="K95" s="3">
        <v>5.8592012377913116</v>
      </c>
      <c r="L95" s="3">
        <v>5.868199826070164</v>
      </c>
      <c r="M95" s="3">
        <v>5.8232737807822232</v>
      </c>
      <c r="N95" s="3">
        <v>5.7824114296746831</v>
      </c>
      <c r="O95" s="3">
        <v>5.7824114296746831</v>
      </c>
      <c r="P95" s="3">
        <v>5.7824114296746831</v>
      </c>
      <c r="Q95" s="3">
        <v>5.7824114296746831</v>
      </c>
    </row>
    <row r="96" spans="1:17" ht="18.75" customHeight="1" x14ac:dyDescent="0.25">
      <c r="A96" s="2">
        <v>41274</v>
      </c>
      <c r="B96" s="3">
        <v>5.84</v>
      </c>
      <c r="C96" s="3">
        <v>6.2666137671097077</v>
      </c>
      <c r="D96" s="3">
        <v>6.055741579673013</v>
      </c>
      <c r="E96" s="3">
        <v>6.0376433682972186</v>
      </c>
      <c r="F96" s="3">
        <v>5.9058501806817043</v>
      </c>
      <c r="G96" s="3">
        <v>5.8456742010911888</v>
      </c>
      <c r="H96" s="3">
        <v>5.7651176356212419</v>
      </c>
      <c r="I96" s="3">
        <v>5.7651176356212419</v>
      </c>
      <c r="J96" s="3">
        <v>5.7956968404729414</v>
      </c>
      <c r="K96" s="3">
        <v>5.7411172427147106</v>
      </c>
      <c r="L96" s="3">
        <v>5.7554652737473289</v>
      </c>
      <c r="M96" s="3">
        <v>5.7043411002610345</v>
      </c>
      <c r="N96" s="3">
        <v>5.6532663316583021</v>
      </c>
      <c r="O96" s="3">
        <v>5.6532663316583021</v>
      </c>
      <c r="P96" s="3">
        <v>5.6532663316583021</v>
      </c>
      <c r="Q96" s="3">
        <v>5.6532663316583021</v>
      </c>
    </row>
    <row r="97" spans="1:17" ht="18.75" customHeight="1" x14ac:dyDescent="0.25">
      <c r="A97" s="2">
        <v>41305</v>
      </c>
      <c r="B97" s="3">
        <v>6.15</v>
      </c>
      <c r="C97" s="3">
        <v>5.91784338896022</v>
      </c>
      <c r="D97" s="3">
        <v>5.8676470588235219</v>
      </c>
      <c r="E97" s="3">
        <v>5.9410386567746887</v>
      </c>
      <c r="F97" s="3">
        <v>5.8929961089494221</v>
      </c>
      <c r="G97" s="3">
        <v>5.9780390632591551</v>
      </c>
      <c r="H97" s="3">
        <v>5.9734212823746136</v>
      </c>
      <c r="I97" s="3">
        <v>5.9734212823746136</v>
      </c>
      <c r="J97" s="3">
        <v>6.0226393188854477</v>
      </c>
      <c r="K97" s="3">
        <v>6.0444659255679101</v>
      </c>
      <c r="L97" s="3">
        <v>6.0278207109737192</v>
      </c>
      <c r="M97" s="3">
        <v>5.9868675164155949</v>
      </c>
      <c r="N97" s="3">
        <v>5.9664027804595232</v>
      </c>
      <c r="O97" s="3">
        <v>5.9664027804595232</v>
      </c>
      <c r="P97" s="3">
        <v>5.9664027804595232</v>
      </c>
      <c r="Q97" s="3">
        <v>5.9664027804595232</v>
      </c>
    </row>
    <row r="98" spans="1:17" ht="18.75" customHeight="1" x14ac:dyDescent="0.25">
      <c r="A98" s="2">
        <v>41333</v>
      </c>
      <c r="B98" s="3">
        <v>6.31</v>
      </c>
      <c r="C98" s="3">
        <v>5.4948604992657968</v>
      </c>
      <c r="D98" s="3">
        <v>5.6719617970957925</v>
      </c>
      <c r="E98" s="3">
        <v>5.6954285159662277</v>
      </c>
      <c r="F98" s="3">
        <v>5.6096380878652763</v>
      </c>
      <c r="G98" s="3">
        <v>5.5870132379939985</v>
      </c>
      <c r="H98" s="3">
        <v>5.6082255261633573</v>
      </c>
      <c r="I98" s="3">
        <v>5.6082255261633573</v>
      </c>
      <c r="J98" s="3">
        <v>5.6824754193175009</v>
      </c>
      <c r="K98" s="3">
        <v>5.6852547433304368</v>
      </c>
      <c r="L98" s="3">
        <v>5.6892568348094086</v>
      </c>
      <c r="M98" s="3">
        <v>5.6790836461642291</v>
      </c>
      <c r="N98" s="3">
        <v>5.6689124157844217</v>
      </c>
      <c r="O98" s="3">
        <v>5.6689124157844217</v>
      </c>
      <c r="P98" s="3">
        <v>5.6689124157844217</v>
      </c>
      <c r="Q98" s="3">
        <v>5.6689124157844217</v>
      </c>
    </row>
    <row r="99" spans="1:17" ht="18.75" customHeight="1" x14ac:dyDescent="0.25">
      <c r="A99" s="2">
        <v>41364</v>
      </c>
      <c r="B99" s="3">
        <v>6.59</v>
      </c>
      <c r="C99" s="3">
        <v>5.1012855473315355</v>
      </c>
      <c r="D99" s="3">
        <v>5.6184364060676728</v>
      </c>
      <c r="E99" s="3">
        <v>5.7302064153503141</v>
      </c>
      <c r="F99" s="3">
        <v>5.7907965970610986</v>
      </c>
      <c r="G99" s="3">
        <v>5.7780993728895336</v>
      </c>
      <c r="H99" s="3">
        <v>5.8257013400173419</v>
      </c>
      <c r="I99" s="3">
        <v>5.8257013400173419</v>
      </c>
      <c r="J99" s="3">
        <v>5.981119352663522</v>
      </c>
      <c r="K99" s="3">
        <v>6.0337024554645957</v>
      </c>
      <c r="L99" s="3">
        <v>6.004618937644346</v>
      </c>
      <c r="M99" s="3">
        <v>5.9230769230769198</v>
      </c>
      <c r="N99" s="3">
        <v>5.8823529411764719</v>
      </c>
      <c r="O99" s="3">
        <v>5.8823529411764719</v>
      </c>
      <c r="P99" s="3">
        <v>5.8823529411764719</v>
      </c>
      <c r="Q99" s="3">
        <v>5.8823529411764719</v>
      </c>
    </row>
    <row r="100" spans="1:17" ht="18.75" customHeight="1" x14ac:dyDescent="0.25">
      <c r="A100" s="2">
        <v>41394</v>
      </c>
      <c r="B100" s="3">
        <v>6.49</v>
      </c>
      <c r="C100" s="3">
        <v>5.1957537982080249</v>
      </c>
      <c r="D100" s="3">
        <v>5.4832116788321006</v>
      </c>
      <c r="E100" s="3">
        <v>5.4716614906832328</v>
      </c>
      <c r="F100" s="3">
        <v>5.3604954998548227</v>
      </c>
      <c r="G100" s="3">
        <v>5.3919768003866553</v>
      </c>
      <c r="H100" s="3">
        <v>5.4223380635196605</v>
      </c>
      <c r="I100" s="3">
        <v>5.4223380635196605</v>
      </c>
      <c r="J100" s="3">
        <v>5.5140186915887845</v>
      </c>
      <c r="K100" s="3">
        <v>5.5497785480454587</v>
      </c>
      <c r="L100" s="3">
        <v>5.5213543670642462</v>
      </c>
      <c r="M100" s="3">
        <v>5.4199500288295122</v>
      </c>
      <c r="N100" s="3">
        <v>5.3794428434198016</v>
      </c>
      <c r="O100" s="3">
        <v>5.3794428434198016</v>
      </c>
      <c r="P100" s="3">
        <v>5.3794428434198016</v>
      </c>
      <c r="Q100" s="3">
        <v>5.3794428434198016</v>
      </c>
    </row>
    <row r="101" spans="1:17" ht="18.75" customHeight="1" x14ac:dyDescent="0.25">
      <c r="A101" s="2">
        <v>41425</v>
      </c>
      <c r="B101" s="3">
        <v>6.5</v>
      </c>
      <c r="C101" s="3">
        <v>5.3261607056314553</v>
      </c>
      <c r="D101" s="3">
        <v>5.2565586419753174</v>
      </c>
      <c r="E101" s="3">
        <v>5.3327562992883326</v>
      </c>
      <c r="F101" s="3">
        <v>5.3905950095969324</v>
      </c>
      <c r="G101" s="3">
        <v>5.4409509202454132</v>
      </c>
      <c r="H101" s="3">
        <v>5.4761448553362513</v>
      </c>
      <c r="I101" s="3">
        <v>5.4761448553362513</v>
      </c>
      <c r="J101" s="3">
        <v>5.6626160176059814</v>
      </c>
      <c r="K101" s="3">
        <v>5.6432804435098349</v>
      </c>
      <c r="L101" s="3">
        <v>5.6553305311425328</v>
      </c>
      <c r="M101" s="3">
        <v>5.614973262032108</v>
      </c>
      <c r="N101" s="3">
        <v>5.604888761577409</v>
      </c>
      <c r="O101" s="3">
        <v>5.604888761577409</v>
      </c>
      <c r="P101" s="3">
        <v>5.604888761577409</v>
      </c>
      <c r="Q101" s="3">
        <v>5.604888761577409</v>
      </c>
    </row>
    <row r="102" spans="1:17" ht="18.75" customHeight="1" x14ac:dyDescent="0.25">
      <c r="A102" s="2">
        <v>41455</v>
      </c>
      <c r="B102" s="3">
        <v>6.7</v>
      </c>
      <c r="C102" s="3">
        <v>5.2293930941617717</v>
      </c>
      <c r="D102" s="3">
        <v>5.9064271303679527</v>
      </c>
      <c r="E102" s="3">
        <v>5.9344230953063626</v>
      </c>
      <c r="F102" s="3">
        <v>5.9509729111026255</v>
      </c>
      <c r="G102" s="3">
        <v>5.9030753118156865</v>
      </c>
      <c r="H102" s="3">
        <v>5.7803138373751617</v>
      </c>
      <c r="I102" s="3">
        <v>5.7803138373751617</v>
      </c>
      <c r="J102" s="3">
        <v>5.7433266837655594</v>
      </c>
      <c r="K102" s="3">
        <v>5.7559354226020876</v>
      </c>
      <c r="L102" s="3">
        <v>5.7940729483282549</v>
      </c>
      <c r="M102" s="3">
        <v>5.7237778832462949</v>
      </c>
      <c r="N102" s="3">
        <v>5.7037107336053827</v>
      </c>
      <c r="O102" s="3">
        <v>5.7037107336053827</v>
      </c>
      <c r="P102" s="3">
        <v>5.7037107336053827</v>
      </c>
      <c r="Q102" s="3">
        <v>5.7037107336053827</v>
      </c>
    </row>
    <row r="103" spans="1:17" ht="18.75" customHeight="1" x14ac:dyDescent="0.25">
      <c r="A103" s="2">
        <v>41486</v>
      </c>
      <c r="B103" s="3">
        <v>6.27</v>
      </c>
      <c r="C103" s="3">
        <v>5.5209037366032554</v>
      </c>
      <c r="D103" s="3">
        <v>5.7616530514175812</v>
      </c>
      <c r="E103" s="3">
        <v>5.9167065581618106</v>
      </c>
      <c r="F103" s="3">
        <v>5.8306282222646555</v>
      </c>
      <c r="G103" s="3">
        <v>5.784407167365635</v>
      </c>
      <c r="H103" s="3">
        <v>5.7039504997620227</v>
      </c>
      <c r="I103" s="3">
        <v>5.7039504997620227</v>
      </c>
      <c r="J103" s="3">
        <v>5.6077164306756577</v>
      </c>
      <c r="K103" s="3">
        <v>5.5773979107312632</v>
      </c>
      <c r="L103" s="3">
        <v>5.542900531511008</v>
      </c>
      <c r="M103" s="3">
        <v>5.5128570073061933</v>
      </c>
      <c r="N103" s="3">
        <v>5.5128570073061933</v>
      </c>
      <c r="O103" s="3">
        <v>5.5128570073061933</v>
      </c>
      <c r="P103" s="3">
        <v>5.5128570073061933</v>
      </c>
      <c r="Q103" s="3">
        <v>5.5128570073061933</v>
      </c>
    </row>
    <row r="104" spans="1:17" ht="18.75" customHeight="1" x14ac:dyDescent="0.25">
      <c r="A104" s="2">
        <v>41517</v>
      </c>
      <c r="B104" s="3">
        <v>6.09</v>
      </c>
      <c r="C104" s="3">
        <v>6.227469879518055</v>
      </c>
      <c r="D104" s="3">
        <v>6.6804222648752409</v>
      </c>
      <c r="E104" s="3">
        <v>6.3029207496908102</v>
      </c>
      <c r="F104" s="3">
        <v>6.2479825310927772</v>
      </c>
      <c r="G104" s="3">
        <v>6.2381494122108583</v>
      </c>
      <c r="H104" s="3">
        <v>6.1978771796815879</v>
      </c>
      <c r="I104" s="3">
        <v>6.1978771796815879</v>
      </c>
      <c r="J104" s="3">
        <v>6.2238424391629632</v>
      </c>
      <c r="K104" s="3">
        <v>6.2508282063417075</v>
      </c>
      <c r="L104" s="3">
        <v>6.2446778313937079</v>
      </c>
      <c r="M104" s="3">
        <v>6.2044831173744486</v>
      </c>
      <c r="N104" s="3">
        <v>6.2044831173744486</v>
      </c>
      <c r="O104" s="3">
        <v>6.2044831173744486</v>
      </c>
      <c r="P104" s="3">
        <v>6.2044831173744486</v>
      </c>
      <c r="Q104" s="3">
        <v>6.2044831173744486</v>
      </c>
    </row>
    <row r="105" spans="1:17" ht="18.75" customHeight="1" x14ac:dyDescent="0.25">
      <c r="A105" s="2">
        <v>41547</v>
      </c>
      <c r="B105" s="3">
        <v>5.86</v>
      </c>
      <c r="C105" s="3">
        <v>6.3375519273500158</v>
      </c>
      <c r="D105" s="3">
        <v>6.5798577743609421</v>
      </c>
      <c r="E105" s="3">
        <v>6.2105463907695446</v>
      </c>
      <c r="F105" s="3">
        <v>6.0871219326612103</v>
      </c>
      <c r="G105" s="3">
        <v>6.0654959658281715</v>
      </c>
      <c r="H105" s="3">
        <v>5.9734471313418691</v>
      </c>
      <c r="I105" s="3">
        <v>5.9734471313418691</v>
      </c>
      <c r="J105" s="3">
        <v>5.9539598332701615</v>
      </c>
      <c r="K105" s="3">
        <v>5.9772727272727311</v>
      </c>
      <c r="L105" s="3">
        <v>5.944155229531467</v>
      </c>
      <c r="M105" s="3">
        <v>5.9040590405904148</v>
      </c>
      <c r="N105" s="3">
        <v>5.9040590405904148</v>
      </c>
      <c r="O105" s="3">
        <v>5.9040590405904148</v>
      </c>
      <c r="P105" s="3">
        <v>5.9040590405904148</v>
      </c>
      <c r="Q105" s="3">
        <v>5.9040590405904148</v>
      </c>
    </row>
    <row r="106" spans="1:17" ht="18.75" customHeight="1" x14ac:dyDescent="0.25">
      <c r="A106" s="2">
        <v>41578</v>
      </c>
      <c r="B106" s="3">
        <v>5.84</v>
      </c>
      <c r="C106" s="3">
        <v>6.3449138677701855</v>
      </c>
      <c r="D106" s="3">
        <v>6.4903707962058022</v>
      </c>
      <c r="E106" s="3">
        <v>6.031021029593675</v>
      </c>
      <c r="F106" s="3">
        <v>5.9832874370904898</v>
      </c>
      <c r="G106" s="3">
        <v>5.8628528130327595</v>
      </c>
      <c r="H106" s="3">
        <v>5.7590087959898062</v>
      </c>
      <c r="I106" s="3">
        <v>5.7590087959898062</v>
      </c>
      <c r="J106" s="3">
        <v>5.6976854038734093</v>
      </c>
      <c r="K106" s="3">
        <v>5.7415454373701102</v>
      </c>
      <c r="L106" s="3">
        <v>5.7229200113325218</v>
      </c>
      <c r="M106" s="3">
        <v>5.7129367327667602</v>
      </c>
      <c r="N106" s="3">
        <v>5.7129367327667602</v>
      </c>
      <c r="O106" s="3">
        <v>5.7129367327667602</v>
      </c>
      <c r="P106" s="3">
        <v>5.7129367327667602</v>
      </c>
      <c r="Q106" s="3">
        <v>5.7129367327667602</v>
      </c>
    </row>
    <row r="107" spans="1:17" ht="18.75" customHeight="1" x14ac:dyDescent="0.25">
      <c r="A107" s="2">
        <v>41608</v>
      </c>
      <c r="B107" s="3">
        <v>5.77</v>
      </c>
      <c r="C107" s="3">
        <v>6.2570852147180389</v>
      </c>
      <c r="D107" s="3">
        <v>6.4592070148684844</v>
      </c>
      <c r="E107" s="3">
        <v>6.3506210296766952</v>
      </c>
      <c r="F107" s="3">
        <v>6.4145764316138276</v>
      </c>
      <c r="G107" s="3">
        <v>6.3864752550056636</v>
      </c>
      <c r="H107" s="3">
        <v>6.2690929662455153</v>
      </c>
      <c r="I107" s="3">
        <v>6.2690929662455153</v>
      </c>
      <c r="J107" s="3">
        <v>6.1916854778028663</v>
      </c>
      <c r="K107" s="3">
        <v>6.1654135338345739</v>
      </c>
      <c r="L107" s="3">
        <v>6.2165210036650542</v>
      </c>
      <c r="M107" s="3">
        <v>6.2312030075188041</v>
      </c>
      <c r="N107" s="3">
        <v>6.2312030075188041</v>
      </c>
      <c r="O107" s="3">
        <v>6.2312030075188041</v>
      </c>
      <c r="P107" s="3">
        <v>6.2312030075188041</v>
      </c>
      <c r="Q107" s="3">
        <v>6.2312030075188041</v>
      </c>
    </row>
    <row r="108" spans="1:17" ht="18.75" customHeight="1" x14ac:dyDescent="0.25">
      <c r="A108" s="2">
        <v>41639</v>
      </c>
      <c r="B108" s="3">
        <v>5.91</v>
      </c>
      <c r="C108" s="3">
        <v>6.219020172910672</v>
      </c>
      <c r="D108" s="3">
        <v>6.7840398048033768</v>
      </c>
      <c r="E108" s="3">
        <v>6.6489361702127825</v>
      </c>
      <c r="F108" s="3">
        <v>6.4958396369137583</v>
      </c>
      <c r="G108" s="3">
        <v>6.493629070316187</v>
      </c>
      <c r="H108" s="3">
        <v>6.4285041002922094</v>
      </c>
      <c r="I108" s="3">
        <v>6.4285041002922094</v>
      </c>
      <c r="J108" s="3">
        <v>6.4965634121080917</v>
      </c>
      <c r="K108" s="3">
        <v>6.5512048192771122</v>
      </c>
      <c r="L108" s="3">
        <v>6.539945422038218</v>
      </c>
      <c r="M108" s="3">
        <v>6.5098777046096012</v>
      </c>
      <c r="N108" s="3">
        <v>6.5098777046096012</v>
      </c>
      <c r="O108" s="3">
        <v>6.5098777046096012</v>
      </c>
      <c r="P108" s="3">
        <v>6.5098777046096012</v>
      </c>
      <c r="Q108" s="3">
        <v>6.5098777046096012</v>
      </c>
    </row>
    <row r="109" spans="1:17" ht="18.75" customHeight="1" x14ac:dyDescent="0.25">
      <c r="A109" s="2">
        <v>41670</v>
      </c>
      <c r="B109" s="3">
        <v>5.59</v>
      </c>
      <c r="C109" s="3">
        <v>6.2260026610910346</v>
      </c>
      <c r="D109" s="3">
        <v>6.319267440762788</v>
      </c>
      <c r="E109" s="3">
        <v>6.2242691982329124</v>
      </c>
      <c r="F109" s="3">
        <v>6.2081261142910682</v>
      </c>
      <c r="G109" s="3">
        <v>6.1801649793775892</v>
      </c>
      <c r="H109" s="3">
        <v>6.2118088097469659</v>
      </c>
      <c r="I109" s="3">
        <v>6.2118088097469659</v>
      </c>
      <c r="J109" s="3">
        <v>6.3350196739741405</v>
      </c>
      <c r="K109" s="3">
        <v>6.3731734732109357</v>
      </c>
      <c r="L109" s="3">
        <v>6.4044943820224631</v>
      </c>
      <c r="M109" s="3">
        <v>6.382779597566679</v>
      </c>
      <c r="N109" s="3">
        <v>6.3529191616766623</v>
      </c>
      <c r="O109" s="3">
        <v>6.3230754840520209</v>
      </c>
      <c r="P109" s="3">
        <v>6.2932485505891256</v>
      </c>
      <c r="Q109" s="3">
        <v>6.2733732236350148</v>
      </c>
    </row>
    <row r="110" spans="1:17" ht="18.75" customHeight="1" x14ac:dyDescent="0.25">
      <c r="A110" s="2">
        <v>41698</v>
      </c>
      <c r="B110" s="3">
        <v>5.68</v>
      </c>
      <c r="C110" s="3">
        <v>6.0915593705293425</v>
      </c>
      <c r="D110" s="3">
        <v>6.6536520331396787</v>
      </c>
      <c r="E110" s="3">
        <v>6.4082638362395805</v>
      </c>
      <c r="F110" s="3">
        <v>6.2948960302457557</v>
      </c>
      <c r="G110" s="3">
        <v>6.2340726757904585</v>
      </c>
      <c r="H110" s="3">
        <v>6.1961338991041837</v>
      </c>
      <c r="I110" s="3">
        <v>6.1961338991041837</v>
      </c>
      <c r="J110" s="3">
        <v>6.1134631668077866</v>
      </c>
      <c r="K110" s="3">
        <v>6.102284478706399</v>
      </c>
      <c r="L110" s="3">
        <v>6.140829181160079</v>
      </c>
      <c r="M110" s="3">
        <v>6.133183056259961</v>
      </c>
      <c r="N110" s="3">
        <v>6.0734065521449443</v>
      </c>
      <c r="O110" s="3">
        <v>6.0335929436051261</v>
      </c>
      <c r="P110" s="3">
        <v>5.9938092111434083</v>
      </c>
      <c r="Q110" s="3">
        <v>5.9639909977494243</v>
      </c>
    </row>
    <row r="111" spans="1:17" ht="18.75" customHeight="1" x14ac:dyDescent="0.25">
      <c r="A111" s="2">
        <v>41729</v>
      </c>
      <c r="B111" s="3">
        <v>6.15</v>
      </c>
      <c r="C111" s="3">
        <v>6.7535704016102871</v>
      </c>
      <c r="D111" s="3">
        <v>6.5508402164625723</v>
      </c>
      <c r="E111" s="3">
        <v>6.4376951461822429</v>
      </c>
      <c r="F111" s="3">
        <v>6.3213510708557408</v>
      </c>
      <c r="G111" s="3">
        <v>6.1523253624552909</v>
      </c>
      <c r="H111" s="3">
        <v>6.1760000000000037</v>
      </c>
      <c r="I111" s="3">
        <v>6.1760000000000037</v>
      </c>
      <c r="J111" s="3">
        <v>6.0826679192109046</v>
      </c>
      <c r="K111" s="3">
        <v>6.0503097428196151</v>
      </c>
      <c r="L111" s="3">
        <v>6.0910370717972784</v>
      </c>
      <c r="M111" s="3">
        <v>6.0765191297824428</v>
      </c>
      <c r="N111" s="3">
        <v>6.0864672231079497</v>
      </c>
      <c r="O111" s="3">
        <v>6.0964171825173441</v>
      </c>
      <c r="P111" s="3">
        <v>6.0964171825173441</v>
      </c>
      <c r="Q111" s="3">
        <v>6.1063690085357836</v>
      </c>
    </row>
    <row r="112" spans="1:17" ht="18.75" customHeight="1" x14ac:dyDescent="0.25">
      <c r="A112" s="2">
        <v>41759</v>
      </c>
      <c r="B112" s="3">
        <v>6.28</v>
      </c>
      <c r="C112" s="3">
        <v>6.630590939565173</v>
      </c>
      <c r="D112" s="3">
        <v>6.326820940819422</v>
      </c>
      <c r="E112" s="3">
        <v>6.151011151011132</v>
      </c>
      <c r="F112" s="3">
        <v>6.0575200377180671</v>
      </c>
      <c r="G112" s="3">
        <v>6.004710315591133</v>
      </c>
      <c r="H112" s="3">
        <v>5.993595780749672</v>
      </c>
      <c r="I112" s="3">
        <v>5.993595780749672</v>
      </c>
      <c r="J112" s="3">
        <v>6.1035781544255929</v>
      </c>
      <c r="K112" s="3">
        <v>6.103321727674782</v>
      </c>
      <c r="L112" s="3">
        <v>6.1305492851768228</v>
      </c>
      <c r="M112" s="3">
        <v>6.1001973869724502</v>
      </c>
      <c r="N112" s="3">
        <v>6.0603213379686105</v>
      </c>
      <c r="O112" s="3">
        <v>6.0304339658087569</v>
      </c>
      <c r="P112" s="3">
        <v>6.0005634331862234</v>
      </c>
      <c r="Q112" s="3">
        <v>5.980659093042906</v>
      </c>
    </row>
    <row r="113" spans="1:17" ht="18.75" customHeight="1" x14ac:dyDescent="0.25">
      <c r="A113" s="2">
        <v>41790</v>
      </c>
      <c r="B113" s="3">
        <v>6.37</v>
      </c>
      <c r="C113" s="3">
        <v>6.3297923246243837</v>
      </c>
      <c r="D113" s="3">
        <v>5.788525367472741</v>
      </c>
      <c r="E113" s="3">
        <v>5.9910807476990291</v>
      </c>
      <c r="F113" s="3">
        <v>5.9674057229486488</v>
      </c>
      <c r="G113" s="3">
        <v>5.8976057537617033</v>
      </c>
      <c r="H113" s="3">
        <v>5.8113599848785613</v>
      </c>
      <c r="I113" s="3">
        <v>5.8113599848785613</v>
      </c>
      <c r="J113" s="3">
        <v>5.8666288844809733</v>
      </c>
      <c r="K113" s="3">
        <v>5.8697498820198257</v>
      </c>
      <c r="L113" s="3">
        <v>5.8532213942080968</v>
      </c>
      <c r="M113" s="3">
        <v>5.8468502451904936</v>
      </c>
      <c r="N113" s="3">
        <v>5.8568329718004408</v>
      </c>
      <c r="O113" s="3">
        <v>5.8568329718004408</v>
      </c>
      <c r="P113" s="3">
        <v>5.8668175815883794</v>
      </c>
      <c r="Q113" s="3">
        <v>5.8768040750872608</v>
      </c>
    </row>
    <row r="114" spans="1:17" ht="18.75" customHeight="1" x14ac:dyDescent="0.25">
      <c r="A114" s="2">
        <v>41820</v>
      </c>
      <c r="B114" s="3">
        <v>6.52</v>
      </c>
      <c r="C114" s="3">
        <v>5.7244995233555862</v>
      </c>
      <c r="D114" s="3">
        <v>6.0317913573196158</v>
      </c>
      <c r="E114" s="3">
        <v>6.139150270886784</v>
      </c>
      <c r="F114" s="3">
        <v>5.9469696969696839</v>
      </c>
      <c r="G114" s="3">
        <v>5.8494847310201159</v>
      </c>
      <c r="H114" s="3">
        <v>5.8968058968059012</v>
      </c>
      <c r="I114" s="3">
        <v>5.8968058968059012</v>
      </c>
      <c r="J114" s="3">
        <v>5.9036827195467545</v>
      </c>
      <c r="K114" s="3">
        <v>5.980355119002656</v>
      </c>
      <c r="L114" s="3">
        <v>5.8766386871639931</v>
      </c>
      <c r="M114" s="3">
        <v>5.8546243047044477</v>
      </c>
      <c r="N114" s="3">
        <v>5.8246936852026421</v>
      </c>
      <c r="O114" s="3">
        <v>5.8047493403694084</v>
      </c>
      <c r="P114" s="3">
        <v>5.7848125117769156</v>
      </c>
      <c r="Q114" s="3">
        <v>5.7748469147432813</v>
      </c>
    </row>
    <row r="115" spans="1:17" ht="18.75" customHeight="1" x14ac:dyDescent="0.25">
      <c r="A115" s="2">
        <v>41851</v>
      </c>
      <c r="B115" s="3">
        <v>6.5</v>
      </c>
      <c r="C115" s="3">
        <v>5.6583833190517074</v>
      </c>
      <c r="D115" s="3">
        <v>5.9550989345509953</v>
      </c>
      <c r="E115" s="3">
        <v>6.0323040380047654</v>
      </c>
      <c r="F115" s="3">
        <v>5.8823529411764497</v>
      </c>
      <c r="G115" s="3">
        <v>5.7563144451802106</v>
      </c>
      <c r="H115" s="3">
        <v>5.7099640763849546</v>
      </c>
      <c r="I115" s="3">
        <v>5.7099640763849546</v>
      </c>
      <c r="J115" s="3">
        <v>5.7249456881080629</v>
      </c>
      <c r="K115" s="3">
        <v>5.8939207714852726</v>
      </c>
      <c r="L115" s="3">
        <v>5.8030403172504963</v>
      </c>
      <c r="M115" s="3">
        <v>5.7957334340192679</v>
      </c>
      <c r="N115" s="3">
        <v>5.7857479943369317</v>
      </c>
      <c r="O115" s="3">
        <v>5.7757644394110796</v>
      </c>
      <c r="P115" s="3">
        <v>5.7757644394110796</v>
      </c>
      <c r="Q115" s="3">
        <v>5.7657827687081165</v>
      </c>
    </row>
    <row r="116" spans="1:17" ht="18.75" customHeight="1" x14ac:dyDescent="0.25">
      <c r="A116" s="2">
        <v>41882</v>
      </c>
      <c r="B116" s="3">
        <v>6.51</v>
      </c>
      <c r="C116" s="3">
        <v>6.2020839307905584</v>
      </c>
      <c r="D116" s="3">
        <v>6.3677215795009179</v>
      </c>
      <c r="E116" s="3">
        <v>6.1033759298111834</v>
      </c>
      <c r="F116" s="3">
        <v>5.5837129840546673</v>
      </c>
      <c r="G116" s="3">
        <v>5.4523899848254898</v>
      </c>
      <c r="H116" s="3">
        <v>5.4148098985493442</v>
      </c>
      <c r="I116" s="3">
        <v>5.4148098985493442</v>
      </c>
      <c r="J116" s="3">
        <v>5.3649981039059602</v>
      </c>
      <c r="K116" s="3">
        <v>5.4102247937019898</v>
      </c>
      <c r="L116" s="3">
        <v>5.3450236966824827</v>
      </c>
      <c r="M116" s="3">
        <v>5.3459715639810446</v>
      </c>
      <c r="N116" s="3">
        <v>5.3459715639810446</v>
      </c>
      <c r="O116" s="3">
        <v>5.3559579107024469</v>
      </c>
      <c r="P116" s="3">
        <v>5.3559579107024469</v>
      </c>
      <c r="Q116" s="3">
        <v>5.3559579107024469</v>
      </c>
    </row>
    <row r="117" spans="1:17" ht="18.75" customHeight="1" x14ac:dyDescent="0.25">
      <c r="A117" s="2">
        <v>41912</v>
      </c>
      <c r="B117" s="3">
        <v>6.75</v>
      </c>
      <c r="C117" s="3">
        <v>7.1790200402723103</v>
      </c>
      <c r="D117" s="3">
        <v>6.68884874988116</v>
      </c>
      <c r="E117" s="3">
        <v>6.6274211925560378</v>
      </c>
      <c r="F117" s="3">
        <v>6.3138962514199148</v>
      </c>
      <c r="G117" s="3">
        <v>6.1336357622152837</v>
      </c>
      <c r="H117" s="3">
        <v>6.0651865847898057</v>
      </c>
      <c r="I117" s="3">
        <v>6.0651865847898057</v>
      </c>
      <c r="J117" s="3">
        <v>5.9816791009538184</v>
      </c>
      <c r="K117" s="3">
        <v>6.0202153788021961</v>
      </c>
      <c r="L117" s="3">
        <v>5.9915014164305891</v>
      </c>
      <c r="M117" s="3">
        <v>5.9562016235605197</v>
      </c>
      <c r="N117" s="3">
        <v>5.9262055298669347</v>
      </c>
      <c r="O117" s="3">
        <v>5.89622641509433</v>
      </c>
      <c r="P117" s="3">
        <v>5.8762497641954292</v>
      </c>
      <c r="Q117" s="3">
        <v>5.8562806488117625</v>
      </c>
    </row>
    <row r="118" spans="1:17" ht="18.75" customHeight="1" x14ac:dyDescent="0.25">
      <c r="A118" s="2">
        <v>41943</v>
      </c>
      <c r="B118" s="3">
        <v>6.59</v>
      </c>
      <c r="C118" s="3">
        <v>6.9574752097635306</v>
      </c>
      <c r="D118" s="3">
        <v>6.8810656517602542</v>
      </c>
      <c r="E118" s="3">
        <v>6.6131941148552364</v>
      </c>
      <c r="F118" s="3">
        <v>6.2188772129130099</v>
      </c>
      <c r="G118" s="3">
        <v>6.0185360317760672</v>
      </c>
      <c r="H118" s="3">
        <v>5.9133888048411354</v>
      </c>
      <c r="I118" s="3">
        <v>5.9133888048411354</v>
      </c>
      <c r="J118" s="3">
        <v>5.8083719172257409</v>
      </c>
      <c r="K118" s="3">
        <v>5.792308419162806</v>
      </c>
      <c r="L118" s="3">
        <v>5.7781347444014086</v>
      </c>
      <c r="M118" s="3">
        <v>5.753424657534234</v>
      </c>
      <c r="N118" s="3">
        <v>5.7334466798904193</v>
      </c>
      <c r="O118" s="3">
        <v>5.7234605213449141</v>
      </c>
      <c r="P118" s="3">
        <v>5.7134762489375879</v>
      </c>
      <c r="Q118" s="3">
        <v>5.7034938621340903</v>
      </c>
    </row>
    <row r="119" spans="1:17" ht="18.75" customHeight="1" x14ac:dyDescent="0.25">
      <c r="A119" s="2">
        <v>41973</v>
      </c>
      <c r="B119" s="3">
        <v>6.56</v>
      </c>
      <c r="C119" s="3">
        <v>7.4383718708197932</v>
      </c>
      <c r="D119" s="3">
        <v>6.8519752498809927</v>
      </c>
      <c r="E119" s="3">
        <v>6.3216862894037273</v>
      </c>
      <c r="F119" s="3">
        <v>6.0346787947697544</v>
      </c>
      <c r="G119" s="3">
        <v>5.8859200303202686</v>
      </c>
      <c r="H119" s="3">
        <v>5.808621506395073</v>
      </c>
      <c r="I119" s="3">
        <v>5.808621506395073</v>
      </c>
      <c r="J119" s="3">
        <v>5.654068390641287</v>
      </c>
      <c r="K119" s="3">
        <v>5.6155303030303028</v>
      </c>
      <c r="L119" s="3">
        <v>5.6155303030303028</v>
      </c>
      <c r="M119" s="3">
        <v>5.6155303030303028</v>
      </c>
      <c r="N119" s="3">
        <v>5.6155303030303028</v>
      </c>
      <c r="O119" s="3">
        <v>5.6155303030303028</v>
      </c>
      <c r="P119" s="3">
        <v>5.6155303030303028</v>
      </c>
      <c r="Q119" s="3">
        <v>5.6155303030303028</v>
      </c>
    </row>
    <row r="120" spans="1:17" ht="18.75" customHeight="1" x14ac:dyDescent="0.25">
      <c r="A120" s="2">
        <v>42004</v>
      </c>
      <c r="B120" s="3">
        <v>6.41</v>
      </c>
      <c r="C120" s="3">
        <v>7.7040427154843716</v>
      </c>
      <c r="D120" s="3">
        <v>6.8016270929902589</v>
      </c>
      <c r="E120" s="3">
        <v>6.4281668869171193</v>
      </c>
      <c r="F120" s="3">
        <v>6.1262959472196066</v>
      </c>
      <c r="G120" s="3">
        <v>5.9555220505088657</v>
      </c>
      <c r="H120" s="3">
        <v>5.8235959291368378</v>
      </c>
      <c r="I120" s="3">
        <v>5.8235959291368378</v>
      </c>
      <c r="J120" s="3">
        <v>5.7975113122171962</v>
      </c>
      <c r="K120" s="3">
        <v>5.7299029309207494</v>
      </c>
      <c r="L120" s="3">
        <v>5.6246466930469197</v>
      </c>
      <c r="M120" s="3">
        <v>5.6146961846443633</v>
      </c>
      <c r="N120" s="3">
        <v>5.6047475508665956</v>
      </c>
      <c r="O120" s="3">
        <v>5.5948007911839293</v>
      </c>
      <c r="P120" s="3">
        <v>5.5948007911839293</v>
      </c>
      <c r="Q120" s="3">
        <v>5.5848559050668545</v>
      </c>
    </row>
    <row r="121" spans="1:17" ht="18.75" customHeight="1" x14ac:dyDescent="0.25">
      <c r="A121" s="2">
        <v>42035</v>
      </c>
      <c r="B121" s="3">
        <v>7.14</v>
      </c>
      <c r="C121" s="3">
        <v>7.520503528514233</v>
      </c>
      <c r="D121" s="3">
        <v>6.5895734597156475</v>
      </c>
      <c r="E121" s="3">
        <v>6.4147544092546971</v>
      </c>
      <c r="F121" s="3">
        <v>6.2189808675885416</v>
      </c>
      <c r="G121" s="3">
        <v>6.0776515151515165</v>
      </c>
      <c r="H121" s="3">
        <v>5.945459710254708</v>
      </c>
      <c r="I121" s="3">
        <v>5.945459710254708</v>
      </c>
      <c r="J121" s="3">
        <v>5.8580217699952586</v>
      </c>
      <c r="K121" s="3">
        <v>5.7638823195535149</v>
      </c>
      <c r="L121" s="3">
        <v>5.7021276595744519</v>
      </c>
      <c r="M121" s="3">
        <v>5.7021276595744519</v>
      </c>
      <c r="N121" s="3">
        <v>5.7021276595744519</v>
      </c>
      <c r="O121" s="3">
        <v>5.7021276595744519</v>
      </c>
      <c r="P121" s="3">
        <v>5.7021276595744519</v>
      </c>
      <c r="Q121" s="3">
        <v>5.7021276595744519</v>
      </c>
    </row>
    <row r="122" spans="1:17" ht="18.75" customHeight="1" x14ac:dyDescent="0.25">
      <c r="A122" s="2">
        <v>42063</v>
      </c>
      <c r="B122" s="3">
        <v>7.7</v>
      </c>
      <c r="C122" s="3">
        <v>7.5130765572990921</v>
      </c>
      <c r="D122" s="3">
        <v>7.0359821513339194</v>
      </c>
      <c r="E122" s="3">
        <v>6.493137718883113</v>
      </c>
      <c r="F122" s="3">
        <v>6.3080268507138104</v>
      </c>
      <c r="G122" s="3">
        <v>6.1754419132242999</v>
      </c>
      <c r="H122" s="3">
        <v>6.0599187222379669</v>
      </c>
      <c r="I122" s="3">
        <v>6.0599187222379669</v>
      </c>
      <c r="J122" s="3">
        <v>5.989794954171801</v>
      </c>
      <c r="K122" s="3">
        <v>5.9421932558798574</v>
      </c>
      <c r="L122" s="3">
        <v>5.9406875708349016</v>
      </c>
      <c r="M122" s="3">
        <v>5.9406875708349016</v>
      </c>
      <c r="N122" s="3">
        <v>5.9406875708349016</v>
      </c>
      <c r="O122" s="3">
        <v>5.9406875708349016</v>
      </c>
      <c r="P122" s="3">
        <v>5.9406875708349016</v>
      </c>
      <c r="Q122" s="3">
        <v>5.9406875708349016</v>
      </c>
    </row>
    <row r="123" spans="1:17" ht="18.75" customHeight="1" x14ac:dyDescent="0.25">
      <c r="A123" s="2">
        <v>42094</v>
      </c>
      <c r="B123" s="3">
        <v>8.1300000000000008</v>
      </c>
      <c r="C123" s="3">
        <v>7.2461029759093076</v>
      </c>
      <c r="D123" s="3">
        <v>6.7640131888836441</v>
      </c>
      <c r="E123" s="3">
        <v>6.7144473783477876</v>
      </c>
      <c r="F123" s="3">
        <v>6.5918944392083123</v>
      </c>
      <c r="G123" s="3">
        <v>6.4468726450640279</v>
      </c>
      <c r="H123" s="3">
        <v>6.3737402279363087</v>
      </c>
      <c r="I123" s="3">
        <v>6.3737402279363087</v>
      </c>
      <c r="J123" s="3">
        <v>6.3395799981165846</v>
      </c>
      <c r="K123" s="3">
        <v>6.2842352941176571</v>
      </c>
      <c r="L123" s="3">
        <v>6.2970632530120474</v>
      </c>
      <c r="M123" s="3">
        <v>6.3571294029007186</v>
      </c>
      <c r="N123" s="3">
        <v>6.4072364081786626</v>
      </c>
      <c r="O123" s="3">
        <v>6.4573906485671184</v>
      </c>
      <c r="P123" s="3">
        <v>6.4975480950584696</v>
      </c>
      <c r="Q123" s="3">
        <v>6.5276860673521231</v>
      </c>
    </row>
    <row r="124" spans="1:17" ht="18.75" customHeight="1" x14ac:dyDescent="0.25">
      <c r="A124" s="2">
        <v>42124</v>
      </c>
      <c r="B124" s="3">
        <v>8.17</v>
      </c>
      <c r="C124" s="3">
        <v>6.6185160866710335</v>
      </c>
      <c r="D124" s="3">
        <v>6.2361761949390804</v>
      </c>
      <c r="E124" s="3">
        <v>6.0744770659412639</v>
      </c>
      <c r="F124" s="3">
        <v>6.0011264432554334</v>
      </c>
      <c r="G124" s="3">
        <v>6.0648801128349916</v>
      </c>
      <c r="H124" s="3">
        <v>6.0954263128176089</v>
      </c>
      <c r="I124" s="3">
        <v>6.0954263128176089</v>
      </c>
      <c r="J124" s="3">
        <v>6.1327683615819195</v>
      </c>
      <c r="K124" s="3">
        <v>6.0986631519487799</v>
      </c>
      <c r="L124" s="3">
        <v>6.1510926902788254</v>
      </c>
      <c r="M124" s="3">
        <v>6.2311463046757165</v>
      </c>
      <c r="N124" s="3">
        <v>6.3012923309121671</v>
      </c>
      <c r="O124" s="3">
        <v>6.3614912694667236</v>
      </c>
      <c r="P124" s="3">
        <v>6.411709159584511</v>
      </c>
      <c r="Q124" s="3">
        <v>6.451917627054593</v>
      </c>
    </row>
    <row r="125" spans="1:17" ht="18.75" customHeight="1" x14ac:dyDescent="0.25">
      <c r="A125" s="2">
        <v>42155</v>
      </c>
      <c r="B125" s="3">
        <v>8.4700000000000006</v>
      </c>
      <c r="C125" s="3">
        <v>6.742680180180205</v>
      </c>
      <c r="D125" s="3">
        <v>6.4291764705882271</v>
      </c>
      <c r="E125" s="3">
        <v>6.1041039156626509</v>
      </c>
      <c r="F125" s="3">
        <v>5.8769288671433939</v>
      </c>
      <c r="G125" s="3">
        <v>5.7469426152398917</v>
      </c>
      <c r="H125" s="3">
        <v>5.7578610431180399</v>
      </c>
      <c r="I125" s="3">
        <v>5.7578610431180399</v>
      </c>
      <c r="J125" s="3">
        <v>5.7891265429190764</v>
      </c>
      <c r="K125" s="3">
        <v>5.7262622456669021</v>
      </c>
      <c r="L125" s="3">
        <v>5.7681432610744654</v>
      </c>
      <c r="M125" s="3">
        <v>5.8479532163742798</v>
      </c>
      <c r="N125" s="3">
        <v>5.9078897697244281</v>
      </c>
      <c r="O125" s="3">
        <v>5.9678942398489365</v>
      </c>
      <c r="P125" s="3">
        <v>6.0179499291450167</v>
      </c>
      <c r="Q125" s="3">
        <v>6.0580285417257462</v>
      </c>
    </row>
    <row r="126" spans="1:17" ht="18.75" customHeight="1" x14ac:dyDescent="0.25">
      <c r="A126" s="2">
        <v>42185</v>
      </c>
      <c r="B126" s="3">
        <v>8.89</v>
      </c>
      <c r="C126" s="3">
        <v>7.0654923639089429</v>
      </c>
      <c r="D126" s="3">
        <v>6.656651957562687</v>
      </c>
      <c r="E126" s="3">
        <v>6.1391157420445097</v>
      </c>
      <c r="F126" s="3">
        <v>5.8729711980485932</v>
      </c>
      <c r="G126" s="3">
        <v>5.8313773354614629</v>
      </c>
      <c r="H126" s="3">
        <v>5.8588611163315152</v>
      </c>
      <c r="I126" s="3">
        <v>5.8588611163315152</v>
      </c>
      <c r="J126" s="3">
        <v>5.8313751292414562</v>
      </c>
      <c r="K126" s="3">
        <v>5.9215354219587901</v>
      </c>
      <c r="L126" s="3">
        <v>5.9975520195838294</v>
      </c>
      <c r="M126" s="3">
        <v>6.0674580742415607</v>
      </c>
      <c r="N126" s="3">
        <v>6.1274509803921573</v>
      </c>
      <c r="O126" s="3">
        <v>6.1674839683138361</v>
      </c>
      <c r="P126" s="3">
        <v>6.2175676950655623</v>
      </c>
      <c r="Q126" s="3">
        <v>6.2476406191015244</v>
      </c>
    </row>
    <row r="127" spans="1:17" ht="18.75" customHeight="1" x14ac:dyDescent="0.25">
      <c r="A127" s="2">
        <v>42216</v>
      </c>
      <c r="B127" s="3">
        <v>9.56</v>
      </c>
      <c r="C127" s="3">
        <v>6.8577594295364808</v>
      </c>
      <c r="D127" s="3">
        <v>6.4013547840813034</v>
      </c>
      <c r="E127" s="3">
        <v>6.1580432737535329</v>
      </c>
      <c r="F127" s="3">
        <v>6.0812335464460077</v>
      </c>
      <c r="G127" s="3">
        <v>5.9932343544446542</v>
      </c>
      <c r="H127" s="3">
        <v>5.9883502442690695</v>
      </c>
      <c r="I127" s="3">
        <v>5.9883502442690695</v>
      </c>
      <c r="J127" s="3">
        <v>5.9981220657277179</v>
      </c>
      <c r="K127" s="3">
        <v>6.013329578522475</v>
      </c>
      <c r="L127" s="3">
        <v>6.056338028169006</v>
      </c>
      <c r="M127" s="3">
        <v>6.0762584522915164</v>
      </c>
      <c r="N127" s="3">
        <v>6.1061531235321764</v>
      </c>
      <c r="O127" s="3">
        <v>6.1260922672178753</v>
      </c>
      <c r="P127" s="3">
        <v>6.13606464950196</v>
      </c>
      <c r="Q127" s="3">
        <v>6.1560150375939759</v>
      </c>
    </row>
    <row r="128" spans="1:17" ht="18.75" customHeight="1" x14ac:dyDescent="0.25">
      <c r="A128" s="2">
        <v>42247</v>
      </c>
      <c r="B128" s="3">
        <v>9.5299999999999994</v>
      </c>
      <c r="C128" s="3">
        <v>6.3326206191317347</v>
      </c>
      <c r="D128" s="3">
        <v>6.6286781877627154</v>
      </c>
      <c r="E128" s="3">
        <v>6.5356976201586647</v>
      </c>
      <c r="F128" s="3">
        <v>6.5201977796436328</v>
      </c>
      <c r="G128" s="3">
        <v>6.5048996733551245</v>
      </c>
      <c r="H128" s="3">
        <v>6.559932785660938</v>
      </c>
      <c r="I128" s="3">
        <v>6.559932785660938</v>
      </c>
      <c r="J128" s="3">
        <v>6.6302521008403392</v>
      </c>
      <c r="K128" s="3">
        <v>6.6442577030812355</v>
      </c>
      <c r="L128" s="3">
        <v>6.7171150971599536</v>
      </c>
      <c r="M128" s="3">
        <v>6.7810075708010009</v>
      </c>
      <c r="N128" s="3">
        <v>6.8312295465170481</v>
      </c>
      <c r="O128" s="3">
        <v>6.8814891029838288</v>
      </c>
      <c r="P128" s="3">
        <v>6.9142964071856383</v>
      </c>
      <c r="Q128" s="3">
        <v>6.9343065693430628</v>
      </c>
    </row>
    <row r="129" spans="1:17" ht="18.75" customHeight="1" x14ac:dyDescent="0.25">
      <c r="A129" s="2">
        <v>42277</v>
      </c>
      <c r="B129" s="3">
        <v>9.49</v>
      </c>
      <c r="C129" s="3">
        <v>7.9000933706816046</v>
      </c>
      <c r="D129" s="3">
        <v>8.2834704562453343</v>
      </c>
      <c r="E129" s="3">
        <v>7.8570098678085953</v>
      </c>
      <c r="F129" s="3">
        <v>7.7839851024208428</v>
      </c>
      <c r="G129" s="3">
        <v>7.6527001862197297</v>
      </c>
      <c r="H129" s="3">
        <v>7.6175402662694403</v>
      </c>
      <c r="I129" s="3">
        <v>7.6175402662694403</v>
      </c>
      <c r="J129" s="3">
        <v>7.6271186440677763</v>
      </c>
      <c r="K129" s="3">
        <v>7.6772570576725929</v>
      </c>
      <c r="L129" s="3">
        <v>7.6893692350694209</v>
      </c>
      <c r="M129" s="3">
        <v>7.7133805441669923</v>
      </c>
      <c r="N129" s="3">
        <v>7.7226984718598679</v>
      </c>
      <c r="O129" s="3">
        <v>7.7310846067834449</v>
      </c>
      <c r="P129" s="3">
        <v>7.7439194856024685</v>
      </c>
      <c r="Q129" s="3">
        <v>7.7439194856024685</v>
      </c>
    </row>
    <row r="130" spans="1:17" ht="18.75" customHeight="1" x14ac:dyDescent="0.25">
      <c r="A130" s="2">
        <v>42308</v>
      </c>
      <c r="B130" s="3">
        <v>9.93</v>
      </c>
      <c r="C130" s="3">
        <v>8.6843096628366858</v>
      </c>
      <c r="D130" s="3">
        <v>9.1417804992934393</v>
      </c>
      <c r="E130" s="3">
        <v>8.6288283225625086</v>
      </c>
      <c r="F130" s="3">
        <v>8.3920396150612078</v>
      </c>
      <c r="G130" s="3">
        <v>8.200055985816924</v>
      </c>
      <c r="H130" s="3">
        <v>8.0686055182699548</v>
      </c>
      <c r="I130" s="3">
        <v>8.0686055182699548</v>
      </c>
      <c r="J130" s="3">
        <v>7.9780199310794275</v>
      </c>
      <c r="K130" s="3">
        <v>7.9951578359251263</v>
      </c>
      <c r="L130" s="3">
        <v>8.0916884084979444</v>
      </c>
      <c r="M130" s="3">
        <v>8.1670706694014541</v>
      </c>
      <c r="N130" s="3">
        <v>8.2268445107732227</v>
      </c>
      <c r="O130" s="3">
        <v>8.2756368386675216</v>
      </c>
      <c r="P130" s="3">
        <v>8.306888183684924</v>
      </c>
      <c r="Q130" s="3">
        <v>8.3372234151806612</v>
      </c>
    </row>
    <row r="131" spans="1:17" ht="18.75" customHeight="1" x14ac:dyDescent="0.25">
      <c r="A131" s="2">
        <v>42338</v>
      </c>
      <c r="B131" s="3">
        <v>10.48</v>
      </c>
      <c r="C131" s="3">
        <v>8.3798464131859873</v>
      </c>
      <c r="D131" s="3">
        <v>8.8734770384254915</v>
      </c>
      <c r="E131" s="3">
        <v>8.4898263953705477</v>
      </c>
      <c r="F131" s="3">
        <v>8.1350093109869626</v>
      </c>
      <c r="G131" s="3">
        <v>7.9274080967892013</v>
      </c>
      <c r="H131" s="3">
        <v>7.8818054909260082</v>
      </c>
      <c r="I131" s="3">
        <v>7.8818054909260082</v>
      </c>
      <c r="J131" s="3">
        <v>7.8494323469197713</v>
      </c>
      <c r="K131" s="3">
        <v>7.944491012387056</v>
      </c>
      <c r="L131" s="3">
        <v>8.0518269947800203</v>
      </c>
      <c r="M131" s="3">
        <v>8.1335696296987123</v>
      </c>
      <c r="N131" s="3">
        <v>8.203453103126467</v>
      </c>
      <c r="O131" s="3">
        <v>8.2724810906714019</v>
      </c>
      <c r="P131" s="3">
        <v>8.3138720224194209</v>
      </c>
      <c r="Q131" s="3">
        <v>8.3543594056630255</v>
      </c>
    </row>
    <row r="132" spans="1:17" ht="18.75" customHeight="1" x14ac:dyDescent="0.25">
      <c r="A132" s="2">
        <v>42369</v>
      </c>
      <c r="B132" s="3">
        <v>10.67</v>
      </c>
      <c r="C132" s="3">
        <v>8.5710269865067588</v>
      </c>
      <c r="D132" s="3">
        <v>9.3357102645899701</v>
      </c>
      <c r="E132" s="3">
        <v>9.115557217651471</v>
      </c>
      <c r="F132" s="3">
        <v>8.9957963568426003</v>
      </c>
      <c r="G132" s="3">
        <v>8.8990568680548989</v>
      </c>
      <c r="H132" s="3">
        <v>8.7439343038447035</v>
      </c>
      <c r="I132" s="3">
        <v>8.7439343038447035</v>
      </c>
      <c r="J132" s="3">
        <v>8.5858115036822937</v>
      </c>
      <c r="K132" s="3">
        <v>8.6899766899766853</v>
      </c>
      <c r="L132" s="3">
        <v>8.663620255525494</v>
      </c>
      <c r="M132" s="3">
        <v>8.6915975006994337</v>
      </c>
      <c r="N132" s="3">
        <v>8.7017347509792842</v>
      </c>
      <c r="O132" s="3">
        <v>8.7118738923607886</v>
      </c>
      <c r="P132" s="3">
        <v>8.7118738923607886</v>
      </c>
      <c r="Q132" s="3">
        <v>8.7220149253731236</v>
      </c>
    </row>
    <row r="133" spans="1:17" ht="18.75" customHeight="1" x14ac:dyDescent="0.25">
      <c r="A133" s="2">
        <v>42400</v>
      </c>
      <c r="B133" s="3">
        <v>10.71</v>
      </c>
      <c r="C133" s="3">
        <v>9.0661589719181368</v>
      </c>
      <c r="D133" s="3">
        <v>9.0600151457780989</v>
      </c>
      <c r="E133" s="3">
        <v>8.9735379979282381</v>
      </c>
      <c r="F133" s="3">
        <v>8.7968090098545115</v>
      </c>
      <c r="G133" s="3">
        <v>8.4583723105706277</v>
      </c>
      <c r="H133" s="3">
        <v>8.2647251003453714</v>
      </c>
      <c r="I133" s="3">
        <v>8.2647251003453714</v>
      </c>
      <c r="J133" s="3">
        <v>8.3437470857036224</v>
      </c>
      <c r="K133" s="3">
        <v>8.3612975391498914</v>
      </c>
      <c r="L133" s="3">
        <v>8.336438152011926</v>
      </c>
      <c r="M133" s="3">
        <v>8.4466381076550476</v>
      </c>
      <c r="N133" s="3">
        <v>8.4870504937581526</v>
      </c>
      <c r="O133" s="3">
        <v>8.527493010251618</v>
      </c>
      <c r="P133" s="3">
        <v>8.5679656908446589</v>
      </c>
      <c r="Q133" s="3">
        <v>8.5780885780885718</v>
      </c>
    </row>
    <row r="134" spans="1:17" ht="18.75" customHeight="1" x14ac:dyDescent="0.25">
      <c r="A134" s="2">
        <v>42429</v>
      </c>
      <c r="B134" s="3">
        <v>10.36</v>
      </c>
      <c r="C134" s="3">
        <v>7.9731518245414801</v>
      </c>
      <c r="D134" s="3">
        <v>8.2221383410399085</v>
      </c>
      <c r="E134" s="3">
        <v>8.5392729327556935</v>
      </c>
      <c r="F134" s="3">
        <v>8.6355087455332047</v>
      </c>
      <c r="G134" s="3">
        <v>8.4372948128693448</v>
      </c>
      <c r="H134" s="3">
        <v>8.2924775449101809</v>
      </c>
      <c r="I134" s="3">
        <v>8.2924775449101809</v>
      </c>
      <c r="J134" s="3">
        <v>8.3912556053811649</v>
      </c>
      <c r="K134" s="3">
        <v>8.5089686098654749</v>
      </c>
      <c r="L134" s="3">
        <v>8.5446228528752943</v>
      </c>
      <c r="M134" s="3">
        <v>8.5852930197834798</v>
      </c>
      <c r="N134" s="3">
        <v>8.5751609592236591</v>
      </c>
      <c r="O134" s="3">
        <v>8.5650307893263555</v>
      </c>
      <c r="P134" s="3">
        <v>8.5447761194029859</v>
      </c>
      <c r="Q134" s="3">
        <v>8.5447761194029859</v>
      </c>
    </row>
    <row r="135" spans="1:17" ht="18.75" customHeight="1" x14ac:dyDescent="0.25">
      <c r="A135" s="2">
        <v>42460</v>
      </c>
      <c r="B135" s="3">
        <v>9.39</v>
      </c>
      <c r="C135" s="3">
        <v>6.929437188762555</v>
      </c>
      <c r="D135" s="3">
        <v>6.8156214795343617</v>
      </c>
      <c r="E135" s="3">
        <v>6.9308046192845696</v>
      </c>
      <c r="F135" s="3">
        <v>7.0063873755401129</v>
      </c>
      <c r="G135" s="3">
        <v>6.8849690373428363</v>
      </c>
      <c r="H135" s="3">
        <v>6.8745311327832015</v>
      </c>
      <c r="I135" s="3">
        <v>6.8745311327832015</v>
      </c>
      <c r="J135" s="3">
        <v>7.0496108037137795</v>
      </c>
      <c r="K135" s="3">
        <v>7.1046707934721454</v>
      </c>
      <c r="L135" s="3">
        <v>7.1346839242168336</v>
      </c>
      <c r="M135" s="3">
        <v>7.1864152359508493</v>
      </c>
      <c r="N135" s="3">
        <v>7.2266541529798278</v>
      </c>
      <c r="O135" s="3">
        <v>7.2669232935874684</v>
      </c>
      <c r="P135" s="3">
        <v>7.3072226918380778</v>
      </c>
      <c r="Q135" s="3">
        <v>7.3173022731542359</v>
      </c>
    </row>
    <row r="136" spans="1:17" ht="18.75" customHeight="1" x14ac:dyDescent="0.25">
      <c r="A136" s="2">
        <v>42490</v>
      </c>
      <c r="B136" s="3">
        <v>9.2799999999999994</v>
      </c>
      <c r="C136" s="3">
        <v>6.5411764705882502</v>
      </c>
      <c r="D136" s="3">
        <v>6.2393887945670468</v>
      </c>
      <c r="E136" s="3">
        <v>6.2250967802851553</v>
      </c>
      <c r="F136" s="3">
        <v>6.1281494762668753</v>
      </c>
      <c r="G136" s="3">
        <v>5.9841628959276028</v>
      </c>
      <c r="H136" s="3">
        <v>6.0550631717895431</v>
      </c>
      <c r="I136" s="3">
        <v>6.0550631717895431</v>
      </c>
      <c r="J136" s="3">
        <v>6.1687883074021732</v>
      </c>
      <c r="K136" s="3">
        <v>6.1999057048562012</v>
      </c>
      <c r="L136" s="3">
        <v>6.2187647336162222</v>
      </c>
      <c r="M136" s="3">
        <v>6.2228927022440095</v>
      </c>
      <c r="N136" s="3">
        <v>6.2128782879230737</v>
      </c>
      <c r="O136" s="3">
        <v>6.2128782879230737</v>
      </c>
      <c r="P136" s="3">
        <v>6.2028657616892913</v>
      </c>
      <c r="Q136" s="3">
        <v>6.2028657616892913</v>
      </c>
    </row>
    <row r="137" spans="1:17" ht="18.75" customHeight="1" x14ac:dyDescent="0.25">
      <c r="A137" s="2">
        <v>42521</v>
      </c>
      <c r="B137" s="3">
        <v>9.32</v>
      </c>
      <c r="C137" s="3">
        <v>6.4872494589253815</v>
      </c>
      <c r="D137" s="3">
        <v>6.1149792999623642</v>
      </c>
      <c r="E137" s="3">
        <v>6.3235294117647056</v>
      </c>
      <c r="F137" s="3">
        <v>6.3465887674331034</v>
      </c>
      <c r="G137" s="3">
        <v>6.2906111686599431</v>
      </c>
      <c r="H137" s="3">
        <v>6.3427495291901836</v>
      </c>
      <c r="I137" s="3">
        <v>6.3427495291901836</v>
      </c>
      <c r="J137" s="3">
        <v>6.6031865749033747</v>
      </c>
      <c r="K137" s="3">
        <v>6.61577608142494</v>
      </c>
      <c r="L137" s="3">
        <v>6.5690337163307522</v>
      </c>
      <c r="M137" s="3">
        <v>6.5831606705594181</v>
      </c>
      <c r="N137" s="3">
        <v>6.6132830899670036</v>
      </c>
      <c r="O137" s="3">
        <v>6.6434225405201719</v>
      </c>
      <c r="P137" s="3">
        <v>6.6635249764373183</v>
      </c>
      <c r="Q137" s="3">
        <v>6.6635249764373183</v>
      </c>
    </row>
    <row r="138" spans="1:17" ht="18.75" customHeight="1" x14ac:dyDescent="0.25">
      <c r="A138" s="2">
        <v>42551</v>
      </c>
      <c r="B138" s="3">
        <v>8.84</v>
      </c>
      <c r="C138" s="3">
        <v>6.362612612612617</v>
      </c>
      <c r="D138" s="3">
        <v>5.8165758316106153</v>
      </c>
      <c r="E138" s="3">
        <v>5.6229431123648421</v>
      </c>
      <c r="F138" s="3">
        <v>5.5101081335214186</v>
      </c>
      <c r="G138" s="3">
        <v>5.3748590755355208</v>
      </c>
      <c r="H138" s="3">
        <v>5.4577067669172807</v>
      </c>
      <c r="I138" s="3">
        <v>5.4577067669172807</v>
      </c>
      <c r="J138" s="3">
        <v>5.6519285042333056</v>
      </c>
      <c r="K138" s="3">
        <v>5.6632173095014116</v>
      </c>
      <c r="L138" s="3">
        <v>5.7017873941674457</v>
      </c>
      <c r="M138" s="3">
        <v>5.7887801204819178</v>
      </c>
      <c r="N138" s="3">
        <v>5.838591204444854</v>
      </c>
      <c r="O138" s="3">
        <v>5.8884492180139469</v>
      </c>
      <c r="P138" s="3">
        <v>5.9283694627709771</v>
      </c>
      <c r="Q138" s="3">
        <v>5.9283694627709771</v>
      </c>
    </row>
    <row r="139" spans="1:17" ht="18.75" customHeight="1" x14ac:dyDescent="0.25">
      <c r="A139" s="2">
        <v>42582</v>
      </c>
      <c r="B139" s="3">
        <v>8.74</v>
      </c>
      <c r="C139" s="3">
        <v>6.3046743007321382</v>
      </c>
      <c r="D139" s="3">
        <v>5.7686882933709382</v>
      </c>
      <c r="E139" s="3">
        <v>5.5694653614457801</v>
      </c>
      <c r="F139" s="3">
        <v>5.5453004332265854</v>
      </c>
      <c r="G139" s="3">
        <v>5.557021677662588</v>
      </c>
      <c r="H139" s="3">
        <v>5.5187034768680032</v>
      </c>
      <c r="I139" s="3">
        <v>5.5187034768680032</v>
      </c>
      <c r="J139" s="3">
        <v>5.6587758181646741</v>
      </c>
      <c r="K139" s="3">
        <v>5.6430322458985493</v>
      </c>
      <c r="L139" s="3">
        <v>5.6277097078228255</v>
      </c>
      <c r="M139" s="3">
        <v>5.7091663523198832</v>
      </c>
      <c r="N139" s="3">
        <v>5.7765616153991228</v>
      </c>
      <c r="O139" s="3">
        <v>5.8193316971871134</v>
      </c>
      <c r="P139" s="3">
        <v>5.8593012275731882</v>
      </c>
      <c r="Q139" s="3">
        <v>5.8593012275731882</v>
      </c>
    </row>
    <row r="140" spans="1:17" ht="18.75" customHeight="1" x14ac:dyDescent="0.25">
      <c r="A140" s="2">
        <v>42613</v>
      </c>
      <c r="B140" s="3">
        <v>8.9700000000000006</v>
      </c>
      <c r="C140" s="3">
        <v>6.4088813623106589</v>
      </c>
      <c r="D140" s="3">
        <v>5.6227089012125253</v>
      </c>
      <c r="E140" s="3">
        <v>5.5592167200150699</v>
      </c>
      <c r="F140" s="3">
        <v>5.5854922279792607</v>
      </c>
      <c r="G140" s="3">
        <v>5.5770136599152087</v>
      </c>
      <c r="H140" s="3">
        <v>5.6199359336725374</v>
      </c>
      <c r="I140" s="3">
        <v>5.6199359336725374</v>
      </c>
      <c r="J140" s="3">
        <v>5.8784102709336317</v>
      </c>
      <c r="K140" s="3">
        <v>5.9241079856522605</v>
      </c>
      <c r="L140" s="3">
        <v>5.9575271354412207</v>
      </c>
      <c r="M140" s="3">
        <v>6.0525073189158451</v>
      </c>
      <c r="N140" s="3">
        <v>6.126807143532087</v>
      </c>
      <c r="O140" s="3">
        <v>6.1697702996502457</v>
      </c>
      <c r="P140" s="3">
        <v>6.2099290780141647</v>
      </c>
      <c r="Q140" s="3">
        <v>6.2099290780141647</v>
      </c>
    </row>
    <row r="141" spans="1:17" ht="18.75" customHeight="1" x14ac:dyDescent="0.25">
      <c r="A141" s="2">
        <v>42643</v>
      </c>
      <c r="B141" s="3">
        <v>8.48</v>
      </c>
      <c r="C141" s="3">
        <v>5.2099897109718629</v>
      </c>
      <c r="D141" s="3">
        <v>5.3559641678453618</v>
      </c>
      <c r="E141" s="3">
        <v>5.3337109411875749</v>
      </c>
      <c r="F141" s="3">
        <v>5.2972258916776704</v>
      </c>
      <c r="G141" s="3">
        <v>5.2494577006507726</v>
      </c>
      <c r="H141" s="3">
        <v>5.32258064516129</v>
      </c>
      <c r="I141" s="3">
        <v>5.32258064516129</v>
      </c>
      <c r="J141" s="3">
        <v>5.4701661631419984</v>
      </c>
      <c r="K141" s="3">
        <v>5.4781459454356751</v>
      </c>
      <c r="L141" s="3">
        <v>5.5149627112244026</v>
      </c>
      <c r="M141" s="3">
        <v>5.5618508026439972</v>
      </c>
      <c r="N141" s="3">
        <v>5.585568568190391</v>
      </c>
      <c r="O141" s="3">
        <v>5.5983753660149072</v>
      </c>
      <c r="P141" s="3">
        <v>5.6183278223901567</v>
      </c>
      <c r="Q141" s="3">
        <v>5.6183278223901567</v>
      </c>
    </row>
    <row r="142" spans="1:17" ht="18.75" customHeight="1" x14ac:dyDescent="0.25">
      <c r="A142" s="2">
        <v>42674</v>
      </c>
      <c r="B142" s="3">
        <v>7.87</v>
      </c>
      <c r="C142" s="3">
        <v>4.7256125966645079</v>
      </c>
      <c r="D142" s="3">
        <v>5.1658187299792768</v>
      </c>
      <c r="E142" s="3">
        <v>5.1014438048504251</v>
      </c>
      <c r="F142" s="3">
        <v>5.0457590338711222</v>
      </c>
      <c r="G142" s="3">
        <v>5.0136779549099231</v>
      </c>
      <c r="H142" s="3">
        <v>5.0844419284838294</v>
      </c>
      <c r="I142" s="3">
        <v>5.0844419284838294</v>
      </c>
      <c r="J142" s="3">
        <v>5.2143126888217539</v>
      </c>
      <c r="K142" s="3">
        <v>5.2478519497686671</v>
      </c>
      <c r="L142" s="3">
        <v>5.3144475920680057</v>
      </c>
      <c r="M142" s="3">
        <v>5.4109977324263037</v>
      </c>
      <c r="N142" s="3">
        <v>5.4659735349716465</v>
      </c>
      <c r="O142" s="3">
        <v>5.5100690176798528</v>
      </c>
      <c r="P142" s="3">
        <v>5.5432624113475049</v>
      </c>
      <c r="Q142" s="3">
        <v>5.5536643026004695</v>
      </c>
    </row>
    <row r="143" spans="1:17" ht="18.75" customHeight="1" x14ac:dyDescent="0.25">
      <c r="A143" s="2">
        <v>42704</v>
      </c>
      <c r="B143" s="3">
        <v>6.99</v>
      </c>
      <c r="C143" s="3">
        <v>4.6556550951847742</v>
      </c>
      <c r="D143" s="3">
        <v>5.1054812582407072</v>
      </c>
      <c r="E143" s="3">
        <v>5.1634479510126896</v>
      </c>
      <c r="F143" s="3">
        <v>5.2424898766362027</v>
      </c>
      <c r="G143" s="3">
        <v>5.2842620481927893</v>
      </c>
      <c r="H143" s="3">
        <v>5.3959137557668679</v>
      </c>
      <c r="I143" s="3">
        <v>5.3959137557668679</v>
      </c>
      <c r="J143" s="3">
        <v>5.56833176248821</v>
      </c>
      <c r="K143" s="3">
        <v>5.5786993402450635</v>
      </c>
      <c r="L143" s="3">
        <v>5.6211121583412016</v>
      </c>
      <c r="M143" s="3">
        <v>5.6627073906485803</v>
      </c>
      <c r="N143" s="3">
        <v>5.6877533704157601</v>
      </c>
      <c r="O143" s="3">
        <v>5.7118612106354938</v>
      </c>
      <c r="P143" s="3">
        <v>5.7350306459217348</v>
      </c>
      <c r="Q143" s="3">
        <v>5.7454031117397442</v>
      </c>
    </row>
    <row r="144" spans="1:17" ht="18.75" customHeight="1" x14ac:dyDescent="0.25">
      <c r="A144" s="2">
        <v>42735</v>
      </c>
      <c r="B144" s="3">
        <v>6.29</v>
      </c>
      <c r="C144" s="3">
        <v>4.9097065462754053</v>
      </c>
      <c r="D144" s="3">
        <v>4.892793048077837</v>
      </c>
      <c r="E144" s="3">
        <v>5.0146378317121654</v>
      </c>
      <c r="F144" s="3">
        <v>5.1071462286415681</v>
      </c>
      <c r="G144" s="3">
        <v>5.2288815478999329</v>
      </c>
      <c r="H144" s="3">
        <v>5.3421425200566253</v>
      </c>
      <c r="I144" s="3">
        <v>5.3421425200566253</v>
      </c>
      <c r="J144" s="3">
        <v>5.4385799263525714</v>
      </c>
      <c r="K144" s="3">
        <v>5.3992826127997162</v>
      </c>
      <c r="L144" s="3">
        <v>5.4092325120362661</v>
      </c>
      <c r="M144" s="3">
        <v>5.4490509018793265</v>
      </c>
      <c r="N144" s="3">
        <v>5.4888993859234736</v>
      </c>
      <c r="O144" s="3">
        <v>5.5329805329805248</v>
      </c>
      <c r="P144" s="3">
        <v>5.5652173913043557</v>
      </c>
      <c r="Q144" s="3">
        <v>5.5746691871455534</v>
      </c>
    </row>
    <row r="145" spans="1:17" ht="18.75" customHeight="1" x14ac:dyDescent="0.25">
      <c r="A145" s="2">
        <v>42766</v>
      </c>
      <c r="B145" s="3">
        <v>5.35</v>
      </c>
      <c r="C145" s="3">
        <v>4.7288043728391793</v>
      </c>
      <c r="D145" s="3">
        <v>4.3833496187769105</v>
      </c>
      <c r="E145" s="3">
        <v>4.4535696398983138</v>
      </c>
      <c r="F145" s="3">
        <v>4.5706969071835468</v>
      </c>
      <c r="G145" s="3">
        <v>4.6798152781922786</v>
      </c>
      <c r="H145" s="3">
        <v>4.7754561074765611</v>
      </c>
      <c r="I145" s="3">
        <v>4.7754561074765611</v>
      </c>
      <c r="J145" s="3">
        <v>4.9274855256623118</v>
      </c>
      <c r="K145" s="3">
        <v>4.9890186152667493</v>
      </c>
      <c r="L145" s="3">
        <v>5.0458804004436253</v>
      </c>
      <c r="M145" s="3">
        <v>5.0895965398255916</v>
      </c>
      <c r="N145" s="3">
        <v>5.1260337650380183</v>
      </c>
      <c r="O145" s="3">
        <v>5.1578629057757786</v>
      </c>
      <c r="P145" s="3">
        <v>5.1854909236347391</v>
      </c>
      <c r="Q145" s="3">
        <v>5.2092857110187074</v>
      </c>
    </row>
    <row r="146" spans="1:17" ht="18.75" customHeight="1" x14ac:dyDescent="0.25">
      <c r="A146" s="2">
        <v>42794</v>
      </c>
      <c r="B146" s="3">
        <v>4.76</v>
      </c>
      <c r="C146" s="3">
        <v>4.2481696669924851</v>
      </c>
      <c r="D146" s="3">
        <v>4.2297963096353586</v>
      </c>
      <c r="E146" s="3">
        <v>4.3539112743629982</v>
      </c>
      <c r="F146" s="3">
        <v>4.4492579372185093</v>
      </c>
      <c r="G146" s="3">
        <v>4.5321440123974321</v>
      </c>
      <c r="H146" s="3">
        <v>4.6068311776241933</v>
      </c>
      <c r="I146" s="3">
        <v>4.6068311776241933</v>
      </c>
      <c r="J146" s="3">
        <v>4.7300755855110621</v>
      </c>
      <c r="K146" s="3">
        <v>4.7799635105979066</v>
      </c>
      <c r="L146" s="3">
        <v>4.8213821023530556</v>
      </c>
      <c r="M146" s="3">
        <v>4.8574192460110188</v>
      </c>
      <c r="N146" s="3">
        <v>4.8873017476768199</v>
      </c>
      <c r="O146" s="3">
        <v>4.9132898526448532</v>
      </c>
      <c r="P146" s="3">
        <v>4.9357649787543645</v>
      </c>
      <c r="Q146" s="3">
        <v>4.9550679838323619</v>
      </c>
    </row>
    <row r="147" spans="1:17" ht="18.75" customHeight="1" x14ac:dyDescent="0.25">
      <c r="A147" s="2">
        <v>42825</v>
      </c>
      <c r="B147" s="3">
        <v>4.57</v>
      </c>
      <c r="C147" s="3">
        <v>3.9680068644914801</v>
      </c>
      <c r="D147" s="3">
        <v>4.3691580691881171</v>
      </c>
      <c r="E147" s="3">
        <v>4.4599032907467473</v>
      </c>
      <c r="F147" s="3">
        <v>4.4841026991085053</v>
      </c>
      <c r="G147" s="3">
        <v>4.506149586366015</v>
      </c>
      <c r="H147" s="3">
        <v>4.5327101032311745</v>
      </c>
      <c r="I147" s="3">
        <v>4.5327101032311745</v>
      </c>
      <c r="J147" s="3">
        <v>4.5832512268466852</v>
      </c>
      <c r="K147" s="3">
        <v>4.606671567209597</v>
      </c>
      <c r="L147" s="3">
        <v>4.6265502337794251</v>
      </c>
      <c r="M147" s="3">
        <v>4.6440445666393826</v>
      </c>
      <c r="N147" s="3">
        <v>4.6586378979735388</v>
      </c>
      <c r="O147" s="3">
        <v>4.6727086435963239</v>
      </c>
      <c r="P147" s="3">
        <v>4.6823810314292613</v>
      </c>
      <c r="Q147" s="3">
        <v>4.6918468540815716</v>
      </c>
    </row>
    <row r="148" spans="1:17" ht="18.75" customHeight="1" x14ac:dyDescent="0.25">
      <c r="A148" s="2">
        <v>42855</v>
      </c>
      <c r="B148" s="3">
        <v>4.08</v>
      </c>
      <c r="C148" s="3">
        <v>3.8665837055944285</v>
      </c>
      <c r="D148" s="3">
        <v>4.5107321815627488</v>
      </c>
      <c r="E148" s="3">
        <v>4.6135494543438904</v>
      </c>
      <c r="F148" s="3">
        <v>4.6086151279828735</v>
      </c>
      <c r="G148" s="3">
        <v>4.6083300697064677</v>
      </c>
      <c r="H148" s="3">
        <v>4.6256017328802468</v>
      </c>
      <c r="I148" s="3">
        <v>4.6256017328802468</v>
      </c>
      <c r="J148" s="3">
        <v>4.6851074910664536</v>
      </c>
      <c r="K148" s="3">
        <v>4.7110043466920271</v>
      </c>
      <c r="L148" s="3">
        <v>4.737613342323832</v>
      </c>
      <c r="M148" s="3">
        <v>4.7657323557859455</v>
      </c>
      <c r="N148" s="3">
        <v>4.7859891199669269</v>
      </c>
      <c r="O148" s="3">
        <v>4.8035786922074664</v>
      </c>
      <c r="P148" s="3">
        <v>4.8190039880267932</v>
      </c>
      <c r="Q148" s="3">
        <v>4.8326333925851728</v>
      </c>
    </row>
    <row r="149" spans="1:17" ht="18.75" customHeight="1" x14ac:dyDescent="0.25">
      <c r="A149" s="2">
        <v>42886</v>
      </c>
      <c r="B149" s="3">
        <v>3.6</v>
      </c>
      <c r="C149" s="3">
        <v>3.7874395550738571</v>
      </c>
      <c r="D149" s="3">
        <v>4.3839290705119938</v>
      </c>
      <c r="E149" s="3">
        <v>4.5694632598103357</v>
      </c>
      <c r="F149" s="3">
        <v>4.6883062054873692</v>
      </c>
      <c r="G149" s="3">
        <v>4.7793528051587097</v>
      </c>
      <c r="H149" s="3">
        <v>4.8466739090642585</v>
      </c>
      <c r="I149" s="3">
        <v>4.8466739090642585</v>
      </c>
      <c r="J149" s="3">
        <v>4.9307195484055377</v>
      </c>
      <c r="K149" s="3">
        <v>4.9566909644767954</v>
      </c>
      <c r="L149" s="3">
        <v>4.9761633216538481</v>
      </c>
      <c r="M149" s="3">
        <v>4.9913222177473626</v>
      </c>
      <c r="N149" s="3">
        <v>5.0035343615240979</v>
      </c>
      <c r="O149" s="3">
        <v>5.0136258422211588</v>
      </c>
      <c r="P149" s="3">
        <v>5.0222029428563353</v>
      </c>
      <c r="Q149" s="3">
        <v>5.0296349072725954</v>
      </c>
    </row>
    <row r="150" spans="1:17" ht="18.75" customHeight="1" x14ac:dyDescent="0.25">
      <c r="A150" s="2">
        <v>42916</v>
      </c>
      <c r="B150" s="3">
        <v>3</v>
      </c>
      <c r="C150" s="3">
        <v>3.6121977474086631</v>
      </c>
      <c r="D150" s="3">
        <v>4.296430185821043</v>
      </c>
      <c r="E150" s="3">
        <v>4.3686583616003194</v>
      </c>
      <c r="F150" s="3">
        <v>4.4538302109436989</v>
      </c>
      <c r="G150" s="3">
        <v>4.5452178964599632</v>
      </c>
      <c r="H150" s="3">
        <v>4.6200455486982595</v>
      </c>
      <c r="I150" s="3">
        <v>4.6200455486982595</v>
      </c>
      <c r="J150" s="3">
        <v>4.7167888009277847</v>
      </c>
      <c r="K150" s="3">
        <v>4.7474584391133723</v>
      </c>
      <c r="L150" s="3">
        <v>4.7706746942934197</v>
      </c>
      <c r="M150" s="3">
        <v>4.7890332265779545</v>
      </c>
      <c r="N150" s="3">
        <v>4.8037488978572407</v>
      </c>
      <c r="O150" s="3">
        <v>4.8159898671759294</v>
      </c>
      <c r="P150" s="3">
        <v>4.8252419488537868</v>
      </c>
      <c r="Q150" s="3">
        <v>4.8345355895867526</v>
      </c>
    </row>
    <row r="151" spans="1:17" ht="18.75" customHeight="1" x14ac:dyDescent="0.25">
      <c r="A151" s="2">
        <v>42947</v>
      </c>
      <c r="B151" s="3">
        <v>2.71</v>
      </c>
      <c r="C151" s="3">
        <v>4.4404799004372553</v>
      </c>
      <c r="D151" s="3">
        <v>4.6753633671041461</v>
      </c>
      <c r="E151" s="3">
        <v>4.6190460675175515</v>
      </c>
      <c r="F151" s="3">
        <v>4.625770014685604</v>
      </c>
      <c r="G151" s="3">
        <v>4.6583683526979502</v>
      </c>
      <c r="H151" s="3">
        <v>4.6906453189626163</v>
      </c>
      <c r="I151" s="3">
        <v>4.6906453189626163</v>
      </c>
      <c r="J151" s="3">
        <v>4.7339074660581071</v>
      </c>
      <c r="K151" s="3">
        <v>4.7479412277829258</v>
      </c>
      <c r="L151" s="3">
        <v>4.7584196720269256</v>
      </c>
      <c r="M151" s="3">
        <v>4.7665921075565665</v>
      </c>
      <c r="N151" s="3">
        <v>4.773804087197453</v>
      </c>
      <c r="O151" s="3">
        <v>4.7790317153491024</v>
      </c>
      <c r="P151" s="3">
        <v>4.7834763340544706</v>
      </c>
      <c r="Q151" s="3">
        <v>4.787314634840123</v>
      </c>
    </row>
    <row r="152" spans="1:17" ht="18.75" customHeight="1" x14ac:dyDescent="0.25">
      <c r="A152" s="2">
        <v>42978</v>
      </c>
      <c r="B152" s="3">
        <v>2.46</v>
      </c>
      <c r="C152" s="3">
        <v>4.1376927096603788</v>
      </c>
      <c r="D152" s="3">
        <v>4.5766639738385573</v>
      </c>
      <c r="E152" s="3">
        <v>4.6877732167868613</v>
      </c>
      <c r="F152" s="3">
        <v>4.7602657872025</v>
      </c>
      <c r="G152" s="3">
        <v>4.8067661146127927</v>
      </c>
      <c r="H152" s="3">
        <v>4.833664221296563</v>
      </c>
      <c r="I152" s="3">
        <v>4.833664221296563</v>
      </c>
      <c r="J152" s="3">
        <v>4.8582148915517598</v>
      </c>
      <c r="K152" s="3">
        <v>4.8644968902626706</v>
      </c>
      <c r="L152" s="3">
        <v>4.8688565084423763</v>
      </c>
      <c r="M152" s="3">
        <v>4.8721505827415523</v>
      </c>
      <c r="N152" s="3">
        <v>4.8747493946725617</v>
      </c>
      <c r="O152" s="3">
        <v>4.8768856982424724</v>
      </c>
      <c r="P152" s="3">
        <v>4.878701202426905</v>
      </c>
      <c r="Q152" s="3">
        <v>4.8802704871986791</v>
      </c>
    </row>
    <row r="153" spans="1:17" ht="18.75" customHeight="1" x14ac:dyDescent="0.25">
      <c r="A153" s="2">
        <v>43008</v>
      </c>
      <c r="B153" s="3">
        <v>2.54</v>
      </c>
      <c r="C153" s="3">
        <v>4.0046593336461767</v>
      </c>
      <c r="D153" s="3">
        <v>4.4558859841076659</v>
      </c>
      <c r="E153" s="3">
        <v>4.5644996373353175</v>
      </c>
      <c r="F153" s="3">
        <v>4.6238226900763957</v>
      </c>
      <c r="G153" s="3">
        <v>4.6688266982460425</v>
      </c>
      <c r="H153" s="3">
        <v>4.7034476776787848</v>
      </c>
      <c r="I153" s="3">
        <v>4.7034476776787848</v>
      </c>
      <c r="J153" s="3">
        <v>4.7489630102311997</v>
      </c>
      <c r="K153" s="3">
        <v>4.7660750877773328</v>
      </c>
      <c r="L153" s="3">
        <v>4.7797264059653122</v>
      </c>
      <c r="M153" s="3">
        <v>4.7909546670707126</v>
      </c>
      <c r="N153" s="3">
        <v>4.8002677555381679</v>
      </c>
      <c r="O153" s="3">
        <v>4.8081410742173425</v>
      </c>
      <c r="P153" s="3">
        <v>4.8149309334379886</v>
      </c>
      <c r="Q153" s="3">
        <v>4.8208466085427171</v>
      </c>
    </row>
    <row r="154" spans="1:17" ht="18.75" customHeight="1" x14ac:dyDescent="0.25">
      <c r="A154" s="2">
        <v>43039</v>
      </c>
      <c r="B154" s="3">
        <v>2.7</v>
      </c>
      <c r="C154" s="3">
        <v>4.4968009794559061</v>
      </c>
      <c r="D154" s="3">
        <v>4.7755855966309824</v>
      </c>
      <c r="E154" s="3">
        <v>4.8399847126090245</v>
      </c>
      <c r="F154" s="3">
        <v>4.8550999906835202</v>
      </c>
      <c r="G154" s="3">
        <v>4.843646298701576</v>
      </c>
      <c r="H154" s="3">
        <v>4.8202859581553126</v>
      </c>
      <c r="I154" s="3">
        <v>4.8202859581553126</v>
      </c>
      <c r="J154" s="3">
        <v>4.7699010433237099</v>
      </c>
      <c r="K154" s="3">
        <v>4.7474460357571635</v>
      </c>
      <c r="L154" s="3">
        <v>4.7246412722000253</v>
      </c>
      <c r="M154" s="3">
        <v>4.7080856048520969</v>
      </c>
      <c r="N154" s="3">
        <v>4.6940418860969224</v>
      </c>
      <c r="O154" s="3">
        <v>4.6818371707566753</v>
      </c>
      <c r="P154" s="3">
        <v>4.6713371475828547</v>
      </c>
      <c r="Q154" s="3">
        <v>4.6622644351626885</v>
      </c>
    </row>
    <row r="155" spans="1:17" ht="18.75" customHeight="1" x14ac:dyDescent="0.25">
      <c r="A155" s="2">
        <v>43069</v>
      </c>
      <c r="B155" s="3">
        <v>2.8</v>
      </c>
      <c r="C155" s="3">
        <v>4.4316717037116593</v>
      </c>
      <c r="D155" s="3">
        <v>4.632439677470912</v>
      </c>
      <c r="E155" s="3">
        <v>4.7524177607622287</v>
      </c>
      <c r="F155" s="3">
        <v>4.9249626843005823</v>
      </c>
      <c r="G155" s="3">
        <v>5.0336721051822186</v>
      </c>
      <c r="H155" s="3">
        <v>5.0875906403627935</v>
      </c>
      <c r="I155" s="3">
        <v>5.0875906403627935</v>
      </c>
      <c r="J155" s="3">
        <v>5.1217577128638059</v>
      </c>
      <c r="K155" s="3">
        <v>5.1249275760242519</v>
      </c>
      <c r="L155" s="3">
        <v>5.125262531637409</v>
      </c>
      <c r="M155" s="3">
        <v>5.1244095711936222</v>
      </c>
      <c r="N155" s="3">
        <v>5.1233200112598132</v>
      </c>
      <c r="O155" s="3">
        <v>5.121793830139576</v>
      </c>
      <c r="P155" s="3">
        <v>5.1205008052150225</v>
      </c>
      <c r="Q155" s="3">
        <v>5.1193233695280727</v>
      </c>
    </row>
    <row r="156" spans="1:17" ht="18.75" customHeight="1" x14ac:dyDescent="0.25">
      <c r="A156" s="2">
        <v>43100</v>
      </c>
      <c r="B156" s="3">
        <v>2.95</v>
      </c>
      <c r="C156" s="3">
        <v>4.2282950000000001</v>
      </c>
      <c r="D156" s="3">
        <v>4.6087230000000003</v>
      </c>
      <c r="E156" s="3">
        <v>4.654604</v>
      </c>
      <c r="F156" s="3">
        <v>4.7315680000000002</v>
      </c>
      <c r="G156" s="3">
        <v>4.8066409999999999</v>
      </c>
      <c r="H156" s="3">
        <v>4.864662</v>
      </c>
      <c r="I156" s="3">
        <v>4.864662</v>
      </c>
      <c r="J156" s="3">
        <v>4.9398280000000003</v>
      </c>
      <c r="K156" s="3">
        <v>4.9634749999999999</v>
      </c>
      <c r="L156" s="3">
        <v>4.9819469999999999</v>
      </c>
      <c r="M156" s="3">
        <v>4.9966280000000003</v>
      </c>
      <c r="N156" s="3">
        <v>5.0087349999999997</v>
      </c>
      <c r="O156" s="3">
        <v>5.0189919999999999</v>
      </c>
      <c r="P156" s="3">
        <v>5.0266859999999998</v>
      </c>
      <c r="Q156" s="3">
        <v>5.034262</v>
      </c>
    </row>
    <row r="157" spans="1:17" ht="18.75" customHeight="1" x14ac:dyDescent="0.25">
      <c r="A157" s="2">
        <v>43131</v>
      </c>
      <c r="B157" s="3">
        <v>2.86</v>
      </c>
      <c r="C157" s="3">
        <v>4.4475110000000004</v>
      </c>
      <c r="D157" s="3">
        <v>4.4979420000000001</v>
      </c>
      <c r="E157" s="3">
        <v>4.5545629999999999</v>
      </c>
      <c r="F157" s="3">
        <v>4.6350519999999999</v>
      </c>
      <c r="G157" s="3">
        <v>4.7011630000000002</v>
      </c>
      <c r="H157" s="3">
        <v>4.752815</v>
      </c>
      <c r="I157" s="3">
        <v>4.752815</v>
      </c>
      <c r="J157" s="3">
        <v>4.8422549999999998</v>
      </c>
      <c r="K157" s="3">
        <v>4.8799890000000001</v>
      </c>
      <c r="L157" s="3">
        <v>4.9146109999999998</v>
      </c>
      <c r="M157" s="3">
        <v>4.9496409999999997</v>
      </c>
      <c r="N157" s="3">
        <v>4.9784110000000004</v>
      </c>
      <c r="O157" s="3">
        <v>5.0047699999999997</v>
      </c>
      <c r="P157" s="3">
        <v>5.0285250000000001</v>
      </c>
      <c r="Q157" s="3">
        <v>5.0505240000000002</v>
      </c>
    </row>
    <row r="158" spans="1:17" ht="18.75" customHeight="1" x14ac:dyDescent="0.25">
      <c r="A158" s="2">
        <v>43159</v>
      </c>
      <c r="B158" s="3">
        <v>2.84</v>
      </c>
      <c r="C158" s="3">
        <v>4.0529570000000001</v>
      </c>
      <c r="D158" s="3">
        <v>4.1919250000000003</v>
      </c>
      <c r="E158" s="3">
        <v>4.3019270000000001</v>
      </c>
      <c r="F158" s="3">
        <v>4.4316230000000001</v>
      </c>
      <c r="G158" s="3">
        <v>4.5330069999999996</v>
      </c>
      <c r="H158" s="3">
        <v>4.6030239999999996</v>
      </c>
      <c r="I158" s="3">
        <v>4.6030239999999996</v>
      </c>
      <c r="J158" s="3">
        <v>4.6972329999999998</v>
      </c>
      <c r="K158" s="3">
        <v>4.7273199999999997</v>
      </c>
      <c r="L158" s="3">
        <v>4.7519130000000001</v>
      </c>
      <c r="M158" s="3">
        <v>4.7714639999999999</v>
      </c>
      <c r="N158" s="3">
        <v>4.7879810000000003</v>
      </c>
      <c r="O158" s="3">
        <v>4.8019689999999997</v>
      </c>
      <c r="P158" s="3">
        <v>4.8137980000000002</v>
      </c>
      <c r="Q158" s="3">
        <v>4.824198</v>
      </c>
    </row>
    <row r="159" spans="1:17" ht="18.75" customHeight="1" x14ac:dyDescent="0.25">
      <c r="A159" s="2">
        <v>43190</v>
      </c>
      <c r="B159" s="3">
        <v>2.68</v>
      </c>
      <c r="C159" s="3">
        <v>4.166919</v>
      </c>
      <c r="D159" s="3">
        <v>4.2365060000000003</v>
      </c>
      <c r="E159" s="3">
        <v>4.3705619999999996</v>
      </c>
      <c r="F159" s="3">
        <v>4.51389</v>
      </c>
      <c r="G159" s="3">
        <v>4.6167449999999999</v>
      </c>
      <c r="H159" s="3">
        <v>4.6768219999999996</v>
      </c>
      <c r="I159" s="3">
        <v>4.6768219999999996</v>
      </c>
      <c r="J159" s="3">
        <v>4.750032</v>
      </c>
      <c r="K159" s="3">
        <v>4.7695930000000004</v>
      </c>
      <c r="L159" s="3">
        <v>4.7840020000000001</v>
      </c>
      <c r="M159" s="3">
        <v>4.7945409999999997</v>
      </c>
      <c r="N159" s="3">
        <v>4.8037530000000004</v>
      </c>
      <c r="O159" s="3">
        <v>4.8096759999999996</v>
      </c>
      <c r="P159" s="3">
        <v>4.8152229999999996</v>
      </c>
      <c r="Q159" s="3">
        <v>4.819998</v>
      </c>
    </row>
    <row r="160" spans="1:17" ht="18.75" customHeight="1" x14ac:dyDescent="0.25">
      <c r="A160" s="2">
        <v>43220</v>
      </c>
      <c r="B160" s="3">
        <v>2.76</v>
      </c>
      <c r="C160" s="3">
        <v>4.2633140000000003</v>
      </c>
      <c r="D160" s="3">
        <v>4.4301959999999996</v>
      </c>
      <c r="E160" s="3">
        <v>4.4866529999999996</v>
      </c>
      <c r="F160" s="3">
        <v>4.553979</v>
      </c>
      <c r="G160" s="3">
        <v>4.6263579999999997</v>
      </c>
      <c r="H160" s="3">
        <v>4.6894410000000004</v>
      </c>
      <c r="I160" s="3">
        <v>4.6894410000000004</v>
      </c>
      <c r="J160" s="3">
        <v>4.7824270000000002</v>
      </c>
      <c r="K160" s="3">
        <v>4.8164759999999998</v>
      </c>
      <c r="L160" s="3">
        <v>4.8445039999999997</v>
      </c>
      <c r="M160" s="3">
        <v>4.8715909999999996</v>
      </c>
      <c r="N160" s="3">
        <v>4.8904959999999997</v>
      </c>
      <c r="O160" s="3">
        <v>4.906657</v>
      </c>
      <c r="P160" s="3">
        <v>4.9173980000000004</v>
      </c>
      <c r="Q160" s="3">
        <v>4.9326160000000003</v>
      </c>
    </row>
    <row r="161" spans="1:17" ht="18.75" customHeight="1" x14ac:dyDescent="0.25">
      <c r="A161" s="2">
        <v>43251</v>
      </c>
      <c r="B161" s="3">
        <v>2.86</v>
      </c>
      <c r="C161" s="3">
        <v>4.7835700000000001</v>
      </c>
      <c r="D161" s="3">
        <v>4.4866200000000003</v>
      </c>
      <c r="E161" s="3">
        <v>4.6247980000000002</v>
      </c>
      <c r="F161" s="3">
        <v>4.9051640000000001</v>
      </c>
      <c r="G161" s="3">
        <v>5.1869230000000002</v>
      </c>
      <c r="H161" s="3">
        <v>5.4260820000000001</v>
      </c>
      <c r="I161" s="3">
        <v>5.4260820000000001</v>
      </c>
      <c r="J161" s="3">
        <v>5.7608430000000004</v>
      </c>
      <c r="K161" s="3">
        <v>5.8711010000000003</v>
      </c>
      <c r="L161" s="3">
        <v>5.9557640000000003</v>
      </c>
      <c r="M161" s="3">
        <v>6.0220520000000004</v>
      </c>
      <c r="N161" s="3">
        <v>6.074916</v>
      </c>
      <c r="O161" s="3">
        <v>6.1182090000000002</v>
      </c>
      <c r="P161" s="3">
        <v>6.1544179999999997</v>
      </c>
      <c r="Q161" s="3">
        <v>6.1844109999999999</v>
      </c>
    </row>
    <row r="162" spans="1:17" ht="18.75" customHeight="1" x14ac:dyDescent="0.25">
      <c r="A162" s="2">
        <v>43281</v>
      </c>
      <c r="B162" s="3">
        <v>4.3899999999999997</v>
      </c>
      <c r="C162" s="3">
        <v>4.7082670000000002</v>
      </c>
      <c r="D162" s="3">
        <v>4.3798979999999998</v>
      </c>
      <c r="E162" s="3">
        <v>4.6069849999999999</v>
      </c>
      <c r="F162" s="3">
        <v>4.9228480000000001</v>
      </c>
      <c r="G162" s="3">
        <v>5.2017540000000002</v>
      </c>
      <c r="H162" s="3">
        <v>5.4224119999999996</v>
      </c>
      <c r="I162" s="3">
        <v>5.4224119999999996</v>
      </c>
      <c r="J162" s="3">
        <v>5.730029</v>
      </c>
      <c r="K162" s="3">
        <v>5.8347980000000002</v>
      </c>
      <c r="L162" s="3">
        <v>5.9188939999999999</v>
      </c>
      <c r="M162" s="3">
        <v>5.9866200000000003</v>
      </c>
      <c r="N162" s="3">
        <v>6.042853</v>
      </c>
      <c r="O162" s="3">
        <v>6.0851360000000003</v>
      </c>
      <c r="P162" s="3">
        <v>6.1273099999999996</v>
      </c>
      <c r="Q162" s="3">
        <v>6.1630900000000004</v>
      </c>
    </row>
    <row r="163" spans="1:17" ht="18.75" customHeight="1" x14ac:dyDescent="0.25">
      <c r="A163" s="2">
        <v>43312</v>
      </c>
      <c r="B163" s="3">
        <v>4.4800000000000004</v>
      </c>
      <c r="C163" s="3">
        <v>3.893548</v>
      </c>
      <c r="D163" s="3">
        <v>4.2347200000000003</v>
      </c>
      <c r="E163" s="3">
        <v>4.490615</v>
      </c>
      <c r="F163" s="3">
        <v>4.7874780000000001</v>
      </c>
      <c r="G163" s="3">
        <v>5.0516310000000004</v>
      </c>
      <c r="H163" s="3">
        <v>5.2457739999999999</v>
      </c>
      <c r="I163" s="3">
        <v>5.2457739999999999</v>
      </c>
      <c r="J163" s="3">
        <v>5.4812659999999997</v>
      </c>
      <c r="K163" s="3">
        <v>5.5358770000000002</v>
      </c>
      <c r="L163" s="3">
        <v>5.565804</v>
      </c>
      <c r="M163" s="3">
        <v>5.58033</v>
      </c>
      <c r="N163" s="3">
        <v>5.5839109999999996</v>
      </c>
      <c r="O163" s="3">
        <v>5.5818440000000002</v>
      </c>
      <c r="P163" s="3">
        <v>5.5782090000000002</v>
      </c>
      <c r="Q163" s="3">
        <v>5.570284</v>
      </c>
    </row>
    <row r="164" spans="1:17" ht="18.75" customHeight="1" x14ac:dyDescent="0.25">
      <c r="A164" s="2">
        <v>43343</v>
      </c>
      <c r="B164" s="3">
        <v>4.1900000000000004</v>
      </c>
      <c r="C164" s="3">
        <v>4.7169889999999999</v>
      </c>
      <c r="D164" s="3">
        <v>4.7916049999999997</v>
      </c>
      <c r="E164" s="3">
        <v>5.0037929999999999</v>
      </c>
      <c r="F164" s="3">
        <v>5.4146260000000002</v>
      </c>
      <c r="G164" s="3">
        <v>5.7873010000000003</v>
      </c>
      <c r="H164" s="3">
        <v>6.0511970000000002</v>
      </c>
      <c r="I164" s="3">
        <v>6.0511970000000002</v>
      </c>
      <c r="J164" s="3">
        <v>6.3647289999999996</v>
      </c>
      <c r="K164" s="3">
        <v>6.4377870000000001</v>
      </c>
      <c r="L164" s="3">
        <v>6.4790089999999996</v>
      </c>
      <c r="M164" s="3">
        <v>6.4991880000000002</v>
      </c>
      <c r="N164" s="3">
        <v>6.5061460000000002</v>
      </c>
      <c r="O164" s="3">
        <v>6.5049400000000004</v>
      </c>
      <c r="P164" s="3">
        <v>6.4988279999999996</v>
      </c>
      <c r="Q164" s="3">
        <v>6.4901520000000001</v>
      </c>
    </row>
    <row r="165" spans="1:17" ht="18.75" customHeight="1" x14ac:dyDescent="0.25">
      <c r="A165" s="2">
        <v>43373</v>
      </c>
      <c r="B165" s="3">
        <v>4.53</v>
      </c>
      <c r="C165" s="3">
        <v>5.1616109999999997</v>
      </c>
      <c r="D165" s="3">
        <v>4.9867720000000002</v>
      </c>
      <c r="E165" s="3">
        <v>4.9205620000000003</v>
      </c>
      <c r="F165" s="3">
        <v>5.0834520000000003</v>
      </c>
      <c r="G165" s="3">
        <v>5.2979820000000002</v>
      </c>
      <c r="H165" s="3">
        <v>5.4666769999999998</v>
      </c>
      <c r="I165" s="3">
        <v>5.4666769999999998</v>
      </c>
      <c r="J165" s="3">
        <v>5.7009759999999998</v>
      </c>
      <c r="K165" s="3">
        <v>5.7633599999999996</v>
      </c>
      <c r="L165" s="3">
        <v>5.8028550000000001</v>
      </c>
      <c r="M165" s="3">
        <v>5.8270980000000003</v>
      </c>
      <c r="N165" s="3">
        <v>5.8417589999999997</v>
      </c>
      <c r="O165" s="3">
        <v>5.8504889999999996</v>
      </c>
      <c r="P165" s="3">
        <v>5.8555190000000001</v>
      </c>
      <c r="Q165" s="3">
        <v>5.8582419999999997</v>
      </c>
    </row>
    <row r="166" spans="1:17" ht="18.75" customHeight="1" x14ac:dyDescent="0.25">
      <c r="A166" s="2">
        <v>43404</v>
      </c>
      <c r="B166" s="3">
        <v>4.5599999999999996</v>
      </c>
      <c r="C166" s="3">
        <v>4.3868159999999996</v>
      </c>
      <c r="D166" s="3">
        <v>4.2267979999999996</v>
      </c>
      <c r="E166" s="3">
        <v>4.3275459999999999</v>
      </c>
      <c r="F166" s="3">
        <v>4.5266010000000003</v>
      </c>
      <c r="G166" s="3">
        <v>4.7144149999999998</v>
      </c>
      <c r="H166" s="3">
        <v>4.8669789999999997</v>
      </c>
      <c r="I166" s="3">
        <v>4.8669789999999997</v>
      </c>
      <c r="J166" s="3">
        <v>5.1001560000000001</v>
      </c>
      <c r="K166" s="3">
        <v>5.1845119999999998</v>
      </c>
      <c r="L166" s="3">
        <v>5.2545159999999997</v>
      </c>
      <c r="M166" s="3">
        <v>5.3228429999999998</v>
      </c>
      <c r="N166" s="3">
        <v>5.3611089999999999</v>
      </c>
      <c r="O166" s="3">
        <v>5.4028029999999996</v>
      </c>
      <c r="P166" s="3">
        <v>5.4468069999999997</v>
      </c>
      <c r="Q166" s="3">
        <v>5.4773019999999999</v>
      </c>
    </row>
    <row r="167" spans="1:17" ht="18.75" customHeight="1" x14ac:dyDescent="0.25">
      <c r="A167" s="2">
        <v>43434</v>
      </c>
      <c r="B167" s="3">
        <v>4.05</v>
      </c>
      <c r="C167" s="3">
        <v>3.7397909999999999</v>
      </c>
      <c r="D167" s="3">
        <v>3.9301889999999999</v>
      </c>
      <c r="E167" s="3">
        <v>4.0834070000000002</v>
      </c>
      <c r="F167" s="3">
        <v>4.2900270000000003</v>
      </c>
      <c r="G167" s="3">
        <v>4.4743729999999999</v>
      </c>
      <c r="H167" s="3">
        <v>4.6217079999999999</v>
      </c>
      <c r="I167" s="3">
        <v>4.6217079999999999</v>
      </c>
      <c r="J167" s="3">
        <v>4.8200019999999997</v>
      </c>
      <c r="K167" s="3">
        <v>4.8882810000000001</v>
      </c>
      <c r="L167" s="3">
        <v>4.943702</v>
      </c>
      <c r="M167" s="3">
        <v>4.9888079999999997</v>
      </c>
      <c r="N167" s="3">
        <v>5.0268750000000004</v>
      </c>
      <c r="O167" s="3">
        <v>5.0589339999999998</v>
      </c>
      <c r="P167" s="3">
        <v>5.0861929999999997</v>
      </c>
      <c r="Q167" s="3">
        <v>5.1100019999999997</v>
      </c>
    </row>
    <row r="168" spans="1:17" ht="18.75" customHeight="1" x14ac:dyDescent="0.25">
      <c r="A168" s="2">
        <v>43465</v>
      </c>
      <c r="B168" s="3">
        <v>3.75</v>
      </c>
      <c r="C168" s="3">
        <v>3.8922469999999998</v>
      </c>
      <c r="D168" s="3">
        <v>3.9584549999999998</v>
      </c>
      <c r="E168" s="3">
        <v>4.1056889999999999</v>
      </c>
      <c r="F168" s="3">
        <v>4.2750469999999998</v>
      </c>
      <c r="G168" s="3">
        <v>4.3796109999999997</v>
      </c>
      <c r="H168" s="3">
        <v>4.4345090000000003</v>
      </c>
      <c r="I168" s="3">
        <v>4.4345090000000003</v>
      </c>
      <c r="J168" s="3">
        <v>4.4554790000000004</v>
      </c>
      <c r="K168" s="3">
        <v>4.446739</v>
      </c>
      <c r="L168" s="3">
        <v>4.4340120000000001</v>
      </c>
      <c r="M168" s="3">
        <v>4.4200650000000001</v>
      </c>
      <c r="N168" s="3">
        <v>4.4062260000000002</v>
      </c>
      <c r="O168" s="3">
        <v>4.3948919999999996</v>
      </c>
      <c r="P168" s="3">
        <v>4.3831360000000004</v>
      </c>
      <c r="Q168" s="3">
        <v>4.3724569999999998</v>
      </c>
    </row>
    <row r="169" spans="1:17" ht="18.75" customHeight="1" x14ac:dyDescent="0.25">
      <c r="A169" s="2">
        <v>43496</v>
      </c>
      <c r="B169" s="3">
        <v>3.78</v>
      </c>
      <c r="C169" s="3">
        <v>4.0213299999999998</v>
      </c>
      <c r="D169" s="3">
        <v>3.9591569999999998</v>
      </c>
      <c r="E169" s="3">
        <v>4.0555479999999999</v>
      </c>
      <c r="F169" s="3">
        <v>4.2003259999999996</v>
      </c>
      <c r="G169" s="3">
        <v>4.3207909999999998</v>
      </c>
      <c r="H169" s="3">
        <v>4.4134270000000004</v>
      </c>
      <c r="I169" s="3">
        <v>4.4134270000000004</v>
      </c>
      <c r="J169" s="3">
        <v>4.5250950000000003</v>
      </c>
      <c r="K169" s="3">
        <v>4.5584850000000001</v>
      </c>
      <c r="L169" s="3">
        <v>4.5832870000000003</v>
      </c>
      <c r="M169" s="3">
        <v>4.6025770000000001</v>
      </c>
      <c r="N169" s="3">
        <v>4.6181469999999996</v>
      </c>
      <c r="O169" s="3">
        <v>4.6322029999999996</v>
      </c>
      <c r="P169" s="3">
        <v>4.6402559999999999</v>
      </c>
      <c r="Q169" s="3">
        <v>4.6494220000000004</v>
      </c>
    </row>
    <row r="170" spans="1:17" ht="18.75" customHeight="1" x14ac:dyDescent="0.25">
      <c r="A170" s="2">
        <v>43524</v>
      </c>
      <c r="B170" s="3">
        <v>3.89</v>
      </c>
      <c r="C170" s="3">
        <v>4.3336180000000004</v>
      </c>
      <c r="D170" s="3">
        <v>4.0601659999999997</v>
      </c>
      <c r="E170" s="3">
        <v>4.1379140000000003</v>
      </c>
      <c r="F170" s="3">
        <v>4.2847809999999997</v>
      </c>
      <c r="G170" s="3">
        <v>4.405278</v>
      </c>
      <c r="H170" s="3">
        <v>4.4988669999999997</v>
      </c>
      <c r="I170" s="3">
        <v>4.4988669999999997</v>
      </c>
      <c r="J170" s="3">
        <v>4.6040150000000004</v>
      </c>
      <c r="K170" s="3">
        <v>4.6345179999999999</v>
      </c>
      <c r="L170" s="3">
        <v>4.6561180000000002</v>
      </c>
      <c r="M170" s="3">
        <v>4.6726749999999999</v>
      </c>
      <c r="N170" s="3">
        <v>4.6856419999999996</v>
      </c>
      <c r="O170" s="3">
        <v>4.6959720000000003</v>
      </c>
      <c r="P170" s="3">
        <v>4.7046599999999996</v>
      </c>
      <c r="Q170" s="3">
        <v>4.7119450000000001</v>
      </c>
    </row>
    <row r="171" spans="1:17" ht="18.75" customHeight="1" x14ac:dyDescent="0.25">
      <c r="A171" s="2">
        <v>43555</v>
      </c>
      <c r="B171" s="3">
        <v>4.58</v>
      </c>
      <c r="C171" s="3">
        <v>4.2697440000000002</v>
      </c>
      <c r="D171" s="3">
        <v>4.0018419999999999</v>
      </c>
      <c r="E171" s="3">
        <v>4.110887</v>
      </c>
      <c r="F171" s="3">
        <v>4.262429</v>
      </c>
      <c r="G171" s="3">
        <v>4.3809209999999998</v>
      </c>
      <c r="H171" s="3">
        <v>4.4731769999999997</v>
      </c>
      <c r="I171" s="3">
        <v>4.4731769999999997</v>
      </c>
      <c r="J171" s="3">
        <v>4.5895289999999997</v>
      </c>
      <c r="K171" s="3">
        <v>4.6275389999999996</v>
      </c>
      <c r="L171" s="3">
        <v>4.6554500000000001</v>
      </c>
      <c r="M171" s="3">
        <v>4.6789350000000001</v>
      </c>
      <c r="N171" s="3">
        <v>4.6928979999999996</v>
      </c>
      <c r="O171" s="3">
        <v>4.7045690000000002</v>
      </c>
      <c r="P171" s="3">
        <v>4.7130270000000003</v>
      </c>
      <c r="Q171" s="3">
        <v>4.7186849999999998</v>
      </c>
    </row>
    <row r="172" spans="1:17" ht="18.75" customHeight="1" x14ac:dyDescent="0.25">
      <c r="A172" s="2">
        <v>43585</v>
      </c>
      <c r="B172" s="3">
        <v>4.9400000000000004</v>
      </c>
      <c r="C172" s="3">
        <v>4.3505190000000002</v>
      </c>
      <c r="D172" s="3">
        <v>4.018605</v>
      </c>
      <c r="E172" s="3">
        <v>4.1411759999999997</v>
      </c>
      <c r="F172" s="3">
        <v>4.2963269999999998</v>
      </c>
      <c r="G172" s="3">
        <v>4.4177270000000002</v>
      </c>
      <c r="H172" s="3">
        <v>4.5136700000000003</v>
      </c>
      <c r="I172" s="3">
        <v>4.5136700000000003</v>
      </c>
      <c r="J172" s="3">
        <v>4.6284000000000001</v>
      </c>
      <c r="K172" s="3">
        <v>4.6692619999999998</v>
      </c>
      <c r="L172" s="3">
        <v>4.7014259999999997</v>
      </c>
      <c r="M172" s="3">
        <v>4.7317869999999997</v>
      </c>
      <c r="N172" s="3">
        <v>4.7522589999999996</v>
      </c>
      <c r="O172" s="3">
        <v>4.765612</v>
      </c>
      <c r="P172" s="3">
        <v>4.7798530000000001</v>
      </c>
      <c r="Q172" s="3">
        <v>4.7943420000000003</v>
      </c>
    </row>
    <row r="173" spans="1:17" ht="18.75" customHeight="1" x14ac:dyDescent="0.25">
      <c r="A173" s="2">
        <v>43616</v>
      </c>
      <c r="B173" s="3">
        <v>4.66</v>
      </c>
      <c r="C173" s="3">
        <v>3.1261489999999998</v>
      </c>
      <c r="D173" s="3">
        <v>3.7369330000000001</v>
      </c>
      <c r="E173" s="3">
        <v>3.8997310000000001</v>
      </c>
      <c r="F173" s="3">
        <v>4.0855750000000004</v>
      </c>
      <c r="G173" s="3">
        <v>4.2538210000000003</v>
      </c>
      <c r="H173" s="3">
        <v>4.3893620000000002</v>
      </c>
      <c r="I173" s="3">
        <v>4.3893620000000002</v>
      </c>
      <c r="J173" s="3">
        <v>4.5764379999999996</v>
      </c>
      <c r="K173" s="3">
        <v>4.6395650000000002</v>
      </c>
      <c r="L173" s="3">
        <v>4.6889599999999998</v>
      </c>
      <c r="M173" s="3">
        <v>4.7276509999999998</v>
      </c>
      <c r="N173" s="3">
        <v>4.7581110000000004</v>
      </c>
      <c r="O173" s="3">
        <v>4.7819900000000004</v>
      </c>
      <c r="P173" s="3">
        <v>4.8000280000000002</v>
      </c>
      <c r="Q173" s="3">
        <v>4.8136479999999997</v>
      </c>
    </row>
    <row r="174" spans="1:17" ht="18.75" customHeight="1" x14ac:dyDescent="0.25">
      <c r="A174" s="2">
        <v>43646</v>
      </c>
      <c r="B174" s="3">
        <v>3.37</v>
      </c>
      <c r="C174" s="3">
        <v>3.1610510000000001</v>
      </c>
      <c r="D174" s="3">
        <v>3.5930179999999998</v>
      </c>
      <c r="E174" s="3">
        <v>3.6994590000000001</v>
      </c>
      <c r="F174" s="3">
        <v>3.7802479999999998</v>
      </c>
      <c r="G174" s="3">
        <v>3.8533050000000002</v>
      </c>
      <c r="H174" s="3">
        <v>3.9201950000000001</v>
      </c>
      <c r="I174" s="3">
        <v>3.9201950000000001</v>
      </c>
      <c r="J174" s="3">
        <v>4.023657</v>
      </c>
      <c r="K174" s="3">
        <v>4.0607139999999999</v>
      </c>
      <c r="L174" s="3">
        <v>4.0893420000000003</v>
      </c>
      <c r="M174" s="3">
        <v>4.1114139999999999</v>
      </c>
      <c r="N174" s="3">
        <v>4.1264760000000003</v>
      </c>
      <c r="O174" s="3">
        <v>4.1397680000000001</v>
      </c>
      <c r="P174" s="3">
        <v>4.1494</v>
      </c>
      <c r="Q174" s="3">
        <v>4.1563549999999996</v>
      </c>
    </row>
    <row r="175" spans="1:17" ht="18.75" customHeight="1" x14ac:dyDescent="0.25">
      <c r="A175" s="2">
        <v>43677</v>
      </c>
      <c r="B175" s="3">
        <v>3.22</v>
      </c>
      <c r="C175" s="3">
        <v>3.3153640000000002</v>
      </c>
      <c r="D175" s="3">
        <v>3.6237590000000002</v>
      </c>
      <c r="E175" s="3">
        <v>3.688037</v>
      </c>
      <c r="F175" s="3">
        <v>3.745177</v>
      </c>
      <c r="G175" s="3">
        <v>3.7966199999999999</v>
      </c>
      <c r="H175" s="3">
        <v>3.8387920000000002</v>
      </c>
      <c r="I175" s="3">
        <v>3.8387920000000002</v>
      </c>
      <c r="J175" s="3">
        <v>3.8919709999999998</v>
      </c>
      <c r="K175" s="3">
        <v>3.9074059999999999</v>
      </c>
      <c r="L175" s="3">
        <v>3.9189820000000002</v>
      </c>
      <c r="M175" s="3">
        <v>3.925929</v>
      </c>
      <c r="N175" s="3">
        <v>3.931187</v>
      </c>
      <c r="O175" s="3">
        <v>3.93546</v>
      </c>
      <c r="P175" s="3">
        <v>3.9386450000000002</v>
      </c>
      <c r="Q175" s="3">
        <v>3.941084</v>
      </c>
    </row>
    <row r="176" spans="1:17" ht="18.75" customHeight="1" x14ac:dyDescent="0.25">
      <c r="A176" s="2">
        <v>43708</v>
      </c>
      <c r="B176" s="3">
        <v>3.43</v>
      </c>
      <c r="C176" s="3">
        <v>3.2248570000000001</v>
      </c>
      <c r="D176" s="3">
        <v>3.6537220000000001</v>
      </c>
      <c r="E176" s="3">
        <v>3.7465950000000001</v>
      </c>
      <c r="F176" s="3">
        <v>3.819172</v>
      </c>
      <c r="G176" s="3">
        <v>3.8792870000000002</v>
      </c>
      <c r="H176" s="3">
        <v>3.9322379999999999</v>
      </c>
      <c r="I176" s="3">
        <v>3.9322379999999999</v>
      </c>
      <c r="J176" s="3">
        <v>4.0089829999999997</v>
      </c>
      <c r="K176" s="3">
        <v>4.0359879999999997</v>
      </c>
      <c r="L176" s="3">
        <v>4.0572999999999997</v>
      </c>
      <c r="M176" s="3">
        <v>4.0741810000000003</v>
      </c>
      <c r="N176" s="3">
        <v>4.0876739999999998</v>
      </c>
      <c r="O176" s="3">
        <v>4.0984790000000002</v>
      </c>
      <c r="P176" s="3">
        <v>4.1070190000000002</v>
      </c>
      <c r="Q176" s="3">
        <v>4.1139130000000002</v>
      </c>
    </row>
    <row r="177" spans="1:17" ht="18.75" customHeight="1" x14ac:dyDescent="0.25">
      <c r="A177" s="2">
        <v>43738</v>
      </c>
      <c r="B177" s="3">
        <v>2.89</v>
      </c>
      <c r="C177" s="3">
        <v>3.394139</v>
      </c>
      <c r="D177" s="3">
        <v>3.7986409999999999</v>
      </c>
      <c r="E177" s="3">
        <v>3.843353</v>
      </c>
      <c r="F177" s="3">
        <v>3.8833700000000002</v>
      </c>
      <c r="G177" s="3">
        <v>3.9169870000000002</v>
      </c>
      <c r="H177" s="3">
        <v>3.946596</v>
      </c>
      <c r="I177" s="3">
        <v>3.946596</v>
      </c>
      <c r="J177" s="3">
        <v>3.9917549999999999</v>
      </c>
      <c r="K177" s="3">
        <v>4.0106440000000001</v>
      </c>
      <c r="L177" s="3">
        <v>4.0282629999999999</v>
      </c>
      <c r="M177" s="3">
        <v>4.0447519999999999</v>
      </c>
      <c r="N177" s="3">
        <v>4.0603490000000004</v>
      </c>
      <c r="O177" s="3">
        <v>4.0750770000000003</v>
      </c>
      <c r="P177" s="3">
        <v>4.0886779999999998</v>
      </c>
      <c r="Q177" s="3">
        <v>4.1013520000000003</v>
      </c>
    </row>
    <row r="178" spans="1:17" ht="18.75" customHeight="1" x14ac:dyDescent="0.25">
      <c r="A178" s="2">
        <v>43769</v>
      </c>
      <c r="B178" s="3">
        <v>2.54</v>
      </c>
      <c r="C178" s="3">
        <v>3.7683930000000001</v>
      </c>
      <c r="D178" s="3">
        <v>3.8204600000000002</v>
      </c>
      <c r="E178" s="3">
        <v>3.8158449999999999</v>
      </c>
      <c r="F178" s="3">
        <v>3.8431899999999999</v>
      </c>
      <c r="G178" s="3">
        <v>3.8711630000000001</v>
      </c>
      <c r="H178" s="3">
        <v>3.889853</v>
      </c>
      <c r="I178" s="3">
        <v>3.889853</v>
      </c>
      <c r="J178" s="3">
        <v>3.907635</v>
      </c>
      <c r="K178" s="3">
        <v>3.9112900000000002</v>
      </c>
      <c r="L178" s="3">
        <v>3.9135909999999998</v>
      </c>
      <c r="M178" s="3">
        <v>3.915257</v>
      </c>
      <c r="N178" s="3">
        <v>3.916763</v>
      </c>
      <c r="O178" s="3">
        <v>3.9187240000000001</v>
      </c>
      <c r="P178" s="3">
        <v>3.920607</v>
      </c>
      <c r="Q178" s="3">
        <v>3.9228299999999998</v>
      </c>
    </row>
    <row r="179" spans="1:17" ht="18.75" customHeight="1" x14ac:dyDescent="0.25">
      <c r="A179" s="2">
        <v>43799</v>
      </c>
      <c r="B179" s="3">
        <v>3.27</v>
      </c>
      <c r="C179" s="3">
        <v>4.4351609999999999</v>
      </c>
      <c r="D179" s="3">
        <v>4.0105649999999997</v>
      </c>
      <c r="E179" s="3">
        <v>3.9224830000000002</v>
      </c>
      <c r="F179" s="3">
        <v>3.9300130000000002</v>
      </c>
      <c r="G179" s="3">
        <v>3.9454289999999999</v>
      </c>
      <c r="H179" s="3">
        <v>3.9519489999999999</v>
      </c>
      <c r="I179" s="3">
        <v>3.9519489999999999</v>
      </c>
      <c r="J179" s="3">
        <v>3.9404759999999999</v>
      </c>
      <c r="K179" s="3">
        <v>3.9268670000000001</v>
      </c>
      <c r="L179" s="3">
        <v>3.9106510000000001</v>
      </c>
      <c r="M179" s="3">
        <v>3.8928020000000001</v>
      </c>
      <c r="N179" s="3">
        <v>3.874536</v>
      </c>
      <c r="O179" s="3">
        <v>3.8566020000000001</v>
      </c>
      <c r="P179" s="3">
        <v>3.8391769999999998</v>
      </c>
      <c r="Q179" s="3">
        <v>3.8227880000000001</v>
      </c>
    </row>
    <row r="180" spans="1:17" ht="18.75" customHeight="1" x14ac:dyDescent="0.25">
      <c r="A180" s="2">
        <v>43830</v>
      </c>
      <c r="B180" s="3">
        <v>4.3099999999999996</v>
      </c>
      <c r="C180" s="3">
        <v>4.2691540000000003</v>
      </c>
      <c r="D180" s="3">
        <v>4.0313059999999998</v>
      </c>
      <c r="E180" s="3">
        <v>4.0009779999999999</v>
      </c>
      <c r="F180" s="3">
        <v>3.9743279999999999</v>
      </c>
      <c r="G180" s="3">
        <v>3.935845</v>
      </c>
      <c r="H180" s="3">
        <v>3.8965350000000001</v>
      </c>
      <c r="I180" s="3">
        <v>3.8965350000000001</v>
      </c>
      <c r="J180" s="3">
        <v>3.833024</v>
      </c>
      <c r="K180" s="3">
        <v>3.8092640000000002</v>
      </c>
      <c r="L180" s="3">
        <v>3.78959</v>
      </c>
      <c r="M180" s="3">
        <v>3.773069</v>
      </c>
      <c r="N180" s="3">
        <v>3.7608480000000002</v>
      </c>
      <c r="O180" s="3">
        <v>3.7490030000000001</v>
      </c>
      <c r="P180" s="3">
        <v>3.7387700000000001</v>
      </c>
      <c r="Q180" s="3">
        <v>3.729946</v>
      </c>
    </row>
    <row r="181" spans="1:17" ht="18.75" customHeight="1" x14ac:dyDescent="0.25">
      <c r="A181" s="2">
        <v>43861</v>
      </c>
      <c r="B181" s="3">
        <v>4.1900000000000004</v>
      </c>
      <c r="C181" s="3">
        <v>3.309755</v>
      </c>
      <c r="D181" s="3">
        <v>3.5758580000000002</v>
      </c>
      <c r="E181" s="3">
        <v>3.643173</v>
      </c>
      <c r="F181" s="3">
        <v>3.692863</v>
      </c>
      <c r="G181" s="3">
        <v>3.7298840000000002</v>
      </c>
      <c r="H181" s="3">
        <v>3.754448</v>
      </c>
      <c r="I181" s="3">
        <v>3.754448</v>
      </c>
      <c r="J181" s="3">
        <v>3.777466</v>
      </c>
      <c r="K181" s="3">
        <v>3.7805840000000002</v>
      </c>
      <c r="L181" s="3">
        <v>3.7796889999999999</v>
      </c>
      <c r="M181" s="3">
        <v>3.7769409999999999</v>
      </c>
      <c r="N181" s="3">
        <v>3.7717849999999999</v>
      </c>
      <c r="O181" s="3">
        <v>3.7670180000000002</v>
      </c>
      <c r="P181" s="3">
        <v>3.7621500000000001</v>
      </c>
      <c r="Q181" s="3">
        <v>3.7555939999999999</v>
      </c>
    </row>
    <row r="182" spans="1:17" ht="18.75" customHeight="1" x14ac:dyDescent="0.25">
      <c r="A182" s="2">
        <v>43890</v>
      </c>
      <c r="B182" s="3">
        <v>4.01</v>
      </c>
      <c r="C182" s="3">
        <v>3.3405450000000001</v>
      </c>
      <c r="D182" s="3">
        <v>3.482917</v>
      </c>
      <c r="E182" s="3">
        <v>3.5942400000000001</v>
      </c>
      <c r="F182" s="3">
        <v>3.7172070000000001</v>
      </c>
      <c r="G182" s="3">
        <v>3.8192620000000002</v>
      </c>
      <c r="H182" s="3">
        <v>3.884887</v>
      </c>
      <c r="I182" s="3">
        <v>3.884887</v>
      </c>
      <c r="J182" s="3">
        <v>3.9474049999999998</v>
      </c>
      <c r="K182" s="3">
        <v>3.9597820000000001</v>
      </c>
      <c r="L182" s="3">
        <v>3.9660060000000001</v>
      </c>
      <c r="M182" s="3">
        <v>3.9684819999999998</v>
      </c>
      <c r="N182" s="3">
        <v>3.968896</v>
      </c>
      <c r="O182" s="3">
        <v>3.9683540000000002</v>
      </c>
      <c r="P182" s="3">
        <v>3.9675820000000002</v>
      </c>
      <c r="Q182" s="3">
        <v>3.9670670000000001</v>
      </c>
    </row>
    <row r="183" spans="1:17" ht="18.75" customHeight="1" x14ac:dyDescent="0.25">
      <c r="A183" s="2">
        <v>43921</v>
      </c>
      <c r="B183" s="3">
        <v>3.3</v>
      </c>
      <c r="C183" s="3">
        <v>1.298708</v>
      </c>
      <c r="D183" s="3">
        <v>2.2926289999999998</v>
      </c>
      <c r="E183" s="3">
        <v>2.944232</v>
      </c>
      <c r="F183" s="3">
        <v>3.4071889999999998</v>
      </c>
      <c r="G183" s="3">
        <v>3.682617</v>
      </c>
      <c r="H183" s="3">
        <v>3.851537</v>
      </c>
      <c r="I183" s="3">
        <v>3.851537</v>
      </c>
      <c r="J183" s="3">
        <v>3.9856530000000001</v>
      </c>
      <c r="K183" s="3">
        <v>4.004054</v>
      </c>
      <c r="L183" s="3">
        <v>4.0076010000000002</v>
      </c>
      <c r="M183" s="3">
        <v>4.0028040000000003</v>
      </c>
      <c r="N183" s="3">
        <v>3.9930029999999999</v>
      </c>
      <c r="O183" s="3">
        <v>3.9804010000000001</v>
      </c>
      <c r="P183" s="3">
        <v>3.9666320000000002</v>
      </c>
      <c r="Q183" s="3">
        <v>3.9527220000000001</v>
      </c>
    </row>
    <row r="184" spans="1:17" ht="18.75" customHeight="1" x14ac:dyDescent="0.25">
      <c r="A184" s="2">
        <v>43951</v>
      </c>
      <c r="B184" s="3">
        <v>2.4</v>
      </c>
      <c r="C184" s="3">
        <v>0.97963999999999996</v>
      </c>
      <c r="D184" s="3">
        <v>2.1130659999999999</v>
      </c>
      <c r="E184" s="3">
        <v>2.737908</v>
      </c>
      <c r="F184" s="3">
        <v>3.2367089999999998</v>
      </c>
      <c r="G184" s="3">
        <v>3.6060050000000001</v>
      </c>
      <c r="H184" s="3">
        <v>3.812929</v>
      </c>
      <c r="I184" s="3">
        <v>3.812929</v>
      </c>
      <c r="J184" s="3">
        <v>4.0253379999999996</v>
      </c>
      <c r="K184" s="3">
        <v>4.0637879999999997</v>
      </c>
      <c r="L184" s="3">
        <v>4.080444</v>
      </c>
      <c r="M184" s="3">
        <v>4.0802860000000001</v>
      </c>
      <c r="N184" s="3">
        <v>4.0750080000000004</v>
      </c>
      <c r="O184" s="3">
        <v>4.0655340000000004</v>
      </c>
      <c r="P184" s="3">
        <v>4.053064</v>
      </c>
      <c r="Q184" s="3">
        <v>4.0442499999999999</v>
      </c>
    </row>
    <row r="185" spans="1:17" ht="18.75" customHeight="1" x14ac:dyDescent="0.25">
      <c r="A185" s="2">
        <v>43982</v>
      </c>
      <c r="B185" s="3">
        <v>1.88</v>
      </c>
      <c r="C185" s="3">
        <v>2.0161820000000001</v>
      </c>
      <c r="D185" s="3">
        <v>2.7163330000000001</v>
      </c>
      <c r="E185" s="3">
        <v>3.317285</v>
      </c>
      <c r="F185" s="3">
        <v>3.6519360000000001</v>
      </c>
      <c r="G185" s="3">
        <v>3.799207</v>
      </c>
      <c r="H185" s="3">
        <v>3.8450519999999999</v>
      </c>
      <c r="I185" s="3">
        <v>3.8450519999999999</v>
      </c>
      <c r="J185" s="3">
        <v>3.8175569999999999</v>
      </c>
      <c r="K185" s="3">
        <v>3.7857919999999998</v>
      </c>
      <c r="L185" s="3">
        <v>3.752948</v>
      </c>
      <c r="M185" s="3">
        <v>3.7217370000000001</v>
      </c>
      <c r="N185" s="3">
        <v>3.6933880000000001</v>
      </c>
      <c r="O185" s="3">
        <v>3.6690990000000001</v>
      </c>
      <c r="P185" s="3">
        <v>3.6485120000000002</v>
      </c>
      <c r="Q185" s="3">
        <v>3.6313909999999998</v>
      </c>
    </row>
    <row r="186" spans="1:17" ht="18.75" customHeight="1" x14ac:dyDescent="0.25">
      <c r="A186" s="2">
        <v>44012</v>
      </c>
      <c r="B186" s="3">
        <v>2.13</v>
      </c>
      <c r="C186" s="3">
        <v>2.6832530000000001</v>
      </c>
      <c r="D186" s="3">
        <v>3.0750989999999998</v>
      </c>
      <c r="E186" s="3">
        <v>3.532041</v>
      </c>
      <c r="F186" s="3">
        <v>3.738057</v>
      </c>
      <c r="G186" s="3">
        <v>3.8042549999999999</v>
      </c>
      <c r="H186" s="3">
        <v>3.8079230000000002</v>
      </c>
      <c r="I186" s="3">
        <v>3.8079230000000002</v>
      </c>
      <c r="J186" s="3">
        <v>3.7633049999999999</v>
      </c>
      <c r="K186" s="3">
        <v>3.7386080000000002</v>
      </c>
      <c r="L186" s="3">
        <v>3.7163970000000002</v>
      </c>
      <c r="M186" s="3">
        <v>3.6991830000000001</v>
      </c>
      <c r="N186" s="3">
        <v>3.681883</v>
      </c>
      <c r="O186" s="3">
        <v>3.6672669999999998</v>
      </c>
      <c r="P186" s="3">
        <v>3.6546989999999999</v>
      </c>
      <c r="Q186" s="3">
        <v>3.6437719999999998</v>
      </c>
    </row>
    <row r="187" spans="1:17" ht="18.75" customHeight="1" x14ac:dyDescent="0.25">
      <c r="A187" s="2">
        <v>44043</v>
      </c>
      <c r="B187" s="3">
        <v>2.31</v>
      </c>
      <c r="C187" s="3">
        <v>2.8073440000000001</v>
      </c>
      <c r="D187" s="3">
        <v>3.1234160000000002</v>
      </c>
      <c r="E187" s="3">
        <v>3.4513639999999999</v>
      </c>
      <c r="F187" s="3">
        <v>3.6752470000000002</v>
      </c>
      <c r="G187" s="3">
        <v>3.8037550000000002</v>
      </c>
      <c r="H187" s="3">
        <v>3.865497</v>
      </c>
      <c r="I187" s="3">
        <v>3.865497</v>
      </c>
      <c r="J187" s="3">
        <v>3.888576</v>
      </c>
      <c r="K187" s="3">
        <v>3.8775550000000001</v>
      </c>
      <c r="L187" s="3">
        <v>3.8622809999999999</v>
      </c>
      <c r="M187" s="3">
        <v>3.846371</v>
      </c>
      <c r="N187" s="3">
        <v>3.8340749999999999</v>
      </c>
      <c r="O187" s="3">
        <v>3.8196590000000001</v>
      </c>
      <c r="P187" s="3">
        <v>3.803461</v>
      </c>
      <c r="Q187" s="3">
        <v>3.791817</v>
      </c>
    </row>
    <row r="188" spans="1:17" ht="18.75" customHeight="1" x14ac:dyDescent="0.25">
      <c r="A188" s="2">
        <v>44074</v>
      </c>
      <c r="B188" s="3">
        <v>2.44</v>
      </c>
      <c r="C188" s="3">
        <v>3.687306</v>
      </c>
      <c r="D188" s="3">
        <v>3.8888820000000002</v>
      </c>
      <c r="E188" s="3">
        <v>4.0137260000000001</v>
      </c>
      <c r="F188" s="3">
        <v>4.1162299999999998</v>
      </c>
      <c r="G188" s="3">
        <v>4.1808300000000003</v>
      </c>
      <c r="H188" s="3">
        <v>4.2010579999999997</v>
      </c>
      <c r="I188" s="3">
        <v>4.2010579999999997</v>
      </c>
      <c r="J188" s="3">
        <v>4.1617230000000003</v>
      </c>
      <c r="K188" s="3">
        <v>4.1247579999999999</v>
      </c>
      <c r="L188" s="3">
        <v>4.0850099999999996</v>
      </c>
      <c r="M188" s="3">
        <v>4.0454030000000003</v>
      </c>
      <c r="N188" s="3">
        <v>4.007663</v>
      </c>
      <c r="O188" s="3">
        <v>3.9732669999999999</v>
      </c>
      <c r="P188" s="3">
        <v>3.9419569999999999</v>
      </c>
      <c r="Q188" s="3">
        <v>3.9137650000000002</v>
      </c>
    </row>
    <row r="189" spans="1:17" ht="18.75" customHeight="1" x14ac:dyDescent="0.25">
      <c r="A189" s="2">
        <v>44104</v>
      </c>
      <c r="B189" s="3">
        <v>3.14</v>
      </c>
      <c r="C189" s="3">
        <v>4.3955380000000002</v>
      </c>
      <c r="D189" s="3">
        <v>4.1148040000000004</v>
      </c>
      <c r="E189" s="3">
        <v>4.2039160000000004</v>
      </c>
      <c r="F189" s="3">
        <v>4.3267259999999998</v>
      </c>
      <c r="G189" s="3">
        <v>4.380598</v>
      </c>
      <c r="H189" s="3">
        <v>4.3831329999999999</v>
      </c>
      <c r="I189" s="3">
        <v>4.3831329999999999</v>
      </c>
      <c r="J189" s="3">
        <v>4.3087949999999999</v>
      </c>
      <c r="K189" s="3">
        <v>4.2604939999999996</v>
      </c>
      <c r="L189" s="3">
        <v>4.2124790000000001</v>
      </c>
      <c r="M189" s="3">
        <v>4.1676149999999996</v>
      </c>
      <c r="N189" s="3">
        <v>4.1268479999999998</v>
      </c>
      <c r="O189" s="3">
        <v>4.0909950000000004</v>
      </c>
      <c r="P189" s="3">
        <v>4.0592319999999997</v>
      </c>
      <c r="Q189" s="3">
        <v>4.0312239999999999</v>
      </c>
    </row>
    <row r="190" spans="1:17" ht="18.75" customHeight="1" x14ac:dyDescent="0.25">
      <c r="A190" s="2">
        <v>44135</v>
      </c>
      <c r="B190" s="3">
        <v>3.92</v>
      </c>
      <c r="C190" s="3">
        <v>4.9092250000000002</v>
      </c>
      <c r="D190" s="3">
        <v>4.2673459999999999</v>
      </c>
      <c r="E190" s="3">
        <v>4.2574519999999998</v>
      </c>
      <c r="F190" s="3">
        <v>4.2943379999999998</v>
      </c>
      <c r="G190" s="3">
        <v>4.2999689999999999</v>
      </c>
      <c r="H190" s="3">
        <v>4.2891060000000003</v>
      </c>
      <c r="I190" s="3">
        <v>4.2891060000000003</v>
      </c>
      <c r="J190" s="3">
        <v>4.2642519999999999</v>
      </c>
      <c r="K190" s="3">
        <v>4.2582810000000002</v>
      </c>
      <c r="L190" s="3">
        <v>4.2571659999999998</v>
      </c>
      <c r="M190" s="3">
        <v>4.260103</v>
      </c>
      <c r="N190" s="3">
        <v>4.266178</v>
      </c>
      <c r="O190" s="3">
        <v>4.2742620000000002</v>
      </c>
      <c r="P190" s="3">
        <v>4.2861130000000003</v>
      </c>
      <c r="Q190" s="3">
        <v>4.2964669999999998</v>
      </c>
    </row>
    <row r="191" spans="1:17" ht="18.75" customHeight="1" x14ac:dyDescent="0.25">
      <c r="A191" s="2">
        <v>44165</v>
      </c>
      <c r="B191" s="3">
        <v>4.3099999999999996</v>
      </c>
      <c r="C191" s="3">
        <v>5.2699629999999997</v>
      </c>
      <c r="D191" s="3">
        <v>4.4306270000000003</v>
      </c>
      <c r="E191" s="3">
        <v>4.4343050000000002</v>
      </c>
      <c r="F191" s="3">
        <v>4.4599190000000002</v>
      </c>
      <c r="G191" s="3">
        <v>4.4494309999999997</v>
      </c>
      <c r="H191" s="3">
        <v>4.4348460000000003</v>
      </c>
      <c r="I191" s="3">
        <v>4.4348460000000003</v>
      </c>
      <c r="J191" s="3">
        <v>4.4537319999999996</v>
      </c>
      <c r="K191" s="3">
        <v>4.4923599999999997</v>
      </c>
      <c r="L191" s="3">
        <v>4.5478730000000001</v>
      </c>
      <c r="M191" s="3">
        <v>4.6157260000000004</v>
      </c>
      <c r="N191" s="3">
        <v>4.6917710000000001</v>
      </c>
      <c r="O191" s="3">
        <v>4.774038</v>
      </c>
      <c r="P191" s="3">
        <v>4.8589820000000001</v>
      </c>
      <c r="Q191" s="3">
        <v>4.9445430000000004</v>
      </c>
    </row>
    <row r="192" spans="1:17" ht="18.75" customHeight="1" x14ac:dyDescent="0.25">
      <c r="A192" s="2">
        <v>44196</v>
      </c>
      <c r="B192" s="3">
        <v>4.5199999999999996</v>
      </c>
      <c r="C192" s="3">
        <v>4.6206139999999998</v>
      </c>
      <c r="D192" s="3">
        <v>3.8485809999999998</v>
      </c>
      <c r="E192" s="3">
        <v>3.813272</v>
      </c>
      <c r="F192" s="3">
        <v>3.8511959999999998</v>
      </c>
      <c r="G192" s="3">
        <v>3.8922189999999999</v>
      </c>
      <c r="H192" s="3">
        <v>3.9330240000000001</v>
      </c>
      <c r="I192" s="3">
        <v>3.9330240000000001</v>
      </c>
      <c r="J192" s="3">
        <v>4.0143550000000001</v>
      </c>
      <c r="K192" s="3">
        <v>4.0532719999999998</v>
      </c>
      <c r="L192" s="3">
        <v>4.0905329999999998</v>
      </c>
      <c r="M192" s="3">
        <v>4.1210250000000004</v>
      </c>
      <c r="N192" s="3">
        <v>4.1572019999999998</v>
      </c>
      <c r="O192" s="3">
        <v>4.1826650000000001</v>
      </c>
      <c r="P192" s="3">
        <v>4.2127379999999999</v>
      </c>
      <c r="Q192" s="3">
        <v>4.2339900000000004</v>
      </c>
    </row>
    <row r="193" spans="1:17" ht="18.75" customHeight="1" x14ac:dyDescent="0.25">
      <c r="A193" s="2">
        <v>44227</v>
      </c>
      <c r="B193" s="3">
        <v>4.5599999999999996</v>
      </c>
      <c r="C193" s="3">
        <v>4.6131650000000004</v>
      </c>
      <c r="D193" s="3">
        <v>4.0969670000000002</v>
      </c>
      <c r="E193" s="3">
        <v>4.0969699999999998</v>
      </c>
      <c r="F193" s="3">
        <v>4.1339079999999999</v>
      </c>
      <c r="G193" s="3">
        <v>4.174607</v>
      </c>
      <c r="H193" s="3">
        <v>4.2252029999999996</v>
      </c>
      <c r="I193" s="3">
        <v>4.2252029999999996</v>
      </c>
      <c r="J193" s="3">
        <v>4.3567729999999996</v>
      </c>
      <c r="K193" s="3">
        <v>4.4315059999999997</v>
      </c>
      <c r="L193" s="3">
        <v>4.5090149999999998</v>
      </c>
      <c r="M193" s="3">
        <v>4.5800159999999996</v>
      </c>
      <c r="N193" s="3">
        <v>4.6606189999999996</v>
      </c>
      <c r="O193" s="3">
        <v>4.7236599999999997</v>
      </c>
      <c r="P193" s="3">
        <v>4.8061439999999997</v>
      </c>
      <c r="Q193" s="3">
        <v>4.8689660000000003</v>
      </c>
    </row>
    <row r="194" spans="1:17" ht="18.75" customHeight="1" x14ac:dyDescent="0.25">
      <c r="A194" s="2">
        <v>44255</v>
      </c>
      <c r="B194" s="3">
        <v>5.2</v>
      </c>
      <c r="C194" s="3">
        <v>5.0309030000000003</v>
      </c>
      <c r="D194" s="3">
        <v>4.4192</v>
      </c>
      <c r="E194" s="3">
        <v>4.4831300000000001</v>
      </c>
      <c r="F194" s="3">
        <v>4.5815039999999998</v>
      </c>
      <c r="G194" s="3">
        <v>4.6602040000000002</v>
      </c>
      <c r="H194" s="3">
        <v>4.7276210000000001</v>
      </c>
      <c r="I194" s="3">
        <v>4.7276210000000001</v>
      </c>
      <c r="J194" s="3">
        <v>4.8515090000000001</v>
      </c>
      <c r="K194" s="3">
        <v>4.9088010000000004</v>
      </c>
      <c r="L194" s="3">
        <v>4.9628899999999998</v>
      </c>
      <c r="M194" s="3">
        <v>5.0127649999999999</v>
      </c>
      <c r="N194" s="3">
        <v>5.059717</v>
      </c>
      <c r="O194" s="3">
        <v>5.1026199999999999</v>
      </c>
      <c r="P194" s="3">
        <v>5.1412380000000004</v>
      </c>
      <c r="Q194" s="3">
        <v>5.1773239999999996</v>
      </c>
    </row>
    <row r="195" spans="1:17" ht="18.75" customHeight="1" x14ac:dyDescent="0.25">
      <c r="A195" s="2">
        <v>44286</v>
      </c>
      <c r="B195" s="3">
        <v>6.1</v>
      </c>
      <c r="C195" s="3">
        <v>5.3056080000000003</v>
      </c>
      <c r="D195" s="3">
        <v>4.6108840000000004</v>
      </c>
      <c r="E195" s="3">
        <v>4.7902329999999997</v>
      </c>
      <c r="F195" s="3">
        <v>4.9785259999999996</v>
      </c>
      <c r="G195" s="3">
        <v>5.1104520000000004</v>
      </c>
      <c r="H195" s="3">
        <v>5.214874</v>
      </c>
      <c r="I195" s="3">
        <v>5.214874</v>
      </c>
      <c r="J195" s="3">
        <v>5.352538</v>
      </c>
      <c r="K195" s="3">
        <v>5.4010389999999999</v>
      </c>
      <c r="L195" s="3">
        <v>5.429214</v>
      </c>
      <c r="M195" s="3">
        <v>5.4518820000000003</v>
      </c>
      <c r="N195" s="3">
        <v>5.4675089999999997</v>
      </c>
      <c r="O195" s="3">
        <v>5.4773490000000002</v>
      </c>
      <c r="P195" s="3">
        <v>5.4828140000000003</v>
      </c>
      <c r="Q195" s="3">
        <v>5.4851590000000003</v>
      </c>
    </row>
    <row r="196" spans="1:17" ht="18.75" customHeight="1" x14ac:dyDescent="0.25">
      <c r="A196" s="2">
        <v>44316</v>
      </c>
      <c r="B196" s="3">
        <v>6.76</v>
      </c>
      <c r="C196" s="3">
        <v>4.0979580000000002</v>
      </c>
      <c r="D196" s="3">
        <v>4.7960430000000001</v>
      </c>
      <c r="E196" s="3">
        <v>4.9393310000000001</v>
      </c>
      <c r="F196" s="3">
        <v>4.9639920000000002</v>
      </c>
      <c r="G196" s="3">
        <v>4.9856439999999997</v>
      </c>
      <c r="H196" s="3">
        <v>5.024654</v>
      </c>
      <c r="I196" s="3">
        <v>5.024654</v>
      </c>
      <c r="J196" s="3">
        <v>5.1294839999999997</v>
      </c>
      <c r="K196" s="3">
        <v>5.1845020000000002</v>
      </c>
      <c r="L196" s="3">
        <v>5.2303480000000002</v>
      </c>
      <c r="M196" s="3">
        <v>5.2725629999999999</v>
      </c>
      <c r="N196" s="3">
        <v>5.3085889999999996</v>
      </c>
      <c r="O196" s="3">
        <v>5.3377179999999997</v>
      </c>
      <c r="P196" s="3">
        <v>5.366015</v>
      </c>
      <c r="Q196" s="3">
        <v>5.383451</v>
      </c>
    </row>
    <row r="197" spans="1:17" ht="18.75" customHeight="1" x14ac:dyDescent="0.25">
      <c r="A197" s="2">
        <v>44347</v>
      </c>
      <c r="B197" s="3">
        <v>8.06</v>
      </c>
      <c r="C197" s="3">
        <v>4.7823690000000001</v>
      </c>
      <c r="D197" s="3">
        <v>5.2383259999999998</v>
      </c>
      <c r="E197" s="3">
        <v>5.0724460000000002</v>
      </c>
      <c r="F197" s="3">
        <v>4.913335</v>
      </c>
      <c r="G197" s="3">
        <v>4.8574780000000004</v>
      </c>
      <c r="H197" s="3">
        <v>4.8780320000000001</v>
      </c>
      <c r="I197" s="3">
        <v>4.8780320000000001</v>
      </c>
      <c r="J197" s="3">
        <v>5.0215569999999996</v>
      </c>
      <c r="K197" s="3">
        <v>5.1083369999999997</v>
      </c>
      <c r="L197" s="3">
        <v>5.1938719999999998</v>
      </c>
      <c r="M197" s="3">
        <v>5.2744869999999997</v>
      </c>
      <c r="N197" s="3">
        <v>5.3462709999999998</v>
      </c>
      <c r="O197" s="3">
        <v>5.4097879999999998</v>
      </c>
      <c r="P197" s="3">
        <v>5.4654689999999997</v>
      </c>
      <c r="Q197" s="3">
        <v>5.5137650000000002</v>
      </c>
    </row>
    <row r="198" spans="1:17" ht="18.75" customHeight="1" x14ac:dyDescent="0.25">
      <c r="A198" s="2">
        <v>44377</v>
      </c>
      <c r="B198" s="3">
        <v>8.35</v>
      </c>
      <c r="C198" s="3">
        <v>4.9227400000000001</v>
      </c>
      <c r="D198" s="3">
        <v>4.852913</v>
      </c>
      <c r="E198" s="3">
        <v>4.6405079999999996</v>
      </c>
      <c r="F198" s="3">
        <v>4.5919350000000003</v>
      </c>
      <c r="G198" s="3">
        <v>4.6338030000000003</v>
      </c>
      <c r="H198" s="3">
        <v>4.7172999999999998</v>
      </c>
      <c r="I198" s="3">
        <v>4.7172999999999998</v>
      </c>
      <c r="J198" s="3">
        <v>4.9176089999999997</v>
      </c>
      <c r="K198" s="3">
        <v>5.0129010000000003</v>
      </c>
      <c r="L198" s="3">
        <v>5.0900420000000004</v>
      </c>
      <c r="M198" s="3">
        <v>5.1699909999999996</v>
      </c>
      <c r="N198" s="3">
        <v>5.2387030000000001</v>
      </c>
      <c r="O198" s="3">
        <v>5.2978779999999999</v>
      </c>
      <c r="P198" s="3">
        <v>5.3486929999999999</v>
      </c>
      <c r="Q198" s="3">
        <v>5.3921330000000003</v>
      </c>
    </row>
    <row r="199" spans="1:17" ht="18.75" customHeight="1" x14ac:dyDescent="0.25">
      <c r="A199" s="2">
        <v>44408</v>
      </c>
      <c r="B199" s="3">
        <v>8.99</v>
      </c>
      <c r="C199" s="3">
        <v>5.5147659999999998</v>
      </c>
      <c r="D199" s="3">
        <v>4.9394799999999996</v>
      </c>
      <c r="E199" s="3">
        <v>4.829739</v>
      </c>
      <c r="F199" s="3">
        <v>4.8157439999999996</v>
      </c>
      <c r="G199" s="3">
        <v>4.8526939999999996</v>
      </c>
      <c r="H199" s="3">
        <v>4.9193680000000004</v>
      </c>
      <c r="I199" s="3">
        <v>4.9193680000000004</v>
      </c>
      <c r="J199" s="3">
        <v>5.1009529999999996</v>
      </c>
      <c r="K199" s="3">
        <v>5.1828260000000004</v>
      </c>
      <c r="L199" s="3">
        <v>5.2652530000000004</v>
      </c>
      <c r="M199" s="3">
        <v>5.3465850000000001</v>
      </c>
      <c r="N199" s="3">
        <v>5.4218190000000002</v>
      </c>
      <c r="O199" s="3">
        <v>5.4892630000000002</v>
      </c>
      <c r="P199" s="3">
        <v>5.5649240000000004</v>
      </c>
      <c r="Q199" s="3">
        <v>5.6192209999999996</v>
      </c>
    </row>
    <row r="200" spans="1:17" ht="18.75" customHeight="1" x14ac:dyDescent="0.25">
      <c r="A200" s="2">
        <v>44439</v>
      </c>
      <c r="B200" s="3">
        <v>9.68</v>
      </c>
      <c r="C200" s="3">
        <v>5.3839639999999997</v>
      </c>
      <c r="D200" s="3">
        <v>5.1195659999999998</v>
      </c>
      <c r="E200" s="3">
        <v>5.1760210000000004</v>
      </c>
      <c r="F200" s="3">
        <v>5.2924509999999998</v>
      </c>
      <c r="G200" s="3">
        <v>5.4196669999999996</v>
      </c>
      <c r="H200" s="3">
        <v>5.5371579999999998</v>
      </c>
      <c r="I200" s="3">
        <v>5.6401779999999997</v>
      </c>
      <c r="J200" s="3">
        <v>5.7266830000000004</v>
      </c>
      <c r="K200" s="3">
        <v>5.7982760000000004</v>
      </c>
      <c r="L200" s="3">
        <v>5.8573950000000004</v>
      </c>
      <c r="M200" s="3">
        <v>5.905939</v>
      </c>
      <c r="N200" s="3">
        <v>5.945017</v>
      </c>
      <c r="O200" s="3">
        <v>5.9769459999999999</v>
      </c>
      <c r="P200" s="3">
        <v>6.0030219999999996</v>
      </c>
      <c r="Q200" s="3">
        <v>6.0244980000000004</v>
      </c>
    </row>
    <row r="201" spans="1:17" ht="18.75" customHeight="1" x14ac:dyDescent="0.25">
      <c r="A201" s="2">
        <v>44469</v>
      </c>
      <c r="B201" s="3">
        <v>10.25</v>
      </c>
      <c r="C201" s="3">
        <v>5.7926520000000004</v>
      </c>
      <c r="D201" s="3">
        <v>5.5886519999999997</v>
      </c>
      <c r="E201" s="3">
        <v>5.612933</v>
      </c>
      <c r="F201" s="3">
        <v>5.6716100000000003</v>
      </c>
      <c r="G201" s="3">
        <v>5.7475620000000003</v>
      </c>
      <c r="H201" s="3">
        <v>5.8405779999999998</v>
      </c>
      <c r="I201" s="3">
        <v>5.9392149999999999</v>
      </c>
      <c r="J201" s="3">
        <v>6.0356160000000001</v>
      </c>
      <c r="K201" s="3">
        <v>6.1272469999999997</v>
      </c>
      <c r="L201" s="3">
        <v>6.2134830000000001</v>
      </c>
      <c r="M201" s="3">
        <v>6.292306</v>
      </c>
      <c r="N201" s="3">
        <v>6.3622930000000002</v>
      </c>
      <c r="O201" s="3">
        <v>6.4249000000000001</v>
      </c>
      <c r="P201" s="3">
        <v>6.4805849999999996</v>
      </c>
      <c r="Q201" s="3">
        <v>6.5303180000000003</v>
      </c>
    </row>
    <row r="202" spans="1:17" ht="18.75" customHeight="1" x14ac:dyDescent="0.25">
      <c r="A202" s="2">
        <v>44500</v>
      </c>
      <c r="B202" s="3">
        <v>10.67</v>
      </c>
      <c r="C202" s="3">
        <v>6.4190129999999996</v>
      </c>
      <c r="D202" s="3">
        <v>6.3836839999999997</v>
      </c>
      <c r="E202" s="3">
        <v>6.3601049999999999</v>
      </c>
      <c r="F202" s="3">
        <v>6.3442460000000001</v>
      </c>
      <c r="G202" s="3">
        <v>6.3496160000000001</v>
      </c>
      <c r="H202" s="3">
        <v>6.3676069999999996</v>
      </c>
      <c r="I202" s="3">
        <v>6.3902640000000002</v>
      </c>
      <c r="J202" s="3">
        <v>6.4126779999999997</v>
      </c>
      <c r="K202" s="3">
        <v>6.4334800000000003</v>
      </c>
      <c r="L202" s="3">
        <v>6.4518050000000002</v>
      </c>
      <c r="M202" s="3">
        <v>6.4678000000000004</v>
      </c>
      <c r="N202" s="3">
        <v>6.4815209999999999</v>
      </c>
      <c r="O202" s="3">
        <v>6.4932249999999998</v>
      </c>
      <c r="P202" s="3">
        <v>6.5057369999999999</v>
      </c>
      <c r="Q202" s="3">
        <v>6.5123639999999998</v>
      </c>
    </row>
    <row r="203" spans="1:17" ht="18.75" customHeight="1" x14ac:dyDescent="0.25">
      <c r="A203" s="2">
        <v>44530</v>
      </c>
      <c r="B203" s="1">
        <v>10.74</v>
      </c>
      <c r="C203" s="3">
        <v>6.5101430000000002</v>
      </c>
      <c r="D203" s="3">
        <v>6.342015</v>
      </c>
      <c r="E203" s="3">
        <v>6.1084059999999996</v>
      </c>
      <c r="F203" s="3">
        <v>6.000254</v>
      </c>
      <c r="G203" s="3">
        <v>5.9722749999999998</v>
      </c>
      <c r="H203" s="3">
        <v>5.974647</v>
      </c>
      <c r="I203" s="3">
        <v>5.9839229999999999</v>
      </c>
      <c r="J203" s="3">
        <v>5.990863</v>
      </c>
      <c r="K203" s="3">
        <v>5.9930469999999998</v>
      </c>
      <c r="L203" s="3">
        <v>5.9904440000000001</v>
      </c>
      <c r="M203" s="3">
        <v>5.9840200000000001</v>
      </c>
      <c r="N203" s="3">
        <v>5.9746829999999997</v>
      </c>
      <c r="O203" s="3">
        <v>5.9634239999999998</v>
      </c>
      <c r="P203" s="3">
        <v>5.9509829999999999</v>
      </c>
      <c r="Q203" s="3">
        <v>5.9377060000000004</v>
      </c>
    </row>
    <row r="204" spans="1:17" ht="18.75" customHeight="1" x14ac:dyDescent="0.25">
      <c r="A204" s="2">
        <v>44561</v>
      </c>
      <c r="B204" s="1">
        <v>10.06</v>
      </c>
      <c r="C204" s="3">
        <v>5.7107200000000002</v>
      </c>
      <c r="D204" s="3">
        <v>5.4936439999999997</v>
      </c>
      <c r="E204" s="3">
        <v>5.2635690000000004</v>
      </c>
      <c r="F204" s="3">
        <v>5.2210049999999999</v>
      </c>
      <c r="G204" s="3">
        <v>5.2580070000000001</v>
      </c>
      <c r="H204" s="3">
        <v>5.3079349999999996</v>
      </c>
      <c r="I204" s="3">
        <v>5.349094</v>
      </c>
      <c r="J204" s="3">
        <v>5.3781369999999997</v>
      </c>
      <c r="K204" s="3">
        <v>5.3968749999999996</v>
      </c>
      <c r="L204" s="3">
        <v>5.4068360000000002</v>
      </c>
      <c r="M204" s="3">
        <v>5.4137919999999999</v>
      </c>
      <c r="N204" s="3">
        <v>5.4162480000000004</v>
      </c>
      <c r="O204" s="3">
        <v>5.417211</v>
      </c>
      <c r="P204" s="3">
        <v>5.4168329999999996</v>
      </c>
      <c r="Q204" s="3">
        <v>5.4158109999999997</v>
      </c>
    </row>
    <row r="205" spans="1:17" ht="18.75" customHeight="1" x14ac:dyDescent="0.25">
      <c r="A205" s="2">
        <v>44592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CAE1-387E-495C-857D-4C299BA43F0A}">
  <dimension ref="A1:AF205"/>
  <sheetViews>
    <sheetView workbookViewId="0">
      <pane ySplit="1" topLeftCell="A179" activePane="bottomLeft" state="frozen"/>
      <selection activeCell="A2" sqref="A2"/>
      <selection pane="bottomLeft" activeCell="A205" sqref="A205"/>
    </sheetView>
  </sheetViews>
  <sheetFormatPr defaultColWidth="11.875" defaultRowHeight="18.75" customHeight="1" x14ac:dyDescent="0.25"/>
  <cols>
    <col min="1" max="16384" width="11.875" style="1"/>
  </cols>
  <sheetData>
    <row r="1" spans="1:32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32" ht="18.75" customHeight="1" x14ac:dyDescent="0.25">
      <c r="A2" s="2">
        <v>38411</v>
      </c>
      <c r="B2" s="3">
        <v>4.5</v>
      </c>
      <c r="C2" s="3">
        <v>4.5</v>
      </c>
      <c r="D2" s="3">
        <v>4.5</v>
      </c>
      <c r="E2" s="3">
        <v>4.5</v>
      </c>
      <c r="F2" s="3">
        <v>4.5</v>
      </c>
      <c r="G2" s="3">
        <v>4.5</v>
      </c>
      <c r="H2" s="3">
        <v>4.5</v>
      </c>
      <c r="I2" s="3">
        <v>4.5</v>
      </c>
      <c r="J2" s="3">
        <v>4.5</v>
      </c>
      <c r="K2" s="3">
        <v>4.5</v>
      </c>
      <c r="L2" s="3">
        <v>4.5</v>
      </c>
      <c r="M2" s="3">
        <v>4.5</v>
      </c>
      <c r="N2" s="3">
        <v>4.5</v>
      </c>
      <c r="O2" s="3">
        <v>4.5</v>
      </c>
      <c r="P2" s="3">
        <v>4.5</v>
      </c>
      <c r="Q2" s="3">
        <v>4.5</v>
      </c>
    </row>
    <row r="3" spans="1:32" ht="18.75" customHeight="1" x14ac:dyDescent="0.25">
      <c r="A3" s="2">
        <v>38442</v>
      </c>
      <c r="B3" s="3">
        <v>4.5</v>
      </c>
      <c r="C3" s="3">
        <v>4.5</v>
      </c>
      <c r="D3" s="3">
        <v>4.5</v>
      </c>
      <c r="E3" s="3">
        <v>4.5</v>
      </c>
      <c r="F3" s="3">
        <v>4.5</v>
      </c>
      <c r="G3" s="3">
        <v>4.5</v>
      </c>
      <c r="H3" s="3">
        <v>4.5</v>
      </c>
      <c r="I3" s="3">
        <v>4.5</v>
      </c>
      <c r="J3" s="3">
        <v>4.5</v>
      </c>
      <c r="K3" s="3">
        <v>4.5</v>
      </c>
      <c r="L3" s="3">
        <v>4.5</v>
      </c>
      <c r="M3" s="3">
        <v>4.5</v>
      </c>
      <c r="N3" s="3">
        <v>4.5</v>
      </c>
      <c r="O3" s="3">
        <v>4.5</v>
      </c>
      <c r="P3" s="3">
        <v>4.5</v>
      </c>
      <c r="Q3" s="3">
        <v>4.5</v>
      </c>
    </row>
    <row r="4" spans="1:32" ht="18.75" customHeight="1" x14ac:dyDescent="0.25">
      <c r="A4" s="2">
        <v>38472</v>
      </c>
      <c r="B4" s="3">
        <v>4.5</v>
      </c>
      <c r="C4" s="3">
        <v>4.5</v>
      </c>
      <c r="D4" s="3">
        <v>4.5</v>
      </c>
      <c r="E4" s="3">
        <v>4.5</v>
      </c>
      <c r="F4" s="3">
        <v>4.5</v>
      </c>
      <c r="G4" s="3">
        <v>4.5</v>
      </c>
      <c r="H4" s="3">
        <v>4.5</v>
      </c>
      <c r="I4" s="3">
        <v>4.5</v>
      </c>
      <c r="J4" s="3">
        <v>4.5</v>
      </c>
      <c r="K4" s="3">
        <v>4.5</v>
      </c>
      <c r="L4" s="3">
        <v>4.5</v>
      </c>
      <c r="M4" s="3">
        <v>4.5</v>
      </c>
      <c r="N4" s="3">
        <v>4.5</v>
      </c>
      <c r="O4" s="3">
        <v>4.5</v>
      </c>
      <c r="P4" s="3">
        <v>4.5</v>
      </c>
      <c r="Q4" s="3">
        <v>4.5</v>
      </c>
    </row>
    <row r="5" spans="1:32" ht="18.75" customHeight="1" x14ac:dyDescent="0.25">
      <c r="A5" s="2">
        <v>38503</v>
      </c>
      <c r="B5" s="3">
        <v>4.5</v>
      </c>
      <c r="C5" s="3">
        <v>4.5</v>
      </c>
      <c r="D5" s="3">
        <v>4.5</v>
      </c>
      <c r="E5" s="3">
        <v>4.5</v>
      </c>
      <c r="F5" s="3">
        <v>4.5</v>
      </c>
      <c r="G5" s="3">
        <v>4.5</v>
      </c>
      <c r="H5" s="3">
        <v>4.5</v>
      </c>
      <c r="I5" s="3">
        <v>4.5</v>
      </c>
      <c r="J5" s="3">
        <v>4.5</v>
      </c>
      <c r="K5" s="3">
        <v>4.5</v>
      </c>
      <c r="L5" s="3">
        <v>4.5</v>
      </c>
      <c r="M5" s="3">
        <v>4.5</v>
      </c>
      <c r="N5" s="3">
        <v>4.5</v>
      </c>
      <c r="O5" s="3">
        <v>4.5</v>
      </c>
      <c r="P5" s="3">
        <v>4.5</v>
      </c>
      <c r="Q5" s="3">
        <v>4.5</v>
      </c>
    </row>
    <row r="6" spans="1:32" ht="18.75" customHeight="1" x14ac:dyDescent="0.25">
      <c r="A6" s="2">
        <v>38533</v>
      </c>
      <c r="B6" s="3">
        <v>4.5</v>
      </c>
      <c r="C6" s="3">
        <v>4.5</v>
      </c>
      <c r="D6" s="3">
        <v>4.5</v>
      </c>
      <c r="E6" s="3">
        <v>4.5</v>
      </c>
      <c r="F6" s="3">
        <v>4.5</v>
      </c>
      <c r="G6" s="3">
        <v>4.5</v>
      </c>
      <c r="H6" s="3">
        <v>4.5</v>
      </c>
      <c r="I6" s="3">
        <v>4.5</v>
      </c>
      <c r="J6" s="3">
        <v>4.5</v>
      </c>
      <c r="K6" s="3">
        <v>4.5</v>
      </c>
      <c r="L6" s="3">
        <v>4.5</v>
      </c>
      <c r="M6" s="3">
        <v>4.5</v>
      </c>
      <c r="N6" s="3">
        <v>4.5</v>
      </c>
      <c r="O6" s="3">
        <v>4.5</v>
      </c>
      <c r="P6" s="3">
        <v>4.5</v>
      </c>
      <c r="Q6" s="3">
        <v>4.5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8.75" customHeight="1" x14ac:dyDescent="0.25">
      <c r="A7" s="2">
        <v>38564</v>
      </c>
      <c r="B7" s="3">
        <v>4.5</v>
      </c>
      <c r="C7" s="3">
        <v>4.5</v>
      </c>
      <c r="D7" s="3">
        <v>4.5</v>
      </c>
      <c r="E7" s="3">
        <v>4.5</v>
      </c>
      <c r="F7" s="3">
        <v>4.5</v>
      </c>
      <c r="G7" s="3">
        <v>4.5</v>
      </c>
      <c r="H7" s="3">
        <v>4.5</v>
      </c>
      <c r="I7" s="3">
        <v>4.5</v>
      </c>
      <c r="J7" s="3">
        <v>4.5</v>
      </c>
      <c r="K7" s="3">
        <v>4.5</v>
      </c>
      <c r="L7" s="3">
        <v>4.5</v>
      </c>
      <c r="M7" s="3">
        <v>4.5</v>
      </c>
      <c r="N7" s="3">
        <v>4.5</v>
      </c>
      <c r="O7" s="3">
        <v>4.5</v>
      </c>
      <c r="P7" s="3">
        <v>4.5</v>
      </c>
      <c r="Q7" s="3">
        <v>4.5</v>
      </c>
    </row>
    <row r="8" spans="1:32" ht="18.75" customHeight="1" x14ac:dyDescent="0.25">
      <c r="A8" s="2">
        <v>38595</v>
      </c>
      <c r="B8" s="3">
        <v>4.5</v>
      </c>
      <c r="C8" s="3">
        <v>4.5</v>
      </c>
      <c r="D8" s="3">
        <v>4.5</v>
      </c>
      <c r="E8" s="3">
        <v>4.5</v>
      </c>
      <c r="F8" s="3">
        <v>4.5</v>
      </c>
      <c r="G8" s="3">
        <v>4.5</v>
      </c>
      <c r="H8" s="3">
        <v>4.5</v>
      </c>
      <c r="I8" s="3">
        <v>4.5</v>
      </c>
      <c r="J8" s="3">
        <v>4.5</v>
      </c>
      <c r="K8" s="3">
        <v>4.5</v>
      </c>
      <c r="L8" s="3">
        <v>4.5</v>
      </c>
      <c r="M8" s="3">
        <v>4.5</v>
      </c>
      <c r="N8" s="3">
        <v>4.5</v>
      </c>
      <c r="O8" s="3">
        <v>4.5</v>
      </c>
      <c r="P8" s="3">
        <v>4.5</v>
      </c>
      <c r="Q8" s="3">
        <v>4.5</v>
      </c>
    </row>
    <row r="9" spans="1:32" ht="18.75" customHeight="1" x14ac:dyDescent="0.25">
      <c r="A9" s="2">
        <v>38625</v>
      </c>
      <c r="B9" s="3">
        <v>4.5</v>
      </c>
      <c r="C9" s="3">
        <v>4.5</v>
      </c>
      <c r="D9" s="3">
        <v>4.5</v>
      </c>
      <c r="E9" s="3">
        <v>4.5</v>
      </c>
      <c r="F9" s="3">
        <v>4.5</v>
      </c>
      <c r="G9" s="3">
        <v>4.5</v>
      </c>
      <c r="H9" s="3">
        <v>4.5</v>
      </c>
      <c r="I9" s="3">
        <v>4.5</v>
      </c>
      <c r="J9" s="3">
        <v>4.5</v>
      </c>
      <c r="K9" s="3">
        <v>4.5</v>
      </c>
      <c r="L9" s="3">
        <v>4.5</v>
      </c>
      <c r="M9" s="3">
        <v>4.5</v>
      </c>
      <c r="N9" s="3">
        <v>4.5</v>
      </c>
      <c r="O9" s="3">
        <v>4.5</v>
      </c>
      <c r="P9" s="3">
        <v>4.5</v>
      </c>
      <c r="Q9" s="3">
        <v>4.5</v>
      </c>
    </row>
    <row r="10" spans="1:32" ht="18.75" customHeight="1" x14ac:dyDescent="0.25">
      <c r="A10" s="2">
        <v>38656</v>
      </c>
      <c r="B10" s="3">
        <v>4.5</v>
      </c>
      <c r="C10" s="3">
        <v>4.5</v>
      </c>
      <c r="D10" s="3">
        <v>4.5</v>
      </c>
      <c r="E10" s="3">
        <v>4.5</v>
      </c>
      <c r="F10" s="3">
        <v>4.5</v>
      </c>
      <c r="G10" s="3">
        <v>4.5</v>
      </c>
      <c r="H10" s="3">
        <v>4.5</v>
      </c>
      <c r="I10" s="3">
        <v>4.5</v>
      </c>
      <c r="J10" s="3">
        <v>4.5</v>
      </c>
      <c r="K10" s="3">
        <v>4.5</v>
      </c>
      <c r="L10" s="3">
        <v>4.5</v>
      </c>
      <c r="M10" s="3">
        <v>4.5</v>
      </c>
      <c r="N10" s="3">
        <v>4.5</v>
      </c>
      <c r="O10" s="3">
        <v>4.5</v>
      </c>
      <c r="P10" s="3">
        <v>4.5</v>
      </c>
      <c r="Q10" s="3">
        <v>4.5</v>
      </c>
    </row>
    <row r="11" spans="1:32" ht="18.75" customHeight="1" x14ac:dyDescent="0.25">
      <c r="A11" s="2">
        <v>38686</v>
      </c>
      <c r="B11" s="3">
        <v>4.5</v>
      </c>
      <c r="C11" s="3">
        <v>4.5</v>
      </c>
      <c r="D11" s="3">
        <v>4.5</v>
      </c>
      <c r="E11" s="3">
        <v>4.5</v>
      </c>
      <c r="F11" s="3">
        <v>4.5</v>
      </c>
      <c r="G11" s="3">
        <v>4.5</v>
      </c>
      <c r="H11" s="3">
        <v>4.5</v>
      </c>
      <c r="I11" s="3">
        <v>4.5</v>
      </c>
      <c r="J11" s="3">
        <v>4.5</v>
      </c>
      <c r="K11" s="3">
        <v>4.5</v>
      </c>
      <c r="L11" s="3">
        <v>4.5</v>
      </c>
      <c r="M11" s="3">
        <v>4.5</v>
      </c>
      <c r="N11" s="3">
        <v>4.5</v>
      </c>
      <c r="O11" s="3">
        <v>4.5</v>
      </c>
      <c r="P11" s="3">
        <v>4.5</v>
      </c>
      <c r="Q11" s="3">
        <v>4.5</v>
      </c>
    </row>
    <row r="12" spans="1:32" ht="18.75" customHeight="1" x14ac:dyDescent="0.25">
      <c r="A12" s="2">
        <v>38717</v>
      </c>
      <c r="B12" s="3">
        <v>4.5</v>
      </c>
      <c r="C12" s="3">
        <v>4.5</v>
      </c>
      <c r="D12" s="3">
        <v>4.5</v>
      </c>
      <c r="E12" s="3">
        <v>4.5</v>
      </c>
      <c r="F12" s="3">
        <v>4.5</v>
      </c>
      <c r="G12" s="3">
        <v>4.5</v>
      </c>
      <c r="H12" s="3">
        <v>4.5</v>
      </c>
      <c r="I12" s="3">
        <v>4.5</v>
      </c>
      <c r="J12" s="3">
        <v>4.5</v>
      </c>
      <c r="K12" s="3">
        <v>4.5</v>
      </c>
      <c r="L12" s="3">
        <v>4.5</v>
      </c>
      <c r="M12" s="3">
        <v>4.5</v>
      </c>
      <c r="N12" s="3">
        <v>4.5</v>
      </c>
      <c r="O12" s="3">
        <v>4.5</v>
      </c>
      <c r="P12" s="3">
        <v>4.5</v>
      </c>
      <c r="Q12" s="3">
        <v>4.5</v>
      </c>
    </row>
    <row r="13" spans="1:32" ht="18.75" customHeight="1" x14ac:dyDescent="0.25">
      <c r="A13" s="2">
        <v>38748</v>
      </c>
      <c r="B13" s="3">
        <v>4.5</v>
      </c>
      <c r="C13" s="3">
        <v>4.5</v>
      </c>
      <c r="D13" s="3">
        <v>4.5</v>
      </c>
      <c r="E13" s="3">
        <v>4.5</v>
      </c>
      <c r="F13" s="3">
        <v>4.5</v>
      </c>
      <c r="G13" s="3">
        <v>4.5</v>
      </c>
      <c r="H13" s="3">
        <v>4.5</v>
      </c>
      <c r="I13" s="3">
        <v>4.5</v>
      </c>
      <c r="J13" s="3">
        <v>4.5</v>
      </c>
      <c r="K13" s="3">
        <v>4.5</v>
      </c>
      <c r="L13" s="3">
        <v>4.5</v>
      </c>
      <c r="M13" s="3">
        <v>4.5</v>
      </c>
      <c r="N13" s="3">
        <v>4.5</v>
      </c>
      <c r="O13" s="3">
        <v>4.5</v>
      </c>
      <c r="P13" s="3">
        <v>4.5</v>
      </c>
      <c r="Q13" s="3">
        <v>4.5</v>
      </c>
    </row>
    <row r="14" spans="1:32" ht="18.75" customHeight="1" x14ac:dyDescent="0.25">
      <c r="A14" s="2">
        <v>38776</v>
      </c>
      <c r="B14" s="3">
        <v>4.5</v>
      </c>
      <c r="C14" s="3">
        <v>4.5</v>
      </c>
      <c r="D14" s="3">
        <v>4.5</v>
      </c>
      <c r="E14" s="3">
        <v>4.5</v>
      </c>
      <c r="F14" s="3">
        <v>4.5</v>
      </c>
      <c r="G14" s="3">
        <v>4.5</v>
      </c>
      <c r="H14" s="3">
        <v>4.5</v>
      </c>
      <c r="I14" s="3">
        <v>4.5</v>
      </c>
      <c r="J14" s="3">
        <v>4.5</v>
      </c>
      <c r="K14" s="3">
        <v>4.5</v>
      </c>
      <c r="L14" s="3">
        <v>4.5</v>
      </c>
      <c r="M14" s="3">
        <v>4.5</v>
      </c>
      <c r="N14" s="3">
        <v>4.5</v>
      </c>
      <c r="O14" s="3">
        <v>4.5</v>
      </c>
      <c r="P14" s="3">
        <v>4.5</v>
      </c>
      <c r="Q14" s="3">
        <v>4.5</v>
      </c>
    </row>
    <row r="15" spans="1:32" ht="18.75" customHeight="1" x14ac:dyDescent="0.25">
      <c r="A15" s="2">
        <v>38807</v>
      </c>
      <c r="B15" s="3">
        <v>4.5</v>
      </c>
      <c r="C15" s="3">
        <v>4.5</v>
      </c>
      <c r="D15" s="3">
        <v>4.5</v>
      </c>
      <c r="E15" s="3">
        <v>4.5</v>
      </c>
      <c r="F15" s="3">
        <v>4.5</v>
      </c>
      <c r="G15" s="3">
        <v>4.5</v>
      </c>
      <c r="H15" s="3">
        <v>4.5</v>
      </c>
      <c r="I15" s="3">
        <v>4.5</v>
      </c>
      <c r="J15" s="3">
        <v>4.5</v>
      </c>
      <c r="K15" s="3">
        <v>4.5</v>
      </c>
      <c r="L15" s="3">
        <v>4.5</v>
      </c>
      <c r="M15" s="3">
        <v>4.5</v>
      </c>
      <c r="N15" s="3">
        <v>4.5</v>
      </c>
      <c r="O15" s="3">
        <v>4.5</v>
      </c>
      <c r="P15" s="3">
        <v>4.5</v>
      </c>
      <c r="Q15" s="3">
        <v>4.5</v>
      </c>
    </row>
    <row r="16" spans="1:32" ht="18.75" customHeight="1" x14ac:dyDescent="0.25">
      <c r="A16" s="2">
        <v>38837</v>
      </c>
      <c r="B16" s="3">
        <v>4.5</v>
      </c>
      <c r="C16" s="3">
        <v>4.5</v>
      </c>
      <c r="D16" s="3">
        <v>4.5</v>
      </c>
      <c r="E16" s="3">
        <v>4.5</v>
      </c>
      <c r="F16" s="3">
        <v>4.5</v>
      </c>
      <c r="G16" s="3">
        <v>4.5</v>
      </c>
      <c r="H16" s="3">
        <v>4.5</v>
      </c>
      <c r="I16" s="3">
        <v>4.5</v>
      </c>
      <c r="J16" s="3">
        <v>4.5</v>
      </c>
      <c r="K16" s="3">
        <v>4.5</v>
      </c>
      <c r="L16" s="3">
        <v>4.5</v>
      </c>
      <c r="M16" s="3">
        <v>4.5</v>
      </c>
      <c r="N16" s="3">
        <v>4.5</v>
      </c>
      <c r="O16" s="3">
        <v>4.5</v>
      </c>
      <c r="P16" s="3">
        <v>4.5</v>
      </c>
      <c r="Q16" s="3">
        <v>4.5</v>
      </c>
    </row>
    <row r="17" spans="1:17" ht="18.75" customHeight="1" x14ac:dyDescent="0.25">
      <c r="A17" s="2">
        <v>38868</v>
      </c>
      <c r="B17" s="3">
        <v>4.5</v>
      </c>
      <c r="C17" s="3">
        <v>4.5</v>
      </c>
      <c r="D17" s="3">
        <v>4.5</v>
      </c>
      <c r="E17" s="3">
        <v>4.5</v>
      </c>
      <c r="F17" s="3">
        <v>4.5</v>
      </c>
      <c r="G17" s="3">
        <v>4.5</v>
      </c>
      <c r="H17" s="3">
        <v>4.5</v>
      </c>
      <c r="I17" s="3">
        <v>4.5</v>
      </c>
      <c r="J17" s="3">
        <v>4.5</v>
      </c>
      <c r="K17" s="3">
        <v>4.5</v>
      </c>
      <c r="L17" s="3">
        <v>4.5</v>
      </c>
      <c r="M17" s="3">
        <v>4.5</v>
      </c>
      <c r="N17" s="3">
        <v>4.5</v>
      </c>
      <c r="O17" s="3">
        <v>4.5</v>
      </c>
      <c r="P17" s="3">
        <v>4.5</v>
      </c>
      <c r="Q17" s="3">
        <v>4.5</v>
      </c>
    </row>
    <row r="18" spans="1:17" ht="18.75" customHeight="1" x14ac:dyDescent="0.25">
      <c r="A18" s="2">
        <v>38898</v>
      </c>
      <c r="B18" s="3">
        <v>4.5</v>
      </c>
      <c r="C18" s="3">
        <v>4.5</v>
      </c>
      <c r="D18" s="3">
        <v>4.5</v>
      </c>
      <c r="E18" s="3">
        <v>4.5</v>
      </c>
      <c r="F18" s="3">
        <v>4.5</v>
      </c>
      <c r="G18" s="3">
        <v>4.5</v>
      </c>
      <c r="H18" s="3">
        <v>4.5</v>
      </c>
      <c r="I18" s="3">
        <v>4.5</v>
      </c>
      <c r="J18" s="3">
        <v>4.5</v>
      </c>
      <c r="K18" s="3">
        <v>4.5</v>
      </c>
      <c r="L18" s="3">
        <v>4.5</v>
      </c>
      <c r="M18" s="3">
        <v>4.5</v>
      </c>
      <c r="N18" s="3">
        <v>4.5</v>
      </c>
      <c r="O18" s="3">
        <v>4.5</v>
      </c>
      <c r="P18" s="3">
        <v>4.5</v>
      </c>
      <c r="Q18" s="3">
        <v>4.5</v>
      </c>
    </row>
    <row r="19" spans="1:17" ht="18.75" customHeight="1" x14ac:dyDescent="0.25">
      <c r="A19" s="2">
        <v>38929</v>
      </c>
      <c r="B19" s="3">
        <v>4.5</v>
      </c>
      <c r="C19" s="3">
        <v>4.5</v>
      </c>
      <c r="D19" s="3">
        <v>4.5</v>
      </c>
      <c r="E19" s="3">
        <v>4.5</v>
      </c>
      <c r="F19" s="3">
        <v>4.5</v>
      </c>
      <c r="G19" s="3">
        <v>4.5</v>
      </c>
      <c r="H19" s="3">
        <v>4.5</v>
      </c>
      <c r="I19" s="3">
        <v>4.5</v>
      </c>
      <c r="J19" s="3">
        <v>4.5</v>
      </c>
      <c r="K19" s="3">
        <v>4.5</v>
      </c>
      <c r="L19" s="3">
        <v>4.5</v>
      </c>
      <c r="M19" s="3">
        <v>4.5</v>
      </c>
      <c r="N19" s="3">
        <v>4.5</v>
      </c>
      <c r="O19" s="3">
        <v>4.5</v>
      </c>
      <c r="P19" s="3">
        <v>4.5</v>
      </c>
      <c r="Q19" s="3">
        <v>4.5</v>
      </c>
    </row>
    <row r="20" spans="1:17" ht="18.75" customHeight="1" x14ac:dyDescent="0.25">
      <c r="A20" s="2">
        <v>38960</v>
      </c>
      <c r="B20" s="3">
        <v>4.5</v>
      </c>
      <c r="C20" s="3">
        <v>4.5</v>
      </c>
      <c r="D20" s="3">
        <v>4.5</v>
      </c>
      <c r="E20" s="3">
        <v>4.5</v>
      </c>
      <c r="F20" s="3">
        <v>4.5</v>
      </c>
      <c r="G20" s="3">
        <v>4.5</v>
      </c>
      <c r="H20" s="3">
        <v>4.5</v>
      </c>
      <c r="I20" s="3">
        <v>4.5</v>
      </c>
      <c r="J20" s="3">
        <v>4.5</v>
      </c>
      <c r="K20" s="3">
        <v>4.5</v>
      </c>
      <c r="L20" s="3">
        <v>4.5</v>
      </c>
      <c r="M20" s="3">
        <v>4.5</v>
      </c>
      <c r="N20" s="3">
        <v>4.5</v>
      </c>
      <c r="O20" s="3">
        <v>4.5</v>
      </c>
      <c r="P20" s="3">
        <v>4.5</v>
      </c>
      <c r="Q20" s="3">
        <v>4.5</v>
      </c>
    </row>
    <row r="21" spans="1:17" ht="18.75" customHeight="1" x14ac:dyDescent="0.25">
      <c r="A21" s="2">
        <v>38990</v>
      </c>
      <c r="B21" s="3">
        <v>4.5</v>
      </c>
      <c r="C21" s="3">
        <v>4.5</v>
      </c>
      <c r="D21" s="3">
        <v>4.5</v>
      </c>
      <c r="E21" s="3">
        <v>4.5</v>
      </c>
      <c r="F21" s="3">
        <v>4.5</v>
      </c>
      <c r="G21" s="3">
        <v>4.5</v>
      </c>
      <c r="H21" s="3">
        <v>4.5</v>
      </c>
      <c r="I21" s="3">
        <v>4.5</v>
      </c>
      <c r="J21" s="3">
        <v>4.5</v>
      </c>
      <c r="K21" s="3">
        <v>4.5</v>
      </c>
      <c r="L21" s="3">
        <v>4.5</v>
      </c>
      <c r="M21" s="3">
        <v>4.5</v>
      </c>
      <c r="N21" s="3">
        <v>4.5</v>
      </c>
      <c r="O21" s="3">
        <v>4.5</v>
      </c>
      <c r="P21" s="3">
        <v>4.5</v>
      </c>
      <c r="Q21" s="3">
        <v>4.5</v>
      </c>
    </row>
    <row r="22" spans="1:17" ht="18.75" customHeight="1" x14ac:dyDescent="0.25">
      <c r="A22" s="2">
        <v>39021</v>
      </c>
      <c r="B22" s="3">
        <v>4.5</v>
      </c>
      <c r="C22" s="3">
        <v>4.5</v>
      </c>
      <c r="D22" s="3">
        <v>4.5</v>
      </c>
      <c r="E22" s="3">
        <v>4.5</v>
      </c>
      <c r="F22" s="3">
        <v>4.5</v>
      </c>
      <c r="G22" s="3">
        <v>4.5</v>
      </c>
      <c r="H22" s="3">
        <v>4.5</v>
      </c>
      <c r="I22" s="3">
        <v>4.5</v>
      </c>
      <c r="J22" s="3">
        <v>4.5</v>
      </c>
      <c r="K22" s="3">
        <v>4.5</v>
      </c>
      <c r="L22" s="3">
        <v>4.5</v>
      </c>
      <c r="M22" s="3">
        <v>4.5</v>
      </c>
      <c r="N22" s="3">
        <v>4.5</v>
      </c>
      <c r="O22" s="3">
        <v>4.5</v>
      </c>
      <c r="P22" s="3">
        <v>4.5</v>
      </c>
      <c r="Q22" s="3">
        <v>4.5</v>
      </c>
    </row>
    <row r="23" spans="1:17" ht="18.75" customHeight="1" x14ac:dyDescent="0.25">
      <c r="A23" s="2">
        <v>39051</v>
      </c>
      <c r="B23" s="3">
        <v>4.5</v>
      </c>
      <c r="C23" s="3">
        <v>4.5</v>
      </c>
      <c r="D23" s="3">
        <v>4.5</v>
      </c>
      <c r="E23" s="3">
        <v>4.5</v>
      </c>
      <c r="F23" s="3">
        <v>4.5</v>
      </c>
      <c r="G23" s="3">
        <v>4.5</v>
      </c>
      <c r="H23" s="3">
        <v>4.5</v>
      </c>
      <c r="I23" s="3">
        <v>4.5</v>
      </c>
      <c r="J23" s="3">
        <v>4.5</v>
      </c>
      <c r="K23" s="3">
        <v>4.5</v>
      </c>
      <c r="L23" s="3">
        <v>4.5</v>
      </c>
      <c r="M23" s="3">
        <v>4.5</v>
      </c>
      <c r="N23" s="3">
        <v>4.5</v>
      </c>
      <c r="O23" s="3">
        <v>4.5</v>
      </c>
      <c r="P23" s="3">
        <v>4.5</v>
      </c>
      <c r="Q23" s="3">
        <v>4.5</v>
      </c>
    </row>
    <row r="24" spans="1:17" ht="18.75" customHeight="1" x14ac:dyDescent="0.25">
      <c r="A24" s="2">
        <v>39082</v>
      </c>
      <c r="B24" s="3">
        <v>4.5</v>
      </c>
      <c r="C24" s="3">
        <v>4.5</v>
      </c>
      <c r="D24" s="3">
        <v>4.5</v>
      </c>
      <c r="E24" s="3">
        <v>4.5</v>
      </c>
      <c r="F24" s="3">
        <v>4.5</v>
      </c>
      <c r="G24" s="3">
        <v>4.5</v>
      </c>
      <c r="H24" s="3">
        <v>4.5</v>
      </c>
      <c r="I24" s="3">
        <v>4.5</v>
      </c>
      <c r="J24" s="3">
        <v>4.5</v>
      </c>
      <c r="K24" s="3">
        <v>4.5</v>
      </c>
      <c r="L24" s="3">
        <v>4.5</v>
      </c>
      <c r="M24" s="3">
        <v>4.5</v>
      </c>
      <c r="N24" s="3">
        <v>4.5</v>
      </c>
      <c r="O24" s="3">
        <v>4.5</v>
      </c>
      <c r="P24" s="3">
        <v>4.5</v>
      </c>
      <c r="Q24" s="3">
        <v>4.5</v>
      </c>
    </row>
    <row r="25" spans="1:17" ht="18.75" customHeight="1" x14ac:dyDescent="0.25">
      <c r="A25" s="2">
        <v>39113</v>
      </c>
      <c r="B25" s="3">
        <v>4.5</v>
      </c>
      <c r="C25" s="3">
        <v>4.5</v>
      </c>
      <c r="D25" s="3">
        <v>4.5</v>
      </c>
      <c r="E25" s="3">
        <v>4.5</v>
      </c>
      <c r="F25" s="3">
        <v>4.5</v>
      </c>
      <c r="G25" s="3">
        <v>4.5</v>
      </c>
      <c r="H25" s="3">
        <v>4.5</v>
      </c>
      <c r="I25" s="3">
        <v>4.5</v>
      </c>
      <c r="J25" s="3">
        <v>4.5</v>
      </c>
      <c r="K25" s="3">
        <v>4.5</v>
      </c>
      <c r="L25" s="3">
        <v>4.5</v>
      </c>
      <c r="M25" s="3">
        <v>4.5</v>
      </c>
      <c r="N25" s="3">
        <v>4.5</v>
      </c>
      <c r="O25" s="3">
        <v>4.5</v>
      </c>
      <c r="P25" s="3">
        <v>4.5</v>
      </c>
      <c r="Q25" s="3">
        <v>4.5</v>
      </c>
    </row>
    <row r="26" spans="1:17" ht="18.75" customHeight="1" x14ac:dyDescent="0.25">
      <c r="A26" s="2">
        <v>39141</v>
      </c>
      <c r="B26" s="3">
        <v>4.5</v>
      </c>
      <c r="C26" s="3">
        <v>4.5</v>
      </c>
      <c r="D26" s="3">
        <v>4.5</v>
      </c>
      <c r="E26" s="3">
        <v>4.5</v>
      </c>
      <c r="F26" s="3">
        <v>4.5</v>
      </c>
      <c r="G26" s="3">
        <v>4.5</v>
      </c>
      <c r="H26" s="3">
        <v>4.5</v>
      </c>
      <c r="I26" s="3">
        <v>4.5</v>
      </c>
      <c r="J26" s="3">
        <v>4.5</v>
      </c>
      <c r="K26" s="3">
        <v>4.5</v>
      </c>
      <c r="L26" s="3">
        <v>4.5</v>
      </c>
      <c r="M26" s="3">
        <v>4.5</v>
      </c>
      <c r="N26" s="3">
        <v>4.5</v>
      </c>
      <c r="O26" s="3">
        <v>4.5</v>
      </c>
      <c r="P26" s="3">
        <v>4.5</v>
      </c>
      <c r="Q26" s="3">
        <v>4.5</v>
      </c>
    </row>
    <row r="27" spans="1:17" ht="18.75" customHeight="1" x14ac:dyDescent="0.25">
      <c r="A27" s="2">
        <v>39172</v>
      </c>
      <c r="B27" s="3">
        <v>4.5</v>
      </c>
      <c r="C27" s="3">
        <v>4.5</v>
      </c>
      <c r="D27" s="3">
        <v>4.5</v>
      </c>
      <c r="E27" s="3">
        <v>4.5</v>
      </c>
      <c r="F27" s="3">
        <v>4.5</v>
      </c>
      <c r="G27" s="3">
        <v>4.5</v>
      </c>
      <c r="H27" s="3">
        <v>4.5</v>
      </c>
      <c r="I27" s="3">
        <v>4.5</v>
      </c>
      <c r="J27" s="3">
        <v>4.5</v>
      </c>
      <c r="K27" s="3">
        <v>4.5</v>
      </c>
      <c r="L27" s="3">
        <v>4.5</v>
      </c>
      <c r="M27" s="3">
        <v>4.5</v>
      </c>
      <c r="N27" s="3">
        <v>4.5</v>
      </c>
      <c r="O27" s="3">
        <v>4.5</v>
      </c>
      <c r="P27" s="3">
        <v>4.5</v>
      </c>
      <c r="Q27" s="3">
        <v>4.5</v>
      </c>
    </row>
    <row r="28" spans="1:17" ht="18.75" customHeight="1" x14ac:dyDescent="0.25">
      <c r="A28" s="2">
        <v>39202</v>
      </c>
      <c r="B28" s="3">
        <v>4.5</v>
      </c>
      <c r="C28" s="3">
        <v>4.5</v>
      </c>
      <c r="D28" s="3">
        <v>4.5</v>
      </c>
      <c r="E28" s="3">
        <v>4.5</v>
      </c>
      <c r="F28" s="3">
        <v>4.5</v>
      </c>
      <c r="G28" s="3">
        <v>4.5</v>
      </c>
      <c r="H28" s="3">
        <v>4.5</v>
      </c>
      <c r="I28" s="3">
        <v>4.5</v>
      </c>
      <c r="J28" s="3">
        <v>4.5</v>
      </c>
      <c r="K28" s="3">
        <v>4.5</v>
      </c>
      <c r="L28" s="3">
        <v>4.5</v>
      </c>
      <c r="M28" s="3">
        <v>4.5</v>
      </c>
      <c r="N28" s="3">
        <v>4.5</v>
      </c>
      <c r="O28" s="3">
        <v>4.5</v>
      </c>
      <c r="P28" s="3">
        <v>4.5</v>
      </c>
      <c r="Q28" s="3">
        <v>4.5</v>
      </c>
    </row>
    <row r="29" spans="1:17" ht="18.75" customHeight="1" x14ac:dyDescent="0.25">
      <c r="A29" s="2">
        <v>39233</v>
      </c>
      <c r="B29" s="3">
        <v>4.5</v>
      </c>
      <c r="C29" s="3">
        <v>4.5</v>
      </c>
      <c r="D29" s="3">
        <v>4.5</v>
      </c>
      <c r="E29" s="3">
        <v>4.5</v>
      </c>
      <c r="F29" s="3">
        <v>4.5</v>
      </c>
      <c r="G29" s="3">
        <v>4.5</v>
      </c>
      <c r="H29" s="3">
        <v>4.5</v>
      </c>
      <c r="I29" s="3">
        <v>4.5</v>
      </c>
      <c r="J29" s="3">
        <v>4.5</v>
      </c>
      <c r="K29" s="3">
        <v>4.5</v>
      </c>
      <c r="L29" s="3">
        <v>4.5</v>
      </c>
      <c r="M29" s="3">
        <v>4.5</v>
      </c>
      <c r="N29" s="3">
        <v>4.5</v>
      </c>
      <c r="O29" s="3">
        <v>4.5</v>
      </c>
      <c r="P29" s="3">
        <v>4.5</v>
      </c>
      <c r="Q29" s="3">
        <v>4.5</v>
      </c>
    </row>
    <row r="30" spans="1:17" ht="18.75" customHeight="1" x14ac:dyDescent="0.25">
      <c r="A30" s="2">
        <v>39263</v>
      </c>
      <c r="B30" s="3">
        <v>4.5</v>
      </c>
      <c r="C30" s="3">
        <v>4.5</v>
      </c>
      <c r="D30" s="3">
        <v>4.5</v>
      </c>
      <c r="E30" s="3">
        <v>4.5</v>
      </c>
      <c r="F30" s="3">
        <v>4.5</v>
      </c>
      <c r="G30" s="3">
        <v>4.5</v>
      </c>
      <c r="H30" s="3">
        <v>4.5</v>
      </c>
      <c r="I30" s="3">
        <v>4.5</v>
      </c>
      <c r="J30" s="3">
        <v>4.5</v>
      </c>
      <c r="K30" s="3">
        <v>4.5</v>
      </c>
      <c r="L30" s="3">
        <v>4.5</v>
      </c>
      <c r="M30" s="3">
        <v>4.5</v>
      </c>
      <c r="N30" s="3">
        <v>4.5</v>
      </c>
      <c r="O30" s="3">
        <v>4.5</v>
      </c>
      <c r="P30" s="3">
        <v>4.5</v>
      </c>
      <c r="Q30" s="3">
        <v>4.5</v>
      </c>
    </row>
    <row r="31" spans="1:17" ht="18.75" customHeight="1" x14ac:dyDescent="0.25">
      <c r="A31" s="2">
        <v>39294</v>
      </c>
      <c r="B31" s="3">
        <v>4.5</v>
      </c>
      <c r="C31" s="3">
        <v>4.5</v>
      </c>
      <c r="D31" s="3">
        <v>4.5</v>
      </c>
      <c r="E31" s="3">
        <v>4.5</v>
      </c>
      <c r="F31" s="3">
        <v>4.5</v>
      </c>
      <c r="G31" s="3">
        <v>4.5</v>
      </c>
      <c r="H31" s="3">
        <v>4.5</v>
      </c>
      <c r="I31" s="3">
        <v>4.5</v>
      </c>
      <c r="J31" s="3">
        <v>4.5</v>
      </c>
      <c r="K31" s="3">
        <v>4.5</v>
      </c>
      <c r="L31" s="3">
        <v>4.5</v>
      </c>
      <c r="M31" s="3">
        <v>4.5</v>
      </c>
      <c r="N31" s="3">
        <v>4.5</v>
      </c>
      <c r="O31" s="3">
        <v>4.5</v>
      </c>
      <c r="P31" s="3">
        <v>4.5</v>
      </c>
      <c r="Q31" s="3">
        <v>4.5</v>
      </c>
    </row>
    <row r="32" spans="1:17" ht="18.75" customHeight="1" x14ac:dyDescent="0.25">
      <c r="A32" s="2">
        <v>39325</v>
      </c>
      <c r="B32" s="3">
        <v>4.5</v>
      </c>
      <c r="C32" s="3">
        <v>4.5</v>
      </c>
      <c r="D32" s="3">
        <v>4.5</v>
      </c>
      <c r="E32" s="3">
        <v>4.5</v>
      </c>
      <c r="F32" s="3">
        <v>4.5</v>
      </c>
      <c r="G32" s="3">
        <v>4.5</v>
      </c>
      <c r="H32" s="3">
        <v>4.5</v>
      </c>
      <c r="I32" s="3">
        <v>4.5</v>
      </c>
      <c r="J32" s="3">
        <v>4.5</v>
      </c>
      <c r="K32" s="3">
        <v>4.5</v>
      </c>
      <c r="L32" s="3">
        <v>4.5</v>
      </c>
      <c r="M32" s="3">
        <v>4.5</v>
      </c>
      <c r="N32" s="3">
        <v>4.5</v>
      </c>
      <c r="O32" s="3">
        <v>4.5</v>
      </c>
      <c r="P32" s="3">
        <v>4.5</v>
      </c>
      <c r="Q32" s="3">
        <v>4.5</v>
      </c>
    </row>
    <row r="33" spans="1:17" ht="18.75" customHeight="1" x14ac:dyDescent="0.25">
      <c r="A33" s="2">
        <v>39355</v>
      </c>
      <c r="B33" s="3">
        <v>4.5</v>
      </c>
      <c r="C33" s="3">
        <v>4.5</v>
      </c>
      <c r="D33" s="3">
        <v>4.5</v>
      </c>
      <c r="E33" s="3">
        <v>4.5</v>
      </c>
      <c r="F33" s="3">
        <v>4.5</v>
      </c>
      <c r="G33" s="3">
        <v>4.5</v>
      </c>
      <c r="H33" s="3">
        <v>4.5</v>
      </c>
      <c r="I33" s="3">
        <v>4.5</v>
      </c>
      <c r="J33" s="3">
        <v>4.5</v>
      </c>
      <c r="K33" s="3">
        <v>4.5</v>
      </c>
      <c r="L33" s="3">
        <v>4.5</v>
      </c>
      <c r="M33" s="3">
        <v>4.5</v>
      </c>
      <c r="N33" s="3">
        <v>4.5</v>
      </c>
      <c r="O33" s="3">
        <v>4.5</v>
      </c>
      <c r="P33" s="3">
        <v>4.5</v>
      </c>
      <c r="Q33" s="3">
        <v>4.5</v>
      </c>
    </row>
    <row r="34" spans="1:17" ht="18.75" customHeight="1" x14ac:dyDescent="0.25">
      <c r="A34" s="2">
        <v>39386</v>
      </c>
      <c r="B34" s="3">
        <v>4.5</v>
      </c>
      <c r="C34" s="3">
        <v>4.5</v>
      </c>
      <c r="D34" s="3">
        <v>4.5</v>
      </c>
      <c r="E34" s="3">
        <v>4.5</v>
      </c>
      <c r="F34" s="3">
        <v>4.5</v>
      </c>
      <c r="G34" s="3">
        <v>4.5</v>
      </c>
      <c r="H34" s="3">
        <v>4.5</v>
      </c>
      <c r="I34" s="3">
        <v>4.5</v>
      </c>
      <c r="J34" s="3">
        <v>4.5</v>
      </c>
      <c r="K34" s="3">
        <v>4.5</v>
      </c>
      <c r="L34" s="3">
        <v>4.5</v>
      </c>
      <c r="M34" s="3">
        <v>4.5</v>
      </c>
      <c r="N34" s="3">
        <v>4.5</v>
      </c>
      <c r="O34" s="3">
        <v>4.5</v>
      </c>
      <c r="P34" s="3">
        <v>4.5</v>
      </c>
      <c r="Q34" s="3">
        <v>4.5</v>
      </c>
    </row>
    <row r="35" spans="1:17" ht="18.75" customHeight="1" x14ac:dyDescent="0.25">
      <c r="A35" s="2">
        <v>39416</v>
      </c>
      <c r="B35" s="3">
        <v>4.5</v>
      </c>
      <c r="C35" s="3">
        <v>4.5</v>
      </c>
      <c r="D35" s="3">
        <v>4.5</v>
      </c>
      <c r="E35" s="3">
        <v>4.5</v>
      </c>
      <c r="F35" s="3">
        <v>4.5</v>
      </c>
      <c r="G35" s="3">
        <v>4.5</v>
      </c>
      <c r="H35" s="3">
        <v>4.5</v>
      </c>
      <c r="I35" s="3">
        <v>4.5</v>
      </c>
      <c r="J35" s="3">
        <v>4.5</v>
      </c>
      <c r="K35" s="3">
        <v>4.5</v>
      </c>
      <c r="L35" s="3">
        <v>4.5</v>
      </c>
      <c r="M35" s="3">
        <v>4.5</v>
      </c>
      <c r="N35" s="3">
        <v>4.5</v>
      </c>
      <c r="O35" s="3">
        <v>4.5</v>
      </c>
      <c r="P35" s="3">
        <v>4.5</v>
      </c>
      <c r="Q35" s="3">
        <v>4.5</v>
      </c>
    </row>
    <row r="36" spans="1:17" ht="18.75" customHeight="1" x14ac:dyDescent="0.25">
      <c r="A36" s="2">
        <v>39447</v>
      </c>
      <c r="B36" s="3">
        <v>4.5</v>
      </c>
      <c r="C36" s="3">
        <v>4.5</v>
      </c>
      <c r="D36" s="3">
        <v>4.5</v>
      </c>
      <c r="E36" s="3">
        <v>4.5</v>
      </c>
      <c r="F36" s="3">
        <v>4.5</v>
      </c>
      <c r="G36" s="3">
        <v>4.5</v>
      </c>
      <c r="H36" s="3">
        <v>4.5</v>
      </c>
      <c r="I36" s="3">
        <v>4.5</v>
      </c>
      <c r="J36" s="3">
        <v>4.5</v>
      </c>
      <c r="K36" s="3">
        <v>4.5</v>
      </c>
      <c r="L36" s="3">
        <v>4.5</v>
      </c>
      <c r="M36" s="3">
        <v>4.5</v>
      </c>
      <c r="N36" s="3">
        <v>4.5</v>
      </c>
      <c r="O36" s="3">
        <v>4.5</v>
      </c>
      <c r="P36" s="3">
        <v>4.5</v>
      </c>
      <c r="Q36" s="3">
        <v>4.5</v>
      </c>
    </row>
    <row r="37" spans="1:17" ht="18.75" customHeight="1" x14ac:dyDescent="0.25">
      <c r="A37" s="2">
        <v>39478</v>
      </c>
      <c r="B37" s="3">
        <v>4.5</v>
      </c>
      <c r="C37" s="3">
        <v>4.5</v>
      </c>
      <c r="D37" s="3">
        <v>4.5</v>
      </c>
      <c r="E37" s="3">
        <v>4.5</v>
      </c>
      <c r="F37" s="3">
        <v>4.5</v>
      </c>
      <c r="G37" s="3">
        <v>4.5</v>
      </c>
      <c r="H37" s="3">
        <v>4.5</v>
      </c>
      <c r="I37" s="3">
        <v>4.5</v>
      </c>
      <c r="J37" s="3">
        <v>4.5</v>
      </c>
      <c r="K37" s="3">
        <v>4.5</v>
      </c>
      <c r="L37" s="3">
        <v>4.5</v>
      </c>
      <c r="M37" s="3">
        <v>4.5</v>
      </c>
      <c r="N37" s="3">
        <v>4.5</v>
      </c>
      <c r="O37" s="3">
        <v>4.5</v>
      </c>
      <c r="P37" s="3">
        <v>4.5</v>
      </c>
      <c r="Q37" s="3">
        <v>4.5</v>
      </c>
    </row>
    <row r="38" spans="1:17" ht="18.75" customHeight="1" x14ac:dyDescent="0.25">
      <c r="A38" s="2">
        <v>39507</v>
      </c>
      <c r="B38" s="3">
        <v>4.5</v>
      </c>
      <c r="C38" s="3">
        <v>4.5</v>
      </c>
      <c r="D38" s="3">
        <v>4.5</v>
      </c>
      <c r="E38" s="3">
        <v>4.5</v>
      </c>
      <c r="F38" s="3">
        <v>4.5</v>
      </c>
      <c r="G38" s="3">
        <v>4.5</v>
      </c>
      <c r="H38" s="3">
        <v>4.5</v>
      </c>
      <c r="I38" s="3">
        <v>4.5</v>
      </c>
      <c r="J38" s="3">
        <v>4.5</v>
      </c>
      <c r="K38" s="3">
        <v>4.5</v>
      </c>
      <c r="L38" s="3">
        <v>4.5</v>
      </c>
      <c r="M38" s="3">
        <v>4.5</v>
      </c>
      <c r="N38" s="3">
        <v>4.5</v>
      </c>
      <c r="O38" s="3">
        <v>4.5</v>
      </c>
      <c r="P38" s="3">
        <v>4.5</v>
      </c>
      <c r="Q38" s="3">
        <v>4.5</v>
      </c>
    </row>
    <row r="39" spans="1:17" ht="18.75" customHeight="1" x14ac:dyDescent="0.25">
      <c r="A39" s="2">
        <v>39538</v>
      </c>
      <c r="B39" s="3">
        <v>4.5</v>
      </c>
      <c r="C39" s="3">
        <v>4.5</v>
      </c>
      <c r="D39" s="3">
        <v>4.5</v>
      </c>
      <c r="E39" s="3">
        <v>4.5</v>
      </c>
      <c r="F39" s="3">
        <v>4.5</v>
      </c>
      <c r="G39" s="3">
        <v>4.5</v>
      </c>
      <c r="H39" s="3">
        <v>4.5</v>
      </c>
      <c r="I39" s="3">
        <v>4.5</v>
      </c>
      <c r="J39" s="3">
        <v>4.5</v>
      </c>
      <c r="K39" s="3">
        <v>4.5</v>
      </c>
      <c r="L39" s="3">
        <v>4.5</v>
      </c>
      <c r="M39" s="3">
        <v>4.5</v>
      </c>
      <c r="N39" s="3">
        <v>4.5</v>
      </c>
      <c r="O39" s="3">
        <v>4.5</v>
      </c>
      <c r="P39" s="3">
        <v>4.5</v>
      </c>
      <c r="Q39" s="3">
        <v>4.5</v>
      </c>
    </row>
    <row r="40" spans="1:17" ht="18.75" customHeight="1" x14ac:dyDescent="0.25">
      <c r="A40" s="2">
        <v>39568</v>
      </c>
      <c r="B40" s="3">
        <v>4.5</v>
      </c>
      <c r="C40" s="3">
        <v>4.5</v>
      </c>
      <c r="D40" s="3">
        <v>4.5</v>
      </c>
      <c r="E40" s="3">
        <v>4.5</v>
      </c>
      <c r="F40" s="3">
        <v>4.5</v>
      </c>
      <c r="G40" s="3">
        <v>4.5</v>
      </c>
      <c r="H40" s="3">
        <v>4.5</v>
      </c>
      <c r="I40" s="3">
        <v>4.5</v>
      </c>
      <c r="J40" s="3">
        <v>4.5</v>
      </c>
      <c r="K40" s="3">
        <v>4.5</v>
      </c>
      <c r="L40" s="3">
        <v>4.5</v>
      </c>
      <c r="M40" s="3">
        <v>4.5</v>
      </c>
      <c r="N40" s="3">
        <v>4.5</v>
      </c>
      <c r="O40" s="3">
        <v>4.5</v>
      </c>
      <c r="P40" s="3">
        <v>4.5</v>
      </c>
      <c r="Q40" s="3">
        <v>4.5</v>
      </c>
    </row>
    <row r="41" spans="1:17" ht="18.75" customHeight="1" x14ac:dyDescent="0.25">
      <c r="A41" s="2">
        <v>39599</v>
      </c>
      <c r="B41" s="3">
        <v>4.5</v>
      </c>
      <c r="C41" s="3">
        <v>4.5</v>
      </c>
      <c r="D41" s="3">
        <v>4.5</v>
      </c>
      <c r="E41" s="3">
        <v>4.5</v>
      </c>
      <c r="F41" s="3">
        <v>4.5</v>
      </c>
      <c r="G41" s="3">
        <v>4.5</v>
      </c>
      <c r="H41" s="3">
        <v>4.5</v>
      </c>
      <c r="I41" s="3">
        <v>4.5</v>
      </c>
      <c r="J41" s="3">
        <v>4.5</v>
      </c>
      <c r="K41" s="3">
        <v>4.5</v>
      </c>
      <c r="L41" s="3">
        <v>4.5</v>
      </c>
      <c r="M41" s="3">
        <v>4.5</v>
      </c>
      <c r="N41" s="3">
        <v>4.5</v>
      </c>
      <c r="O41" s="3">
        <v>4.5</v>
      </c>
      <c r="P41" s="3">
        <v>4.5</v>
      </c>
      <c r="Q41" s="3">
        <v>4.5</v>
      </c>
    </row>
    <row r="42" spans="1:17" ht="18.75" customHeight="1" x14ac:dyDescent="0.25">
      <c r="A42" s="2">
        <v>39629</v>
      </c>
      <c r="B42" s="3">
        <v>4.5</v>
      </c>
      <c r="C42" s="3">
        <v>4.5</v>
      </c>
      <c r="D42" s="3">
        <v>4.5</v>
      </c>
      <c r="E42" s="3">
        <v>4.5</v>
      </c>
      <c r="F42" s="3">
        <v>4.5</v>
      </c>
      <c r="G42" s="3">
        <v>4.5</v>
      </c>
      <c r="H42" s="3">
        <v>4.5</v>
      </c>
      <c r="I42" s="3">
        <v>4.5</v>
      </c>
      <c r="J42" s="3">
        <v>4.5</v>
      </c>
      <c r="K42" s="3">
        <v>4.5</v>
      </c>
      <c r="L42" s="3">
        <v>4.5</v>
      </c>
      <c r="M42" s="3">
        <v>4.5</v>
      </c>
      <c r="N42" s="3">
        <v>4.5</v>
      </c>
      <c r="O42" s="3">
        <v>4.5</v>
      </c>
      <c r="P42" s="3">
        <v>4.5</v>
      </c>
      <c r="Q42" s="3">
        <v>4.5</v>
      </c>
    </row>
    <row r="43" spans="1:17" ht="18.75" customHeight="1" x14ac:dyDescent="0.25">
      <c r="A43" s="2">
        <v>39660</v>
      </c>
      <c r="B43" s="3">
        <v>4.5</v>
      </c>
      <c r="C43" s="3">
        <v>4.5</v>
      </c>
      <c r="D43" s="3">
        <v>4.5</v>
      </c>
      <c r="E43" s="3">
        <v>4.5</v>
      </c>
      <c r="F43" s="3">
        <v>4.5</v>
      </c>
      <c r="G43" s="3">
        <v>4.5</v>
      </c>
      <c r="H43" s="3">
        <v>4.5</v>
      </c>
      <c r="I43" s="3">
        <v>4.5</v>
      </c>
      <c r="J43" s="3">
        <v>4.5</v>
      </c>
      <c r="K43" s="3">
        <v>4.5</v>
      </c>
      <c r="L43" s="3">
        <v>4.5</v>
      </c>
      <c r="M43" s="3">
        <v>4.5</v>
      </c>
      <c r="N43" s="3">
        <v>4.5</v>
      </c>
      <c r="O43" s="3">
        <v>4.5</v>
      </c>
      <c r="P43" s="3">
        <v>4.5</v>
      </c>
      <c r="Q43" s="3">
        <v>4.5</v>
      </c>
    </row>
    <row r="44" spans="1:17" ht="18.75" customHeight="1" x14ac:dyDescent="0.25">
      <c r="A44" s="2">
        <v>39691</v>
      </c>
      <c r="B44" s="3">
        <v>4.5</v>
      </c>
      <c r="C44" s="3">
        <v>4.5</v>
      </c>
      <c r="D44" s="3">
        <v>4.5</v>
      </c>
      <c r="E44" s="3">
        <v>4.5</v>
      </c>
      <c r="F44" s="3">
        <v>4.5</v>
      </c>
      <c r="G44" s="3">
        <v>4.5</v>
      </c>
      <c r="H44" s="3">
        <v>4.5</v>
      </c>
      <c r="I44" s="3">
        <v>4.5</v>
      </c>
      <c r="J44" s="3">
        <v>4.5</v>
      </c>
      <c r="K44" s="3">
        <v>4.5</v>
      </c>
      <c r="L44" s="3">
        <v>4.5</v>
      </c>
      <c r="M44" s="3">
        <v>4.5</v>
      </c>
      <c r="N44" s="3">
        <v>4.5</v>
      </c>
      <c r="O44" s="3">
        <v>4.5</v>
      </c>
      <c r="P44" s="3">
        <v>4.5</v>
      </c>
      <c r="Q44" s="3">
        <v>4.5</v>
      </c>
    </row>
    <row r="45" spans="1:17" ht="18.75" customHeight="1" x14ac:dyDescent="0.25">
      <c r="A45" s="2">
        <v>39721</v>
      </c>
      <c r="B45" s="3">
        <v>4.5</v>
      </c>
      <c r="C45" s="3">
        <v>4.5</v>
      </c>
      <c r="D45" s="3">
        <v>4.5</v>
      </c>
      <c r="E45" s="3">
        <v>4.5</v>
      </c>
      <c r="F45" s="3">
        <v>4.5</v>
      </c>
      <c r="G45" s="3">
        <v>4.5</v>
      </c>
      <c r="H45" s="3">
        <v>4.5</v>
      </c>
      <c r="I45" s="3">
        <v>4.5</v>
      </c>
      <c r="J45" s="3">
        <v>4.5</v>
      </c>
      <c r="K45" s="3">
        <v>4.5</v>
      </c>
      <c r="L45" s="3">
        <v>4.5</v>
      </c>
      <c r="M45" s="3">
        <v>4.5</v>
      </c>
      <c r="N45" s="3">
        <v>4.5</v>
      </c>
      <c r="O45" s="3">
        <v>4.5</v>
      </c>
      <c r="P45" s="3">
        <v>4.5</v>
      </c>
      <c r="Q45" s="3">
        <v>4.5</v>
      </c>
    </row>
    <row r="46" spans="1:17" ht="18.75" customHeight="1" x14ac:dyDescent="0.25">
      <c r="A46" s="2">
        <v>39752</v>
      </c>
      <c r="B46" s="3">
        <v>4.5</v>
      </c>
      <c r="C46" s="3">
        <v>4.5</v>
      </c>
      <c r="D46" s="3">
        <v>4.5</v>
      </c>
      <c r="E46" s="3">
        <v>4.5</v>
      </c>
      <c r="F46" s="3">
        <v>4.5</v>
      </c>
      <c r="G46" s="3">
        <v>4.5</v>
      </c>
      <c r="H46" s="3">
        <v>4.5</v>
      </c>
      <c r="I46" s="3">
        <v>4.5</v>
      </c>
      <c r="J46" s="3">
        <v>4.5</v>
      </c>
      <c r="K46" s="3">
        <v>4.5</v>
      </c>
      <c r="L46" s="3">
        <v>4.5</v>
      </c>
      <c r="M46" s="3">
        <v>4.5</v>
      </c>
      <c r="N46" s="3">
        <v>4.5</v>
      </c>
      <c r="O46" s="3">
        <v>4.5</v>
      </c>
      <c r="P46" s="3">
        <v>4.5</v>
      </c>
      <c r="Q46" s="3">
        <v>4.5</v>
      </c>
    </row>
    <row r="47" spans="1:17" ht="18.75" customHeight="1" x14ac:dyDescent="0.25">
      <c r="A47" s="2">
        <v>39782</v>
      </c>
      <c r="B47" s="3">
        <v>4.5</v>
      </c>
      <c r="C47" s="3">
        <v>4.5</v>
      </c>
      <c r="D47" s="3">
        <v>4.5</v>
      </c>
      <c r="E47" s="3">
        <v>4.5</v>
      </c>
      <c r="F47" s="3">
        <v>4.5</v>
      </c>
      <c r="G47" s="3">
        <v>4.5</v>
      </c>
      <c r="H47" s="3">
        <v>4.5</v>
      </c>
      <c r="I47" s="3">
        <v>4.5</v>
      </c>
      <c r="J47" s="3">
        <v>4.5</v>
      </c>
      <c r="K47" s="3">
        <v>4.5</v>
      </c>
      <c r="L47" s="3">
        <v>4.5</v>
      </c>
      <c r="M47" s="3">
        <v>4.5</v>
      </c>
      <c r="N47" s="3">
        <v>4.5</v>
      </c>
      <c r="O47" s="3">
        <v>4.5</v>
      </c>
      <c r="P47" s="3">
        <v>4.5</v>
      </c>
      <c r="Q47" s="3">
        <v>4.5</v>
      </c>
    </row>
    <row r="48" spans="1:17" ht="18.75" customHeight="1" x14ac:dyDescent="0.25">
      <c r="A48" s="2">
        <v>39813</v>
      </c>
      <c r="B48" s="3">
        <v>4.5</v>
      </c>
      <c r="C48" s="3">
        <v>4.5</v>
      </c>
      <c r="D48" s="3">
        <v>4.5</v>
      </c>
      <c r="E48" s="3">
        <v>4.5</v>
      </c>
      <c r="F48" s="3">
        <v>4.5</v>
      </c>
      <c r="G48" s="3">
        <v>4.5</v>
      </c>
      <c r="H48" s="3">
        <v>4.5</v>
      </c>
      <c r="I48" s="3">
        <v>4.5</v>
      </c>
      <c r="J48" s="3">
        <v>4.5</v>
      </c>
      <c r="K48" s="3">
        <v>4.5</v>
      </c>
      <c r="L48" s="3">
        <v>4.5</v>
      </c>
      <c r="M48" s="3">
        <v>4.5</v>
      </c>
      <c r="N48" s="3">
        <v>4.5</v>
      </c>
      <c r="O48" s="3">
        <v>4.5</v>
      </c>
      <c r="P48" s="3">
        <v>4.5</v>
      </c>
      <c r="Q48" s="3">
        <v>4.5</v>
      </c>
    </row>
    <row r="49" spans="1:17" ht="18.75" customHeight="1" x14ac:dyDescent="0.25">
      <c r="A49" s="2">
        <v>39844</v>
      </c>
      <c r="B49" s="3">
        <v>4.5</v>
      </c>
      <c r="C49" s="3">
        <v>4.5</v>
      </c>
      <c r="D49" s="3">
        <v>4.5</v>
      </c>
      <c r="E49" s="3">
        <v>4.5</v>
      </c>
      <c r="F49" s="3">
        <v>4.5</v>
      </c>
      <c r="G49" s="3">
        <v>4.5</v>
      </c>
      <c r="H49" s="3">
        <v>4.5</v>
      </c>
      <c r="I49" s="3">
        <v>4.5</v>
      </c>
      <c r="J49" s="3">
        <v>4.5</v>
      </c>
      <c r="K49" s="3">
        <v>4.5</v>
      </c>
      <c r="L49" s="3">
        <v>4.5</v>
      </c>
      <c r="M49" s="3">
        <v>4.5</v>
      </c>
      <c r="N49" s="3">
        <v>4.5</v>
      </c>
      <c r="O49" s="3">
        <v>4.5</v>
      </c>
      <c r="P49" s="3">
        <v>4.5</v>
      </c>
      <c r="Q49" s="3">
        <v>4.5</v>
      </c>
    </row>
    <row r="50" spans="1:17" ht="18.75" customHeight="1" x14ac:dyDescent="0.25">
      <c r="A50" s="2">
        <v>39872</v>
      </c>
      <c r="B50" s="3">
        <v>4.5</v>
      </c>
      <c r="C50" s="3">
        <v>4.5</v>
      </c>
      <c r="D50" s="3">
        <v>4.5</v>
      </c>
      <c r="E50" s="3">
        <v>4.5</v>
      </c>
      <c r="F50" s="3">
        <v>4.5</v>
      </c>
      <c r="G50" s="3">
        <v>4.5</v>
      </c>
      <c r="H50" s="3">
        <v>4.5</v>
      </c>
      <c r="I50" s="3">
        <v>4.5</v>
      </c>
      <c r="J50" s="3">
        <v>4.5</v>
      </c>
      <c r="K50" s="3">
        <v>4.5</v>
      </c>
      <c r="L50" s="3">
        <v>4.5</v>
      </c>
      <c r="M50" s="3">
        <v>4.5</v>
      </c>
      <c r="N50" s="3">
        <v>4.5</v>
      </c>
      <c r="O50" s="3">
        <v>4.5</v>
      </c>
      <c r="P50" s="3">
        <v>4.5</v>
      </c>
      <c r="Q50" s="3">
        <v>4.5</v>
      </c>
    </row>
    <row r="51" spans="1:17" ht="18.75" customHeight="1" x14ac:dyDescent="0.25">
      <c r="A51" s="2">
        <v>39903</v>
      </c>
      <c r="B51" s="3">
        <v>4.5</v>
      </c>
      <c r="C51" s="3">
        <v>4.5</v>
      </c>
      <c r="D51" s="3">
        <v>4.5</v>
      </c>
      <c r="E51" s="3">
        <v>4.5</v>
      </c>
      <c r="F51" s="3">
        <v>4.5</v>
      </c>
      <c r="G51" s="3">
        <v>4.5</v>
      </c>
      <c r="H51" s="3">
        <v>4.5</v>
      </c>
      <c r="I51" s="3">
        <v>4.5</v>
      </c>
      <c r="J51" s="3">
        <v>4.5</v>
      </c>
      <c r="K51" s="3">
        <v>4.5</v>
      </c>
      <c r="L51" s="3">
        <v>4.5</v>
      </c>
      <c r="M51" s="3">
        <v>4.5</v>
      </c>
      <c r="N51" s="3">
        <v>4.5</v>
      </c>
      <c r="O51" s="3">
        <v>4.5</v>
      </c>
      <c r="P51" s="3">
        <v>4.5</v>
      </c>
      <c r="Q51" s="3">
        <v>4.5</v>
      </c>
    </row>
    <row r="52" spans="1:17" ht="18.75" customHeight="1" x14ac:dyDescent="0.25">
      <c r="A52" s="2">
        <v>39933</v>
      </c>
      <c r="B52" s="3">
        <v>4.5</v>
      </c>
      <c r="C52" s="3">
        <v>4.5</v>
      </c>
      <c r="D52" s="3">
        <v>4.5</v>
      </c>
      <c r="E52" s="3">
        <v>4.5</v>
      </c>
      <c r="F52" s="3">
        <v>4.5</v>
      </c>
      <c r="G52" s="3">
        <v>4.5</v>
      </c>
      <c r="H52" s="3">
        <v>4.5</v>
      </c>
      <c r="I52" s="3">
        <v>4.5</v>
      </c>
      <c r="J52" s="3">
        <v>4.5</v>
      </c>
      <c r="K52" s="3">
        <v>4.5</v>
      </c>
      <c r="L52" s="3">
        <v>4.5</v>
      </c>
      <c r="M52" s="3">
        <v>4.5</v>
      </c>
      <c r="N52" s="3">
        <v>4.5</v>
      </c>
      <c r="O52" s="3">
        <v>4.5</v>
      </c>
      <c r="P52" s="3">
        <v>4.5</v>
      </c>
      <c r="Q52" s="3">
        <v>4.5</v>
      </c>
    </row>
    <row r="53" spans="1:17" ht="18.75" customHeight="1" x14ac:dyDescent="0.25">
      <c r="A53" s="2">
        <v>39964</v>
      </c>
      <c r="B53" s="3">
        <v>4.5</v>
      </c>
      <c r="C53" s="3">
        <v>4.5</v>
      </c>
      <c r="D53" s="3">
        <v>4.5</v>
      </c>
      <c r="E53" s="3">
        <v>4.5</v>
      </c>
      <c r="F53" s="3">
        <v>4.5</v>
      </c>
      <c r="G53" s="3">
        <v>4.5</v>
      </c>
      <c r="H53" s="3">
        <v>4.5</v>
      </c>
      <c r="I53" s="3">
        <v>4.5</v>
      </c>
      <c r="J53" s="3">
        <v>4.5</v>
      </c>
      <c r="K53" s="3">
        <v>4.5</v>
      </c>
      <c r="L53" s="3">
        <v>4.5</v>
      </c>
      <c r="M53" s="3">
        <v>4.5</v>
      </c>
      <c r="N53" s="3">
        <v>4.5</v>
      </c>
      <c r="O53" s="3">
        <v>4.5</v>
      </c>
      <c r="P53" s="3">
        <v>4.5</v>
      </c>
      <c r="Q53" s="3">
        <v>4.5</v>
      </c>
    </row>
    <row r="54" spans="1:17" ht="18.75" customHeight="1" x14ac:dyDescent="0.25">
      <c r="A54" s="2">
        <v>39994</v>
      </c>
      <c r="B54" s="3">
        <v>4.5</v>
      </c>
      <c r="C54" s="3">
        <v>4.5</v>
      </c>
      <c r="D54" s="3">
        <v>4.5</v>
      </c>
      <c r="E54" s="3">
        <v>4.5</v>
      </c>
      <c r="F54" s="3">
        <v>4.5</v>
      </c>
      <c r="G54" s="3">
        <v>4.5</v>
      </c>
      <c r="H54" s="3">
        <v>4.5</v>
      </c>
      <c r="I54" s="3">
        <v>4.5</v>
      </c>
      <c r="J54" s="3">
        <v>4.5</v>
      </c>
      <c r="K54" s="3">
        <v>4.5</v>
      </c>
      <c r="L54" s="3">
        <v>4.5</v>
      </c>
      <c r="M54" s="3">
        <v>4.5</v>
      </c>
      <c r="N54" s="3">
        <v>4.5</v>
      </c>
      <c r="O54" s="3">
        <v>4.5</v>
      </c>
      <c r="P54" s="3">
        <v>4.5</v>
      </c>
      <c r="Q54" s="3">
        <v>4.5</v>
      </c>
    </row>
    <row r="55" spans="1:17" ht="18.75" customHeight="1" x14ac:dyDescent="0.25">
      <c r="A55" s="2">
        <v>40025</v>
      </c>
      <c r="B55" s="3">
        <v>4.5</v>
      </c>
      <c r="C55" s="3">
        <v>4.5</v>
      </c>
      <c r="D55" s="3">
        <v>4.5</v>
      </c>
      <c r="E55" s="3">
        <v>4.5</v>
      </c>
      <c r="F55" s="3">
        <v>4.5</v>
      </c>
      <c r="G55" s="3">
        <v>4.5</v>
      </c>
      <c r="H55" s="3">
        <v>4.5</v>
      </c>
      <c r="I55" s="3">
        <v>4.5</v>
      </c>
      <c r="J55" s="3">
        <v>4.5</v>
      </c>
      <c r="K55" s="3">
        <v>4.5</v>
      </c>
      <c r="L55" s="3">
        <v>4.5</v>
      </c>
      <c r="M55" s="3">
        <v>4.5</v>
      </c>
      <c r="N55" s="3">
        <v>4.5</v>
      </c>
      <c r="O55" s="3">
        <v>4.5</v>
      </c>
      <c r="P55" s="3">
        <v>4.5</v>
      </c>
      <c r="Q55" s="3">
        <v>4.5</v>
      </c>
    </row>
    <row r="56" spans="1:17" ht="18.75" customHeight="1" x14ac:dyDescent="0.25">
      <c r="A56" s="2">
        <v>40056</v>
      </c>
      <c r="B56" s="3">
        <v>4.5</v>
      </c>
      <c r="C56" s="3">
        <v>4.5</v>
      </c>
      <c r="D56" s="3">
        <v>4.5</v>
      </c>
      <c r="E56" s="3">
        <v>4.5</v>
      </c>
      <c r="F56" s="3">
        <v>4.5</v>
      </c>
      <c r="G56" s="3">
        <v>4.5</v>
      </c>
      <c r="H56" s="3">
        <v>4.5</v>
      </c>
      <c r="I56" s="3">
        <v>4.5</v>
      </c>
      <c r="J56" s="3">
        <v>4.5</v>
      </c>
      <c r="K56" s="3">
        <v>4.5</v>
      </c>
      <c r="L56" s="3">
        <v>4.5</v>
      </c>
      <c r="M56" s="3">
        <v>4.5</v>
      </c>
      <c r="N56" s="3">
        <v>4.5</v>
      </c>
      <c r="O56" s="3">
        <v>4.5</v>
      </c>
      <c r="P56" s="3">
        <v>4.5</v>
      </c>
      <c r="Q56" s="3">
        <v>4.5</v>
      </c>
    </row>
    <row r="57" spans="1:17" ht="18.75" customHeight="1" x14ac:dyDescent="0.25">
      <c r="A57" s="2">
        <v>40086</v>
      </c>
      <c r="B57" s="3">
        <v>4.5</v>
      </c>
      <c r="C57" s="3">
        <v>4.5</v>
      </c>
      <c r="D57" s="3">
        <v>4.5</v>
      </c>
      <c r="E57" s="3">
        <v>4.5</v>
      </c>
      <c r="F57" s="3">
        <v>4.5</v>
      </c>
      <c r="G57" s="3">
        <v>4.5</v>
      </c>
      <c r="H57" s="3">
        <v>4.5</v>
      </c>
      <c r="I57" s="3">
        <v>4.5</v>
      </c>
      <c r="J57" s="3">
        <v>4.5</v>
      </c>
      <c r="K57" s="3">
        <v>4.5</v>
      </c>
      <c r="L57" s="3">
        <v>4.5</v>
      </c>
      <c r="M57" s="3">
        <v>4.5</v>
      </c>
      <c r="N57" s="3">
        <v>4.5</v>
      </c>
      <c r="O57" s="3">
        <v>4.5</v>
      </c>
      <c r="P57" s="3">
        <v>4.5</v>
      </c>
      <c r="Q57" s="3">
        <v>4.5</v>
      </c>
    </row>
    <row r="58" spans="1:17" ht="18.75" customHeight="1" x14ac:dyDescent="0.25">
      <c r="A58" s="2">
        <v>40117</v>
      </c>
      <c r="B58" s="3">
        <v>4.5</v>
      </c>
      <c r="C58" s="3">
        <v>4.5</v>
      </c>
      <c r="D58" s="3">
        <v>4.5</v>
      </c>
      <c r="E58" s="3">
        <v>4.5</v>
      </c>
      <c r="F58" s="3">
        <v>4.5</v>
      </c>
      <c r="G58" s="3">
        <v>4.5</v>
      </c>
      <c r="H58" s="3">
        <v>4.5</v>
      </c>
      <c r="I58" s="3">
        <v>4.5</v>
      </c>
      <c r="J58" s="3">
        <v>4.5</v>
      </c>
      <c r="K58" s="3">
        <v>4.5</v>
      </c>
      <c r="L58" s="3">
        <v>4.5</v>
      </c>
      <c r="M58" s="3">
        <v>4.5</v>
      </c>
      <c r="N58" s="3">
        <v>4.5</v>
      </c>
      <c r="O58" s="3">
        <v>4.5</v>
      </c>
      <c r="P58" s="3">
        <v>4.5</v>
      </c>
      <c r="Q58" s="3">
        <v>4.5</v>
      </c>
    </row>
    <row r="59" spans="1:17" ht="18.75" customHeight="1" x14ac:dyDescent="0.25">
      <c r="A59" s="2">
        <v>40147</v>
      </c>
      <c r="B59" s="3">
        <v>4.5</v>
      </c>
      <c r="C59" s="3">
        <v>4.5</v>
      </c>
      <c r="D59" s="3">
        <v>4.5</v>
      </c>
      <c r="E59" s="3">
        <v>4.5</v>
      </c>
      <c r="F59" s="3">
        <v>4.5</v>
      </c>
      <c r="G59" s="3">
        <v>4.5</v>
      </c>
      <c r="H59" s="3">
        <v>4.5</v>
      </c>
      <c r="I59" s="3">
        <v>4.5</v>
      </c>
      <c r="J59" s="3">
        <v>4.5</v>
      </c>
      <c r="K59" s="3">
        <v>4.5</v>
      </c>
      <c r="L59" s="3">
        <v>4.5</v>
      </c>
      <c r="M59" s="3">
        <v>4.5</v>
      </c>
      <c r="N59" s="3">
        <v>4.5</v>
      </c>
      <c r="O59" s="3">
        <v>4.5</v>
      </c>
      <c r="P59" s="3">
        <v>4.5</v>
      </c>
      <c r="Q59" s="3">
        <v>4.5</v>
      </c>
    </row>
    <row r="60" spans="1:17" ht="18.75" customHeight="1" x14ac:dyDescent="0.25">
      <c r="A60" s="2">
        <v>40178</v>
      </c>
      <c r="B60" s="3">
        <v>4.5</v>
      </c>
      <c r="C60" s="3">
        <v>4.5</v>
      </c>
      <c r="D60" s="3">
        <v>4.5</v>
      </c>
      <c r="E60" s="3">
        <v>4.5</v>
      </c>
      <c r="F60" s="3">
        <v>4.5</v>
      </c>
      <c r="G60" s="3">
        <v>4.5</v>
      </c>
      <c r="H60" s="3">
        <v>4.5</v>
      </c>
      <c r="I60" s="3">
        <v>4.5</v>
      </c>
      <c r="J60" s="3">
        <v>4.5</v>
      </c>
      <c r="K60" s="3">
        <v>4.5</v>
      </c>
      <c r="L60" s="3">
        <v>4.5</v>
      </c>
      <c r="M60" s="3">
        <v>4.5</v>
      </c>
      <c r="N60" s="3">
        <v>4.5</v>
      </c>
      <c r="O60" s="3">
        <v>4.5</v>
      </c>
      <c r="P60" s="3">
        <v>4.5</v>
      </c>
      <c r="Q60" s="3">
        <v>4.5</v>
      </c>
    </row>
    <row r="61" spans="1:17" ht="18.75" customHeight="1" x14ac:dyDescent="0.25">
      <c r="A61" s="2">
        <v>40209</v>
      </c>
      <c r="B61" s="3">
        <v>4.5</v>
      </c>
      <c r="C61" s="3">
        <v>4.5</v>
      </c>
      <c r="D61" s="3">
        <v>4.5</v>
      </c>
      <c r="E61" s="3">
        <v>4.5</v>
      </c>
      <c r="F61" s="3">
        <v>4.5</v>
      </c>
      <c r="G61" s="3">
        <v>4.5</v>
      </c>
      <c r="H61" s="3">
        <v>4.5</v>
      </c>
      <c r="I61" s="3">
        <v>4.5</v>
      </c>
      <c r="J61" s="3">
        <v>4.5</v>
      </c>
      <c r="K61" s="3">
        <v>4.5</v>
      </c>
      <c r="L61" s="3">
        <v>4.5</v>
      </c>
      <c r="M61" s="3">
        <v>4.5</v>
      </c>
      <c r="N61" s="3">
        <v>4.5</v>
      </c>
      <c r="O61" s="3">
        <v>4.5</v>
      </c>
      <c r="P61" s="3">
        <v>4.5</v>
      </c>
      <c r="Q61" s="3">
        <v>4.5</v>
      </c>
    </row>
    <row r="62" spans="1:17" ht="18.75" customHeight="1" x14ac:dyDescent="0.25">
      <c r="A62" s="2">
        <v>40237</v>
      </c>
      <c r="B62" s="3">
        <v>4.5</v>
      </c>
      <c r="C62" s="3">
        <v>4.5</v>
      </c>
      <c r="D62" s="3">
        <v>4.5</v>
      </c>
      <c r="E62" s="3">
        <v>4.5</v>
      </c>
      <c r="F62" s="3">
        <v>4.5</v>
      </c>
      <c r="G62" s="3">
        <v>4.5</v>
      </c>
      <c r="H62" s="3">
        <v>4.5</v>
      </c>
      <c r="I62" s="3">
        <v>4.5</v>
      </c>
      <c r="J62" s="3">
        <v>4.5</v>
      </c>
      <c r="K62" s="3">
        <v>4.5</v>
      </c>
      <c r="L62" s="3">
        <v>4.5</v>
      </c>
      <c r="M62" s="3">
        <v>4.5</v>
      </c>
      <c r="N62" s="3">
        <v>4.5</v>
      </c>
      <c r="O62" s="3">
        <v>4.5</v>
      </c>
      <c r="P62" s="3">
        <v>4.5</v>
      </c>
      <c r="Q62" s="3">
        <v>4.5</v>
      </c>
    </row>
    <row r="63" spans="1:17" ht="18.75" customHeight="1" x14ac:dyDescent="0.25">
      <c r="A63" s="2">
        <v>40268</v>
      </c>
      <c r="B63" s="3">
        <v>4.5</v>
      </c>
      <c r="C63" s="3">
        <v>4.5</v>
      </c>
      <c r="D63" s="3">
        <v>4.5</v>
      </c>
      <c r="E63" s="3">
        <v>4.5</v>
      </c>
      <c r="F63" s="3">
        <v>4.5</v>
      </c>
      <c r="G63" s="3">
        <v>4.5</v>
      </c>
      <c r="H63" s="3">
        <v>4.5</v>
      </c>
      <c r="I63" s="3">
        <v>4.5</v>
      </c>
      <c r="J63" s="3">
        <v>4.5</v>
      </c>
      <c r="K63" s="3">
        <v>4.5</v>
      </c>
      <c r="L63" s="3">
        <v>4.5</v>
      </c>
      <c r="M63" s="3">
        <v>4.5</v>
      </c>
      <c r="N63" s="3">
        <v>4.5</v>
      </c>
      <c r="O63" s="3">
        <v>4.5</v>
      </c>
      <c r="P63" s="3">
        <v>4.5</v>
      </c>
      <c r="Q63" s="3">
        <v>4.5</v>
      </c>
    </row>
    <row r="64" spans="1:17" ht="18.75" customHeight="1" x14ac:dyDescent="0.25">
      <c r="A64" s="2">
        <v>40298</v>
      </c>
      <c r="B64" s="3">
        <v>4.5</v>
      </c>
      <c r="C64" s="3">
        <v>4.5</v>
      </c>
      <c r="D64" s="3">
        <v>4.5</v>
      </c>
      <c r="E64" s="3">
        <v>4.5</v>
      </c>
      <c r="F64" s="3">
        <v>4.5</v>
      </c>
      <c r="G64" s="3">
        <v>4.5</v>
      </c>
      <c r="H64" s="3">
        <v>4.5</v>
      </c>
      <c r="I64" s="3">
        <v>4.5</v>
      </c>
      <c r="J64" s="3">
        <v>4.5</v>
      </c>
      <c r="K64" s="3">
        <v>4.5</v>
      </c>
      <c r="L64" s="3">
        <v>4.5</v>
      </c>
      <c r="M64" s="3">
        <v>4.5</v>
      </c>
      <c r="N64" s="3">
        <v>4.5</v>
      </c>
      <c r="O64" s="3">
        <v>4.5</v>
      </c>
      <c r="P64" s="3">
        <v>4.5</v>
      </c>
      <c r="Q64" s="3">
        <v>4.5</v>
      </c>
    </row>
    <row r="65" spans="1:17" ht="18.75" customHeight="1" x14ac:dyDescent="0.25">
      <c r="A65" s="2">
        <v>40329</v>
      </c>
      <c r="B65" s="3">
        <v>4.5</v>
      </c>
      <c r="C65" s="3">
        <v>4.5</v>
      </c>
      <c r="D65" s="3">
        <v>4.5</v>
      </c>
      <c r="E65" s="3">
        <v>4.5</v>
      </c>
      <c r="F65" s="3">
        <v>4.5</v>
      </c>
      <c r="G65" s="3">
        <v>4.5</v>
      </c>
      <c r="H65" s="3">
        <v>4.5</v>
      </c>
      <c r="I65" s="3">
        <v>4.5</v>
      </c>
      <c r="J65" s="3">
        <v>4.5</v>
      </c>
      <c r="K65" s="3">
        <v>4.5</v>
      </c>
      <c r="L65" s="3">
        <v>4.5</v>
      </c>
      <c r="M65" s="3">
        <v>4.5</v>
      </c>
      <c r="N65" s="3">
        <v>4.5</v>
      </c>
      <c r="O65" s="3">
        <v>4.5</v>
      </c>
      <c r="P65" s="3">
        <v>4.5</v>
      </c>
      <c r="Q65" s="3">
        <v>4.5</v>
      </c>
    </row>
    <row r="66" spans="1:17" ht="18.75" customHeight="1" x14ac:dyDescent="0.25">
      <c r="A66" s="2">
        <v>40359</v>
      </c>
      <c r="B66" s="3">
        <v>4.5</v>
      </c>
      <c r="C66" s="3">
        <v>4.5</v>
      </c>
      <c r="D66" s="3">
        <v>4.5</v>
      </c>
      <c r="E66" s="3">
        <v>4.5</v>
      </c>
      <c r="F66" s="3">
        <v>4.5</v>
      </c>
      <c r="G66" s="3">
        <v>4.5</v>
      </c>
      <c r="H66" s="3">
        <v>4.5</v>
      </c>
      <c r="I66" s="3">
        <v>4.5</v>
      </c>
      <c r="J66" s="3">
        <v>4.5</v>
      </c>
      <c r="K66" s="3">
        <v>4.5</v>
      </c>
      <c r="L66" s="3">
        <v>4.5</v>
      </c>
      <c r="M66" s="3">
        <v>4.5</v>
      </c>
      <c r="N66" s="3">
        <v>4.5</v>
      </c>
      <c r="O66" s="3">
        <v>4.5</v>
      </c>
      <c r="P66" s="3">
        <v>4.5</v>
      </c>
      <c r="Q66" s="3">
        <v>4.5</v>
      </c>
    </row>
    <row r="67" spans="1:17" ht="18.75" customHeight="1" x14ac:dyDescent="0.25">
      <c r="A67" s="2">
        <v>40390</v>
      </c>
      <c r="B67" s="3">
        <v>4.5</v>
      </c>
      <c r="C67" s="3">
        <v>4.5</v>
      </c>
      <c r="D67" s="3">
        <v>4.5</v>
      </c>
      <c r="E67" s="3">
        <v>4.5</v>
      </c>
      <c r="F67" s="3">
        <v>4.5</v>
      </c>
      <c r="G67" s="3">
        <v>4.5</v>
      </c>
      <c r="H67" s="3">
        <v>4.5</v>
      </c>
      <c r="I67" s="3">
        <v>4.5</v>
      </c>
      <c r="J67" s="3">
        <v>4.5</v>
      </c>
      <c r="K67" s="3">
        <v>4.5</v>
      </c>
      <c r="L67" s="3">
        <v>4.5</v>
      </c>
      <c r="M67" s="3">
        <v>4.5</v>
      </c>
      <c r="N67" s="3">
        <v>4.5</v>
      </c>
      <c r="O67" s="3">
        <v>4.5</v>
      </c>
      <c r="P67" s="3">
        <v>4.5</v>
      </c>
      <c r="Q67" s="3">
        <v>4.5</v>
      </c>
    </row>
    <row r="68" spans="1:17" ht="18.75" customHeight="1" x14ac:dyDescent="0.25">
      <c r="A68" s="2">
        <v>40421</v>
      </c>
      <c r="B68" s="3">
        <v>4.5</v>
      </c>
      <c r="C68" s="3">
        <v>4.5</v>
      </c>
      <c r="D68" s="3">
        <v>4.5</v>
      </c>
      <c r="E68" s="3">
        <v>4.5</v>
      </c>
      <c r="F68" s="3">
        <v>4.5</v>
      </c>
      <c r="G68" s="3">
        <v>4.5</v>
      </c>
      <c r="H68" s="3">
        <v>4.5</v>
      </c>
      <c r="I68" s="3">
        <v>4.5</v>
      </c>
      <c r="J68" s="3">
        <v>4.5</v>
      </c>
      <c r="K68" s="3">
        <v>4.5</v>
      </c>
      <c r="L68" s="3">
        <v>4.5</v>
      </c>
      <c r="M68" s="3">
        <v>4.5</v>
      </c>
      <c r="N68" s="3">
        <v>4.5</v>
      </c>
      <c r="O68" s="3">
        <v>4.5</v>
      </c>
      <c r="P68" s="3">
        <v>4.5</v>
      </c>
      <c r="Q68" s="3">
        <v>4.5</v>
      </c>
    </row>
    <row r="69" spans="1:17" ht="18.75" customHeight="1" x14ac:dyDescent="0.25">
      <c r="A69" s="2">
        <v>40451</v>
      </c>
      <c r="B69" s="3">
        <v>4.5</v>
      </c>
      <c r="C69" s="3">
        <v>4.5</v>
      </c>
      <c r="D69" s="3">
        <v>4.5</v>
      </c>
      <c r="E69" s="3">
        <v>4.5</v>
      </c>
      <c r="F69" s="3">
        <v>4.5</v>
      </c>
      <c r="G69" s="3">
        <v>4.5</v>
      </c>
      <c r="H69" s="3">
        <v>4.5</v>
      </c>
      <c r="I69" s="3">
        <v>4.5</v>
      </c>
      <c r="J69" s="3">
        <v>4.5</v>
      </c>
      <c r="K69" s="3">
        <v>4.5</v>
      </c>
      <c r="L69" s="3">
        <v>4.5</v>
      </c>
      <c r="M69" s="3">
        <v>4.5</v>
      </c>
      <c r="N69" s="3">
        <v>4.5</v>
      </c>
      <c r="O69" s="3">
        <v>4.5</v>
      </c>
      <c r="P69" s="3">
        <v>4.5</v>
      </c>
      <c r="Q69" s="3">
        <v>4.5</v>
      </c>
    </row>
    <row r="70" spans="1:17" ht="18.75" customHeight="1" x14ac:dyDescent="0.25">
      <c r="A70" s="2">
        <v>40482</v>
      </c>
      <c r="B70" s="3">
        <v>4.5</v>
      </c>
      <c r="C70" s="3">
        <v>4.5</v>
      </c>
      <c r="D70" s="3">
        <v>4.5</v>
      </c>
      <c r="E70" s="3">
        <v>4.5</v>
      </c>
      <c r="F70" s="3">
        <v>4.5</v>
      </c>
      <c r="G70" s="3">
        <v>4.5</v>
      </c>
      <c r="H70" s="3">
        <v>4.5</v>
      </c>
      <c r="I70" s="3">
        <v>4.5</v>
      </c>
      <c r="J70" s="3">
        <v>4.5</v>
      </c>
      <c r="K70" s="3">
        <v>4.5</v>
      </c>
      <c r="L70" s="3">
        <v>4.5</v>
      </c>
      <c r="M70" s="3">
        <v>4.5</v>
      </c>
      <c r="N70" s="3">
        <v>4.5</v>
      </c>
      <c r="O70" s="3">
        <v>4.5</v>
      </c>
      <c r="P70" s="3">
        <v>4.5</v>
      </c>
      <c r="Q70" s="3">
        <v>4.5</v>
      </c>
    </row>
    <row r="71" spans="1:17" ht="18.75" customHeight="1" x14ac:dyDescent="0.25">
      <c r="A71" s="2">
        <v>40512</v>
      </c>
      <c r="B71" s="3">
        <v>4.5</v>
      </c>
      <c r="C71" s="3">
        <v>4.5</v>
      </c>
      <c r="D71" s="3">
        <v>4.5</v>
      </c>
      <c r="E71" s="3">
        <v>4.5</v>
      </c>
      <c r="F71" s="3">
        <v>4.5</v>
      </c>
      <c r="G71" s="3">
        <v>4.5</v>
      </c>
      <c r="H71" s="3">
        <v>4.5</v>
      </c>
      <c r="I71" s="3">
        <v>4.5</v>
      </c>
      <c r="J71" s="3">
        <v>4.5</v>
      </c>
      <c r="K71" s="3">
        <v>4.5</v>
      </c>
      <c r="L71" s="3">
        <v>4.5</v>
      </c>
      <c r="M71" s="3">
        <v>4.5</v>
      </c>
      <c r="N71" s="3">
        <v>4.5</v>
      </c>
      <c r="O71" s="3">
        <v>4.5</v>
      </c>
      <c r="P71" s="3">
        <v>4.5</v>
      </c>
      <c r="Q71" s="3">
        <v>4.5</v>
      </c>
    </row>
    <row r="72" spans="1:17" ht="18.75" customHeight="1" x14ac:dyDescent="0.25">
      <c r="A72" s="2">
        <v>40543</v>
      </c>
      <c r="B72" s="3">
        <v>4.5</v>
      </c>
      <c r="C72" s="3">
        <v>4.5</v>
      </c>
      <c r="D72" s="3">
        <v>4.5</v>
      </c>
      <c r="E72" s="3">
        <v>4.5</v>
      </c>
      <c r="F72" s="3">
        <v>4.5</v>
      </c>
      <c r="G72" s="3">
        <v>4.5</v>
      </c>
      <c r="H72" s="3">
        <v>4.5</v>
      </c>
      <c r="I72" s="3">
        <v>4.5</v>
      </c>
      <c r="J72" s="3">
        <v>4.5</v>
      </c>
      <c r="K72" s="3">
        <v>4.5</v>
      </c>
      <c r="L72" s="3">
        <v>4.5</v>
      </c>
      <c r="M72" s="3">
        <v>4.5</v>
      </c>
      <c r="N72" s="3">
        <v>4.5</v>
      </c>
      <c r="O72" s="3">
        <v>4.5</v>
      </c>
      <c r="P72" s="3">
        <v>4.5</v>
      </c>
      <c r="Q72" s="3">
        <v>4.5</v>
      </c>
    </row>
    <row r="73" spans="1:17" ht="18.75" customHeight="1" x14ac:dyDescent="0.25">
      <c r="A73" s="2">
        <v>40574</v>
      </c>
      <c r="B73" s="3">
        <v>4.5</v>
      </c>
      <c r="C73" s="3">
        <v>4.5</v>
      </c>
      <c r="D73" s="3">
        <v>4.5</v>
      </c>
      <c r="E73" s="3">
        <v>4.5</v>
      </c>
      <c r="F73" s="3">
        <v>4.5</v>
      </c>
      <c r="G73" s="3">
        <v>4.5</v>
      </c>
      <c r="H73" s="3">
        <v>4.5</v>
      </c>
      <c r="I73" s="3">
        <v>4.5</v>
      </c>
      <c r="J73" s="3">
        <v>4.5</v>
      </c>
      <c r="K73" s="3">
        <v>4.5</v>
      </c>
      <c r="L73" s="3">
        <v>4.5</v>
      </c>
      <c r="M73" s="3">
        <v>4.5</v>
      </c>
      <c r="N73" s="3">
        <v>4.5</v>
      </c>
      <c r="O73" s="3">
        <v>4.5</v>
      </c>
      <c r="P73" s="3">
        <v>4.5</v>
      </c>
      <c r="Q73" s="3">
        <v>4.5</v>
      </c>
    </row>
    <row r="74" spans="1:17" ht="18.75" customHeight="1" x14ac:dyDescent="0.25">
      <c r="A74" s="2">
        <v>40602</v>
      </c>
      <c r="B74" s="3">
        <v>4.5</v>
      </c>
      <c r="C74" s="3">
        <v>4.5</v>
      </c>
      <c r="D74" s="3">
        <v>4.5</v>
      </c>
      <c r="E74" s="3">
        <v>4.5</v>
      </c>
      <c r="F74" s="3">
        <v>4.5</v>
      </c>
      <c r="G74" s="3">
        <v>4.5</v>
      </c>
      <c r="H74" s="3">
        <v>4.5</v>
      </c>
      <c r="I74" s="3">
        <v>4.5</v>
      </c>
      <c r="J74" s="3">
        <v>4.5</v>
      </c>
      <c r="K74" s="3">
        <v>4.5</v>
      </c>
      <c r="L74" s="3">
        <v>4.5</v>
      </c>
      <c r="M74" s="3">
        <v>4.5</v>
      </c>
      <c r="N74" s="3">
        <v>4.5</v>
      </c>
      <c r="O74" s="3">
        <v>4.5</v>
      </c>
      <c r="P74" s="3">
        <v>4.5</v>
      </c>
      <c r="Q74" s="3">
        <v>4.5</v>
      </c>
    </row>
    <row r="75" spans="1:17" ht="18.75" customHeight="1" x14ac:dyDescent="0.25">
      <c r="A75" s="2">
        <v>40633</v>
      </c>
      <c r="B75" s="3">
        <v>4.5</v>
      </c>
      <c r="C75" s="3">
        <v>4.5</v>
      </c>
      <c r="D75" s="3">
        <v>4.5</v>
      </c>
      <c r="E75" s="3">
        <v>4.5</v>
      </c>
      <c r="F75" s="3">
        <v>4.5</v>
      </c>
      <c r="G75" s="3">
        <v>4.5</v>
      </c>
      <c r="H75" s="3">
        <v>4.5</v>
      </c>
      <c r="I75" s="3">
        <v>4.5</v>
      </c>
      <c r="J75" s="3">
        <v>4.5</v>
      </c>
      <c r="K75" s="3">
        <v>4.5</v>
      </c>
      <c r="L75" s="3">
        <v>4.5</v>
      </c>
      <c r="M75" s="3">
        <v>4.5</v>
      </c>
      <c r="N75" s="3">
        <v>4.5</v>
      </c>
      <c r="O75" s="3">
        <v>4.5</v>
      </c>
      <c r="P75" s="3">
        <v>4.5</v>
      </c>
      <c r="Q75" s="3">
        <v>4.5</v>
      </c>
    </row>
    <row r="76" spans="1:17" ht="18.75" customHeight="1" x14ac:dyDescent="0.25">
      <c r="A76" s="2">
        <v>40663</v>
      </c>
      <c r="B76" s="3">
        <v>4.5</v>
      </c>
      <c r="C76" s="3">
        <v>4.5</v>
      </c>
      <c r="D76" s="3">
        <v>4.5</v>
      </c>
      <c r="E76" s="3">
        <v>4.5</v>
      </c>
      <c r="F76" s="3">
        <v>4.5</v>
      </c>
      <c r="G76" s="3">
        <v>4.5</v>
      </c>
      <c r="H76" s="3">
        <v>4.5</v>
      </c>
      <c r="I76" s="3">
        <v>4.5</v>
      </c>
      <c r="J76" s="3">
        <v>4.5</v>
      </c>
      <c r="K76" s="3">
        <v>4.5</v>
      </c>
      <c r="L76" s="3">
        <v>4.5</v>
      </c>
      <c r="M76" s="3">
        <v>4.5</v>
      </c>
      <c r="N76" s="3">
        <v>4.5</v>
      </c>
      <c r="O76" s="3">
        <v>4.5</v>
      </c>
      <c r="P76" s="3">
        <v>4.5</v>
      </c>
      <c r="Q76" s="3">
        <v>4.5</v>
      </c>
    </row>
    <row r="77" spans="1:17" ht="18.75" customHeight="1" x14ac:dyDescent="0.25">
      <c r="A77" s="2">
        <v>40694</v>
      </c>
      <c r="B77" s="3">
        <v>4.5</v>
      </c>
      <c r="C77" s="3">
        <v>4.5</v>
      </c>
      <c r="D77" s="3">
        <v>4.5</v>
      </c>
      <c r="E77" s="3">
        <v>4.5</v>
      </c>
      <c r="F77" s="3">
        <v>4.5</v>
      </c>
      <c r="G77" s="3">
        <v>4.5</v>
      </c>
      <c r="H77" s="3">
        <v>4.5</v>
      </c>
      <c r="I77" s="3">
        <v>4.5</v>
      </c>
      <c r="J77" s="3">
        <v>4.5</v>
      </c>
      <c r="K77" s="3">
        <v>4.5</v>
      </c>
      <c r="L77" s="3">
        <v>4.5</v>
      </c>
      <c r="M77" s="3">
        <v>4.5</v>
      </c>
      <c r="N77" s="3">
        <v>4.5</v>
      </c>
      <c r="O77" s="3">
        <v>4.5</v>
      </c>
      <c r="P77" s="3">
        <v>4.5</v>
      </c>
      <c r="Q77" s="3">
        <v>4.5</v>
      </c>
    </row>
    <row r="78" spans="1:17" ht="18.75" customHeight="1" x14ac:dyDescent="0.25">
      <c r="A78" s="2">
        <v>40724</v>
      </c>
      <c r="B78" s="3">
        <v>4.5</v>
      </c>
      <c r="C78" s="3">
        <v>4.5</v>
      </c>
      <c r="D78" s="3">
        <v>4.5</v>
      </c>
      <c r="E78" s="3">
        <v>4.5</v>
      </c>
      <c r="F78" s="3">
        <v>4.5</v>
      </c>
      <c r="G78" s="3">
        <v>4.5</v>
      </c>
      <c r="H78" s="3">
        <v>4.5</v>
      </c>
      <c r="I78" s="3">
        <v>4.5</v>
      </c>
      <c r="J78" s="3">
        <v>4.5</v>
      </c>
      <c r="K78" s="3">
        <v>4.5</v>
      </c>
      <c r="L78" s="3">
        <v>4.5</v>
      </c>
      <c r="M78" s="3">
        <v>4.5</v>
      </c>
      <c r="N78" s="3">
        <v>4.5</v>
      </c>
      <c r="O78" s="3">
        <v>4.5</v>
      </c>
      <c r="P78" s="3">
        <v>4.5</v>
      </c>
      <c r="Q78" s="3">
        <v>4.5</v>
      </c>
    </row>
    <row r="79" spans="1:17" ht="18.75" customHeight="1" x14ac:dyDescent="0.25">
      <c r="A79" s="2">
        <v>40755</v>
      </c>
      <c r="B79" s="3">
        <v>4.5</v>
      </c>
      <c r="C79" s="3">
        <v>4.5</v>
      </c>
      <c r="D79" s="3">
        <v>4.5</v>
      </c>
      <c r="E79" s="3">
        <v>4.5</v>
      </c>
      <c r="F79" s="3">
        <v>4.5</v>
      </c>
      <c r="G79" s="3">
        <v>4.5</v>
      </c>
      <c r="H79" s="3">
        <v>4.5</v>
      </c>
      <c r="I79" s="3">
        <v>4.5</v>
      </c>
      <c r="J79" s="3">
        <v>4.5</v>
      </c>
      <c r="K79" s="3">
        <v>4.5</v>
      </c>
      <c r="L79" s="3">
        <v>4.5</v>
      </c>
      <c r="M79" s="3">
        <v>4.5</v>
      </c>
      <c r="N79" s="3">
        <v>4.5</v>
      </c>
      <c r="O79" s="3">
        <v>4.5</v>
      </c>
      <c r="P79" s="3">
        <v>4.5</v>
      </c>
      <c r="Q79" s="3">
        <v>4.5</v>
      </c>
    </row>
    <row r="80" spans="1:17" ht="18.75" customHeight="1" x14ac:dyDescent="0.25">
      <c r="A80" s="2">
        <v>40786</v>
      </c>
      <c r="B80" s="3">
        <v>4.5</v>
      </c>
      <c r="C80" s="3">
        <v>4.5</v>
      </c>
      <c r="D80" s="3">
        <v>4.5</v>
      </c>
      <c r="E80" s="3">
        <v>4.5</v>
      </c>
      <c r="F80" s="3">
        <v>4.5</v>
      </c>
      <c r="G80" s="3">
        <v>4.5</v>
      </c>
      <c r="H80" s="3">
        <v>4.5</v>
      </c>
      <c r="I80" s="3">
        <v>4.5</v>
      </c>
      <c r="J80" s="3">
        <v>4.5</v>
      </c>
      <c r="K80" s="3">
        <v>4.5</v>
      </c>
      <c r="L80" s="3">
        <v>4.5</v>
      </c>
      <c r="M80" s="3">
        <v>4.5</v>
      </c>
      <c r="N80" s="3">
        <v>4.5</v>
      </c>
      <c r="O80" s="3">
        <v>4.5</v>
      </c>
      <c r="P80" s="3">
        <v>4.5</v>
      </c>
      <c r="Q80" s="3">
        <v>4.5</v>
      </c>
    </row>
    <row r="81" spans="1:17" ht="18.75" customHeight="1" x14ac:dyDescent="0.25">
      <c r="A81" s="2">
        <v>40816</v>
      </c>
      <c r="B81" s="3">
        <v>4.5</v>
      </c>
      <c r="C81" s="3">
        <v>4.5</v>
      </c>
      <c r="D81" s="3">
        <v>4.5</v>
      </c>
      <c r="E81" s="3">
        <v>4.5</v>
      </c>
      <c r="F81" s="3">
        <v>4.5</v>
      </c>
      <c r="G81" s="3">
        <v>4.5</v>
      </c>
      <c r="H81" s="3">
        <v>4.5</v>
      </c>
      <c r="I81" s="3">
        <v>4.5</v>
      </c>
      <c r="J81" s="3">
        <v>4.5</v>
      </c>
      <c r="K81" s="3">
        <v>4.5</v>
      </c>
      <c r="L81" s="3">
        <v>4.5</v>
      </c>
      <c r="M81" s="3">
        <v>4.5</v>
      </c>
      <c r="N81" s="3">
        <v>4.5</v>
      </c>
      <c r="O81" s="3">
        <v>4.5</v>
      </c>
      <c r="P81" s="3">
        <v>4.5</v>
      </c>
      <c r="Q81" s="3">
        <v>4.5</v>
      </c>
    </row>
    <row r="82" spans="1:17" ht="18.75" customHeight="1" x14ac:dyDescent="0.25">
      <c r="A82" s="2">
        <v>40847</v>
      </c>
      <c r="B82" s="3">
        <v>4.5</v>
      </c>
      <c r="C82" s="3">
        <v>4.5</v>
      </c>
      <c r="D82" s="3">
        <v>4.5</v>
      </c>
      <c r="E82" s="3">
        <v>4.5</v>
      </c>
      <c r="F82" s="3">
        <v>4.5</v>
      </c>
      <c r="G82" s="3">
        <v>4.5</v>
      </c>
      <c r="H82" s="3">
        <v>4.5</v>
      </c>
      <c r="I82" s="3">
        <v>4.5</v>
      </c>
      <c r="J82" s="3">
        <v>4.5</v>
      </c>
      <c r="K82" s="3">
        <v>4.5</v>
      </c>
      <c r="L82" s="3">
        <v>4.5</v>
      </c>
      <c r="M82" s="3">
        <v>4.5</v>
      </c>
      <c r="N82" s="3">
        <v>4.5</v>
      </c>
      <c r="O82" s="3">
        <v>4.5</v>
      </c>
      <c r="P82" s="3">
        <v>4.5</v>
      </c>
      <c r="Q82" s="3">
        <v>4.5</v>
      </c>
    </row>
    <row r="83" spans="1:17" ht="18.75" customHeight="1" x14ac:dyDescent="0.25">
      <c r="A83" s="2">
        <v>40877</v>
      </c>
      <c r="B83" s="3">
        <v>4.5</v>
      </c>
      <c r="C83" s="3">
        <v>4.5</v>
      </c>
      <c r="D83" s="3">
        <v>4.5</v>
      </c>
      <c r="E83" s="3">
        <v>4.5</v>
      </c>
      <c r="F83" s="3">
        <v>4.5</v>
      </c>
      <c r="G83" s="3">
        <v>4.5</v>
      </c>
      <c r="H83" s="3">
        <v>4.5</v>
      </c>
      <c r="I83" s="3">
        <v>4.5</v>
      </c>
      <c r="J83" s="3">
        <v>4.5</v>
      </c>
      <c r="K83" s="3">
        <v>4.5</v>
      </c>
      <c r="L83" s="3">
        <v>4.5</v>
      </c>
      <c r="M83" s="3">
        <v>4.5</v>
      </c>
      <c r="N83" s="3">
        <v>4.5</v>
      </c>
      <c r="O83" s="3">
        <v>4.5</v>
      </c>
      <c r="P83" s="3">
        <v>4.5</v>
      </c>
      <c r="Q83" s="3">
        <v>4.5</v>
      </c>
    </row>
    <row r="84" spans="1:17" ht="18.75" customHeight="1" x14ac:dyDescent="0.25">
      <c r="A84" s="2">
        <v>40908</v>
      </c>
      <c r="B84" s="3">
        <v>4.5</v>
      </c>
      <c r="C84" s="3">
        <v>4.5</v>
      </c>
      <c r="D84" s="3">
        <v>4.5</v>
      </c>
      <c r="E84" s="3">
        <v>4.5</v>
      </c>
      <c r="F84" s="3">
        <v>4.5</v>
      </c>
      <c r="G84" s="3">
        <v>4.5</v>
      </c>
      <c r="H84" s="3">
        <v>4.5</v>
      </c>
      <c r="I84" s="3">
        <v>4.5</v>
      </c>
      <c r="J84" s="3">
        <v>4.5</v>
      </c>
      <c r="K84" s="3">
        <v>4.5</v>
      </c>
      <c r="L84" s="3">
        <v>4.5</v>
      </c>
      <c r="M84" s="3">
        <v>4.5</v>
      </c>
      <c r="N84" s="3">
        <v>4.5</v>
      </c>
      <c r="O84" s="3">
        <v>4.5</v>
      </c>
      <c r="P84" s="3">
        <v>4.5</v>
      </c>
      <c r="Q84" s="3">
        <v>4.5</v>
      </c>
    </row>
    <row r="85" spans="1:17" ht="18.75" customHeight="1" x14ac:dyDescent="0.25">
      <c r="A85" s="2">
        <v>40939</v>
      </c>
      <c r="B85" s="3">
        <v>4.5</v>
      </c>
      <c r="C85" s="3">
        <v>4.5</v>
      </c>
      <c r="D85" s="3">
        <v>4.5</v>
      </c>
      <c r="E85" s="3">
        <v>4.5</v>
      </c>
      <c r="F85" s="3">
        <v>4.5</v>
      </c>
      <c r="G85" s="3">
        <v>4.5</v>
      </c>
      <c r="H85" s="3">
        <v>4.5</v>
      </c>
      <c r="I85" s="3">
        <v>4.5</v>
      </c>
      <c r="J85" s="3">
        <v>4.5</v>
      </c>
      <c r="K85" s="3">
        <v>4.5</v>
      </c>
      <c r="L85" s="3">
        <v>4.5</v>
      </c>
      <c r="M85" s="3">
        <v>4.5</v>
      </c>
      <c r="N85" s="3">
        <v>4.5</v>
      </c>
      <c r="O85" s="3">
        <v>4.5</v>
      </c>
      <c r="P85" s="3">
        <v>4.5</v>
      </c>
      <c r="Q85" s="3">
        <v>4.5</v>
      </c>
    </row>
    <row r="86" spans="1:17" ht="18.75" customHeight="1" x14ac:dyDescent="0.25">
      <c r="A86" s="2">
        <v>40968</v>
      </c>
      <c r="B86" s="3">
        <v>4.5</v>
      </c>
      <c r="C86" s="3">
        <v>4.5</v>
      </c>
      <c r="D86" s="3">
        <v>4.5</v>
      </c>
      <c r="E86" s="3">
        <v>4.5</v>
      </c>
      <c r="F86" s="3">
        <v>4.5</v>
      </c>
      <c r="G86" s="3">
        <v>4.5</v>
      </c>
      <c r="H86" s="3">
        <v>4.5</v>
      </c>
      <c r="I86" s="3">
        <v>4.5</v>
      </c>
      <c r="J86" s="3">
        <v>4.5</v>
      </c>
      <c r="K86" s="3">
        <v>4.5</v>
      </c>
      <c r="L86" s="3">
        <v>4.5</v>
      </c>
      <c r="M86" s="3">
        <v>4.5</v>
      </c>
      <c r="N86" s="3">
        <v>4.5</v>
      </c>
      <c r="O86" s="3">
        <v>4.5</v>
      </c>
      <c r="P86" s="3">
        <v>4.5</v>
      </c>
      <c r="Q86" s="3">
        <v>4.5</v>
      </c>
    </row>
    <row r="87" spans="1:17" ht="18.75" customHeight="1" x14ac:dyDescent="0.25">
      <c r="A87" s="2">
        <v>40999</v>
      </c>
      <c r="B87" s="3">
        <v>4.5</v>
      </c>
      <c r="C87" s="3">
        <v>4.5</v>
      </c>
      <c r="D87" s="3">
        <v>4.5</v>
      </c>
      <c r="E87" s="3">
        <v>4.5</v>
      </c>
      <c r="F87" s="3">
        <v>4.5</v>
      </c>
      <c r="G87" s="3">
        <v>4.5</v>
      </c>
      <c r="H87" s="3">
        <v>4.5</v>
      </c>
      <c r="I87" s="3">
        <v>4.5</v>
      </c>
      <c r="J87" s="3">
        <v>4.5</v>
      </c>
      <c r="K87" s="3">
        <v>4.5</v>
      </c>
      <c r="L87" s="3">
        <v>4.5</v>
      </c>
      <c r="M87" s="3">
        <v>4.5</v>
      </c>
      <c r="N87" s="3">
        <v>4.5</v>
      </c>
      <c r="O87" s="3">
        <v>4.5</v>
      </c>
      <c r="P87" s="3">
        <v>4.5</v>
      </c>
      <c r="Q87" s="3">
        <v>4.5</v>
      </c>
    </row>
    <row r="88" spans="1:17" ht="18.75" customHeight="1" x14ac:dyDescent="0.25">
      <c r="A88" s="2">
        <v>41029</v>
      </c>
      <c r="B88" s="3">
        <v>4.5</v>
      </c>
      <c r="C88" s="3">
        <v>4.5</v>
      </c>
      <c r="D88" s="3">
        <v>4.5</v>
      </c>
      <c r="E88" s="3">
        <v>4.5</v>
      </c>
      <c r="F88" s="3">
        <v>4.5</v>
      </c>
      <c r="G88" s="3">
        <v>4.5</v>
      </c>
      <c r="H88" s="3">
        <v>4.5</v>
      </c>
      <c r="I88" s="3">
        <v>4.5</v>
      </c>
      <c r="J88" s="3">
        <v>4.5</v>
      </c>
      <c r="K88" s="3">
        <v>4.5</v>
      </c>
      <c r="L88" s="3">
        <v>4.5</v>
      </c>
      <c r="M88" s="3">
        <v>4.5</v>
      </c>
      <c r="N88" s="3">
        <v>4.5</v>
      </c>
      <c r="O88" s="3">
        <v>4.5</v>
      </c>
      <c r="P88" s="3">
        <v>4.5</v>
      </c>
      <c r="Q88" s="3">
        <v>4.5</v>
      </c>
    </row>
    <row r="89" spans="1:17" ht="18.75" customHeight="1" x14ac:dyDescent="0.25">
      <c r="A89" s="2">
        <v>41060</v>
      </c>
      <c r="B89" s="3">
        <v>4.5</v>
      </c>
      <c r="C89" s="3">
        <v>4.5</v>
      </c>
      <c r="D89" s="3">
        <v>4.5</v>
      </c>
      <c r="E89" s="3">
        <v>4.5</v>
      </c>
      <c r="F89" s="3">
        <v>4.5</v>
      </c>
      <c r="G89" s="3">
        <v>4.5</v>
      </c>
      <c r="H89" s="3">
        <v>4.5</v>
      </c>
      <c r="I89" s="3">
        <v>4.5</v>
      </c>
      <c r="J89" s="3">
        <v>4.5</v>
      </c>
      <c r="K89" s="3">
        <v>4.5</v>
      </c>
      <c r="L89" s="3">
        <v>4.5</v>
      </c>
      <c r="M89" s="3">
        <v>4.5</v>
      </c>
      <c r="N89" s="3">
        <v>4.5</v>
      </c>
      <c r="O89" s="3">
        <v>4.5</v>
      </c>
      <c r="P89" s="3">
        <v>4.5</v>
      </c>
      <c r="Q89" s="3">
        <v>4.5</v>
      </c>
    </row>
    <row r="90" spans="1:17" ht="18.75" customHeight="1" x14ac:dyDescent="0.25">
      <c r="A90" s="2">
        <v>41090</v>
      </c>
      <c r="B90" s="3">
        <v>4.5</v>
      </c>
      <c r="C90" s="3">
        <v>4.5</v>
      </c>
      <c r="D90" s="3">
        <v>4.5</v>
      </c>
      <c r="E90" s="3">
        <v>4.5</v>
      </c>
      <c r="F90" s="3">
        <v>4.5</v>
      </c>
      <c r="G90" s="3">
        <v>4.5</v>
      </c>
      <c r="H90" s="3">
        <v>4.5</v>
      </c>
      <c r="I90" s="3">
        <v>4.5</v>
      </c>
      <c r="J90" s="3">
        <v>4.5</v>
      </c>
      <c r="K90" s="3">
        <v>4.5</v>
      </c>
      <c r="L90" s="3">
        <v>4.5</v>
      </c>
      <c r="M90" s="3">
        <v>4.5</v>
      </c>
      <c r="N90" s="3">
        <v>4.5</v>
      </c>
      <c r="O90" s="3">
        <v>4.5</v>
      </c>
      <c r="P90" s="3">
        <v>4.5</v>
      </c>
      <c r="Q90" s="3">
        <v>4.5</v>
      </c>
    </row>
    <row r="91" spans="1:17" ht="18.75" customHeight="1" x14ac:dyDescent="0.25">
      <c r="A91" s="2">
        <v>41121</v>
      </c>
      <c r="B91" s="3">
        <v>4.5</v>
      </c>
      <c r="C91" s="3">
        <v>4.5</v>
      </c>
      <c r="D91" s="3">
        <v>4.5</v>
      </c>
      <c r="E91" s="3">
        <v>4.5</v>
      </c>
      <c r="F91" s="3">
        <v>4.5</v>
      </c>
      <c r="G91" s="3">
        <v>4.5</v>
      </c>
      <c r="H91" s="3">
        <v>4.5</v>
      </c>
      <c r="I91" s="3">
        <v>4.5</v>
      </c>
      <c r="J91" s="3">
        <v>4.5</v>
      </c>
      <c r="K91" s="3">
        <v>4.5</v>
      </c>
      <c r="L91" s="3">
        <v>4.5</v>
      </c>
      <c r="M91" s="3">
        <v>4.5</v>
      </c>
      <c r="N91" s="3">
        <v>4.5</v>
      </c>
      <c r="O91" s="3">
        <v>4.5</v>
      </c>
      <c r="P91" s="3">
        <v>4.5</v>
      </c>
      <c r="Q91" s="3">
        <v>4.5</v>
      </c>
    </row>
    <row r="92" spans="1:17" ht="18.75" customHeight="1" x14ac:dyDescent="0.25">
      <c r="A92" s="2">
        <v>41152</v>
      </c>
      <c r="B92" s="3">
        <v>4.5</v>
      </c>
      <c r="C92" s="3">
        <v>4.5</v>
      </c>
      <c r="D92" s="3">
        <v>4.5</v>
      </c>
      <c r="E92" s="3">
        <v>4.5</v>
      </c>
      <c r="F92" s="3">
        <v>4.5</v>
      </c>
      <c r="G92" s="3">
        <v>4.5</v>
      </c>
      <c r="H92" s="3">
        <v>4.5</v>
      </c>
      <c r="I92" s="3">
        <v>4.5</v>
      </c>
      <c r="J92" s="3">
        <v>4.5</v>
      </c>
      <c r="K92" s="3">
        <v>4.5</v>
      </c>
      <c r="L92" s="3">
        <v>4.5</v>
      </c>
      <c r="M92" s="3">
        <v>4.5</v>
      </c>
      <c r="N92" s="3">
        <v>4.5</v>
      </c>
      <c r="O92" s="3">
        <v>4.5</v>
      </c>
      <c r="P92" s="3">
        <v>4.5</v>
      </c>
      <c r="Q92" s="3">
        <v>4.5</v>
      </c>
    </row>
    <row r="93" spans="1:17" ht="18.75" customHeight="1" x14ac:dyDescent="0.25">
      <c r="A93" s="2">
        <v>41182</v>
      </c>
      <c r="B93" s="3">
        <v>4.5</v>
      </c>
      <c r="C93" s="3">
        <v>4.5</v>
      </c>
      <c r="D93" s="3">
        <v>4.5</v>
      </c>
      <c r="E93" s="3">
        <v>4.5</v>
      </c>
      <c r="F93" s="3">
        <v>4.5</v>
      </c>
      <c r="G93" s="3">
        <v>4.5</v>
      </c>
      <c r="H93" s="3">
        <v>4.5</v>
      </c>
      <c r="I93" s="3">
        <v>4.5</v>
      </c>
      <c r="J93" s="3">
        <v>4.5</v>
      </c>
      <c r="K93" s="3">
        <v>4.5</v>
      </c>
      <c r="L93" s="3">
        <v>4.5</v>
      </c>
      <c r="M93" s="3">
        <v>4.5</v>
      </c>
      <c r="N93" s="3">
        <v>4.5</v>
      </c>
      <c r="O93" s="3">
        <v>4.5</v>
      </c>
      <c r="P93" s="3">
        <v>4.5</v>
      </c>
      <c r="Q93" s="3">
        <v>4.5</v>
      </c>
    </row>
    <row r="94" spans="1:17" ht="18.75" customHeight="1" x14ac:dyDescent="0.25">
      <c r="A94" s="2">
        <v>41213</v>
      </c>
      <c r="B94" s="3">
        <v>4.5</v>
      </c>
      <c r="C94" s="3">
        <v>4.5</v>
      </c>
      <c r="D94" s="3">
        <v>4.5</v>
      </c>
      <c r="E94" s="3">
        <v>4.5</v>
      </c>
      <c r="F94" s="3">
        <v>4.5</v>
      </c>
      <c r="G94" s="3">
        <v>4.5</v>
      </c>
      <c r="H94" s="3">
        <v>4.5</v>
      </c>
      <c r="I94" s="3">
        <v>4.5</v>
      </c>
      <c r="J94" s="3">
        <v>4.5</v>
      </c>
      <c r="K94" s="3">
        <v>4.5</v>
      </c>
      <c r="L94" s="3">
        <v>4.5</v>
      </c>
      <c r="M94" s="3">
        <v>4.5</v>
      </c>
      <c r="N94" s="3">
        <v>4.5</v>
      </c>
      <c r="O94" s="3">
        <v>4.5</v>
      </c>
      <c r="P94" s="3">
        <v>4.5</v>
      </c>
      <c r="Q94" s="3">
        <v>4.5</v>
      </c>
    </row>
    <row r="95" spans="1:17" ht="18.75" customHeight="1" x14ac:dyDescent="0.25">
      <c r="A95" s="2">
        <v>41243</v>
      </c>
      <c r="B95" s="3">
        <v>4.5</v>
      </c>
      <c r="C95" s="3">
        <v>4.5</v>
      </c>
      <c r="D95" s="3">
        <v>4.5</v>
      </c>
      <c r="E95" s="3">
        <v>4.5</v>
      </c>
      <c r="F95" s="3">
        <v>4.5</v>
      </c>
      <c r="G95" s="3">
        <v>4.5</v>
      </c>
      <c r="H95" s="3">
        <v>4.5</v>
      </c>
      <c r="I95" s="3">
        <v>4.5</v>
      </c>
      <c r="J95" s="3">
        <v>4.5</v>
      </c>
      <c r="K95" s="3">
        <v>4.5</v>
      </c>
      <c r="L95" s="3">
        <v>4.5</v>
      </c>
      <c r="M95" s="3">
        <v>4.5</v>
      </c>
      <c r="N95" s="3">
        <v>4.5</v>
      </c>
      <c r="O95" s="3">
        <v>4.5</v>
      </c>
      <c r="P95" s="3">
        <v>4.5</v>
      </c>
      <c r="Q95" s="3">
        <v>4.5</v>
      </c>
    </row>
    <row r="96" spans="1:17" ht="18.75" customHeight="1" x14ac:dyDescent="0.25">
      <c r="A96" s="2">
        <v>41274</v>
      </c>
      <c r="B96" s="3">
        <v>4.5</v>
      </c>
      <c r="C96" s="3">
        <v>4.5</v>
      </c>
      <c r="D96" s="3">
        <v>4.5</v>
      </c>
      <c r="E96" s="3">
        <v>4.5</v>
      </c>
      <c r="F96" s="3">
        <v>4.5</v>
      </c>
      <c r="G96" s="3">
        <v>4.5</v>
      </c>
      <c r="H96" s="3">
        <v>4.5</v>
      </c>
      <c r="I96" s="3">
        <v>4.5</v>
      </c>
      <c r="J96" s="3">
        <v>4.5</v>
      </c>
      <c r="K96" s="3">
        <v>4.5</v>
      </c>
      <c r="L96" s="3">
        <v>4.5</v>
      </c>
      <c r="M96" s="3">
        <v>4.5</v>
      </c>
      <c r="N96" s="3">
        <v>4.5</v>
      </c>
      <c r="O96" s="3">
        <v>4.5</v>
      </c>
      <c r="P96" s="3">
        <v>4.5</v>
      </c>
      <c r="Q96" s="3">
        <v>4.5</v>
      </c>
    </row>
    <row r="97" spans="1:17" ht="18.75" customHeight="1" x14ac:dyDescent="0.25">
      <c r="A97" s="2">
        <v>41305</v>
      </c>
      <c r="B97" s="3">
        <v>4.5</v>
      </c>
      <c r="C97" s="3">
        <v>4.5</v>
      </c>
      <c r="D97" s="3">
        <v>4.5</v>
      </c>
      <c r="E97" s="3">
        <v>4.5</v>
      </c>
      <c r="F97" s="3">
        <v>4.5</v>
      </c>
      <c r="G97" s="3">
        <v>4.5</v>
      </c>
      <c r="H97" s="3">
        <v>4.5</v>
      </c>
      <c r="I97" s="3">
        <v>4.5</v>
      </c>
      <c r="J97" s="3">
        <v>4.5</v>
      </c>
      <c r="K97" s="3">
        <v>4.5</v>
      </c>
      <c r="L97" s="3">
        <v>4.5</v>
      </c>
      <c r="M97" s="3">
        <v>4.5</v>
      </c>
      <c r="N97" s="3">
        <v>4.5</v>
      </c>
      <c r="O97" s="3">
        <v>4.5</v>
      </c>
      <c r="P97" s="3">
        <v>4.5</v>
      </c>
      <c r="Q97" s="3">
        <v>4.5</v>
      </c>
    </row>
    <row r="98" spans="1:17" ht="18.75" customHeight="1" x14ac:dyDescent="0.25">
      <c r="A98" s="2">
        <v>41333</v>
      </c>
      <c r="B98" s="3">
        <v>4.5</v>
      </c>
      <c r="C98" s="3">
        <v>4.5</v>
      </c>
      <c r="D98" s="3">
        <v>4.5</v>
      </c>
      <c r="E98" s="3">
        <v>4.5</v>
      </c>
      <c r="F98" s="3">
        <v>4.5</v>
      </c>
      <c r="G98" s="3">
        <v>4.5</v>
      </c>
      <c r="H98" s="3">
        <v>4.5</v>
      </c>
      <c r="I98" s="3">
        <v>4.5</v>
      </c>
      <c r="J98" s="3">
        <v>4.5</v>
      </c>
      <c r="K98" s="3">
        <v>4.5</v>
      </c>
      <c r="L98" s="3">
        <v>4.5</v>
      </c>
      <c r="M98" s="3">
        <v>4.5</v>
      </c>
      <c r="N98" s="3">
        <v>4.5</v>
      </c>
      <c r="O98" s="3">
        <v>4.5</v>
      </c>
      <c r="P98" s="3">
        <v>4.5</v>
      </c>
      <c r="Q98" s="3">
        <v>4.5</v>
      </c>
    </row>
    <row r="99" spans="1:17" ht="18.75" customHeight="1" x14ac:dyDescent="0.25">
      <c r="A99" s="2">
        <v>41364</v>
      </c>
      <c r="B99" s="3">
        <v>4.5</v>
      </c>
      <c r="C99" s="3">
        <v>4.5</v>
      </c>
      <c r="D99" s="3">
        <v>4.5</v>
      </c>
      <c r="E99" s="3">
        <v>4.5</v>
      </c>
      <c r="F99" s="3">
        <v>4.5</v>
      </c>
      <c r="G99" s="3">
        <v>4.5</v>
      </c>
      <c r="H99" s="3">
        <v>4.5</v>
      </c>
      <c r="I99" s="3">
        <v>4.5</v>
      </c>
      <c r="J99" s="3">
        <v>4.5</v>
      </c>
      <c r="K99" s="3">
        <v>4.5</v>
      </c>
      <c r="L99" s="3">
        <v>4.5</v>
      </c>
      <c r="M99" s="3">
        <v>4.5</v>
      </c>
      <c r="N99" s="3">
        <v>4.5</v>
      </c>
      <c r="O99" s="3">
        <v>4.5</v>
      </c>
      <c r="P99" s="3">
        <v>4.5</v>
      </c>
      <c r="Q99" s="3">
        <v>4.5</v>
      </c>
    </row>
    <row r="100" spans="1:17" ht="18.75" customHeight="1" x14ac:dyDescent="0.25">
      <c r="A100" s="2">
        <v>41394</v>
      </c>
      <c r="B100" s="3">
        <v>4.5</v>
      </c>
      <c r="C100" s="3">
        <v>4.5</v>
      </c>
      <c r="D100" s="3">
        <v>4.5</v>
      </c>
      <c r="E100" s="3">
        <v>4.5</v>
      </c>
      <c r="F100" s="3">
        <v>4.5</v>
      </c>
      <c r="G100" s="3">
        <v>4.5</v>
      </c>
      <c r="H100" s="3">
        <v>4.5</v>
      </c>
      <c r="I100" s="3">
        <v>4.5</v>
      </c>
      <c r="J100" s="3">
        <v>4.5</v>
      </c>
      <c r="K100" s="3">
        <v>4.5</v>
      </c>
      <c r="L100" s="3">
        <v>4.5</v>
      </c>
      <c r="M100" s="3">
        <v>4.5</v>
      </c>
      <c r="N100" s="3">
        <v>4.5</v>
      </c>
      <c r="O100" s="3">
        <v>4.5</v>
      </c>
      <c r="P100" s="3">
        <v>4.5</v>
      </c>
      <c r="Q100" s="3">
        <v>4.5</v>
      </c>
    </row>
    <row r="101" spans="1:17" ht="18.75" customHeight="1" x14ac:dyDescent="0.25">
      <c r="A101" s="2">
        <v>41425</v>
      </c>
      <c r="B101" s="3">
        <v>4.5</v>
      </c>
      <c r="C101" s="3">
        <v>4.5</v>
      </c>
      <c r="D101" s="3">
        <v>4.5</v>
      </c>
      <c r="E101" s="3">
        <v>4.5</v>
      </c>
      <c r="F101" s="3">
        <v>4.5</v>
      </c>
      <c r="G101" s="3">
        <v>4.5</v>
      </c>
      <c r="H101" s="3">
        <v>4.5</v>
      </c>
      <c r="I101" s="3">
        <v>4.5</v>
      </c>
      <c r="J101" s="3">
        <v>4.5</v>
      </c>
      <c r="K101" s="3">
        <v>4.5</v>
      </c>
      <c r="L101" s="3">
        <v>4.5</v>
      </c>
      <c r="M101" s="3">
        <v>4.5</v>
      </c>
      <c r="N101" s="3">
        <v>4.5</v>
      </c>
      <c r="O101" s="3">
        <v>4.5</v>
      </c>
      <c r="P101" s="3">
        <v>4.5</v>
      </c>
      <c r="Q101" s="3">
        <v>4.5</v>
      </c>
    </row>
    <row r="102" spans="1:17" ht="18.75" customHeight="1" x14ac:dyDescent="0.25">
      <c r="A102" s="2">
        <v>41455</v>
      </c>
      <c r="B102" s="3">
        <v>4.5</v>
      </c>
      <c r="C102" s="3">
        <v>4.5</v>
      </c>
      <c r="D102" s="3">
        <v>4.5</v>
      </c>
      <c r="E102" s="3">
        <v>4.5</v>
      </c>
      <c r="F102" s="3">
        <v>4.5</v>
      </c>
      <c r="G102" s="3">
        <v>4.5</v>
      </c>
      <c r="H102" s="3">
        <v>4.5</v>
      </c>
      <c r="I102" s="3">
        <v>4.5</v>
      </c>
      <c r="J102" s="3">
        <v>4.5</v>
      </c>
      <c r="K102" s="3">
        <v>4.5</v>
      </c>
      <c r="L102" s="3">
        <v>4.5</v>
      </c>
      <c r="M102" s="3">
        <v>4.5</v>
      </c>
      <c r="N102" s="3">
        <v>4.5</v>
      </c>
      <c r="O102" s="3">
        <v>4.5</v>
      </c>
      <c r="P102" s="3">
        <v>4.5</v>
      </c>
      <c r="Q102" s="3">
        <v>4.5</v>
      </c>
    </row>
    <row r="103" spans="1:17" ht="18.75" customHeight="1" x14ac:dyDescent="0.25">
      <c r="A103" s="2">
        <v>41486</v>
      </c>
      <c r="B103" s="3">
        <v>4.5</v>
      </c>
      <c r="C103" s="3">
        <v>4.5</v>
      </c>
      <c r="D103" s="3">
        <v>4.5</v>
      </c>
      <c r="E103" s="3">
        <v>4.5</v>
      </c>
      <c r="F103" s="3">
        <v>4.5</v>
      </c>
      <c r="G103" s="3">
        <v>4.5</v>
      </c>
      <c r="H103" s="3">
        <v>4.5</v>
      </c>
      <c r="I103" s="3">
        <v>4.5</v>
      </c>
      <c r="J103" s="3">
        <v>4.5</v>
      </c>
      <c r="K103" s="3">
        <v>4.5</v>
      </c>
      <c r="L103" s="3">
        <v>4.5</v>
      </c>
      <c r="M103" s="3">
        <v>4.5</v>
      </c>
      <c r="N103" s="3">
        <v>4.5</v>
      </c>
      <c r="O103" s="3">
        <v>4.5</v>
      </c>
      <c r="P103" s="3">
        <v>4.5</v>
      </c>
      <c r="Q103" s="3">
        <v>4.5</v>
      </c>
    </row>
    <row r="104" spans="1:17" ht="18.75" customHeight="1" x14ac:dyDescent="0.25">
      <c r="A104" s="2">
        <v>41517</v>
      </c>
      <c r="B104" s="3">
        <v>4.5</v>
      </c>
      <c r="C104" s="3">
        <v>4.5</v>
      </c>
      <c r="D104" s="3">
        <v>4.5</v>
      </c>
      <c r="E104" s="3">
        <v>4.5</v>
      </c>
      <c r="F104" s="3">
        <v>4.5</v>
      </c>
      <c r="G104" s="3">
        <v>4.5</v>
      </c>
      <c r="H104" s="3">
        <v>4.5</v>
      </c>
      <c r="I104" s="3">
        <v>4.5</v>
      </c>
      <c r="J104" s="3">
        <v>4.5</v>
      </c>
      <c r="K104" s="3">
        <v>4.5</v>
      </c>
      <c r="L104" s="3">
        <v>4.5</v>
      </c>
      <c r="M104" s="3">
        <v>4.5</v>
      </c>
      <c r="N104" s="3">
        <v>4.5</v>
      </c>
      <c r="O104" s="3">
        <v>4.5</v>
      </c>
      <c r="P104" s="3">
        <v>4.5</v>
      </c>
      <c r="Q104" s="3">
        <v>4.5</v>
      </c>
    </row>
    <row r="105" spans="1:17" ht="18.75" customHeight="1" x14ac:dyDescent="0.25">
      <c r="A105" s="2">
        <v>41547</v>
      </c>
      <c r="B105" s="3">
        <v>4.5</v>
      </c>
      <c r="C105" s="3">
        <v>4.5</v>
      </c>
      <c r="D105" s="3">
        <v>4.5</v>
      </c>
      <c r="E105" s="3">
        <v>4.5</v>
      </c>
      <c r="F105" s="3">
        <v>4.5</v>
      </c>
      <c r="G105" s="3">
        <v>4.5</v>
      </c>
      <c r="H105" s="3">
        <v>4.5</v>
      </c>
      <c r="I105" s="3">
        <v>4.5</v>
      </c>
      <c r="J105" s="3">
        <v>4.5</v>
      </c>
      <c r="K105" s="3">
        <v>4.5</v>
      </c>
      <c r="L105" s="3">
        <v>4.5</v>
      </c>
      <c r="M105" s="3">
        <v>4.5</v>
      </c>
      <c r="N105" s="3">
        <v>4.5</v>
      </c>
      <c r="O105" s="3">
        <v>4.5</v>
      </c>
      <c r="P105" s="3">
        <v>4.5</v>
      </c>
      <c r="Q105" s="3">
        <v>4.5</v>
      </c>
    </row>
    <row r="106" spans="1:17" ht="18.75" customHeight="1" x14ac:dyDescent="0.25">
      <c r="A106" s="2">
        <v>41578</v>
      </c>
      <c r="B106" s="3">
        <v>4.5</v>
      </c>
      <c r="C106" s="3">
        <v>4.5</v>
      </c>
      <c r="D106" s="3">
        <v>4.5</v>
      </c>
      <c r="E106" s="3">
        <v>4.5</v>
      </c>
      <c r="F106" s="3">
        <v>4.5</v>
      </c>
      <c r="G106" s="3">
        <v>4.5</v>
      </c>
      <c r="H106" s="3">
        <v>4.5</v>
      </c>
      <c r="I106" s="3">
        <v>4.5</v>
      </c>
      <c r="J106" s="3">
        <v>4.5</v>
      </c>
      <c r="K106" s="3">
        <v>4.5</v>
      </c>
      <c r="L106" s="3">
        <v>4.5</v>
      </c>
      <c r="M106" s="3">
        <v>4.5</v>
      </c>
      <c r="N106" s="3">
        <v>4.5</v>
      </c>
      <c r="O106" s="3">
        <v>4.5</v>
      </c>
      <c r="P106" s="3">
        <v>4.5</v>
      </c>
      <c r="Q106" s="3">
        <v>4.5</v>
      </c>
    </row>
    <row r="107" spans="1:17" ht="18.75" customHeight="1" x14ac:dyDescent="0.25">
      <c r="A107" s="2">
        <v>41608</v>
      </c>
      <c r="B107" s="3">
        <v>4.5</v>
      </c>
      <c r="C107" s="3">
        <v>4.5</v>
      </c>
      <c r="D107" s="3">
        <v>4.5</v>
      </c>
      <c r="E107" s="3">
        <v>4.5</v>
      </c>
      <c r="F107" s="3">
        <v>4.5</v>
      </c>
      <c r="G107" s="3">
        <v>4.5</v>
      </c>
      <c r="H107" s="3">
        <v>4.5</v>
      </c>
      <c r="I107" s="3">
        <v>4.5</v>
      </c>
      <c r="J107" s="3">
        <v>4.5</v>
      </c>
      <c r="K107" s="3">
        <v>4.5</v>
      </c>
      <c r="L107" s="3">
        <v>4.5</v>
      </c>
      <c r="M107" s="3">
        <v>4.5</v>
      </c>
      <c r="N107" s="3">
        <v>4.5</v>
      </c>
      <c r="O107" s="3">
        <v>4.5</v>
      </c>
      <c r="P107" s="3">
        <v>4.5</v>
      </c>
      <c r="Q107" s="3">
        <v>4.5</v>
      </c>
    </row>
    <row r="108" spans="1:17" ht="18.75" customHeight="1" x14ac:dyDescent="0.25">
      <c r="A108" s="2">
        <v>41639</v>
      </c>
      <c r="B108" s="3">
        <v>4.5</v>
      </c>
      <c r="C108" s="3">
        <v>4.5</v>
      </c>
      <c r="D108" s="3">
        <v>4.5</v>
      </c>
      <c r="E108" s="3">
        <v>4.5</v>
      </c>
      <c r="F108" s="3">
        <v>4.5</v>
      </c>
      <c r="G108" s="3">
        <v>4.5</v>
      </c>
      <c r="H108" s="3">
        <v>4.5</v>
      </c>
      <c r="I108" s="3">
        <v>4.5</v>
      </c>
      <c r="J108" s="3">
        <v>4.5</v>
      </c>
      <c r="K108" s="3">
        <v>4.5</v>
      </c>
      <c r="L108" s="3">
        <v>4.5</v>
      </c>
      <c r="M108" s="3">
        <v>4.5</v>
      </c>
      <c r="N108" s="3">
        <v>4.5</v>
      </c>
      <c r="O108" s="3">
        <v>4.5</v>
      </c>
      <c r="P108" s="3">
        <v>4.5</v>
      </c>
      <c r="Q108" s="3">
        <v>4.5</v>
      </c>
    </row>
    <row r="109" spans="1:17" ht="18.75" customHeight="1" x14ac:dyDescent="0.25">
      <c r="A109" s="2">
        <v>41670</v>
      </c>
      <c r="B109" s="3">
        <v>4.5</v>
      </c>
      <c r="C109" s="3">
        <v>4.5</v>
      </c>
      <c r="D109" s="3">
        <v>4.5</v>
      </c>
      <c r="E109" s="3">
        <v>4.5</v>
      </c>
      <c r="F109" s="3">
        <v>4.5</v>
      </c>
      <c r="G109" s="3">
        <v>4.5</v>
      </c>
      <c r="H109" s="3">
        <v>4.5</v>
      </c>
      <c r="I109" s="3">
        <v>4.5</v>
      </c>
      <c r="J109" s="3">
        <v>4.5</v>
      </c>
      <c r="K109" s="3">
        <v>4.5</v>
      </c>
      <c r="L109" s="3">
        <v>4.5</v>
      </c>
      <c r="M109" s="3">
        <v>4.5</v>
      </c>
      <c r="N109" s="3">
        <v>4.5</v>
      </c>
      <c r="O109" s="3">
        <v>4.5</v>
      </c>
      <c r="P109" s="3">
        <v>4.5</v>
      </c>
      <c r="Q109" s="3">
        <v>4.5</v>
      </c>
    </row>
    <row r="110" spans="1:17" ht="18.75" customHeight="1" x14ac:dyDescent="0.25">
      <c r="A110" s="2">
        <v>41698</v>
      </c>
      <c r="B110" s="3">
        <v>4.5</v>
      </c>
      <c r="C110" s="3">
        <v>4.5</v>
      </c>
      <c r="D110" s="3">
        <v>4.5</v>
      </c>
      <c r="E110" s="3">
        <v>4.5</v>
      </c>
      <c r="F110" s="3">
        <v>4.5</v>
      </c>
      <c r="G110" s="3">
        <v>4.5</v>
      </c>
      <c r="H110" s="3">
        <v>4.5</v>
      </c>
      <c r="I110" s="3">
        <v>4.5</v>
      </c>
      <c r="J110" s="3">
        <v>4.5</v>
      </c>
      <c r="K110" s="3">
        <v>4.5</v>
      </c>
      <c r="L110" s="3">
        <v>4.5</v>
      </c>
      <c r="M110" s="3">
        <v>4.5</v>
      </c>
      <c r="N110" s="3">
        <v>4.5</v>
      </c>
      <c r="O110" s="3">
        <v>4.5</v>
      </c>
      <c r="P110" s="3">
        <v>4.5</v>
      </c>
      <c r="Q110" s="3">
        <v>4.5</v>
      </c>
    </row>
    <row r="111" spans="1:17" ht="18.75" customHeight="1" x14ac:dyDescent="0.25">
      <c r="A111" s="2">
        <v>41729</v>
      </c>
      <c r="B111" s="3">
        <v>4.5</v>
      </c>
      <c r="C111" s="3">
        <v>4.5</v>
      </c>
      <c r="D111" s="3">
        <v>4.5</v>
      </c>
      <c r="E111" s="3">
        <v>4.5</v>
      </c>
      <c r="F111" s="3">
        <v>4.5</v>
      </c>
      <c r="G111" s="3">
        <v>4.5</v>
      </c>
      <c r="H111" s="3">
        <v>4.5</v>
      </c>
      <c r="I111" s="3">
        <v>4.5</v>
      </c>
      <c r="J111" s="3">
        <v>4.5</v>
      </c>
      <c r="K111" s="3">
        <v>4.5</v>
      </c>
      <c r="L111" s="3">
        <v>4.5</v>
      </c>
      <c r="M111" s="3">
        <v>4.5</v>
      </c>
      <c r="N111" s="3">
        <v>4.5</v>
      </c>
      <c r="O111" s="3">
        <v>4.5</v>
      </c>
      <c r="P111" s="3">
        <v>4.5</v>
      </c>
      <c r="Q111" s="3">
        <v>4.5</v>
      </c>
    </row>
    <row r="112" spans="1:17" ht="18.75" customHeight="1" x14ac:dyDescent="0.25">
      <c r="A112" s="2">
        <v>41759</v>
      </c>
      <c r="B112" s="3">
        <v>4.5</v>
      </c>
      <c r="C112" s="3">
        <v>4.5</v>
      </c>
      <c r="D112" s="3">
        <v>4.5</v>
      </c>
      <c r="E112" s="3">
        <v>4.5</v>
      </c>
      <c r="F112" s="3">
        <v>4.5</v>
      </c>
      <c r="G112" s="3">
        <v>4.5</v>
      </c>
      <c r="H112" s="3">
        <v>4.5</v>
      </c>
      <c r="I112" s="3">
        <v>4.5</v>
      </c>
      <c r="J112" s="3">
        <v>4.5</v>
      </c>
      <c r="K112" s="3">
        <v>4.5</v>
      </c>
      <c r="L112" s="3">
        <v>4.5</v>
      </c>
      <c r="M112" s="3">
        <v>4.5</v>
      </c>
      <c r="N112" s="3">
        <v>4.5</v>
      </c>
      <c r="O112" s="3">
        <v>4.5</v>
      </c>
      <c r="P112" s="3">
        <v>4.5</v>
      </c>
      <c r="Q112" s="3">
        <v>4.5</v>
      </c>
    </row>
    <row r="113" spans="1:17" ht="18.75" customHeight="1" x14ac:dyDescent="0.25">
      <c r="A113" s="2">
        <v>41790</v>
      </c>
      <c r="B113" s="3">
        <v>4.5</v>
      </c>
      <c r="C113" s="3">
        <v>4.5</v>
      </c>
      <c r="D113" s="3">
        <v>4.5</v>
      </c>
      <c r="E113" s="3">
        <v>4.5</v>
      </c>
      <c r="F113" s="3">
        <v>4.5</v>
      </c>
      <c r="G113" s="3">
        <v>4.5</v>
      </c>
      <c r="H113" s="3">
        <v>4.5</v>
      </c>
      <c r="I113" s="3">
        <v>4.5</v>
      </c>
      <c r="J113" s="3">
        <v>4.5</v>
      </c>
      <c r="K113" s="3">
        <v>4.5</v>
      </c>
      <c r="L113" s="3">
        <v>4.5</v>
      </c>
      <c r="M113" s="3">
        <v>4.5</v>
      </c>
      <c r="N113" s="3">
        <v>4.5</v>
      </c>
      <c r="O113" s="3">
        <v>4.5</v>
      </c>
      <c r="P113" s="3">
        <v>4.5</v>
      </c>
      <c r="Q113" s="3">
        <v>4.5</v>
      </c>
    </row>
    <row r="114" spans="1:17" ht="18.75" customHeight="1" x14ac:dyDescent="0.25">
      <c r="A114" s="2">
        <v>41820</v>
      </c>
      <c r="B114" s="3">
        <v>4.5</v>
      </c>
      <c r="C114" s="3">
        <v>4.5</v>
      </c>
      <c r="D114" s="3">
        <v>4.5</v>
      </c>
      <c r="E114" s="3">
        <v>4.5</v>
      </c>
      <c r="F114" s="3">
        <v>4.5</v>
      </c>
      <c r="G114" s="3">
        <v>4.5</v>
      </c>
      <c r="H114" s="3">
        <v>4.5</v>
      </c>
      <c r="I114" s="3">
        <v>4.5</v>
      </c>
      <c r="J114" s="3">
        <v>4.5</v>
      </c>
      <c r="K114" s="3">
        <v>4.5</v>
      </c>
      <c r="L114" s="3">
        <v>4.5</v>
      </c>
      <c r="M114" s="3">
        <v>4.5</v>
      </c>
      <c r="N114" s="3">
        <v>4.5</v>
      </c>
      <c r="O114" s="3">
        <v>4.5</v>
      </c>
      <c r="P114" s="3">
        <v>4.5</v>
      </c>
      <c r="Q114" s="3">
        <v>4.5</v>
      </c>
    </row>
    <row r="115" spans="1:17" ht="18.75" customHeight="1" x14ac:dyDescent="0.25">
      <c r="A115" s="2">
        <v>41851</v>
      </c>
      <c r="B115" s="3">
        <v>4.5</v>
      </c>
      <c r="C115" s="3">
        <v>4.5</v>
      </c>
      <c r="D115" s="3">
        <v>4.5</v>
      </c>
      <c r="E115" s="3">
        <v>4.5</v>
      </c>
      <c r="F115" s="3">
        <v>4.5</v>
      </c>
      <c r="G115" s="3">
        <v>4.5</v>
      </c>
      <c r="H115" s="3">
        <v>4.5</v>
      </c>
      <c r="I115" s="3">
        <v>4.5</v>
      </c>
      <c r="J115" s="3">
        <v>4.5</v>
      </c>
      <c r="K115" s="3">
        <v>4.5</v>
      </c>
      <c r="L115" s="3">
        <v>4.5</v>
      </c>
      <c r="M115" s="3">
        <v>4.5</v>
      </c>
      <c r="N115" s="3">
        <v>4.5</v>
      </c>
      <c r="O115" s="3">
        <v>4.5</v>
      </c>
      <c r="P115" s="3">
        <v>4.5</v>
      </c>
      <c r="Q115" s="3">
        <v>4.5</v>
      </c>
    </row>
    <row r="116" spans="1:17" ht="18.75" customHeight="1" x14ac:dyDescent="0.25">
      <c r="A116" s="2">
        <v>41882</v>
      </c>
      <c r="B116" s="3">
        <v>4.5</v>
      </c>
      <c r="C116" s="3">
        <v>4.5</v>
      </c>
      <c r="D116" s="3">
        <v>4.5</v>
      </c>
      <c r="E116" s="3">
        <v>4.5</v>
      </c>
      <c r="F116" s="3">
        <v>4.5</v>
      </c>
      <c r="G116" s="3">
        <v>4.5</v>
      </c>
      <c r="H116" s="3">
        <v>4.5</v>
      </c>
      <c r="I116" s="3">
        <v>4.5</v>
      </c>
      <c r="J116" s="3">
        <v>4.5</v>
      </c>
      <c r="K116" s="3">
        <v>4.5</v>
      </c>
      <c r="L116" s="3">
        <v>4.5</v>
      </c>
      <c r="M116" s="3">
        <v>4.5</v>
      </c>
      <c r="N116" s="3">
        <v>4.5</v>
      </c>
      <c r="O116" s="3">
        <v>4.5</v>
      </c>
      <c r="P116" s="3">
        <v>4.5</v>
      </c>
      <c r="Q116" s="3">
        <v>4.5</v>
      </c>
    </row>
    <row r="117" spans="1:17" ht="18.75" customHeight="1" x14ac:dyDescent="0.25">
      <c r="A117" s="2">
        <v>41912</v>
      </c>
      <c r="B117" s="3">
        <v>4.5</v>
      </c>
      <c r="C117" s="3">
        <v>4.5</v>
      </c>
      <c r="D117" s="3">
        <v>4.5</v>
      </c>
      <c r="E117" s="3">
        <v>4.5</v>
      </c>
      <c r="F117" s="3">
        <v>4.5</v>
      </c>
      <c r="G117" s="3">
        <v>4.5</v>
      </c>
      <c r="H117" s="3">
        <v>4.5</v>
      </c>
      <c r="I117" s="3">
        <v>4.5</v>
      </c>
      <c r="J117" s="3">
        <v>4.5</v>
      </c>
      <c r="K117" s="3">
        <v>4.5</v>
      </c>
      <c r="L117" s="3">
        <v>4.5</v>
      </c>
      <c r="M117" s="3">
        <v>4.5</v>
      </c>
      <c r="N117" s="3">
        <v>4.5</v>
      </c>
      <c r="O117" s="3">
        <v>4.5</v>
      </c>
      <c r="P117" s="3">
        <v>4.5</v>
      </c>
      <c r="Q117" s="3">
        <v>4.5</v>
      </c>
    </row>
    <row r="118" spans="1:17" ht="18.75" customHeight="1" x14ac:dyDescent="0.25">
      <c r="A118" s="2">
        <v>41943</v>
      </c>
      <c r="B118" s="3">
        <v>4.5</v>
      </c>
      <c r="C118" s="3">
        <v>4.5</v>
      </c>
      <c r="D118" s="3">
        <v>4.5</v>
      </c>
      <c r="E118" s="3">
        <v>4.5</v>
      </c>
      <c r="F118" s="3">
        <v>4.5</v>
      </c>
      <c r="G118" s="3">
        <v>4.5</v>
      </c>
      <c r="H118" s="3">
        <v>4.5</v>
      </c>
      <c r="I118" s="3">
        <v>4.5</v>
      </c>
      <c r="J118" s="3">
        <v>4.5</v>
      </c>
      <c r="K118" s="3">
        <v>4.5</v>
      </c>
      <c r="L118" s="3">
        <v>4.5</v>
      </c>
      <c r="M118" s="3">
        <v>4.5</v>
      </c>
      <c r="N118" s="3">
        <v>4.5</v>
      </c>
      <c r="O118" s="3">
        <v>4.5</v>
      </c>
      <c r="P118" s="3">
        <v>4.5</v>
      </c>
      <c r="Q118" s="3">
        <v>4.5</v>
      </c>
    </row>
    <row r="119" spans="1:17" ht="18.75" customHeight="1" x14ac:dyDescent="0.25">
      <c r="A119" s="2">
        <v>41973</v>
      </c>
      <c r="B119" s="3">
        <v>4.5</v>
      </c>
      <c r="C119" s="3">
        <v>4.5</v>
      </c>
      <c r="D119" s="3">
        <v>4.5</v>
      </c>
      <c r="E119" s="3">
        <v>4.5</v>
      </c>
      <c r="F119" s="3">
        <v>4.5</v>
      </c>
      <c r="G119" s="3">
        <v>4.5</v>
      </c>
      <c r="H119" s="3">
        <v>4.5</v>
      </c>
      <c r="I119" s="3">
        <v>4.5</v>
      </c>
      <c r="J119" s="3">
        <v>4.5</v>
      </c>
      <c r="K119" s="3">
        <v>4.5</v>
      </c>
      <c r="L119" s="3">
        <v>4.5</v>
      </c>
      <c r="M119" s="3">
        <v>4.5</v>
      </c>
      <c r="N119" s="3">
        <v>4.5</v>
      </c>
      <c r="O119" s="3">
        <v>4.5</v>
      </c>
      <c r="P119" s="3">
        <v>4.5</v>
      </c>
      <c r="Q119" s="3">
        <v>4.5</v>
      </c>
    </row>
    <row r="120" spans="1:17" ht="18.75" customHeight="1" x14ac:dyDescent="0.25">
      <c r="A120" s="2">
        <v>42004</v>
      </c>
      <c r="B120" s="3">
        <v>4.5</v>
      </c>
      <c r="C120" s="3">
        <v>4.5</v>
      </c>
      <c r="D120" s="3">
        <v>4.5</v>
      </c>
      <c r="E120" s="3">
        <v>4.5</v>
      </c>
      <c r="F120" s="3">
        <v>4.5</v>
      </c>
      <c r="G120" s="3">
        <v>4.5</v>
      </c>
      <c r="H120" s="3">
        <v>4.5</v>
      </c>
      <c r="I120" s="3">
        <v>4.5</v>
      </c>
      <c r="J120" s="3">
        <v>4.5</v>
      </c>
      <c r="K120" s="3">
        <v>4.5</v>
      </c>
      <c r="L120" s="3">
        <v>4.5</v>
      </c>
      <c r="M120" s="3">
        <v>4.5</v>
      </c>
      <c r="N120" s="3">
        <v>4.5</v>
      </c>
      <c r="O120" s="3">
        <v>4.5</v>
      </c>
      <c r="P120" s="3">
        <v>4.5</v>
      </c>
      <c r="Q120" s="3">
        <v>4.5</v>
      </c>
    </row>
    <row r="121" spans="1:17" ht="18.75" customHeight="1" x14ac:dyDescent="0.25">
      <c r="A121" s="2">
        <v>42035</v>
      </c>
      <c r="B121" s="3">
        <v>4.5</v>
      </c>
      <c r="C121" s="3">
        <v>4.5</v>
      </c>
      <c r="D121" s="3">
        <v>4.5</v>
      </c>
      <c r="E121" s="3">
        <v>4.5</v>
      </c>
      <c r="F121" s="3">
        <v>4.5</v>
      </c>
      <c r="G121" s="3">
        <v>4.5</v>
      </c>
      <c r="H121" s="3">
        <v>4.5</v>
      </c>
      <c r="I121" s="3">
        <v>4.5</v>
      </c>
      <c r="J121" s="3">
        <v>4.5</v>
      </c>
      <c r="K121" s="3">
        <v>4.5</v>
      </c>
      <c r="L121" s="3">
        <v>4.5</v>
      </c>
      <c r="M121" s="3">
        <v>4.5</v>
      </c>
      <c r="N121" s="3">
        <v>4.5</v>
      </c>
      <c r="O121" s="3">
        <v>4.5</v>
      </c>
      <c r="P121" s="3">
        <v>4.5</v>
      </c>
      <c r="Q121" s="3">
        <v>4.5</v>
      </c>
    </row>
    <row r="122" spans="1:17" ht="18.75" customHeight="1" x14ac:dyDescent="0.25">
      <c r="A122" s="2">
        <v>42063</v>
      </c>
      <c r="B122" s="3">
        <v>4.5</v>
      </c>
      <c r="C122" s="3">
        <v>4.5</v>
      </c>
      <c r="D122" s="3">
        <v>4.5</v>
      </c>
      <c r="E122" s="3">
        <v>4.5</v>
      </c>
      <c r="F122" s="3">
        <v>4.5</v>
      </c>
      <c r="G122" s="3">
        <v>4.5</v>
      </c>
      <c r="H122" s="3">
        <v>4.5</v>
      </c>
      <c r="I122" s="3">
        <v>4.5</v>
      </c>
      <c r="J122" s="3">
        <v>4.5</v>
      </c>
      <c r="K122" s="3">
        <v>4.5</v>
      </c>
      <c r="L122" s="3">
        <v>4.5</v>
      </c>
      <c r="M122" s="3">
        <v>4.5</v>
      </c>
      <c r="N122" s="3">
        <v>4.5</v>
      </c>
      <c r="O122" s="3">
        <v>4.5</v>
      </c>
      <c r="P122" s="3">
        <v>4.5</v>
      </c>
      <c r="Q122" s="3">
        <v>4.5</v>
      </c>
    </row>
    <row r="123" spans="1:17" ht="18.75" customHeight="1" x14ac:dyDescent="0.25">
      <c r="A123" s="2">
        <v>42094</v>
      </c>
      <c r="B123" s="3">
        <v>4.5</v>
      </c>
      <c r="C123" s="3">
        <v>4.5</v>
      </c>
      <c r="D123" s="3">
        <v>4.5</v>
      </c>
      <c r="E123" s="3">
        <v>4.5</v>
      </c>
      <c r="F123" s="3">
        <v>4.5</v>
      </c>
      <c r="G123" s="3">
        <v>4.5</v>
      </c>
      <c r="H123" s="3">
        <v>4.5</v>
      </c>
      <c r="I123" s="3">
        <v>4.5</v>
      </c>
      <c r="J123" s="3">
        <v>4.5</v>
      </c>
      <c r="K123" s="3">
        <v>4.5</v>
      </c>
      <c r="L123" s="3">
        <v>4.5</v>
      </c>
      <c r="M123" s="3">
        <v>4.5</v>
      </c>
      <c r="N123" s="3">
        <v>4.5</v>
      </c>
      <c r="O123" s="3">
        <v>4.5</v>
      </c>
      <c r="P123" s="3">
        <v>4.5</v>
      </c>
      <c r="Q123" s="3">
        <v>4.5</v>
      </c>
    </row>
    <row r="124" spans="1:17" ht="18.75" customHeight="1" x14ac:dyDescent="0.25">
      <c r="A124" s="2">
        <v>42124</v>
      </c>
      <c r="B124" s="3">
        <v>4.5</v>
      </c>
      <c r="C124" s="3">
        <v>4.5</v>
      </c>
      <c r="D124" s="3">
        <v>4.5</v>
      </c>
      <c r="E124" s="3">
        <v>4.5</v>
      </c>
      <c r="F124" s="3">
        <v>4.5</v>
      </c>
      <c r="G124" s="3">
        <v>4.5</v>
      </c>
      <c r="H124" s="3">
        <v>4.5</v>
      </c>
      <c r="I124" s="3">
        <v>4.5</v>
      </c>
      <c r="J124" s="3">
        <v>4.5</v>
      </c>
      <c r="K124" s="3">
        <v>4.5</v>
      </c>
      <c r="L124" s="3">
        <v>4.5</v>
      </c>
      <c r="M124" s="3">
        <v>4.5</v>
      </c>
      <c r="N124" s="3">
        <v>4.5</v>
      </c>
      <c r="O124" s="3">
        <v>4.5</v>
      </c>
      <c r="P124" s="3">
        <v>4.5</v>
      </c>
      <c r="Q124" s="3">
        <v>4.5</v>
      </c>
    </row>
    <row r="125" spans="1:17" ht="18.75" customHeight="1" x14ac:dyDescent="0.25">
      <c r="A125" s="2">
        <v>42155</v>
      </c>
      <c r="B125" s="3">
        <v>4.5</v>
      </c>
      <c r="C125" s="3">
        <v>4.5</v>
      </c>
      <c r="D125" s="3">
        <v>4.5</v>
      </c>
      <c r="E125" s="3">
        <v>4.5</v>
      </c>
      <c r="F125" s="3">
        <v>4.5</v>
      </c>
      <c r="G125" s="3">
        <v>4.5</v>
      </c>
      <c r="H125" s="3">
        <v>4.5</v>
      </c>
      <c r="I125" s="3">
        <v>4.5</v>
      </c>
      <c r="J125" s="3">
        <v>4.5</v>
      </c>
      <c r="K125" s="3">
        <v>4.5</v>
      </c>
      <c r="L125" s="3">
        <v>4.5</v>
      </c>
      <c r="M125" s="3">
        <v>4.5</v>
      </c>
      <c r="N125" s="3">
        <v>4.5</v>
      </c>
      <c r="O125" s="3">
        <v>4.5</v>
      </c>
      <c r="P125" s="3">
        <v>4.5</v>
      </c>
      <c r="Q125" s="3">
        <v>4.5</v>
      </c>
    </row>
    <row r="126" spans="1:17" ht="18.75" customHeight="1" x14ac:dyDescent="0.25">
      <c r="A126" s="2">
        <v>42185</v>
      </c>
      <c r="B126" s="3">
        <v>4.5</v>
      </c>
      <c r="C126" s="3">
        <v>4.5</v>
      </c>
      <c r="D126" s="3">
        <v>4.5</v>
      </c>
      <c r="E126" s="3">
        <v>4.5</v>
      </c>
      <c r="F126" s="3">
        <v>4.5</v>
      </c>
      <c r="G126" s="3">
        <v>4.5</v>
      </c>
      <c r="H126" s="3">
        <v>4.5</v>
      </c>
      <c r="I126" s="3">
        <v>4.5</v>
      </c>
      <c r="J126" s="3">
        <v>4.5</v>
      </c>
      <c r="K126" s="3">
        <v>4.5</v>
      </c>
      <c r="L126" s="3">
        <v>4.5</v>
      </c>
      <c r="M126" s="3">
        <v>4.5</v>
      </c>
      <c r="N126" s="3">
        <v>4.5</v>
      </c>
      <c r="O126" s="3">
        <v>4.5</v>
      </c>
      <c r="P126" s="3">
        <v>4.5</v>
      </c>
      <c r="Q126" s="3">
        <v>4.5</v>
      </c>
    </row>
    <row r="127" spans="1:17" ht="18.75" customHeight="1" x14ac:dyDescent="0.25">
      <c r="A127" s="2">
        <v>42216</v>
      </c>
      <c r="B127" s="3">
        <v>4.5</v>
      </c>
      <c r="C127" s="3">
        <v>4.5</v>
      </c>
      <c r="D127" s="3">
        <v>4.5</v>
      </c>
      <c r="E127" s="3">
        <v>4.5</v>
      </c>
      <c r="F127" s="3">
        <v>4.5</v>
      </c>
      <c r="G127" s="3">
        <v>4.5</v>
      </c>
      <c r="H127" s="3">
        <v>4.5</v>
      </c>
      <c r="I127" s="3">
        <v>4.5</v>
      </c>
      <c r="J127" s="3">
        <v>4.5</v>
      </c>
      <c r="K127" s="3">
        <v>4.5</v>
      </c>
      <c r="L127" s="3">
        <v>4.5</v>
      </c>
      <c r="M127" s="3">
        <v>4.5</v>
      </c>
      <c r="N127" s="3">
        <v>4.5</v>
      </c>
      <c r="O127" s="3">
        <v>4.5</v>
      </c>
      <c r="P127" s="3">
        <v>4.5</v>
      </c>
      <c r="Q127" s="3">
        <v>4.5</v>
      </c>
    </row>
    <row r="128" spans="1:17" ht="18.75" customHeight="1" x14ac:dyDescent="0.25">
      <c r="A128" s="2">
        <v>42247</v>
      </c>
      <c r="B128" s="3">
        <v>4.5</v>
      </c>
      <c r="C128" s="3">
        <v>4.5</v>
      </c>
      <c r="D128" s="3">
        <v>4.5</v>
      </c>
      <c r="E128" s="3">
        <v>4.5</v>
      </c>
      <c r="F128" s="3">
        <v>4.5</v>
      </c>
      <c r="G128" s="3">
        <v>4.5</v>
      </c>
      <c r="H128" s="3">
        <v>4.5</v>
      </c>
      <c r="I128" s="3">
        <v>4.5</v>
      </c>
      <c r="J128" s="3">
        <v>4.5</v>
      </c>
      <c r="K128" s="3">
        <v>4.5</v>
      </c>
      <c r="L128" s="3">
        <v>4.5</v>
      </c>
      <c r="M128" s="3">
        <v>4.5</v>
      </c>
      <c r="N128" s="3">
        <v>4.5</v>
      </c>
      <c r="O128" s="3">
        <v>4.5</v>
      </c>
      <c r="P128" s="3">
        <v>4.5</v>
      </c>
      <c r="Q128" s="3">
        <v>4.5</v>
      </c>
    </row>
    <row r="129" spans="1:17" ht="18.75" customHeight="1" x14ac:dyDescent="0.25">
      <c r="A129" s="2">
        <v>42277</v>
      </c>
      <c r="B129" s="3">
        <v>4.5</v>
      </c>
      <c r="C129" s="3">
        <v>4.5</v>
      </c>
      <c r="D129" s="3">
        <v>4.5</v>
      </c>
      <c r="E129" s="3">
        <v>4.5</v>
      </c>
      <c r="F129" s="3">
        <v>4.5</v>
      </c>
      <c r="G129" s="3">
        <v>4.5</v>
      </c>
      <c r="H129" s="3">
        <v>4.5</v>
      </c>
      <c r="I129" s="3">
        <v>4.5</v>
      </c>
      <c r="J129" s="3">
        <v>4.5</v>
      </c>
      <c r="K129" s="3">
        <v>4.5</v>
      </c>
      <c r="L129" s="3">
        <v>4.5</v>
      </c>
      <c r="M129" s="3">
        <v>4.5</v>
      </c>
      <c r="N129" s="3">
        <v>4.5</v>
      </c>
      <c r="O129" s="3">
        <v>4.5</v>
      </c>
      <c r="P129" s="3">
        <v>4.5</v>
      </c>
      <c r="Q129" s="3">
        <v>4.5</v>
      </c>
    </row>
    <row r="130" spans="1:17" ht="18.75" customHeight="1" x14ac:dyDescent="0.25">
      <c r="A130" s="2">
        <v>42308</v>
      </c>
      <c r="B130" s="3">
        <v>4.5</v>
      </c>
      <c r="C130" s="3">
        <v>4.5</v>
      </c>
      <c r="D130" s="3">
        <v>4.5</v>
      </c>
      <c r="E130" s="3">
        <v>4.5</v>
      </c>
      <c r="F130" s="3">
        <v>4.5</v>
      </c>
      <c r="G130" s="3">
        <v>4.5</v>
      </c>
      <c r="H130" s="3">
        <v>4.5</v>
      </c>
      <c r="I130" s="3">
        <v>4.5</v>
      </c>
      <c r="J130" s="3">
        <v>4.5</v>
      </c>
      <c r="K130" s="3">
        <v>4.5</v>
      </c>
      <c r="L130" s="3">
        <v>4.5</v>
      </c>
      <c r="M130" s="3">
        <v>4.5</v>
      </c>
      <c r="N130" s="3">
        <v>4.5</v>
      </c>
      <c r="O130" s="3">
        <v>4.5</v>
      </c>
      <c r="P130" s="3">
        <v>4.5</v>
      </c>
      <c r="Q130" s="3">
        <v>4.5</v>
      </c>
    </row>
    <row r="131" spans="1:17" ht="18.75" customHeight="1" x14ac:dyDescent="0.25">
      <c r="A131" s="2">
        <v>42338</v>
      </c>
      <c r="B131" s="3">
        <v>4.5</v>
      </c>
      <c r="C131" s="3">
        <v>4.5</v>
      </c>
      <c r="D131" s="3">
        <v>4.5</v>
      </c>
      <c r="E131" s="3">
        <v>4.5</v>
      </c>
      <c r="F131" s="3">
        <v>4.5</v>
      </c>
      <c r="G131" s="3">
        <v>4.5</v>
      </c>
      <c r="H131" s="3">
        <v>4.5</v>
      </c>
      <c r="I131" s="3">
        <v>4.5</v>
      </c>
      <c r="J131" s="3">
        <v>4.5</v>
      </c>
      <c r="K131" s="3">
        <v>4.5</v>
      </c>
      <c r="L131" s="3">
        <v>4.5</v>
      </c>
      <c r="M131" s="3">
        <v>4.5</v>
      </c>
      <c r="N131" s="3">
        <v>4.5</v>
      </c>
      <c r="O131" s="3">
        <v>4.5</v>
      </c>
      <c r="P131" s="3">
        <v>4.5</v>
      </c>
      <c r="Q131" s="3">
        <v>4.5</v>
      </c>
    </row>
    <row r="132" spans="1:17" ht="18.75" customHeight="1" x14ac:dyDescent="0.25">
      <c r="A132" s="2">
        <v>42369</v>
      </c>
      <c r="B132" s="3">
        <v>4.5</v>
      </c>
      <c r="C132" s="3">
        <v>4.5</v>
      </c>
      <c r="D132" s="3">
        <v>4.5</v>
      </c>
      <c r="E132" s="3">
        <v>4.5</v>
      </c>
      <c r="F132" s="3">
        <v>4.5</v>
      </c>
      <c r="G132" s="3">
        <v>4.5</v>
      </c>
      <c r="H132" s="3">
        <v>4.5</v>
      </c>
      <c r="I132" s="3">
        <v>4.5</v>
      </c>
      <c r="J132" s="3">
        <v>4.5</v>
      </c>
      <c r="K132" s="3">
        <v>4.5</v>
      </c>
      <c r="L132" s="3">
        <v>4.5</v>
      </c>
      <c r="M132" s="3">
        <v>4.5</v>
      </c>
      <c r="N132" s="3">
        <v>4.5</v>
      </c>
      <c r="O132" s="3">
        <v>4.5</v>
      </c>
      <c r="P132" s="3">
        <v>4.5</v>
      </c>
      <c r="Q132" s="3">
        <v>4.5</v>
      </c>
    </row>
    <row r="133" spans="1:17" ht="18.75" customHeight="1" x14ac:dyDescent="0.25">
      <c r="A133" s="2">
        <v>42400</v>
      </c>
      <c r="B133" s="3">
        <v>4.5</v>
      </c>
      <c r="C133" s="3">
        <v>4.5</v>
      </c>
      <c r="D133" s="3">
        <v>4.5</v>
      </c>
      <c r="E133" s="3">
        <v>4.5</v>
      </c>
      <c r="F133" s="3">
        <v>4.5</v>
      </c>
      <c r="G133" s="3">
        <v>4.5</v>
      </c>
      <c r="H133" s="3">
        <v>4.5</v>
      </c>
      <c r="I133" s="3">
        <v>4.5</v>
      </c>
      <c r="J133" s="3">
        <v>4.5</v>
      </c>
      <c r="K133" s="3">
        <v>4.5</v>
      </c>
      <c r="L133" s="3">
        <v>4.5</v>
      </c>
      <c r="M133" s="3">
        <v>4.5</v>
      </c>
      <c r="N133" s="3">
        <v>4.5</v>
      </c>
      <c r="O133" s="3">
        <v>4.5</v>
      </c>
      <c r="P133" s="3">
        <v>4.5</v>
      </c>
      <c r="Q133" s="3">
        <v>4.5</v>
      </c>
    </row>
    <row r="134" spans="1:17" ht="18.75" customHeight="1" x14ac:dyDescent="0.25">
      <c r="A134" s="2">
        <v>42429</v>
      </c>
      <c r="B134" s="3">
        <v>4.5</v>
      </c>
      <c r="C134" s="3">
        <v>4.5</v>
      </c>
      <c r="D134" s="3">
        <v>4.5</v>
      </c>
      <c r="E134" s="3">
        <v>4.5</v>
      </c>
      <c r="F134" s="3">
        <v>4.5</v>
      </c>
      <c r="G134" s="3">
        <v>4.5</v>
      </c>
      <c r="H134" s="3">
        <v>4.5</v>
      </c>
      <c r="I134" s="3">
        <v>4.5</v>
      </c>
      <c r="J134" s="3">
        <v>4.5</v>
      </c>
      <c r="K134" s="3">
        <v>4.5</v>
      </c>
      <c r="L134" s="3">
        <v>4.5</v>
      </c>
      <c r="M134" s="3">
        <v>4.5</v>
      </c>
      <c r="N134" s="3">
        <v>4.5</v>
      </c>
      <c r="O134" s="3">
        <v>4.5</v>
      </c>
      <c r="P134" s="3">
        <v>4.5</v>
      </c>
      <c r="Q134" s="3">
        <v>4.5</v>
      </c>
    </row>
    <row r="135" spans="1:17" ht="18.75" customHeight="1" x14ac:dyDescent="0.25">
      <c r="A135" s="2">
        <v>42460</v>
      </c>
      <c r="B135" s="3">
        <v>4.5</v>
      </c>
      <c r="C135" s="3">
        <v>4.5</v>
      </c>
      <c r="D135" s="3">
        <v>4.5</v>
      </c>
      <c r="E135" s="3">
        <v>4.5</v>
      </c>
      <c r="F135" s="3">
        <v>4.5</v>
      </c>
      <c r="G135" s="3">
        <v>4.5</v>
      </c>
      <c r="H135" s="3">
        <v>4.5</v>
      </c>
      <c r="I135" s="3">
        <v>4.5</v>
      </c>
      <c r="J135" s="3">
        <v>4.5</v>
      </c>
      <c r="K135" s="3">
        <v>4.5</v>
      </c>
      <c r="L135" s="3">
        <v>4.5</v>
      </c>
      <c r="M135" s="3">
        <v>4.5</v>
      </c>
      <c r="N135" s="3">
        <v>4.5</v>
      </c>
      <c r="O135" s="3">
        <v>4.5</v>
      </c>
      <c r="P135" s="3">
        <v>4.5</v>
      </c>
      <c r="Q135" s="3">
        <v>4.5</v>
      </c>
    </row>
    <row r="136" spans="1:17" ht="18.75" customHeight="1" x14ac:dyDescent="0.25">
      <c r="A136" s="2">
        <v>42490</v>
      </c>
      <c r="B136" s="3">
        <v>4.5</v>
      </c>
      <c r="C136" s="3">
        <v>4.5</v>
      </c>
      <c r="D136" s="3">
        <v>4.5</v>
      </c>
      <c r="E136" s="3">
        <v>4.5</v>
      </c>
      <c r="F136" s="3">
        <v>4.5</v>
      </c>
      <c r="G136" s="3">
        <v>4.5</v>
      </c>
      <c r="H136" s="3">
        <v>4.5</v>
      </c>
      <c r="I136" s="3">
        <v>4.5</v>
      </c>
      <c r="J136" s="3">
        <v>4.5</v>
      </c>
      <c r="K136" s="3">
        <v>4.5</v>
      </c>
      <c r="L136" s="3">
        <v>4.5</v>
      </c>
      <c r="M136" s="3">
        <v>4.5</v>
      </c>
      <c r="N136" s="3">
        <v>4.5</v>
      </c>
      <c r="O136" s="3">
        <v>4.5</v>
      </c>
      <c r="P136" s="3">
        <v>4.5</v>
      </c>
      <c r="Q136" s="3">
        <v>4.5</v>
      </c>
    </row>
    <row r="137" spans="1:17" ht="18.75" customHeight="1" x14ac:dyDescent="0.25">
      <c r="A137" s="2">
        <v>42521</v>
      </c>
      <c r="B137" s="3">
        <v>4.5</v>
      </c>
      <c r="C137" s="3">
        <v>4.5</v>
      </c>
      <c r="D137" s="3">
        <v>4.5</v>
      </c>
      <c r="E137" s="3">
        <v>4.5</v>
      </c>
      <c r="F137" s="3">
        <v>4.5</v>
      </c>
      <c r="G137" s="3">
        <v>4.5</v>
      </c>
      <c r="H137" s="3">
        <v>4.5</v>
      </c>
      <c r="I137" s="3">
        <v>4.5</v>
      </c>
      <c r="J137" s="3">
        <v>4.5</v>
      </c>
      <c r="K137" s="3">
        <v>4.5</v>
      </c>
      <c r="L137" s="3">
        <v>4.5</v>
      </c>
      <c r="M137" s="3">
        <v>4.5</v>
      </c>
      <c r="N137" s="3">
        <v>4.5</v>
      </c>
      <c r="O137" s="3">
        <v>4.5</v>
      </c>
      <c r="P137" s="3">
        <v>4.5</v>
      </c>
      <c r="Q137" s="3">
        <v>4.5</v>
      </c>
    </row>
    <row r="138" spans="1:17" ht="18.75" customHeight="1" x14ac:dyDescent="0.25">
      <c r="A138" s="2">
        <v>42551</v>
      </c>
      <c r="B138" s="3">
        <v>4.5</v>
      </c>
      <c r="C138" s="3">
        <v>4.5</v>
      </c>
      <c r="D138" s="3">
        <v>4.5</v>
      </c>
      <c r="E138" s="3">
        <v>4.5</v>
      </c>
      <c r="F138" s="3">
        <v>4.5</v>
      </c>
      <c r="G138" s="3">
        <v>4.5</v>
      </c>
      <c r="H138" s="3">
        <v>4.5</v>
      </c>
      <c r="I138" s="3">
        <v>4.5</v>
      </c>
      <c r="J138" s="3">
        <v>4.5</v>
      </c>
      <c r="K138" s="3">
        <v>4.5</v>
      </c>
      <c r="L138" s="3">
        <v>4.5</v>
      </c>
      <c r="M138" s="3">
        <v>4.5</v>
      </c>
      <c r="N138" s="3">
        <v>4.5</v>
      </c>
      <c r="O138" s="3">
        <v>4.5</v>
      </c>
      <c r="P138" s="3">
        <v>4.5</v>
      </c>
      <c r="Q138" s="3">
        <v>4.5</v>
      </c>
    </row>
    <row r="139" spans="1:17" ht="18.75" customHeight="1" x14ac:dyDescent="0.25">
      <c r="A139" s="2">
        <v>42582</v>
      </c>
      <c r="B139" s="3">
        <v>4.5</v>
      </c>
      <c r="C139" s="3">
        <v>4.5</v>
      </c>
      <c r="D139" s="3">
        <v>4.5</v>
      </c>
      <c r="E139" s="3">
        <v>4.5</v>
      </c>
      <c r="F139" s="3">
        <v>4.5</v>
      </c>
      <c r="G139" s="3">
        <v>4.5</v>
      </c>
      <c r="H139" s="3">
        <v>4.5</v>
      </c>
      <c r="I139" s="3">
        <v>4.5</v>
      </c>
      <c r="J139" s="3">
        <v>4.5</v>
      </c>
      <c r="K139" s="3">
        <v>4.5</v>
      </c>
      <c r="L139" s="3">
        <v>4.5</v>
      </c>
      <c r="M139" s="3">
        <v>4.5</v>
      </c>
      <c r="N139" s="3">
        <v>4.5</v>
      </c>
      <c r="O139" s="3">
        <v>4.5</v>
      </c>
      <c r="P139" s="3">
        <v>4.5</v>
      </c>
      <c r="Q139" s="3">
        <v>4.5</v>
      </c>
    </row>
    <row r="140" spans="1:17" ht="18.75" customHeight="1" x14ac:dyDescent="0.25">
      <c r="A140" s="2">
        <v>42613</v>
      </c>
      <c r="B140" s="3">
        <v>4.5</v>
      </c>
      <c r="C140" s="3">
        <v>4.5</v>
      </c>
      <c r="D140" s="3">
        <v>4.5</v>
      </c>
      <c r="E140" s="3">
        <v>4.5</v>
      </c>
      <c r="F140" s="3">
        <v>4.5</v>
      </c>
      <c r="G140" s="3">
        <v>4.5</v>
      </c>
      <c r="H140" s="3">
        <v>4.5</v>
      </c>
      <c r="I140" s="3">
        <v>4.5</v>
      </c>
      <c r="J140" s="3">
        <v>4.5</v>
      </c>
      <c r="K140" s="3">
        <v>4.5</v>
      </c>
      <c r="L140" s="3">
        <v>4.5</v>
      </c>
      <c r="M140" s="3">
        <v>4.5</v>
      </c>
      <c r="N140" s="3">
        <v>4.5</v>
      </c>
      <c r="O140" s="3">
        <v>4.5</v>
      </c>
      <c r="P140" s="3">
        <v>4.5</v>
      </c>
      <c r="Q140" s="3">
        <v>4.5</v>
      </c>
    </row>
    <row r="141" spans="1:17" ht="18.75" customHeight="1" x14ac:dyDescent="0.25">
      <c r="A141" s="2">
        <v>42643</v>
      </c>
      <c r="B141" s="3">
        <v>4.5</v>
      </c>
      <c r="C141" s="3">
        <v>4.5</v>
      </c>
      <c r="D141" s="3">
        <v>4.5</v>
      </c>
      <c r="E141" s="3">
        <v>4.5</v>
      </c>
      <c r="F141" s="3">
        <v>4.5</v>
      </c>
      <c r="G141" s="3">
        <v>4.5</v>
      </c>
      <c r="H141" s="3">
        <v>4.5</v>
      </c>
      <c r="I141" s="3">
        <v>4.5</v>
      </c>
      <c r="J141" s="3">
        <v>4.5</v>
      </c>
      <c r="K141" s="3">
        <v>4.5</v>
      </c>
      <c r="L141" s="3">
        <v>4.5</v>
      </c>
      <c r="M141" s="3">
        <v>4.5</v>
      </c>
      <c r="N141" s="3">
        <v>4.5</v>
      </c>
      <c r="O141" s="3">
        <v>4.5</v>
      </c>
      <c r="P141" s="3">
        <v>4.5</v>
      </c>
      <c r="Q141" s="3">
        <v>4.5</v>
      </c>
    </row>
    <row r="142" spans="1:17" ht="18.75" customHeight="1" x14ac:dyDescent="0.25">
      <c r="A142" s="2">
        <v>42674</v>
      </c>
      <c r="B142" s="3">
        <v>4.5</v>
      </c>
      <c r="C142" s="3">
        <v>4.5</v>
      </c>
      <c r="D142" s="3">
        <v>4.5</v>
      </c>
      <c r="E142" s="3">
        <v>4.5</v>
      </c>
      <c r="F142" s="3">
        <v>4.5</v>
      </c>
      <c r="G142" s="3">
        <v>4.5</v>
      </c>
      <c r="H142" s="3">
        <v>4.5</v>
      </c>
      <c r="I142" s="3">
        <v>4.5</v>
      </c>
      <c r="J142" s="3">
        <v>4.5</v>
      </c>
      <c r="K142" s="3">
        <v>4.5</v>
      </c>
      <c r="L142" s="3">
        <v>4.5</v>
      </c>
      <c r="M142" s="3">
        <v>4.5</v>
      </c>
      <c r="N142" s="3">
        <v>4.5</v>
      </c>
      <c r="O142" s="3">
        <v>4.5</v>
      </c>
      <c r="P142" s="3">
        <v>4.5</v>
      </c>
      <c r="Q142" s="3">
        <v>4.5</v>
      </c>
    </row>
    <row r="143" spans="1:17" ht="18.75" customHeight="1" x14ac:dyDescent="0.25">
      <c r="A143" s="2">
        <v>42704</v>
      </c>
      <c r="B143" s="3">
        <v>4.5</v>
      </c>
      <c r="C143" s="3">
        <v>4.5</v>
      </c>
      <c r="D143" s="3">
        <v>4.5</v>
      </c>
      <c r="E143" s="3">
        <v>4.5</v>
      </c>
      <c r="F143" s="3">
        <v>4.5</v>
      </c>
      <c r="G143" s="3">
        <v>4.5</v>
      </c>
      <c r="H143" s="3">
        <v>4.5</v>
      </c>
      <c r="I143" s="3">
        <v>4.5</v>
      </c>
      <c r="J143" s="3">
        <v>4.5</v>
      </c>
      <c r="K143" s="3">
        <v>4.5</v>
      </c>
      <c r="L143" s="3">
        <v>4.5</v>
      </c>
      <c r="M143" s="3">
        <v>4.5</v>
      </c>
      <c r="N143" s="3">
        <v>4.5</v>
      </c>
      <c r="O143" s="3">
        <v>4.5</v>
      </c>
      <c r="P143" s="3">
        <v>4.5</v>
      </c>
      <c r="Q143" s="3">
        <v>4.5</v>
      </c>
    </row>
    <row r="144" spans="1:17" ht="18.75" customHeight="1" x14ac:dyDescent="0.25">
      <c r="A144" s="2">
        <v>42735</v>
      </c>
      <c r="B144" s="3">
        <v>4.5</v>
      </c>
      <c r="C144" s="3">
        <v>4.5</v>
      </c>
      <c r="D144" s="3">
        <v>4.5</v>
      </c>
      <c r="E144" s="3">
        <v>4.5</v>
      </c>
      <c r="F144" s="3">
        <v>4.5</v>
      </c>
      <c r="G144" s="3">
        <v>4.5</v>
      </c>
      <c r="H144" s="3">
        <v>4.5</v>
      </c>
      <c r="I144" s="3">
        <v>4.5</v>
      </c>
      <c r="J144" s="3">
        <v>4.5</v>
      </c>
      <c r="K144" s="3">
        <v>4.5</v>
      </c>
      <c r="L144" s="3">
        <v>4.5</v>
      </c>
      <c r="M144" s="3">
        <v>4.5</v>
      </c>
      <c r="N144" s="3">
        <v>4.5</v>
      </c>
      <c r="O144" s="3">
        <v>4.5</v>
      </c>
      <c r="P144" s="3">
        <v>4.5</v>
      </c>
      <c r="Q144" s="3">
        <v>4.5</v>
      </c>
    </row>
    <row r="145" spans="1:17" ht="18.75" customHeight="1" x14ac:dyDescent="0.25">
      <c r="A145" s="2">
        <v>42766</v>
      </c>
      <c r="B145" s="3">
        <v>4.5</v>
      </c>
      <c r="C145" s="3">
        <v>4.5</v>
      </c>
      <c r="D145" s="3">
        <v>4.5</v>
      </c>
      <c r="E145" s="3">
        <v>4.5</v>
      </c>
      <c r="F145" s="3">
        <v>4.5</v>
      </c>
      <c r="G145" s="3">
        <v>4.5</v>
      </c>
      <c r="H145" s="3">
        <v>4.5</v>
      </c>
      <c r="I145" s="3">
        <v>4.5</v>
      </c>
      <c r="J145" s="3">
        <v>4.5</v>
      </c>
      <c r="K145" s="3">
        <v>4.5</v>
      </c>
      <c r="L145" s="3">
        <v>4.5</v>
      </c>
      <c r="M145" s="3">
        <v>4.5</v>
      </c>
      <c r="N145" s="3">
        <v>4.5</v>
      </c>
      <c r="O145" s="3">
        <v>4.5</v>
      </c>
      <c r="P145" s="3">
        <v>4.5</v>
      </c>
      <c r="Q145" s="3">
        <v>4.5</v>
      </c>
    </row>
    <row r="146" spans="1:17" ht="18.75" customHeight="1" x14ac:dyDescent="0.25">
      <c r="A146" s="2">
        <v>42794</v>
      </c>
      <c r="B146" s="3">
        <v>4.5</v>
      </c>
      <c r="C146" s="3">
        <v>4.5</v>
      </c>
      <c r="D146" s="3">
        <v>4.5</v>
      </c>
      <c r="E146" s="3">
        <v>4.5</v>
      </c>
      <c r="F146" s="3">
        <v>4.5</v>
      </c>
      <c r="G146" s="3">
        <v>4.5</v>
      </c>
      <c r="H146" s="3">
        <v>4.5</v>
      </c>
      <c r="I146" s="3">
        <v>4.5</v>
      </c>
      <c r="J146" s="3">
        <v>4.5</v>
      </c>
      <c r="K146" s="3">
        <v>4.5</v>
      </c>
      <c r="L146" s="3">
        <v>4.5</v>
      </c>
      <c r="M146" s="3">
        <v>4.5</v>
      </c>
      <c r="N146" s="3">
        <v>4.5</v>
      </c>
      <c r="O146" s="3">
        <v>4.5</v>
      </c>
      <c r="P146" s="3">
        <v>4.5</v>
      </c>
      <c r="Q146" s="3">
        <v>4.5</v>
      </c>
    </row>
    <row r="147" spans="1:17" ht="18.75" customHeight="1" x14ac:dyDescent="0.25">
      <c r="A147" s="2">
        <v>42825</v>
      </c>
      <c r="B147" s="3">
        <v>4.5</v>
      </c>
      <c r="C147" s="3">
        <v>4.5</v>
      </c>
      <c r="D147" s="3">
        <v>4.5</v>
      </c>
      <c r="E147" s="3">
        <v>4.5</v>
      </c>
      <c r="F147" s="3">
        <v>4.5</v>
      </c>
      <c r="G147" s="3">
        <v>4.5</v>
      </c>
      <c r="H147" s="3">
        <v>4.5</v>
      </c>
      <c r="I147" s="3">
        <v>4.5</v>
      </c>
      <c r="J147" s="3">
        <v>4.5</v>
      </c>
      <c r="K147" s="3">
        <v>4.5</v>
      </c>
      <c r="L147" s="3">
        <v>4.5</v>
      </c>
      <c r="M147" s="3">
        <v>4.5</v>
      </c>
      <c r="N147" s="3">
        <v>4.5</v>
      </c>
      <c r="O147" s="3">
        <v>4.5</v>
      </c>
      <c r="P147" s="3">
        <v>4.5</v>
      </c>
      <c r="Q147" s="3">
        <v>4.5</v>
      </c>
    </row>
    <row r="148" spans="1:17" ht="18.75" customHeight="1" x14ac:dyDescent="0.25">
      <c r="A148" s="2">
        <v>42855</v>
      </c>
      <c r="B148" s="3">
        <v>4.5</v>
      </c>
      <c r="C148" s="3">
        <v>4.5</v>
      </c>
      <c r="D148" s="3">
        <v>4.5</v>
      </c>
      <c r="E148" s="3">
        <v>4.5</v>
      </c>
      <c r="F148" s="3">
        <v>4.5</v>
      </c>
      <c r="G148" s="3">
        <v>4.5</v>
      </c>
      <c r="H148" s="3">
        <v>4.5</v>
      </c>
      <c r="I148" s="3">
        <v>4.5</v>
      </c>
      <c r="J148" s="3">
        <v>4.5</v>
      </c>
      <c r="K148" s="3">
        <v>4.5</v>
      </c>
      <c r="L148" s="3">
        <v>4.5</v>
      </c>
      <c r="M148" s="3">
        <v>4.5</v>
      </c>
      <c r="N148" s="3">
        <v>4.5</v>
      </c>
      <c r="O148" s="3">
        <v>4.5</v>
      </c>
      <c r="P148" s="3">
        <v>4.5</v>
      </c>
      <c r="Q148" s="3">
        <v>4.5</v>
      </c>
    </row>
    <row r="149" spans="1:17" ht="18.75" customHeight="1" x14ac:dyDescent="0.25">
      <c r="A149" s="2">
        <v>42886</v>
      </c>
      <c r="B149" s="3">
        <v>4.5</v>
      </c>
      <c r="C149" s="3">
        <v>4.5</v>
      </c>
      <c r="D149" s="3">
        <v>4.5</v>
      </c>
      <c r="E149" s="3">
        <v>4.5</v>
      </c>
      <c r="F149" s="3">
        <v>4.5</v>
      </c>
      <c r="G149" s="3">
        <v>4.5</v>
      </c>
      <c r="H149" s="3">
        <v>4.5</v>
      </c>
      <c r="I149" s="3">
        <v>4.5</v>
      </c>
      <c r="J149" s="3">
        <v>4.5</v>
      </c>
      <c r="K149" s="3">
        <v>4.5</v>
      </c>
      <c r="L149" s="3">
        <v>4.5</v>
      </c>
      <c r="M149" s="3">
        <v>4.5</v>
      </c>
      <c r="N149" s="3">
        <v>4.5</v>
      </c>
      <c r="O149" s="3">
        <v>4.5</v>
      </c>
      <c r="P149" s="3">
        <v>4.5</v>
      </c>
      <c r="Q149" s="3">
        <v>4.5</v>
      </c>
    </row>
    <row r="150" spans="1:17" ht="18.75" customHeight="1" x14ac:dyDescent="0.25">
      <c r="A150" s="2">
        <v>42916</v>
      </c>
      <c r="B150" s="3">
        <v>4.5</v>
      </c>
      <c r="C150" s="3">
        <v>4.5</v>
      </c>
      <c r="D150" s="3">
        <v>4.5</v>
      </c>
      <c r="E150" s="3">
        <v>4.5</v>
      </c>
      <c r="F150" s="3">
        <v>4.5</v>
      </c>
      <c r="G150" s="3">
        <v>4.5</v>
      </c>
      <c r="H150" s="3">
        <v>4.5</v>
      </c>
      <c r="I150" s="3">
        <v>4.5</v>
      </c>
      <c r="J150" s="3">
        <v>4.5</v>
      </c>
      <c r="K150" s="3">
        <v>4.5</v>
      </c>
      <c r="L150" s="3">
        <v>4.5</v>
      </c>
      <c r="M150" s="3">
        <v>4.5</v>
      </c>
      <c r="N150" s="3">
        <v>4.5</v>
      </c>
      <c r="O150" s="3">
        <v>4.5</v>
      </c>
      <c r="P150" s="3">
        <v>4.5</v>
      </c>
      <c r="Q150" s="3">
        <v>4.5</v>
      </c>
    </row>
    <row r="151" spans="1:17" ht="18.75" customHeight="1" x14ac:dyDescent="0.25">
      <c r="A151" s="2">
        <v>42947</v>
      </c>
      <c r="B151" s="3">
        <v>4.5</v>
      </c>
      <c r="C151" s="3">
        <v>4.5</v>
      </c>
      <c r="D151" s="3">
        <v>4.25</v>
      </c>
      <c r="E151" s="3">
        <v>4</v>
      </c>
      <c r="F151" s="3">
        <v>4</v>
      </c>
      <c r="G151" s="3">
        <v>4</v>
      </c>
      <c r="H151" s="3">
        <v>4</v>
      </c>
      <c r="I151" s="3">
        <v>4</v>
      </c>
      <c r="J151" s="3">
        <v>4</v>
      </c>
      <c r="K151" s="3">
        <v>4</v>
      </c>
      <c r="L151" s="3">
        <v>4</v>
      </c>
      <c r="M151" s="3">
        <v>4</v>
      </c>
      <c r="N151" s="3">
        <v>4</v>
      </c>
      <c r="O151" s="3">
        <v>4</v>
      </c>
      <c r="P151" s="3">
        <v>4</v>
      </c>
      <c r="Q151" s="3">
        <v>4</v>
      </c>
    </row>
    <row r="152" spans="1:17" ht="18.75" customHeight="1" x14ac:dyDescent="0.25">
      <c r="A152" s="2">
        <v>42978</v>
      </c>
      <c r="B152" s="3">
        <v>4.5</v>
      </c>
      <c r="C152" s="3">
        <v>4.5</v>
      </c>
      <c r="D152" s="3">
        <v>4.25</v>
      </c>
      <c r="E152" s="3">
        <v>4</v>
      </c>
      <c r="F152" s="3">
        <v>4</v>
      </c>
      <c r="G152" s="3">
        <v>4</v>
      </c>
      <c r="H152" s="3">
        <v>4</v>
      </c>
      <c r="I152" s="3">
        <v>4</v>
      </c>
      <c r="J152" s="3">
        <v>4</v>
      </c>
      <c r="K152" s="3">
        <v>4</v>
      </c>
      <c r="L152" s="3">
        <v>4</v>
      </c>
      <c r="M152" s="3">
        <v>4</v>
      </c>
      <c r="N152" s="3">
        <v>4</v>
      </c>
      <c r="O152" s="3">
        <v>4</v>
      </c>
      <c r="P152" s="3">
        <v>4</v>
      </c>
      <c r="Q152" s="3">
        <v>4</v>
      </c>
    </row>
    <row r="153" spans="1:17" ht="18.75" customHeight="1" x14ac:dyDescent="0.25">
      <c r="A153" s="2">
        <v>43008</v>
      </c>
      <c r="B153" s="3">
        <v>4.5</v>
      </c>
      <c r="C153" s="3">
        <v>4.5</v>
      </c>
      <c r="D153" s="3">
        <v>4.25</v>
      </c>
      <c r="E153" s="3">
        <v>4</v>
      </c>
      <c r="F153" s="3">
        <v>4</v>
      </c>
      <c r="G153" s="3">
        <v>4</v>
      </c>
      <c r="H153" s="3">
        <v>4</v>
      </c>
      <c r="I153" s="3">
        <v>4</v>
      </c>
      <c r="J153" s="3">
        <v>4</v>
      </c>
      <c r="K153" s="3">
        <v>4</v>
      </c>
      <c r="L153" s="3">
        <v>4</v>
      </c>
      <c r="M153" s="3">
        <v>4</v>
      </c>
      <c r="N153" s="3">
        <v>4</v>
      </c>
      <c r="O153" s="3">
        <v>4</v>
      </c>
      <c r="P153" s="3">
        <v>4</v>
      </c>
      <c r="Q153" s="3">
        <v>4</v>
      </c>
    </row>
    <row r="154" spans="1:17" ht="18.75" customHeight="1" x14ac:dyDescent="0.25">
      <c r="A154" s="2">
        <v>43039</v>
      </c>
      <c r="B154" s="3">
        <v>4.5</v>
      </c>
      <c r="C154" s="3">
        <v>4.5</v>
      </c>
      <c r="D154" s="3">
        <v>4.25</v>
      </c>
      <c r="E154" s="3">
        <v>4</v>
      </c>
      <c r="F154" s="3">
        <v>4</v>
      </c>
      <c r="G154" s="3">
        <v>4</v>
      </c>
      <c r="H154" s="3">
        <v>4</v>
      </c>
      <c r="I154" s="3">
        <v>4</v>
      </c>
      <c r="J154" s="3">
        <v>4</v>
      </c>
      <c r="K154" s="3">
        <v>4</v>
      </c>
      <c r="L154" s="3">
        <v>4</v>
      </c>
      <c r="M154" s="3">
        <v>4</v>
      </c>
      <c r="N154" s="3">
        <v>4</v>
      </c>
      <c r="O154" s="3">
        <v>4</v>
      </c>
      <c r="P154" s="3">
        <v>4</v>
      </c>
      <c r="Q154" s="3">
        <v>4</v>
      </c>
    </row>
    <row r="155" spans="1:17" ht="18.75" customHeight="1" x14ac:dyDescent="0.25">
      <c r="A155" s="2">
        <v>43069</v>
      </c>
      <c r="B155" s="3">
        <v>4.5</v>
      </c>
      <c r="C155" s="3">
        <v>4.5</v>
      </c>
      <c r="D155" s="3">
        <v>4.25</v>
      </c>
      <c r="E155" s="3">
        <v>4</v>
      </c>
      <c r="F155" s="3">
        <v>4</v>
      </c>
      <c r="G155" s="3">
        <v>4</v>
      </c>
      <c r="H155" s="3">
        <v>4</v>
      </c>
      <c r="I155" s="3">
        <v>4</v>
      </c>
      <c r="J155" s="3">
        <v>4</v>
      </c>
      <c r="K155" s="3">
        <v>4</v>
      </c>
      <c r="L155" s="3">
        <v>4</v>
      </c>
      <c r="M155" s="3">
        <v>4</v>
      </c>
      <c r="N155" s="3">
        <v>4</v>
      </c>
      <c r="O155" s="3">
        <v>4</v>
      </c>
      <c r="P155" s="3">
        <v>4</v>
      </c>
      <c r="Q155" s="3">
        <v>4</v>
      </c>
    </row>
    <row r="156" spans="1:17" ht="18.75" customHeight="1" x14ac:dyDescent="0.25">
      <c r="A156" s="2">
        <v>43100</v>
      </c>
      <c r="B156" s="3">
        <v>4.5</v>
      </c>
      <c r="C156" s="3">
        <v>4.5</v>
      </c>
      <c r="D156" s="3">
        <v>4.25</v>
      </c>
      <c r="E156" s="3">
        <v>4</v>
      </c>
      <c r="F156" s="3">
        <v>4</v>
      </c>
      <c r="G156" s="3">
        <v>4</v>
      </c>
      <c r="H156" s="3">
        <v>4</v>
      </c>
      <c r="I156" s="3">
        <v>4</v>
      </c>
      <c r="J156" s="3">
        <v>4</v>
      </c>
      <c r="K156" s="3">
        <v>4</v>
      </c>
      <c r="L156" s="3">
        <v>4</v>
      </c>
      <c r="M156" s="3">
        <v>4</v>
      </c>
      <c r="N156" s="3">
        <v>4</v>
      </c>
      <c r="O156" s="3">
        <v>4</v>
      </c>
      <c r="P156" s="3">
        <v>4</v>
      </c>
      <c r="Q156" s="3">
        <v>4</v>
      </c>
    </row>
    <row r="157" spans="1:17" ht="18.75" customHeight="1" x14ac:dyDescent="0.25">
      <c r="A157" s="2">
        <v>43131</v>
      </c>
      <c r="B157" s="3">
        <v>4.5</v>
      </c>
      <c r="C157" s="3">
        <v>4.25</v>
      </c>
      <c r="D157" s="3">
        <v>4</v>
      </c>
      <c r="E157" s="3">
        <v>4</v>
      </c>
      <c r="F157" s="3">
        <v>4</v>
      </c>
      <c r="G157" s="3">
        <v>4</v>
      </c>
      <c r="H157" s="3">
        <v>4</v>
      </c>
      <c r="I157" s="3">
        <v>4</v>
      </c>
      <c r="J157" s="3">
        <v>4</v>
      </c>
      <c r="K157" s="3">
        <v>4</v>
      </c>
      <c r="L157" s="3">
        <v>4</v>
      </c>
      <c r="M157" s="3">
        <v>4</v>
      </c>
      <c r="N157" s="3">
        <v>4</v>
      </c>
      <c r="O157" s="3">
        <v>4</v>
      </c>
      <c r="P157" s="3">
        <v>4</v>
      </c>
      <c r="Q157" s="3">
        <v>4</v>
      </c>
    </row>
    <row r="158" spans="1:17" ht="18.75" customHeight="1" x14ac:dyDescent="0.25">
      <c r="A158" s="2">
        <v>43159</v>
      </c>
      <c r="B158" s="3">
        <v>4.5</v>
      </c>
      <c r="C158" s="3">
        <v>4.25</v>
      </c>
      <c r="D158" s="3">
        <v>4</v>
      </c>
      <c r="E158" s="3">
        <v>4</v>
      </c>
      <c r="F158" s="3">
        <v>4</v>
      </c>
      <c r="G158" s="3">
        <v>4</v>
      </c>
      <c r="H158" s="3">
        <v>4</v>
      </c>
      <c r="I158" s="3">
        <v>4</v>
      </c>
      <c r="J158" s="3">
        <v>4</v>
      </c>
      <c r="K158" s="3">
        <v>4</v>
      </c>
      <c r="L158" s="3">
        <v>4</v>
      </c>
      <c r="M158" s="3">
        <v>4</v>
      </c>
      <c r="N158" s="3">
        <v>4</v>
      </c>
      <c r="O158" s="3">
        <v>4</v>
      </c>
      <c r="P158" s="3">
        <v>4</v>
      </c>
      <c r="Q158" s="3">
        <v>4</v>
      </c>
    </row>
    <row r="159" spans="1:17" ht="18.75" customHeight="1" x14ac:dyDescent="0.25">
      <c r="A159" s="2">
        <v>43190</v>
      </c>
      <c r="B159" s="3">
        <v>4.5</v>
      </c>
      <c r="C159" s="3">
        <v>4.25</v>
      </c>
      <c r="D159" s="3">
        <v>4</v>
      </c>
      <c r="E159" s="3">
        <v>4</v>
      </c>
      <c r="F159" s="3">
        <v>4</v>
      </c>
      <c r="G159" s="3">
        <v>4</v>
      </c>
      <c r="H159" s="3">
        <v>4</v>
      </c>
      <c r="I159" s="3">
        <v>4</v>
      </c>
      <c r="J159" s="3">
        <v>4</v>
      </c>
      <c r="K159" s="3">
        <v>4</v>
      </c>
      <c r="L159" s="3">
        <v>4</v>
      </c>
      <c r="M159" s="3">
        <v>4</v>
      </c>
      <c r="N159" s="3">
        <v>4</v>
      </c>
      <c r="O159" s="3">
        <v>4</v>
      </c>
      <c r="P159" s="3">
        <v>4</v>
      </c>
      <c r="Q159" s="3">
        <v>4</v>
      </c>
    </row>
    <row r="160" spans="1:17" ht="18.75" customHeight="1" x14ac:dyDescent="0.25">
      <c r="A160" s="2">
        <v>43220</v>
      </c>
      <c r="B160" s="3">
        <v>4.5</v>
      </c>
      <c r="C160" s="3">
        <v>4.25</v>
      </c>
      <c r="D160" s="3">
        <v>4</v>
      </c>
      <c r="E160" s="3">
        <v>4</v>
      </c>
      <c r="F160" s="3">
        <v>4</v>
      </c>
      <c r="G160" s="3">
        <v>4</v>
      </c>
      <c r="H160" s="3">
        <v>4</v>
      </c>
      <c r="I160" s="3">
        <v>4</v>
      </c>
      <c r="J160" s="3">
        <v>4</v>
      </c>
      <c r="K160" s="3">
        <v>4</v>
      </c>
      <c r="L160" s="3">
        <v>4</v>
      </c>
      <c r="M160" s="3">
        <v>4</v>
      </c>
      <c r="N160" s="3">
        <v>4</v>
      </c>
      <c r="O160" s="3">
        <v>4</v>
      </c>
      <c r="P160" s="3">
        <v>4</v>
      </c>
      <c r="Q160" s="3">
        <v>4</v>
      </c>
    </row>
    <row r="161" spans="1:17" ht="18.75" customHeight="1" x14ac:dyDescent="0.25">
      <c r="A161" s="2">
        <v>43251</v>
      </c>
      <c r="B161" s="3">
        <v>4.5</v>
      </c>
      <c r="C161" s="3">
        <v>4.25</v>
      </c>
      <c r="D161" s="3">
        <v>4</v>
      </c>
      <c r="E161" s="3">
        <v>4</v>
      </c>
      <c r="F161" s="3">
        <v>4</v>
      </c>
      <c r="G161" s="3">
        <v>4</v>
      </c>
      <c r="H161" s="3">
        <v>4</v>
      </c>
      <c r="I161" s="3">
        <v>4</v>
      </c>
      <c r="J161" s="3">
        <v>4</v>
      </c>
      <c r="K161" s="3">
        <v>4</v>
      </c>
      <c r="L161" s="3">
        <v>4</v>
      </c>
      <c r="M161" s="3">
        <v>4</v>
      </c>
      <c r="N161" s="3">
        <v>4</v>
      </c>
      <c r="O161" s="3">
        <v>4</v>
      </c>
      <c r="P161" s="3">
        <v>4</v>
      </c>
      <c r="Q161" s="3">
        <v>4</v>
      </c>
    </row>
    <row r="162" spans="1:17" ht="18.75" customHeight="1" x14ac:dyDescent="0.25">
      <c r="A162" s="2">
        <v>43281</v>
      </c>
      <c r="B162" s="3">
        <v>4.5</v>
      </c>
      <c r="C162" s="3">
        <v>4.25</v>
      </c>
      <c r="D162" s="3">
        <v>4</v>
      </c>
      <c r="E162" s="3">
        <v>4</v>
      </c>
      <c r="F162" s="3">
        <v>4</v>
      </c>
      <c r="G162" s="3">
        <v>4</v>
      </c>
      <c r="H162" s="3">
        <v>4</v>
      </c>
      <c r="I162" s="3">
        <v>4</v>
      </c>
      <c r="J162" s="3">
        <v>4</v>
      </c>
      <c r="K162" s="3">
        <v>4</v>
      </c>
      <c r="L162" s="3">
        <v>4</v>
      </c>
      <c r="M162" s="3">
        <v>4</v>
      </c>
      <c r="N162" s="3">
        <v>4</v>
      </c>
      <c r="O162" s="3">
        <v>4</v>
      </c>
      <c r="P162" s="3">
        <v>4</v>
      </c>
      <c r="Q162" s="3">
        <v>4</v>
      </c>
    </row>
    <row r="163" spans="1:17" ht="18.75" customHeight="1" x14ac:dyDescent="0.25">
      <c r="A163" s="2">
        <v>43312</v>
      </c>
      <c r="B163" s="3">
        <v>4.5</v>
      </c>
      <c r="C163" s="3">
        <v>4.25</v>
      </c>
      <c r="D163" s="3">
        <v>4</v>
      </c>
      <c r="E163" s="3">
        <v>3.75</v>
      </c>
      <c r="F163" s="3">
        <v>3.75</v>
      </c>
      <c r="G163" s="3">
        <v>3.75</v>
      </c>
      <c r="H163" s="3">
        <v>3.75</v>
      </c>
      <c r="I163" s="3">
        <v>3.75</v>
      </c>
      <c r="J163" s="3">
        <v>3.75</v>
      </c>
      <c r="K163" s="3">
        <v>3.75</v>
      </c>
      <c r="L163" s="3">
        <v>3.75</v>
      </c>
      <c r="M163" s="3">
        <v>3.75</v>
      </c>
      <c r="N163" s="3">
        <v>3.75</v>
      </c>
      <c r="O163" s="3">
        <v>3.75</v>
      </c>
      <c r="P163" s="3">
        <v>3.75</v>
      </c>
      <c r="Q163" s="3">
        <v>3.75</v>
      </c>
    </row>
    <row r="164" spans="1:17" ht="18.75" customHeight="1" x14ac:dyDescent="0.25">
      <c r="A164" s="2">
        <v>43343</v>
      </c>
      <c r="B164" s="3">
        <v>4.5</v>
      </c>
      <c r="C164" s="3">
        <v>4.25</v>
      </c>
      <c r="D164" s="3">
        <v>4</v>
      </c>
      <c r="E164" s="3">
        <v>3.75</v>
      </c>
      <c r="F164" s="3">
        <v>3.75</v>
      </c>
      <c r="G164" s="3">
        <v>3.75</v>
      </c>
      <c r="H164" s="3">
        <v>3.75</v>
      </c>
      <c r="I164" s="3">
        <v>3.75</v>
      </c>
      <c r="J164" s="3">
        <v>3.75</v>
      </c>
      <c r="K164" s="3">
        <v>3.75</v>
      </c>
      <c r="L164" s="3">
        <v>3.75</v>
      </c>
      <c r="M164" s="3">
        <v>3.75</v>
      </c>
      <c r="N164" s="3">
        <v>3.75</v>
      </c>
      <c r="O164" s="3">
        <v>3.75</v>
      </c>
      <c r="P164" s="3">
        <v>3.75</v>
      </c>
      <c r="Q164" s="3">
        <v>3.75</v>
      </c>
    </row>
    <row r="165" spans="1:17" ht="18.75" customHeight="1" x14ac:dyDescent="0.25">
      <c r="A165" s="2">
        <v>43373</v>
      </c>
      <c r="B165" s="3">
        <v>4.5</v>
      </c>
      <c r="C165" s="3">
        <v>4.25</v>
      </c>
      <c r="D165" s="3">
        <v>4</v>
      </c>
      <c r="E165" s="3">
        <v>3.75</v>
      </c>
      <c r="F165" s="3">
        <v>3.75</v>
      </c>
      <c r="G165" s="3">
        <v>3.75</v>
      </c>
      <c r="H165" s="3">
        <v>3.75</v>
      </c>
      <c r="I165" s="3">
        <v>3.75</v>
      </c>
      <c r="J165" s="3">
        <v>3.75</v>
      </c>
      <c r="K165" s="3">
        <v>3.75</v>
      </c>
      <c r="L165" s="3">
        <v>3.75</v>
      </c>
      <c r="M165" s="3">
        <v>3.75</v>
      </c>
      <c r="N165" s="3">
        <v>3.75</v>
      </c>
      <c r="O165" s="3">
        <v>3.75</v>
      </c>
      <c r="P165" s="3">
        <v>3.75</v>
      </c>
      <c r="Q165" s="3">
        <v>3.75</v>
      </c>
    </row>
    <row r="166" spans="1:17" ht="18.75" customHeight="1" x14ac:dyDescent="0.25">
      <c r="A166" s="2">
        <v>43404</v>
      </c>
      <c r="B166" s="3">
        <v>4.5</v>
      </c>
      <c r="C166" s="3">
        <v>4.25</v>
      </c>
      <c r="D166" s="3">
        <v>4</v>
      </c>
      <c r="E166" s="3">
        <v>3.75</v>
      </c>
      <c r="F166" s="3">
        <v>3.75</v>
      </c>
      <c r="G166" s="3">
        <v>3.75</v>
      </c>
      <c r="H166" s="3">
        <v>3.75</v>
      </c>
      <c r="I166" s="3">
        <v>3.75</v>
      </c>
      <c r="J166" s="3">
        <v>3.75</v>
      </c>
      <c r="K166" s="3">
        <v>3.75</v>
      </c>
      <c r="L166" s="3">
        <v>3.75</v>
      </c>
      <c r="M166" s="3">
        <v>3.75</v>
      </c>
      <c r="N166" s="3">
        <v>3.75</v>
      </c>
      <c r="O166" s="3">
        <v>3.75</v>
      </c>
      <c r="P166" s="3">
        <v>3.75</v>
      </c>
      <c r="Q166" s="3">
        <v>3.75</v>
      </c>
    </row>
    <row r="167" spans="1:17" ht="18.75" customHeight="1" x14ac:dyDescent="0.25">
      <c r="A167" s="2">
        <v>43434</v>
      </c>
      <c r="B167" s="3">
        <v>4.5</v>
      </c>
      <c r="C167" s="3">
        <v>4.25</v>
      </c>
      <c r="D167" s="3">
        <v>4</v>
      </c>
      <c r="E167" s="3">
        <v>3.75</v>
      </c>
      <c r="F167" s="3">
        <v>3.75</v>
      </c>
      <c r="G167" s="3">
        <v>3.75</v>
      </c>
      <c r="H167" s="3">
        <v>3.75</v>
      </c>
      <c r="I167" s="3">
        <v>3.75</v>
      </c>
      <c r="J167" s="3">
        <v>3.75</v>
      </c>
      <c r="K167" s="3">
        <v>3.75</v>
      </c>
      <c r="L167" s="3">
        <v>3.75</v>
      </c>
      <c r="M167" s="3">
        <v>3.75</v>
      </c>
      <c r="N167" s="3">
        <v>3.75</v>
      </c>
      <c r="O167" s="3">
        <v>3.75</v>
      </c>
      <c r="P167" s="3">
        <v>3.75</v>
      </c>
      <c r="Q167" s="3">
        <v>3.75</v>
      </c>
    </row>
    <row r="168" spans="1:17" ht="18.75" customHeight="1" x14ac:dyDescent="0.25">
      <c r="A168" s="2">
        <v>43465</v>
      </c>
      <c r="B168" s="3">
        <v>4.5</v>
      </c>
      <c r="C168" s="3">
        <v>4.25</v>
      </c>
      <c r="D168" s="3">
        <v>4</v>
      </c>
      <c r="E168" s="3">
        <v>3.75</v>
      </c>
      <c r="F168" s="3">
        <v>3.75</v>
      </c>
      <c r="G168" s="3">
        <v>3.75</v>
      </c>
      <c r="H168" s="3">
        <v>3.75</v>
      </c>
      <c r="I168" s="3">
        <v>3.75</v>
      </c>
      <c r="J168" s="3">
        <v>3.75</v>
      </c>
      <c r="K168" s="3">
        <v>3.75</v>
      </c>
      <c r="L168" s="3">
        <v>3.75</v>
      </c>
      <c r="M168" s="3">
        <v>3.75</v>
      </c>
      <c r="N168" s="3">
        <v>3.75</v>
      </c>
      <c r="O168" s="3">
        <v>3.75</v>
      </c>
      <c r="P168" s="3">
        <v>3.75</v>
      </c>
      <c r="Q168" s="3">
        <v>3.75</v>
      </c>
    </row>
    <row r="169" spans="1:17" ht="18.75" customHeight="1" x14ac:dyDescent="0.25">
      <c r="A169" s="2">
        <v>43496</v>
      </c>
      <c r="B169" s="3">
        <v>4.25</v>
      </c>
      <c r="C169" s="3">
        <v>4</v>
      </c>
      <c r="D169" s="3">
        <v>3.75</v>
      </c>
      <c r="E169" s="3">
        <v>3.75</v>
      </c>
      <c r="F169" s="3">
        <v>3.75</v>
      </c>
      <c r="G169" s="3">
        <v>3.75</v>
      </c>
      <c r="H169" s="3">
        <v>3.75</v>
      </c>
      <c r="I169" s="3">
        <v>3.75</v>
      </c>
      <c r="J169" s="3">
        <v>3.75</v>
      </c>
      <c r="K169" s="3">
        <v>3.75</v>
      </c>
      <c r="L169" s="3">
        <v>3.75</v>
      </c>
      <c r="M169" s="3">
        <v>3.75</v>
      </c>
      <c r="N169" s="3">
        <v>3.75</v>
      </c>
      <c r="O169" s="3">
        <v>3.75</v>
      </c>
      <c r="P169" s="3">
        <v>3.75</v>
      </c>
      <c r="Q169" s="3">
        <v>3.75</v>
      </c>
    </row>
    <row r="170" spans="1:17" ht="18.75" customHeight="1" x14ac:dyDescent="0.25">
      <c r="A170" s="2">
        <v>43524</v>
      </c>
      <c r="B170" s="3">
        <v>4.25</v>
      </c>
      <c r="C170" s="3">
        <v>4</v>
      </c>
      <c r="D170" s="3">
        <v>3.75</v>
      </c>
      <c r="E170" s="3">
        <v>3.75</v>
      </c>
      <c r="F170" s="3">
        <v>3.75</v>
      </c>
      <c r="G170" s="3">
        <v>3.75</v>
      </c>
      <c r="H170" s="3">
        <v>3.75</v>
      </c>
      <c r="I170" s="3">
        <v>3.75</v>
      </c>
      <c r="J170" s="3">
        <v>3.75</v>
      </c>
      <c r="K170" s="3">
        <v>3.75</v>
      </c>
      <c r="L170" s="3">
        <v>3.75</v>
      </c>
      <c r="M170" s="3">
        <v>3.75</v>
      </c>
      <c r="N170" s="3">
        <v>3.75</v>
      </c>
      <c r="O170" s="3">
        <v>3.75</v>
      </c>
      <c r="P170" s="3">
        <v>3.75</v>
      </c>
      <c r="Q170" s="3">
        <v>3.75</v>
      </c>
    </row>
    <row r="171" spans="1:17" ht="18.75" customHeight="1" x14ac:dyDescent="0.25">
      <c r="A171" s="2">
        <v>43555</v>
      </c>
      <c r="B171" s="3">
        <v>4.25</v>
      </c>
      <c r="C171" s="3">
        <v>4</v>
      </c>
      <c r="D171" s="3">
        <v>3.75</v>
      </c>
      <c r="E171" s="3">
        <v>3.75</v>
      </c>
      <c r="F171" s="3">
        <v>3.75</v>
      </c>
      <c r="G171" s="3">
        <v>3.75</v>
      </c>
      <c r="H171" s="3">
        <v>3.75</v>
      </c>
      <c r="I171" s="3">
        <v>3.75</v>
      </c>
      <c r="J171" s="3">
        <v>3.75</v>
      </c>
      <c r="K171" s="3">
        <v>3.75</v>
      </c>
      <c r="L171" s="3">
        <v>3.75</v>
      </c>
      <c r="M171" s="3">
        <v>3.75</v>
      </c>
      <c r="N171" s="3">
        <v>3.75</v>
      </c>
      <c r="O171" s="3">
        <v>3.75</v>
      </c>
      <c r="P171" s="3">
        <v>3.75</v>
      </c>
      <c r="Q171" s="3">
        <v>3.75</v>
      </c>
    </row>
    <row r="172" spans="1:17" ht="18.75" customHeight="1" x14ac:dyDescent="0.25">
      <c r="A172" s="2">
        <v>43585</v>
      </c>
      <c r="B172" s="3">
        <v>4.25</v>
      </c>
      <c r="C172" s="3">
        <v>4</v>
      </c>
      <c r="D172" s="3">
        <v>3.75</v>
      </c>
      <c r="E172" s="3">
        <v>3.75</v>
      </c>
      <c r="F172" s="3">
        <v>3.75</v>
      </c>
      <c r="G172" s="3">
        <v>3.75</v>
      </c>
      <c r="H172" s="3">
        <v>3.75</v>
      </c>
      <c r="I172" s="3">
        <v>3.75</v>
      </c>
      <c r="J172" s="3">
        <v>3.75</v>
      </c>
      <c r="K172" s="3">
        <v>3.75</v>
      </c>
      <c r="L172" s="3">
        <v>3.75</v>
      </c>
      <c r="M172" s="3">
        <v>3.75</v>
      </c>
      <c r="N172" s="3">
        <v>3.75</v>
      </c>
      <c r="O172" s="3">
        <v>3.75</v>
      </c>
      <c r="P172" s="3">
        <v>3.75</v>
      </c>
      <c r="Q172" s="3">
        <v>3.75</v>
      </c>
    </row>
    <row r="173" spans="1:17" ht="18.75" customHeight="1" x14ac:dyDescent="0.25">
      <c r="A173" s="2">
        <v>43616</v>
      </c>
      <c r="B173" s="3">
        <v>4.25</v>
      </c>
      <c r="C173" s="3">
        <v>4</v>
      </c>
      <c r="D173" s="3">
        <v>3.75</v>
      </c>
      <c r="E173" s="3">
        <v>3.75</v>
      </c>
      <c r="F173" s="3">
        <v>3.75</v>
      </c>
      <c r="G173" s="3">
        <v>3.75</v>
      </c>
      <c r="H173" s="3">
        <v>3.75</v>
      </c>
      <c r="I173" s="3">
        <v>3.75</v>
      </c>
      <c r="J173" s="3">
        <v>3.75</v>
      </c>
      <c r="K173" s="3">
        <v>3.75</v>
      </c>
      <c r="L173" s="3">
        <v>3.75</v>
      </c>
      <c r="M173" s="3">
        <v>3.75</v>
      </c>
      <c r="N173" s="3">
        <v>3.75</v>
      </c>
      <c r="O173" s="3">
        <v>3.75</v>
      </c>
      <c r="P173" s="3">
        <v>3.75</v>
      </c>
      <c r="Q173" s="3">
        <v>3.75</v>
      </c>
    </row>
    <row r="174" spans="1:17" ht="18.75" customHeight="1" x14ac:dyDescent="0.25">
      <c r="A174" s="2">
        <v>43646</v>
      </c>
      <c r="B174" s="3">
        <v>4.25</v>
      </c>
      <c r="C174" s="3">
        <v>4</v>
      </c>
      <c r="D174" s="3">
        <v>3.75</v>
      </c>
      <c r="E174" s="3">
        <v>3.75</v>
      </c>
      <c r="F174" s="3">
        <v>3.75</v>
      </c>
      <c r="G174" s="3">
        <v>3.75</v>
      </c>
      <c r="H174" s="3">
        <v>3.75</v>
      </c>
      <c r="I174" s="3">
        <v>3.75</v>
      </c>
      <c r="J174" s="3">
        <v>3.75</v>
      </c>
      <c r="K174" s="3">
        <v>3.75</v>
      </c>
      <c r="L174" s="3">
        <v>3.75</v>
      </c>
      <c r="M174" s="3">
        <v>3.75</v>
      </c>
      <c r="N174" s="3">
        <v>3.75</v>
      </c>
      <c r="O174" s="3">
        <v>3.75</v>
      </c>
      <c r="P174" s="3">
        <v>3.75</v>
      </c>
      <c r="Q174" s="3">
        <v>3.75</v>
      </c>
    </row>
    <row r="175" spans="1:17" ht="18.75" customHeight="1" x14ac:dyDescent="0.25">
      <c r="A175" s="2">
        <v>43677</v>
      </c>
      <c r="B175" s="3">
        <v>4.25</v>
      </c>
      <c r="C175" s="3">
        <v>4</v>
      </c>
      <c r="D175" s="3">
        <v>3.75</v>
      </c>
      <c r="E175" s="3">
        <v>3.5</v>
      </c>
      <c r="F175" s="3">
        <v>3.5</v>
      </c>
      <c r="G175" s="3">
        <v>3.5</v>
      </c>
      <c r="H175" s="3">
        <v>3.5</v>
      </c>
      <c r="I175" s="3">
        <v>3.5</v>
      </c>
      <c r="J175" s="3">
        <v>3.5</v>
      </c>
      <c r="K175" s="3">
        <v>3.5</v>
      </c>
      <c r="L175" s="3">
        <v>3.5</v>
      </c>
      <c r="M175" s="3">
        <v>3.5</v>
      </c>
      <c r="N175" s="3">
        <v>3.5</v>
      </c>
      <c r="O175" s="3">
        <v>3.5</v>
      </c>
      <c r="P175" s="3">
        <v>3.5</v>
      </c>
      <c r="Q175" s="3">
        <v>3.5</v>
      </c>
    </row>
    <row r="176" spans="1:17" ht="18.75" customHeight="1" x14ac:dyDescent="0.25">
      <c r="A176" s="2">
        <v>43708</v>
      </c>
      <c r="B176" s="3">
        <v>4.25</v>
      </c>
      <c r="C176" s="3">
        <v>4</v>
      </c>
      <c r="D176" s="3">
        <v>3.75</v>
      </c>
      <c r="E176" s="3">
        <v>3.5</v>
      </c>
      <c r="F176" s="3">
        <v>3.5</v>
      </c>
      <c r="G176" s="3">
        <v>3.5</v>
      </c>
      <c r="H176" s="3">
        <v>3.5</v>
      </c>
      <c r="I176" s="3">
        <v>3.5</v>
      </c>
      <c r="J176" s="3">
        <v>3.5</v>
      </c>
      <c r="K176" s="3">
        <v>3.5</v>
      </c>
      <c r="L176" s="3">
        <v>3.5</v>
      </c>
      <c r="M176" s="3">
        <v>3.5</v>
      </c>
      <c r="N176" s="3">
        <v>3.5</v>
      </c>
      <c r="O176" s="3">
        <v>3.5</v>
      </c>
      <c r="P176" s="3">
        <v>3.5</v>
      </c>
      <c r="Q176" s="3">
        <v>3.5</v>
      </c>
    </row>
    <row r="177" spans="1:17" ht="18.75" customHeight="1" x14ac:dyDescent="0.25">
      <c r="A177" s="2">
        <v>43738</v>
      </c>
      <c r="B177" s="3">
        <v>4.25</v>
      </c>
      <c r="C177" s="3">
        <v>4</v>
      </c>
      <c r="D177" s="3">
        <v>3.75</v>
      </c>
      <c r="E177" s="3">
        <v>3.5</v>
      </c>
      <c r="F177" s="3">
        <v>3.5</v>
      </c>
      <c r="G177" s="3">
        <v>3.5</v>
      </c>
      <c r="H177" s="3">
        <v>3.5</v>
      </c>
      <c r="I177" s="3">
        <v>3.5</v>
      </c>
      <c r="J177" s="3">
        <v>3.5</v>
      </c>
      <c r="K177" s="3">
        <v>3.5</v>
      </c>
      <c r="L177" s="3">
        <v>3.5</v>
      </c>
      <c r="M177" s="3">
        <v>3.5</v>
      </c>
      <c r="N177" s="3">
        <v>3.5</v>
      </c>
      <c r="O177" s="3">
        <v>3.5</v>
      </c>
      <c r="P177" s="3">
        <v>3.5</v>
      </c>
      <c r="Q177" s="3">
        <v>3.5</v>
      </c>
    </row>
    <row r="178" spans="1:17" ht="18.75" customHeight="1" x14ac:dyDescent="0.25">
      <c r="A178" s="2">
        <v>43769</v>
      </c>
      <c r="B178" s="3">
        <v>4.25</v>
      </c>
      <c r="C178" s="3">
        <v>4</v>
      </c>
      <c r="D178" s="3">
        <v>3.75</v>
      </c>
      <c r="E178" s="3">
        <v>3.5</v>
      </c>
      <c r="F178" s="3">
        <v>3.5</v>
      </c>
      <c r="G178" s="3">
        <v>3.5</v>
      </c>
      <c r="H178" s="3">
        <v>3.5</v>
      </c>
      <c r="I178" s="3">
        <v>3.5</v>
      </c>
      <c r="J178" s="3">
        <v>3.5</v>
      </c>
      <c r="K178" s="3">
        <v>3.5</v>
      </c>
      <c r="L178" s="3">
        <v>3.5</v>
      </c>
      <c r="M178" s="3">
        <v>3.5</v>
      </c>
      <c r="N178" s="3">
        <v>3.5</v>
      </c>
      <c r="O178" s="3">
        <v>3.5</v>
      </c>
      <c r="P178" s="3">
        <v>3.5</v>
      </c>
      <c r="Q178" s="3">
        <v>3.5</v>
      </c>
    </row>
    <row r="179" spans="1:17" ht="18.75" customHeight="1" x14ac:dyDescent="0.25">
      <c r="A179" s="2">
        <v>43799</v>
      </c>
      <c r="B179" s="3">
        <v>4.25</v>
      </c>
      <c r="C179" s="3">
        <v>4</v>
      </c>
      <c r="D179" s="3">
        <v>3.75</v>
      </c>
      <c r="E179" s="3">
        <v>3.5</v>
      </c>
      <c r="F179" s="3">
        <v>3.5</v>
      </c>
      <c r="G179" s="3">
        <v>3.5</v>
      </c>
      <c r="H179" s="3">
        <v>3.5</v>
      </c>
      <c r="I179" s="3">
        <v>3.5</v>
      </c>
      <c r="J179" s="3">
        <v>3.5</v>
      </c>
      <c r="K179" s="3">
        <v>3.5</v>
      </c>
      <c r="L179" s="3">
        <v>3.5</v>
      </c>
      <c r="M179" s="3">
        <v>3.5</v>
      </c>
      <c r="N179" s="3">
        <v>3.5</v>
      </c>
      <c r="O179" s="3">
        <v>3.5</v>
      </c>
      <c r="P179" s="3">
        <v>3.5</v>
      </c>
      <c r="Q179" s="3">
        <v>3.5</v>
      </c>
    </row>
    <row r="180" spans="1:17" ht="18.75" customHeight="1" x14ac:dyDescent="0.25">
      <c r="A180" s="2">
        <v>43830</v>
      </c>
      <c r="B180" s="3">
        <v>4.25</v>
      </c>
      <c r="C180" s="3">
        <v>4</v>
      </c>
      <c r="D180" s="3">
        <v>3.75</v>
      </c>
      <c r="E180" s="3">
        <v>3.5</v>
      </c>
      <c r="F180" s="3">
        <v>3.5</v>
      </c>
      <c r="G180" s="3">
        <v>3.5</v>
      </c>
      <c r="H180" s="3">
        <v>3.5</v>
      </c>
      <c r="I180" s="3">
        <v>3.5</v>
      </c>
      <c r="J180" s="3">
        <v>3.5</v>
      </c>
      <c r="K180" s="3">
        <v>3.5</v>
      </c>
      <c r="L180" s="3">
        <v>3.5</v>
      </c>
      <c r="M180" s="3">
        <v>3.5</v>
      </c>
      <c r="N180" s="3">
        <v>3.5</v>
      </c>
      <c r="O180" s="3">
        <v>3.5</v>
      </c>
      <c r="P180" s="3">
        <v>3.5</v>
      </c>
      <c r="Q180" s="3">
        <v>3.5</v>
      </c>
    </row>
    <row r="181" spans="1:17" ht="18.75" customHeight="1" x14ac:dyDescent="0.25">
      <c r="A181" s="2">
        <v>43861</v>
      </c>
      <c r="B181" s="3">
        <v>4</v>
      </c>
      <c r="C181" s="3">
        <v>3.75</v>
      </c>
      <c r="D181" s="3">
        <v>3.5</v>
      </c>
      <c r="E181" s="3">
        <v>3.5</v>
      </c>
      <c r="F181" s="3">
        <v>3.5</v>
      </c>
      <c r="G181" s="3">
        <v>3.5</v>
      </c>
      <c r="H181" s="3">
        <v>3.5</v>
      </c>
      <c r="I181" s="3">
        <v>3.5</v>
      </c>
      <c r="J181" s="3">
        <v>3.5</v>
      </c>
      <c r="K181" s="3">
        <v>3.5</v>
      </c>
      <c r="L181" s="3">
        <v>3.5</v>
      </c>
      <c r="M181" s="3">
        <v>3.5</v>
      </c>
      <c r="N181" s="3">
        <v>3.5</v>
      </c>
      <c r="O181" s="3">
        <v>3.5</v>
      </c>
      <c r="P181" s="3">
        <v>3.5</v>
      </c>
      <c r="Q181" s="3">
        <v>3.5</v>
      </c>
    </row>
    <row r="182" spans="1:17" ht="18.75" customHeight="1" x14ac:dyDescent="0.25">
      <c r="A182" s="2">
        <v>43890</v>
      </c>
      <c r="B182" s="3">
        <v>4</v>
      </c>
      <c r="C182" s="3">
        <v>3.75</v>
      </c>
      <c r="D182" s="3">
        <v>3.5</v>
      </c>
      <c r="E182" s="3">
        <v>3.5</v>
      </c>
      <c r="F182" s="3">
        <v>3.5</v>
      </c>
      <c r="G182" s="3">
        <v>3.5</v>
      </c>
      <c r="H182" s="3">
        <v>3.5</v>
      </c>
      <c r="I182" s="3">
        <v>3.5</v>
      </c>
      <c r="J182" s="3">
        <v>3.5</v>
      </c>
      <c r="K182" s="3">
        <v>3.5</v>
      </c>
      <c r="L182" s="3">
        <v>3.5</v>
      </c>
      <c r="M182" s="3">
        <v>3.5</v>
      </c>
      <c r="N182" s="3">
        <v>3.5</v>
      </c>
      <c r="O182" s="3">
        <v>3.5</v>
      </c>
      <c r="P182" s="3">
        <v>3.5</v>
      </c>
      <c r="Q182" s="3">
        <v>3.5</v>
      </c>
    </row>
    <row r="183" spans="1:17" ht="18.75" customHeight="1" x14ac:dyDescent="0.25">
      <c r="A183" s="2">
        <v>43921</v>
      </c>
      <c r="B183" s="3">
        <v>4</v>
      </c>
      <c r="C183" s="3">
        <v>3.75</v>
      </c>
      <c r="D183" s="3">
        <v>3.5</v>
      </c>
      <c r="E183" s="3">
        <v>3.5</v>
      </c>
      <c r="F183" s="3">
        <v>3.5</v>
      </c>
      <c r="G183" s="3">
        <v>3.5</v>
      </c>
      <c r="H183" s="3">
        <v>3.5</v>
      </c>
      <c r="I183" s="3">
        <v>3.5</v>
      </c>
      <c r="J183" s="3">
        <v>3.5</v>
      </c>
      <c r="K183" s="3">
        <v>3.5</v>
      </c>
      <c r="L183" s="3">
        <v>3.5</v>
      </c>
      <c r="M183" s="3">
        <v>3.5</v>
      </c>
      <c r="N183" s="3">
        <v>3.5</v>
      </c>
      <c r="O183" s="3">
        <v>3.5</v>
      </c>
      <c r="P183" s="3">
        <v>3.5</v>
      </c>
      <c r="Q183" s="3">
        <v>3.5</v>
      </c>
    </row>
    <row r="184" spans="1:17" ht="18.75" customHeight="1" x14ac:dyDescent="0.25">
      <c r="A184" s="2">
        <v>43951</v>
      </c>
      <c r="B184" s="3">
        <v>4</v>
      </c>
      <c r="C184" s="3">
        <v>3.75</v>
      </c>
      <c r="D184" s="3">
        <v>3.5</v>
      </c>
      <c r="E184" s="3">
        <v>3.5</v>
      </c>
      <c r="F184" s="3">
        <v>3.5</v>
      </c>
      <c r="G184" s="3">
        <v>3.5</v>
      </c>
      <c r="H184" s="3">
        <v>3.5</v>
      </c>
      <c r="I184" s="3">
        <v>3.5</v>
      </c>
      <c r="J184" s="3">
        <v>3.5</v>
      </c>
      <c r="K184" s="3">
        <v>3.5</v>
      </c>
      <c r="L184" s="3">
        <v>3.5</v>
      </c>
      <c r="M184" s="3">
        <v>3.5</v>
      </c>
      <c r="N184" s="3">
        <v>3.5</v>
      </c>
      <c r="O184" s="3">
        <v>3.5</v>
      </c>
      <c r="P184" s="3">
        <v>3.5</v>
      </c>
      <c r="Q184" s="3">
        <v>3.5</v>
      </c>
    </row>
    <row r="185" spans="1:17" ht="18.75" customHeight="1" x14ac:dyDescent="0.25">
      <c r="A185" s="2">
        <v>43982</v>
      </c>
      <c r="B185" s="3">
        <v>4</v>
      </c>
      <c r="C185" s="3">
        <v>3.75</v>
      </c>
      <c r="D185" s="3">
        <v>3.5</v>
      </c>
      <c r="E185" s="3">
        <v>3.5</v>
      </c>
      <c r="F185" s="3">
        <v>3.5</v>
      </c>
      <c r="G185" s="3">
        <v>3.5</v>
      </c>
      <c r="H185" s="3">
        <v>3.5</v>
      </c>
      <c r="I185" s="3">
        <v>3.5</v>
      </c>
      <c r="J185" s="3">
        <v>3.5</v>
      </c>
      <c r="K185" s="3">
        <v>3.5</v>
      </c>
      <c r="L185" s="3">
        <v>3.5</v>
      </c>
      <c r="M185" s="3">
        <v>3.5</v>
      </c>
      <c r="N185" s="3">
        <v>3.5</v>
      </c>
      <c r="O185" s="3">
        <v>3.5</v>
      </c>
      <c r="P185" s="3">
        <v>3.5</v>
      </c>
      <c r="Q185" s="3">
        <v>3.5</v>
      </c>
    </row>
    <row r="186" spans="1:17" ht="18.75" customHeight="1" x14ac:dyDescent="0.25">
      <c r="A186" s="2">
        <v>44012</v>
      </c>
      <c r="B186" s="3">
        <v>4</v>
      </c>
      <c r="C186" s="3">
        <v>3.75</v>
      </c>
      <c r="D186" s="3">
        <v>3.5</v>
      </c>
      <c r="E186" s="3">
        <v>3.5</v>
      </c>
      <c r="F186" s="3">
        <v>3.5</v>
      </c>
      <c r="G186" s="3">
        <v>3.5</v>
      </c>
      <c r="H186" s="3">
        <v>3.5</v>
      </c>
      <c r="I186" s="3">
        <v>3.5</v>
      </c>
      <c r="J186" s="3">
        <v>3.5</v>
      </c>
      <c r="K186" s="3">
        <v>3.5</v>
      </c>
      <c r="L186" s="3">
        <v>3.5</v>
      </c>
      <c r="M186" s="3">
        <v>3.5</v>
      </c>
      <c r="N186" s="3">
        <v>3.5</v>
      </c>
      <c r="O186" s="3">
        <v>3.5</v>
      </c>
      <c r="P186" s="3">
        <v>3.5</v>
      </c>
      <c r="Q186" s="3">
        <v>3.5</v>
      </c>
    </row>
    <row r="187" spans="1:17" ht="18.75" customHeight="1" x14ac:dyDescent="0.25">
      <c r="A187" s="2">
        <v>44043</v>
      </c>
      <c r="B187" s="3">
        <v>4</v>
      </c>
      <c r="C187" s="3">
        <v>3.75</v>
      </c>
      <c r="D187" s="3">
        <v>3.5</v>
      </c>
      <c r="E187" s="3">
        <v>3.25</v>
      </c>
      <c r="F187" s="3">
        <v>3.25</v>
      </c>
      <c r="G187" s="3">
        <v>3.25</v>
      </c>
      <c r="H187" s="3">
        <v>3.25</v>
      </c>
      <c r="I187" s="3">
        <v>3.25</v>
      </c>
      <c r="J187" s="3">
        <v>3.25</v>
      </c>
      <c r="K187" s="3">
        <v>3.25</v>
      </c>
      <c r="L187" s="3">
        <v>3.25</v>
      </c>
      <c r="M187" s="3">
        <v>3.25</v>
      </c>
      <c r="N187" s="3">
        <v>3.25</v>
      </c>
      <c r="O187" s="3">
        <v>3.25</v>
      </c>
      <c r="P187" s="3">
        <v>3.25</v>
      </c>
      <c r="Q187" s="3">
        <v>3.25</v>
      </c>
    </row>
    <row r="188" spans="1:17" ht="18.75" customHeight="1" x14ac:dyDescent="0.25">
      <c r="A188" s="2">
        <v>44074</v>
      </c>
      <c r="B188" s="3">
        <v>4</v>
      </c>
      <c r="C188" s="3">
        <v>3.75</v>
      </c>
      <c r="D188" s="3">
        <v>3.5</v>
      </c>
      <c r="E188" s="3">
        <v>3.25</v>
      </c>
      <c r="F188" s="3">
        <v>3.25</v>
      </c>
      <c r="G188" s="3">
        <v>3.25</v>
      </c>
      <c r="H188" s="3">
        <v>3.25</v>
      </c>
      <c r="I188" s="3">
        <v>3.25</v>
      </c>
      <c r="J188" s="3">
        <v>3.25</v>
      </c>
      <c r="K188" s="3">
        <v>3.25</v>
      </c>
      <c r="L188" s="3">
        <v>3.25</v>
      </c>
      <c r="M188" s="3">
        <v>3.25</v>
      </c>
      <c r="N188" s="3">
        <v>3.25</v>
      </c>
      <c r="O188" s="3">
        <v>3.25</v>
      </c>
      <c r="P188" s="3">
        <v>3.25</v>
      </c>
      <c r="Q188" s="3">
        <v>3.25</v>
      </c>
    </row>
    <row r="189" spans="1:17" ht="18.75" customHeight="1" x14ac:dyDescent="0.25">
      <c r="A189" s="2">
        <v>44104</v>
      </c>
      <c r="B189" s="3">
        <v>4</v>
      </c>
      <c r="C189" s="3">
        <v>3.75</v>
      </c>
      <c r="D189" s="3">
        <v>3.5</v>
      </c>
      <c r="E189" s="3">
        <v>3.25</v>
      </c>
      <c r="F189" s="3">
        <v>3.25</v>
      </c>
      <c r="G189" s="3">
        <v>3.25</v>
      </c>
      <c r="H189" s="3">
        <v>3.25</v>
      </c>
      <c r="I189" s="3">
        <v>3.25</v>
      </c>
      <c r="J189" s="3">
        <v>3.25</v>
      </c>
      <c r="K189" s="3">
        <v>3.25</v>
      </c>
      <c r="L189" s="3">
        <v>3.25</v>
      </c>
      <c r="M189" s="3">
        <v>3.25</v>
      </c>
      <c r="N189" s="3">
        <v>3.25</v>
      </c>
      <c r="O189" s="3">
        <v>3.25</v>
      </c>
      <c r="P189" s="3">
        <v>3.25</v>
      </c>
      <c r="Q189" s="3">
        <v>3.25</v>
      </c>
    </row>
    <row r="190" spans="1:17" ht="18.75" customHeight="1" x14ac:dyDescent="0.25">
      <c r="A190" s="2">
        <v>44135</v>
      </c>
      <c r="B190" s="3">
        <v>4</v>
      </c>
      <c r="C190" s="3">
        <v>3.75</v>
      </c>
      <c r="D190" s="3">
        <v>3.5</v>
      </c>
      <c r="E190" s="3">
        <v>3.25</v>
      </c>
      <c r="F190" s="3">
        <v>3.25</v>
      </c>
      <c r="G190" s="3">
        <v>3.25</v>
      </c>
      <c r="H190" s="3">
        <v>3.25</v>
      </c>
      <c r="I190" s="3">
        <v>3.25</v>
      </c>
      <c r="J190" s="3">
        <v>3.25</v>
      </c>
      <c r="K190" s="3">
        <v>3.25</v>
      </c>
      <c r="L190" s="3">
        <v>3.25</v>
      </c>
      <c r="M190" s="3">
        <v>3.25</v>
      </c>
      <c r="N190" s="3">
        <v>3.25</v>
      </c>
      <c r="O190" s="3">
        <v>3.25</v>
      </c>
      <c r="P190" s="3">
        <v>3.25</v>
      </c>
      <c r="Q190" s="3">
        <v>3.25</v>
      </c>
    </row>
    <row r="191" spans="1:17" ht="18.75" customHeight="1" x14ac:dyDescent="0.25">
      <c r="A191" s="2">
        <v>44165</v>
      </c>
      <c r="B191" s="3">
        <v>4</v>
      </c>
      <c r="C191" s="3">
        <v>3.75</v>
      </c>
      <c r="D191" s="3">
        <v>3.5</v>
      </c>
      <c r="E191" s="3">
        <v>3.25</v>
      </c>
      <c r="F191" s="3">
        <v>3.25</v>
      </c>
      <c r="G191" s="3">
        <v>3.25</v>
      </c>
      <c r="H191" s="3">
        <v>3.25</v>
      </c>
      <c r="I191" s="3">
        <v>3.25</v>
      </c>
      <c r="J191" s="3">
        <v>3.25</v>
      </c>
      <c r="K191" s="3">
        <v>3.25</v>
      </c>
      <c r="L191" s="3">
        <v>3.25</v>
      </c>
      <c r="M191" s="3">
        <v>3.25</v>
      </c>
      <c r="N191" s="3">
        <v>3.25</v>
      </c>
      <c r="O191" s="3">
        <v>3.25</v>
      </c>
      <c r="P191" s="3">
        <v>3.25</v>
      </c>
      <c r="Q191" s="3">
        <v>3.25</v>
      </c>
    </row>
    <row r="192" spans="1:17" ht="18.75" customHeight="1" x14ac:dyDescent="0.25">
      <c r="A192" s="2">
        <v>44196</v>
      </c>
      <c r="B192" s="3">
        <v>4</v>
      </c>
      <c r="C192" s="3">
        <v>3.75</v>
      </c>
      <c r="D192" s="3">
        <v>3.5</v>
      </c>
      <c r="E192" s="3">
        <v>3.25</v>
      </c>
      <c r="F192" s="3">
        <v>3.25</v>
      </c>
      <c r="G192" s="3">
        <v>3.25</v>
      </c>
      <c r="H192" s="3">
        <v>3.25</v>
      </c>
      <c r="I192" s="3">
        <v>3.25</v>
      </c>
      <c r="J192" s="3">
        <v>3.25</v>
      </c>
      <c r="K192" s="3">
        <v>3.25</v>
      </c>
      <c r="L192" s="3">
        <v>3.25</v>
      </c>
      <c r="M192" s="3">
        <v>3.25</v>
      </c>
      <c r="N192" s="3">
        <v>3.25</v>
      </c>
      <c r="O192" s="3">
        <v>3.25</v>
      </c>
      <c r="P192" s="3">
        <v>3.25</v>
      </c>
      <c r="Q192" s="3">
        <v>3.25</v>
      </c>
    </row>
    <row r="193" spans="1:17" ht="18.75" customHeight="1" x14ac:dyDescent="0.25">
      <c r="A193" s="2">
        <v>44227</v>
      </c>
      <c r="B193" s="3">
        <v>3.75</v>
      </c>
      <c r="C193" s="3">
        <v>3.5</v>
      </c>
      <c r="D193" s="3">
        <v>3.25</v>
      </c>
      <c r="E193" s="3">
        <v>3.25</v>
      </c>
      <c r="F193" s="3">
        <v>3.25</v>
      </c>
      <c r="G193" s="3">
        <v>3.25</v>
      </c>
      <c r="H193" s="3">
        <v>3.25</v>
      </c>
      <c r="I193" s="3">
        <v>3.25</v>
      </c>
      <c r="J193" s="3">
        <v>3.25</v>
      </c>
      <c r="K193" s="3">
        <v>3.25</v>
      </c>
      <c r="L193" s="3">
        <v>3.25</v>
      </c>
      <c r="M193" s="3">
        <v>3.25</v>
      </c>
      <c r="N193" s="3">
        <v>3.25</v>
      </c>
      <c r="O193" s="3">
        <v>3.25</v>
      </c>
      <c r="P193" s="3">
        <v>3.25</v>
      </c>
      <c r="Q193" s="3">
        <v>3.25</v>
      </c>
    </row>
    <row r="194" spans="1:17" ht="18.75" customHeight="1" x14ac:dyDescent="0.25">
      <c r="A194" s="2">
        <v>44255</v>
      </c>
      <c r="B194" s="3">
        <v>3.75</v>
      </c>
      <c r="C194" s="3">
        <v>3.5</v>
      </c>
      <c r="D194" s="3">
        <v>3.25</v>
      </c>
      <c r="E194" s="3">
        <v>3.25</v>
      </c>
      <c r="F194" s="3">
        <v>3.25</v>
      </c>
      <c r="G194" s="3">
        <v>3.25</v>
      </c>
      <c r="H194" s="3">
        <v>3.25</v>
      </c>
      <c r="I194" s="3">
        <v>3.25</v>
      </c>
      <c r="J194" s="3">
        <v>3.25</v>
      </c>
      <c r="K194" s="3">
        <v>3.25</v>
      </c>
      <c r="L194" s="3">
        <v>3.25</v>
      </c>
      <c r="M194" s="3">
        <v>3.25</v>
      </c>
      <c r="N194" s="3">
        <v>3.25</v>
      </c>
      <c r="O194" s="3">
        <v>3.25</v>
      </c>
      <c r="P194" s="3">
        <v>3.25</v>
      </c>
      <c r="Q194" s="3">
        <v>3.25</v>
      </c>
    </row>
    <row r="195" spans="1:17" ht="18.75" customHeight="1" x14ac:dyDescent="0.25">
      <c r="A195" s="2">
        <v>44286</v>
      </c>
      <c r="B195" s="3">
        <v>3.75</v>
      </c>
      <c r="C195" s="3">
        <v>3.5</v>
      </c>
      <c r="D195" s="3">
        <v>3.25</v>
      </c>
      <c r="E195" s="3">
        <v>3.25</v>
      </c>
      <c r="F195" s="3">
        <v>3.25</v>
      </c>
      <c r="G195" s="3">
        <v>3.25</v>
      </c>
      <c r="H195" s="3">
        <v>3.25</v>
      </c>
      <c r="I195" s="3">
        <v>3.25</v>
      </c>
      <c r="J195" s="3">
        <v>3.25</v>
      </c>
      <c r="K195" s="3">
        <v>3.25</v>
      </c>
      <c r="L195" s="3">
        <v>3.25</v>
      </c>
      <c r="M195" s="3">
        <v>3.25</v>
      </c>
      <c r="N195" s="3">
        <v>3.25</v>
      </c>
      <c r="O195" s="3">
        <v>3.25</v>
      </c>
      <c r="P195" s="3">
        <v>3.25</v>
      </c>
      <c r="Q195" s="3">
        <v>3.25</v>
      </c>
    </row>
    <row r="196" spans="1:17" ht="18.75" customHeight="1" x14ac:dyDescent="0.25">
      <c r="A196" s="2">
        <v>44316</v>
      </c>
      <c r="B196" s="3">
        <v>3.75</v>
      </c>
      <c r="C196" s="3">
        <v>3.5</v>
      </c>
      <c r="D196" s="3">
        <v>3.25</v>
      </c>
      <c r="E196" s="3">
        <v>3.25</v>
      </c>
      <c r="F196" s="3">
        <v>3.25</v>
      </c>
      <c r="G196" s="3">
        <v>3.25</v>
      </c>
      <c r="H196" s="3">
        <v>3.25</v>
      </c>
      <c r="I196" s="3">
        <v>3.25</v>
      </c>
      <c r="J196" s="3">
        <v>3.25</v>
      </c>
      <c r="K196" s="3">
        <v>3.25</v>
      </c>
      <c r="L196" s="3">
        <v>3.25</v>
      </c>
      <c r="M196" s="3">
        <v>3.25</v>
      </c>
      <c r="N196" s="3">
        <v>3.25</v>
      </c>
      <c r="O196" s="3">
        <v>3.25</v>
      </c>
      <c r="P196" s="3">
        <v>3.25</v>
      </c>
      <c r="Q196" s="3">
        <v>3.25</v>
      </c>
    </row>
    <row r="197" spans="1:17" ht="18.75" customHeight="1" x14ac:dyDescent="0.25">
      <c r="A197" s="2">
        <v>44347</v>
      </c>
      <c r="B197" s="3">
        <v>3.75</v>
      </c>
      <c r="C197" s="3">
        <v>3.5</v>
      </c>
      <c r="D197" s="3">
        <v>3.25</v>
      </c>
      <c r="E197" s="3">
        <v>3.25</v>
      </c>
      <c r="F197" s="3">
        <v>3.25</v>
      </c>
      <c r="G197" s="3">
        <v>3.25</v>
      </c>
      <c r="H197" s="3">
        <v>3.25</v>
      </c>
      <c r="I197" s="3">
        <v>3.25</v>
      </c>
      <c r="J197" s="3">
        <v>3.25</v>
      </c>
      <c r="K197" s="3">
        <v>3.25</v>
      </c>
      <c r="L197" s="3">
        <v>3.25</v>
      </c>
      <c r="M197" s="3">
        <v>3.25</v>
      </c>
      <c r="N197" s="3">
        <v>3.25</v>
      </c>
      <c r="O197" s="3">
        <v>3.25</v>
      </c>
      <c r="P197" s="3">
        <v>3.25</v>
      </c>
      <c r="Q197" s="3">
        <v>3.25</v>
      </c>
    </row>
    <row r="198" spans="1:17" ht="18.75" customHeight="1" x14ac:dyDescent="0.25">
      <c r="A198" s="2">
        <v>44377</v>
      </c>
      <c r="B198" s="3">
        <v>3.75</v>
      </c>
      <c r="C198" s="3">
        <v>3.5</v>
      </c>
      <c r="D198" s="3">
        <v>3.25</v>
      </c>
      <c r="E198" s="3">
        <v>3.25</v>
      </c>
      <c r="F198" s="3">
        <v>3.25</v>
      </c>
      <c r="G198" s="3">
        <v>3.25</v>
      </c>
      <c r="H198" s="3">
        <v>3.25</v>
      </c>
      <c r="I198" s="3">
        <v>3.25</v>
      </c>
      <c r="J198" s="3">
        <v>3.25</v>
      </c>
      <c r="K198" s="3">
        <v>3.25</v>
      </c>
      <c r="L198" s="3">
        <v>3.25</v>
      </c>
      <c r="M198" s="3">
        <v>3.25</v>
      </c>
      <c r="N198" s="3">
        <v>3.25</v>
      </c>
      <c r="O198" s="3">
        <v>3.25</v>
      </c>
      <c r="P198" s="3">
        <v>3.25</v>
      </c>
      <c r="Q198" s="3">
        <v>3.25</v>
      </c>
    </row>
    <row r="199" spans="1:17" ht="18.75" customHeight="1" x14ac:dyDescent="0.25">
      <c r="A199" s="2">
        <v>44408</v>
      </c>
      <c r="B199" s="3">
        <v>3.75</v>
      </c>
      <c r="C199" s="3">
        <v>3.5</v>
      </c>
      <c r="D199" s="3">
        <v>3.25</v>
      </c>
      <c r="E199" s="3">
        <v>3</v>
      </c>
      <c r="F199" s="3">
        <v>3</v>
      </c>
      <c r="G199" s="3">
        <v>3</v>
      </c>
      <c r="H199" s="3">
        <v>3</v>
      </c>
      <c r="I199" s="3">
        <v>3</v>
      </c>
      <c r="J199" s="3">
        <v>3</v>
      </c>
      <c r="K199" s="3">
        <v>3</v>
      </c>
      <c r="L199" s="3">
        <v>3</v>
      </c>
      <c r="M199" s="3">
        <v>3</v>
      </c>
      <c r="N199" s="3">
        <v>3</v>
      </c>
      <c r="O199" s="3">
        <v>3</v>
      </c>
      <c r="P199" s="3">
        <v>3</v>
      </c>
      <c r="Q199" s="3">
        <v>3</v>
      </c>
    </row>
    <row r="200" spans="1:17" ht="18.75" customHeight="1" x14ac:dyDescent="0.25">
      <c r="A200" s="2">
        <v>44439</v>
      </c>
      <c r="B200" s="3">
        <v>3.75</v>
      </c>
      <c r="C200" s="3">
        <v>3.5</v>
      </c>
      <c r="D200" s="3">
        <v>3.25</v>
      </c>
      <c r="E200" s="3">
        <v>3</v>
      </c>
      <c r="F200" s="3">
        <v>3</v>
      </c>
      <c r="G200" s="3">
        <v>3</v>
      </c>
      <c r="H200" s="3">
        <v>3</v>
      </c>
      <c r="I200" s="3">
        <v>3</v>
      </c>
      <c r="J200" s="3">
        <v>3</v>
      </c>
      <c r="K200" s="3">
        <v>3</v>
      </c>
      <c r="L200" s="3">
        <v>3</v>
      </c>
      <c r="M200" s="3">
        <v>3</v>
      </c>
      <c r="N200" s="3">
        <v>3</v>
      </c>
      <c r="O200" s="3">
        <v>3</v>
      </c>
      <c r="P200" s="3">
        <v>3</v>
      </c>
      <c r="Q200" s="3">
        <v>3</v>
      </c>
    </row>
    <row r="201" spans="1:17" ht="18.75" customHeight="1" x14ac:dyDescent="0.25">
      <c r="A201" s="2">
        <v>44469</v>
      </c>
      <c r="B201" s="3">
        <v>3.75</v>
      </c>
      <c r="C201" s="3">
        <v>3.5</v>
      </c>
      <c r="D201" s="3">
        <v>3.25</v>
      </c>
      <c r="E201" s="3">
        <v>3</v>
      </c>
      <c r="F201" s="3">
        <v>3</v>
      </c>
      <c r="G201" s="3">
        <v>3</v>
      </c>
      <c r="H201" s="3">
        <v>3</v>
      </c>
      <c r="I201" s="3">
        <v>3</v>
      </c>
      <c r="J201" s="3">
        <v>3</v>
      </c>
      <c r="K201" s="3">
        <v>3</v>
      </c>
      <c r="L201" s="3">
        <v>3</v>
      </c>
      <c r="M201" s="3">
        <v>3</v>
      </c>
      <c r="N201" s="3">
        <v>3</v>
      </c>
      <c r="O201" s="3">
        <v>3</v>
      </c>
      <c r="P201" s="3">
        <v>3</v>
      </c>
      <c r="Q201" s="3">
        <v>3</v>
      </c>
    </row>
    <row r="202" spans="1:17" ht="18.75" customHeight="1" x14ac:dyDescent="0.25">
      <c r="A202" s="2">
        <v>44500</v>
      </c>
      <c r="B202" s="3">
        <v>3.75</v>
      </c>
      <c r="C202" s="3">
        <v>3.5</v>
      </c>
      <c r="D202" s="3">
        <v>3.25</v>
      </c>
      <c r="E202" s="3">
        <v>3</v>
      </c>
      <c r="F202" s="3">
        <v>3</v>
      </c>
      <c r="G202" s="3">
        <v>3</v>
      </c>
      <c r="H202" s="3">
        <v>3</v>
      </c>
      <c r="I202" s="3">
        <v>3</v>
      </c>
      <c r="J202" s="3">
        <v>3</v>
      </c>
      <c r="K202" s="3">
        <v>3</v>
      </c>
      <c r="L202" s="3">
        <v>3</v>
      </c>
      <c r="M202" s="3">
        <v>3</v>
      </c>
      <c r="N202" s="3">
        <v>3</v>
      </c>
      <c r="O202" s="3">
        <v>3</v>
      </c>
      <c r="P202" s="3">
        <v>3</v>
      </c>
      <c r="Q202" s="3">
        <v>3</v>
      </c>
    </row>
    <row r="203" spans="1:17" ht="18.75" customHeight="1" x14ac:dyDescent="0.25">
      <c r="A203" s="2">
        <v>44530</v>
      </c>
      <c r="B203" s="3">
        <v>3.75</v>
      </c>
      <c r="C203" s="3">
        <v>3.5</v>
      </c>
      <c r="D203" s="3">
        <v>3.25</v>
      </c>
      <c r="E203" s="3">
        <v>3</v>
      </c>
      <c r="F203" s="3">
        <v>3</v>
      </c>
      <c r="G203" s="3">
        <v>3</v>
      </c>
      <c r="H203" s="3">
        <v>3</v>
      </c>
      <c r="I203" s="3">
        <v>3</v>
      </c>
      <c r="J203" s="3">
        <v>3</v>
      </c>
      <c r="K203" s="3">
        <v>3</v>
      </c>
      <c r="L203" s="3">
        <v>3</v>
      </c>
      <c r="M203" s="3">
        <v>3</v>
      </c>
      <c r="N203" s="3">
        <v>3</v>
      </c>
      <c r="O203" s="3">
        <v>3</v>
      </c>
      <c r="P203" s="3">
        <v>3</v>
      </c>
      <c r="Q203" s="3">
        <v>3</v>
      </c>
    </row>
    <row r="204" spans="1:17" ht="18.75" customHeight="1" x14ac:dyDescent="0.25">
      <c r="A204" s="2">
        <v>44561</v>
      </c>
      <c r="B204" s="3">
        <v>3.75</v>
      </c>
      <c r="C204" s="3">
        <v>3.5</v>
      </c>
      <c r="D204" s="3">
        <v>3.25</v>
      </c>
      <c r="E204" s="3">
        <v>3</v>
      </c>
      <c r="F204" s="3">
        <v>3</v>
      </c>
      <c r="G204" s="3">
        <v>3</v>
      </c>
      <c r="H204" s="3">
        <v>3</v>
      </c>
      <c r="I204" s="3">
        <v>3</v>
      </c>
      <c r="J204" s="3">
        <v>3</v>
      </c>
      <c r="K204" s="3">
        <v>3</v>
      </c>
      <c r="L204" s="3">
        <v>3</v>
      </c>
      <c r="M204" s="3">
        <v>3</v>
      </c>
      <c r="N204" s="3">
        <v>3</v>
      </c>
      <c r="O204" s="3">
        <v>3</v>
      </c>
      <c r="P204" s="3">
        <v>3</v>
      </c>
      <c r="Q204" s="3">
        <v>3</v>
      </c>
    </row>
    <row r="205" spans="1:17" ht="18.75" customHeight="1" x14ac:dyDescent="0.25">
      <c r="A205" s="2">
        <v>44592</v>
      </c>
      <c r="B205" s="3">
        <v>3.5</v>
      </c>
      <c r="C205" s="3">
        <v>3.25</v>
      </c>
      <c r="D205" s="3">
        <v>3</v>
      </c>
      <c r="E205" s="3">
        <v>3</v>
      </c>
      <c r="F205" s="3">
        <v>3</v>
      </c>
      <c r="G205" s="3">
        <v>3</v>
      </c>
      <c r="H205" s="3">
        <v>3</v>
      </c>
      <c r="I205" s="3">
        <v>3</v>
      </c>
      <c r="J205" s="3">
        <v>3</v>
      </c>
      <c r="K205" s="3">
        <v>3</v>
      </c>
      <c r="L205" s="3">
        <v>3</v>
      </c>
      <c r="M205" s="3">
        <v>3</v>
      </c>
      <c r="N205" s="3">
        <v>3</v>
      </c>
      <c r="O205" s="3">
        <v>3</v>
      </c>
      <c r="P205" s="3">
        <v>3</v>
      </c>
      <c r="Q205" s="3">
        <v>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8ECD-2525-4267-B302-D55B595B7479}">
  <dimension ref="A1:AF205"/>
  <sheetViews>
    <sheetView workbookViewId="0">
      <pane ySplit="1" topLeftCell="A179" activePane="bottomLeft" state="frozen"/>
      <selection activeCell="A2" sqref="A2"/>
      <selection pane="bottomLeft" activeCell="A205" sqref="A205"/>
    </sheetView>
  </sheetViews>
  <sheetFormatPr defaultColWidth="11.875" defaultRowHeight="18.75" customHeight="1" x14ac:dyDescent="0.25"/>
  <cols>
    <col min="1" max="16384" width="11.875" style="1"/>
  </cols>
  <sheetData>
    <row r="1" spans="1:32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32" ht="18.75" customHeight="1" x14ac:dyDescent="0.25">
      <c r="A2" s="2">
        <v>38411</v>
      </c>
      <c r="B2" s="3">
        <f>'Inflação Implícita'!B2-'Metas de Inflação'!B2</f>
        <v>2.8899999999999997</v>
      </c>
      <c r="C2" s="3">
        <f>'Inflação Implícita'!C2-'Metas de Inflação'!C2</f>
        <v>1.6577016020764264</v>
      </c>
      <c r="D2" s="3">
        <f>'Inflação Implícita'!D2-'Metas de Inflação'!D2</f>
        <v>0.91389836595438378</v>
      </c>
      <c r="E2" s="3">
        <f>'Inflação Implícita'!E2-'Metas de Inflação'!E2</f>
        <v>1.6971061971062058</v>
      </c>
      <c r="F2" s="3">
        <f>'Inflação Implícita'!F2-'Metas de Inflação'!F2</f>
        <v>1.7631434579866418</v>
      </c>
      <c r="G2" s="3">
        <f>'Inflação Implícita'!G2-'Metas de Inflação'!G2</f>
        <v>1.5875137312339733</v>
      </c>
      <c r="H2" s="3">
        <f>'Inflação Implícita'!H2-'Metas de Inflação'!H2</f>
        <v>1.124543462381304</v>
      </c>
      <c r="I2" s="3">
        <f>'Inflação Implícita'!I2-'Metas de Inflação'!I2</f>
        <v>1.0352575812933846</v>
      </c>
      <c r="J2" s="3">
        <f>'Inflação Implícita'!J2-'Metas de Inflação'!J2</f>
        <v>0.96368204659661849</v>
      </c>
      <c r="K2" s="3">
        <f>'Inflação Implícita'!K2-'Metas de Inflação'!K2</f>
        <v>0.96368204659661849</v>
      </c>
      <c r="L2" s="3">
        <f>'Inflação Implícita'!L2-'Metas de Inflação'!L2</f>
        <v>0.96368204659661849</v>
      </c>
      <c r="M2" s="3">
        <f>'Inflação Implícita'!M2-'Metas de Inflação'!M2</f>
        <v>0.96368204659661849</v>
      </c>
      <c r="N2" s="3">
        <f>'Inflação Implícita'!N2-'Metas de Inflação'!N2</f>
        <v>0.96368204659661849</v>
      </c>
      <c r="O2" s="3">
        <f>'Inflação Implícita'!O2-'Metas de Inflação'!O2</f>
        <v>0.96368204659661849</v>
      </c>
      <c r="P2" s="3">
        <f>'Inflação Implícita'!P2-'Metas de Inflação'!P2</f>
        <v>0.96368204659661849</v>
      </c>
      <c r="Q2" s="3">
        <f>'Inflação Implícita'!Q2-'Metas de Inflação'!Q2</f>
        <v>0.96368204659661849</v>
      </c>
    </row>
    <row r="3" spans="1:32" ht="18.75" customHeight="1" x14ac:dyDescent="0.25">
      <c r="A3" s="2">
        <v>38442</v>
      </c>
      <c r="B3" s="3">
        <f>'Inflação Implícita'!B3-'Metas de Inflação'!B3</f>
        <v>3.04</v>
      </c>
      <c r="C3" s="3">
        <f>'Inflação Implícita'!C3-'Metas de Inflação'!C3</f>
        <v>2.5024239159709012</v>
      </c>
      <c r="D3" s="3">
        <f>'Inflação Implícita'!D3-'Metas de Inflação'!D3</f>
        <v>2.3750564639985523</v>
      </c>
      <c r="E3" s="3">
        <f>'Inflação Implícita'!E3-'Metas de Inflação'!E3</f>
        <v>2.8166287015945297</v>
      </c>
      <c r="F3" s="3">
        <f>'Inflação Implícita'!F3-'Metas de Inflação'!F3</f>
        <v>3.0563289979849735</v>
      </c>
      <c r="G3" s="3">
        <f>'Inflação Implícita'!G3-'Metas de Inflação'!G3</f>
        <v>2.8414701293933904</v>
      </c>
      <c r="H3" s="3">
        <f>'Inflação Implícita'!H3-'Metas de Inflação'!H3</f>
        <v>2.5733944954128436</v>
      </c>
      <c r="I3" s="3">
        <f>'Inflação Implícita'!I3-'Metas de Inflação'!I3</f>
        <v>2.3990825688073354</v>
      </c>
      <c r="J3" s="3">
        <f>'Inflação Implícita'!J3-'Metas de Inflação'!J3</f>
        <v>2.2706422018348533</v>
      </c>
      <c r="K3" s="3">
        <f>'Inflação Implícita'!K3-'Metas de Inflação'!K3</f>
        <v>2.2706422018348533</v>
      </c>
      <c r="L3" s="3">
        <f>'Inflação Implícita'!L3-'Metas de Inflação'!L3</f>
        <v>2.2706422018348533</v>
      </c>
      <c r="M3" s="3">
        <f>'Inflação Implícita'!M3-'Metas de Inflação'!M3</f>
        <v>2.2706422018348533</v>
      </c>
      <c r="N3" s="3">
        <f>'Inflação Implícita'!N3-'Metas de Inflação'!N3</f>
        <v>2.2706422018348533</v>
      </c>
      <c r="O3" s="3">
        <f>'Inflação Implícita'!O3-'Metas de Inflação'!O3</f>
        <v>2.2706422018348533</v>
      </c>
      <c r="P3" s="3">
        <f>'Inflação Implícita'!P3-'Metas de Inflação'!P3</f>
        <v>2.2706422018348533</v>
      </c>
      <c r="Q3" s="3">
        <f>'Inflação Implícita'!Q3-'Metas de Inflação'!Q3</f>
        <v>2.2706422018348533</v>
      </c>
    </row>
    <row r="4" spans="1:32" ht="18.75" customHeight="1" x14ac:dyDescent="0.25">
      <c r="A4" s="2">
        <v>38472</v>
      </c>
      <c r="B4" s="3">
        <f>'Inflação Implícita'!B4-'Metas de Inflação'!B4</f>
        <v>3.5700000000000003</v>
      </c>
      <c r="C4" s="3">
        <f>'Inflação Implícita'!C4-'Metas de Inflação'!C4</f>
        <v>2.3029040064533586</v>
      </c>
      <c r="D4" s="3">
        <f>'Inflação Implícita'!D4-'Metas de Inflação'!D4</f>
        <v>2.0794223826714848</v>
      </c>
      <c r="E4" s="3">
        <f>'Inflação Implícita'!E4-'Metas de Inflação'!E4</f>
        <v>2.4288901028862648</v>
      </c>
      <c r="F4" s="3">
        <f>'Inflação Implícita'!F4-'Metas de Inflação'!F4</f>
        <v>2.5572082379862566</v>
      </c>
      <c r="G4" s="3">
        <f>'Inflação Implícita'!G4-'Metas de Inflação'!G4</f>
        <v>2.3744271310724026</v>
      </c>
      <c r="H4" s="3">
        <f>'Inflação Implícita'!H4-'Metas de Inflação'!H4</f>
        <v>2.2614678899082348</v>
      </c>
      <c r="I4" s="3">
        <f>'Inflação Implícita'!I4-'Metas de Inflação'!I4</f>
        <v>2.1146788990825822</v>
      </c>
      <c r="J4" s="3">
        <f>'Inflação Implícita'!J4-'Metas de Inflação'!J4</f>
        <v>2.0137614678899114</v>
      </c>
      <c r="K4" s="3">
        <f>'Inflação Implícita'!K4-'Metas de Inflação'!K4</f>
        <v>2.0137614678899114</v>
      </c>
      <c r="L4" s="3">
        <f>'Inflação Implícita'!L4-'Metas de Inflação'!L4</f>
        <v>2.0137614678899114</v>
      </c>
      <c r="M4" s="3">
        <f>'Inflação Implícita'!M4-'Metas de Inflação'!M4</f>
        <v>2.0137614678899114</v>
      </c>
      <c r="N4" s="3">
        <f>'Inflação Implícita'!N4-'Metas de Inflação'!N4</f>
        <v>2.0137614678899114</v>
      </c>
      <c r="O4" s="3">
        <f>'Inflação Implícita'!O4-'Metas de Inflação'!O4</f>
        <v>2.0137614678899114</v>
      </c>
      <c r="P4" s="3">
        <f>'Inflação Implícita'!P4-'Metas de Inflação'!P4</f>
        <v>2.0137614678899114</v>
      </c>
      <c r="Q4" s="3">
        <f>'Inflação Implícita'!Q4-'Metas de Inflação'!Q4</f>
        <v>2.0137614678899114</v>
      </c>
    </row>
    <row r="5" spans="1:32" ht="18.75" customHeight="1" x14ac:dyDescent="0.25">
      <c r="A5" s="2">
        <v>38503</v>
      </c>
      <c r="B5" s="3">
        <f>'Inflação Implícita'!B5-'Metas de Inflação'!B5</f>
        <v>3.5500000000000007</v>
      </c>
      <c r="C5" s="3">
        <f>'Inflação Implícita'!C5-'Metas de Inflação'!C5</f>
        <v>1.0229455709711939</v>
      </c>
      <c r="D5" s="3">
        <f>'Inflação Implícita'!D5-'Metas de Inflação'!D5</f>
        <v>1.1313993174061494</v>
      </c>
      <c r="E5" s="3">
        <f>'Inflação Implícita'!E5-'Metas de Inflação'!E5</f>
        <v>1.6796733212341248</v>
      </c>
      <c r="F5" s="3">
        <f>'Inflação Implícita'!F5-'Metas de Inflação'!F5</f>
        <v>2.0229307509592438</v>
      </c>
      <c r="G5" s="3">
        <f>'Inflação Implícita'!G5-'Metas de Inflação'!G5</f>
        <v>1.7517137373183429</v>
      </c>
      <c r="H5" s="3">
        <f>'Inflação Implícita'!H5-'Metas de Inflação'!H5</f>
        <v>2.2034482758620895</v>
      </c>
      <c r="I5" s="3">
        <f>'Inflação Implícita'!I5-'Metas de Inflação'!I5</f>
        <v>2.0655172413793261</v>
      </c>
      <c r="J5" s="3">
        <f>'Inflação Implícita'!J5-'Metas de Inflação'!J5</f>
        <v>1.9643678160919649</v>
      </c>
      <c r="K5" s="3">
        <f>'Inflação Implícita'!K5-'Metas de Inflação'!K5</f>
        <v>1.9643678160919649</v>
      </c>
      <c r="L5" s="3">
        <f>'Inflação Implícita'!L5-'Metas de Inflação'!L5</f>
        <v>1.9643678160919649</v>
      </c>
      <c r="M5" s="3">
        <f>'Inflação Implícita'!M5-'Metas de Inflação'!M5</f>
        <v>1.9643678160919649</v>
      </c>
      <c r="N5" s="3">
        <f>'Inflação Implícita'!N5-'Metas de Inflação'!N5</f>
        <v>1.9643678160919649</v>
      </c>
      <c r="O5" s="3">
        <f>'Inflação Implícita'!O5-'Metas de Inflação'!O5</f>
        <v>1.9643678160919649</v>
      </c>
      <c r="P5" s="3">
        <f>'Inflação Implícita'!P5-'Metas de Inflação'!P5</f>
        <v>1.9643678160919649</v>
      </c>
      <c r="Q5" s="3">
        <f>'Inflação Implícita'!Q5-'Metas de Inflação'!Q5</f>
        <v>1.9643678160919649</v>
      </c>
    </row>
    <row r="6" spans="1:32" ht="18.75" customHeight="1" x14ac:dyDescent="0.25">
      <c r="A6" s="2">
        <v>38533</v>
      </c>
      <c r="B6" s="3">
        <f>'Inflação Implícita'!B6-'Metas de Inflação'!B6</f>
        <v>2.7699999999999996</v>
      </c>
      <c r="C6" s="3">
        <f>'Inflação Implícita'!C6-'Metas de Inflação'!C6</f>
        <v>0.90781724076386805</v>
      </c>
      <c r="D6" s="3">
        <f>'Inflação Implícita'!D6-'Metas de Inflação'!D6</f>
        <v>1.7482996281853609</v>
      </c>
      <c r="E6" s="3">
        <f>'Inflação Implícita'!E6-'Metas de Inflação'!E6</f>
        <v>1.8876450699076992</v>
      </c>
      <c r="F6" s="3">
        <f>'Inflação Implícita'!F6-'Metas de Inflação'!F6</f>
        <v>1.7843532429461613</v>
      </c>
      <c r="G6" s="3">
        <f>'Inflação Implícita'!G6-'Metas de Inflação'!G6</f>
        <v>1.6031571218795877</v>
      </c>
      <c r="H6" s="3">
        <f>'Inflação Implícita'!H6-'Metas de Inflação'!H6</f>
        <v>1.4130913091309134</v>
      </c>
      <c r="I6" s="3">
        <f>'Inflação Implícita'!I6-'Metas de Inflação'!I6</f>
        <v>1.4039237257058952</v>
      </c>
      <c r="J6" s="3">
        <f>'Inflação Implícita'!J6-'Metas de Inflação'!J6</f>
        <v>1.3947561422808992</v>
      </c>
      <c r="K6" s="3">
        <f>'Inflação Implícita'!K6-'Metas de Inflação'!K6</f>
        <v>1.3947561422808992</v>
      </c>
      <c r="L6" s="3">
        <f>'Inflação Implícita'!L6-'Metas de Inflação'!L6</f>
        <v>1.3947561422808992</v>
      </c>
      <c r="M6" s="3">
        <f>'Inflação Implícita'!M6-'Metas de Inflação'!M6</f>
        <v>1.3947561422808992</v>
      </c>
      <c r="N6" s="3">
        <f>'Inflação Implícita'!N6-'Metas de Inflação'!N6</f>
        <v>1.3947561422808992</v>
      </c>
      <c r="O6" s="3">
        <f>'Inflação Implícita'!O6-'Metas de Inflação'!O6</f>
        <v>1.3947561422808992</v>
      </c>
      <c r="P6" s="3">
        <f>'Inflação Implícita'!P6-'Metas de Inflação'!P6</f>
        <v>1.3947561422808992</v>
      </c>
      <c r="Q6" s="3">
        <f>'Inflação Implícita'!Q6-'Metas de Inflação'!Q6</f>
        <v>1.3947561422808992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8.75" customHeight="1" x14ac:dyDescent="0.25">
      <c r="A7" s="2">
        <v>38564</v>
      </c>
      <c r="B7" s="3">
        <f>'Inflação Implícita'!B7-'Metas de Inflação'!B7</f>
        <v>2.0700000000000003</v>
      </c>
      <c r="C7" s="3">
        <f>'Inflação Implícita'!C7-'Metas de Inflação'!C7</f>
        <v>0.57014739833069328</v>
      </c>
      <c r="D7" s="3">
        <f>'Inflação Implícita'!D7-'Metas de Inflação'!D7</f>
        <v>2.0048015944917381</v>
      </c>
      <c r="E7" s="3">
        <f>'Inflação Implícita'!E7-'Metas de Inflação'!E7</f>
        <v>2.2409572524662176</v>
      </c>
      <c r="F7" s="3">
        <f>'Inflação Implícita'!F7-'Metas de Inflação'!F7</f>
        <v>2.2534133602126012</v>
      </c>
      <c r="G7" s="3">
        <f>'Inflação Implícita'!G7-'Metas de Inflação'!G7</f>
        <v>2.2113477781858499</v>
      </c>
      <c r="H7" s="3">
        <f>'Inflação Implícita'!H7-'Metas de Inflação'!H7</f>
        <v>1.9880242268514188</v>
      </c>
      <c r="I7" s="3">
        <f>'Inflação Implícita'!I7-'Metas de Inflação'!I7</f>
        <v>1.8296945234382118</v>
      </c>
      <c r="J7" s="3">
        <f>'Inflação Implícita'!J7-'Metas de Inflação'!J7</f>
        <v>1.7179016874541304</v>
      </c>
      <c r="K7" s="3">
        <f>'Inflação Implícita'!K7-'Metas de Inflação'!K7</f>
        <v>1.7179016874541304</v>
      </c>
      <c r="L7" s="3">
        <f>'Inflação Implícita'!L7-'Metas de Inflação'!L7</f>
        <v>1.7179016874541304</v>
      </c>
      <c r="M7" s="3">
        <f>'Inflação Implícita'!M7-'Metas de Inflação'!M7</f>
        <v>1.7179016874541304</v>
      </c>
      <c r="N7" s="3">
        <f>'Inflação Implícita'!N7-'Metas de Inflação'!N7</f>
        <v>1.7179016874541304</v>
      </c>
      <c r="O7" s="3">
        <f>'Inflação Implícita'!O7-'Metas de Inflação'!O7</f>
        <v>1.7179016874541304</v>
      </c>
      <c r="P7" s="3">
        <f>'Inflação Implícita'!P7-'Metas de Inflação'!P7</f>
        <v>1.7179016874541304</v>
      </c>
      <c r="Q7" s="3">
        <f>'Inflação Implícita'!Q7-'Metas de Inflação'!Q7</f>
        <v>1.7179016874541304</v>
      </c>
    </row>
    <row r="8" spans="1:32" ht="18.75" customHeight="1" x14ac:dyDescent="0.25">
      <c r="A8" s="2">
        <v>38595</v>
      </c>
      <c r="B8" s="3">
        <f>'Inflação Implícita'!B8-'Metas de Inflação'!B8</f>
        <v>1.5199999999999996</v>
      </c>
      <c r="C8" s="3">
        <f>'Inflação Implícita'!C8-'Metas de Inflação'!C8</f>
        <v>-2.208999740641489</v>
      </c>
      <c r="D8" s="3">
        <f>'Inflação Implícita'!D8-'Metas de Inflação'!D8</f>
        <v>0.34459880666132658</v>
      </c>
      <c r="E8" s="3">
        <f>'Inflação Implícita'!E8-'Metas de Inflação'!E8</f>
        <v>1.0901181137859579</v>
      </c>
      <c r="F8" s="3">
        <f>'Inflação Implícita'!F8-'Metas de Inflação'!F8</f>
        <v>1.5468494643181492</v>
      </c>
      <c r="G8" s="3">
        <f>'Inflação Implícita'!G8-'Metas de Inflação'!G8</f>
        <v>1.7038808417600455</v>
      </c>
      <c r="H8" s="3">
        <f>'Inflação Implícita'!H8-'Metas de Inflação'!H8</f>
        <v>1.5490115696456348</v>
      </c>
      <c r="I8" s="3">
        <f>'Inflação Implícita'!I8-'Metas de Inflação'!I8</f>
        <v>1.4305821262640279</v>
      </c>
      <c r="J8" s="3">
        <f>'Inflação Implícita'!J8-'Metas de Inflação'!J8</f>
        <v>1.3485925116152027</v>
      </c>
      <c r="K8" s="3">
        <f>'Inflação Implícita'!K8-'Metas de Inflação'!K8</f>
        <v>1.3485925116152027</v>
      </c>
      <c r="L8" s="3">
        <f>'Inflação Implícita'!L8-'Metas de Inflação'!L8</f>
        <v>1.3485925116152027</v>
      </c>
      <c r="M8" s="3">
        <f>'Inflação Implícita'!M8-'Metas de Inflação'!M8</f>
        <v>1.3485925116152027</v>
      </c>
      <c r="N8" s="3">
        <f>'Inflação Implícita'!N8-'Metas de Inflação'!N8</f>
        <v>1.3485925116152027</v>
      </c>
      <c r="O8" s="3">
        <f>'Inflação Implícita'!O8-'Metas de Inflação'!O8</f>
        <v>1.3485925116152027</v>
      </c>
      <c r="P8" s="3">
        <f>'Inflação Implícita'!P8-'Metas de Inflação'!P8</f>
        <v>1.3485925116152027</v>
      </c>
      <c r="Q8" s="3">
        <f>'Inflação Implícita'!Q8-'Metas de Inflação'!Q8</f>
        <v>1.3485925116152027</v>
      </c>
    </row>
    <row r="9" spans="1:32" ht="18.75" customHeight="1" x14ac:dyDescent="0.25">
      <c r="A9" s="2">
        <v>38625</v>
      </c>
      <c r="B9" s="3">
        <f>'Inflação Implícita'!B9-'Metas de Inflação'!B9</f>
        <v>1.54</v>
      </c>
      <c r="C9" s="3">
        <f>'Inflação Implícita'!C9-'Metas de Inflação'!C9</f>
        <v>-0.62334801762114633</v>
      </c>
      <c r="D9" s="3">
        <f>'Inflação Implícita'!D9-'Metas de Inflação'!D9</f>
        <v>0.56556493623135928</v>
      </c>
      <c r="E9" s="3">
        <f>'Inflação Implícita'!E9-'Metas de Inflação'!E9</f>
        <v>0.8823849220732356</v>
      </c>
      <c r="F9" s="3">
        <f>'Inflação Implícita'!F9-'Metas de Inflação'!F9</f>
        <v>0.72822331332968293</v>
      </c>
      <c r="G9" s="3">
        <f>'Inflação Implícita'!G9-'Metas de Inflação'!G9</f>
        <v>0.71128045997993894</v>
      </c>
      <c r="H9" s="3">
        <f>'Inflação Implícita'!H9-'Metas de Inflação'!H9</f>
        <v>0.52874874509446901</v>
      </c>
      <c r="I9" s="3">
        <f>'Inflação Implícita'!I9-'Metas de Inflação'!I9</f>
        <v>0.410103130418908</v>
      </c>
      <c r="J9" s="3">
        <f>'Inflação Implícita'!J9-'Metas de Inflação'!J9</f>
        <v>0.31883727297620634</v>
      </c>
      <c r="K9" s="3">
        <f>'Inflação Implícita'!K9-'Metas de Inflação'!K9</f>
        <v>0.24582458702199617</v>
      </c>
      <c r="L9" s="3">
        <f>'Inflação Implícita'!L9-'Metas de Inflação'!L9</f>
        <v>0.18193848681208724</v>
      </c>
      <c r="M9" s="3">
        <f>'Inflação Implícita'!M9-'Metas de Inflação'!M9</f>
        <v>0.18193848681208724</v>
      </c>
      <c r="N9" s="3">
        <f>'Inflação Implícita'!N9-'Metas de Inflação'!N9</f>
        <v>9.0672629369363378E-2</v>
      </c>
      <c r="O9" s="3">
        <f>'Inflação Implícita'!O9-'Metas de Inflação'!O9</f>
        <v>9.0672629369363378E-2</v>
      </c>
      <c r="P9" s="3">
        <f>'Inflação Implícita'!P9-'Metas de Inflação'!P9</f>
        <v>9.0672629369363378E-2</v>
      </c>
      <c r="Q9" s="3">
        <f>'Inflação Implícita'!Q9-'Metas de Inflação'!Q9</f>
        <v>9.0672629369363378E-2</v>
      </c>
    </row>
    <row r="10" spans="1:32" ht="18.75" customHeight="1" x14ac:dyDescent="0.25">
      <c r="A10" s="2">
        <v>38656</v>
      </c>
      <c r="B10" s="3">
        <f>'Inflação Implícita'!B10-'Metas de Inflação'!B10</f>
        <v>1.8600000000000003</v>
      </c>
      <c r="C10" s="3">
        <f>'Inflação Implícita'!C10-'Metas de Inflação'!C10</f>
        <v>-0.65894039735100041</v>
      </c>
      <c r="D10" s="3">
        <f>'Inflação Implícita'!D10-'Metas de Inflação'!D10</f>
        <v>-8.2865793926452547E-2</v>
      </c>
      <c r="E10" s="3">
        <f>'Inflação Implícita'!E10-'Metas de Inflação'!E10</f>
        <v>8.0500894454367256E-3</v>
      </c>
      <c r="F10" s="3">
        <f>'Inflação Implícita'!F10-'Metas de Inflação'!F10</f>
        <v>0.75268963023235447</v>
      </c>
      <c r="G10" s="3">
        <f>'Inflação Implícita'!G10-'Metas de Inflação'!G10</f>
        <v>1.204667455190604</v>
      </c>
      <c r="H10" s="3">
        <f>'Inflação Implícita'!H10-'Metas de Inflação'!H10</f>
        <v>1.0863888636156878</v>
      </c>
      <c r="I10" s="3">
        <f>'Inflação Implícita'!I10-'Metas de Inflação'!I10</f>
        <v>1.0227003912291961</v>
      </c>
      <c r="J10" s="3">
        <f>'Inflação Implícita'!J10-'Metas de Inflação'!J10</f>
        <v>0.96811027204077149</v>
      </c>
      <c r="K10" s="3">
        <f>'Inflação Implícita'!K10-'Metas de Inflação'!K10</f>
        <v>0.92261850605041396</v>
      </c>
      <c r="L10" s="3">
        <f>'Inflação Implícita'!L10-'Metas de Inflação'!L10</f>
        <v>0.89532344645619055</v>
      </c>
      <c r="M10" s="3">
        <f>'Inflação Implícita'!M10-'Metas de Inflação'!M10</f>
        <v>0.89532344645619055</v>
      </c>
      <c r="N10" s="3">
        <f>'Inflação Implícita'!N10-'Metas de Inflação'!N10</f>
        <v>0.84073332726776595</v>
      </c>
      <c r="O10" s="3">
        <f>'Inflação Implícita'!O10-'Metas de Inflação'!O10</f>
        <v>0.84073332726776595</v>
      </c>
      <c r="P10" s="3">
        <f>'Inflação Implícita'!P10-'Metas de Inflação'!P10</f>
        <v>0.84073332726776595</v>
      </c>
      <c r="Q10" s="3">
        <f>'Inflação Implícita'!Q10-'Metas de Inflação'!Q10</f>
        <v>0.84073332726776595</v>
      </c>
    </row>
    <row r="11" spans="1:32" ht="18.75" customHeight="1" x14ac:dyDescent="0.25">
      <c r="A11" s="2">
        <v>38686</v>
      </c>
      <c r="B11" s="3">
        <f>'Inflação Implícita'!B11-'Metas de Inflação'!B11</f>
        <v>1.7199999999999998</v>
      </c>
      <c r="C11" s="3">
        <f>'Inflação Implícita'!C11-'Metas de Inflação'!C11</f>
        <v>-1.0807423155284006</v>
      </c>
      <c r="D11" s="3">
        <f>'Inflação Implícita'!D11-'Metas de Inflação'!D11</f>
        <v>-0.48106635705991874</v>
      </c>
      <c r="E11" s="3">
        <f>'Inflação Implícita'!E11-'Metas de Inflação'!E11</f>
        <v>-0.19429494079655374</v>
      </c>
      <c r="F11" s="3">
        <f>'Inflação Implícita'!F11-'Metas de Inflação'!F11</f>
        <v>0.57476212052559994</v>
      </c>
      <c r="G11" s="3">
        <f>'Inflação Implícita'!G11-'Metas de Inflação'!G11</f>
        <v>1.1188999361488579</v>
      </c>
      <c r="H11" s="3">
        <f>'Inflação Implícita'!H11-'Metas de Inflação'!H11</f>
        <v>0.89086016601295626</v>
      </c>
      <c r="I11" s="3">
        <f>'Inflação Implícita'!I11-'Metas de Inflação'!I11</f>
        <v>0.69930675909878737</v>
      </c>
      <c r="J11" s="3">
        <f>'Inflação Implícita'!J11-'Metas de Inflação'!J11</f>
        <v>0.54423971540635119</v>
      </c>
      <c r="K11" s="3">
        <f>'Inflação Implícita'!K11-'Metas de Inflação'!K11</f>
        <v>0.43478062574110865</v>
      </c>
      <c r="L11" s="3">
        <f>'Inflação Implícita'!L11-'Metas de Inflação'!L11</f>
        <v>0.34356471768676577</v>
      </c>
      <c r="M11" s="3">
        <f>'Inflação Implícita'!M11-'Metas de Inflação'!M11</f>
        <v>0.34356471768676577</v>
      </c>
      <c r="N11" s="3">
        <f>'Inflação Implícita'!N11-'Metas de Inflação'!N11</f>
        <v>0.19761926479976832</v>
      </c>
      <c r="O11" s="3">
        <f>'Inflação Implícita'!O11-'Metas de Inflação'!O11</f>
        <v>0.19761926479976832</v>
      </c>
      <c r="P11" s="3">
        <f>'Inflação Implícita'!P11-'Metas de Inflação'!P11</f>
        <v>0.19761926479976832</v>
      </c>
      <c r="Q11" s="3">
        <f>'Inflação Implícita'!Q11-'Metas de Inflação'!Q11</f>
        <v>0.19761926479976832</v>
      </c>
    </row>
    <row r="12" spans="1:32" ht="18.75" customHeight="1" x14ac:dyDescent="0.25">
      <c r="A12" s="2">
        <v>38717</v>
      </c>
      <c r="B12" s="3">
        <f>'Inflação Implícita'!B12-'Metas de Inflação'!B12</f>
        <v>1.1900000000000004</v>
      </c>
      <c r="C12" s="3">
        <f>'Inflação Implícita'!C12-'Metas de Inflação'!C12</f>
        <v>-0.75635083340760012</v>
      </c>
      <c r="D12" s="3">
        <f>'Inflação Implícita'!D12-'Metas de Inflação'!D12</f>
        <v>-0.80824372759858587</v>
      </c>
      <c r="E12" s="3">
        <f>'Inflação Implícita'!E12-'Metas de Inflação'!E12</f>
        <v>-0.72302158273383643</v>
      </c>
      <c r="F12" s="3">
        <f>'Inflação Implícita'!F12-'Metas de Inflação'!F12</f>
        <v>-3.5390199637038045E-2</v>
      </c>
      <c r="G12" s="3">
        <f>'Inflação Implícita'!G12-'Metas de Inflação'!G12</f>
        <v>0.34533260333970262</v>
      </c>
      <c r="H12" s="3">
        <f>'Inflação Implícita'!H12-'Metas de Inflação'!H12</f>
        <v>0.35241707027321834</v>
      </c>
      <c r="I12" s="3">
        <f>'Inflação Implícita'!I12-'Metas de Inflação'!I12</f>
        <v>0.29934180455252601</v>
      </c>
      <c r="J12" s="3">
        <f>'Inflação Implícita'!J12-'Metas de Inflação'!J12</f>
        <v>0.21706737361732298</v>
      </c>
      <c r="K12" s="3">
        <f>'Inflação Implícita'!K12-'Metas de Inflação'!K12</f>
        <v>0.15307614955663418</v>
      </c>
      <c r="L12" s="3">
        <f>'Inflação Implícita'!L12-'Metas de Inflação'!L12</f>
        <v>0.107368132370393</v>
      </c>
      <c r="M12" s="3">
        <f>'Inflação Implícita'!M12-'Metas de Inflação'!M12</f>
        <v>0.107368132370393</v>
      </c>
      <c r="N12" s="3">
        <f>'Inflação Implícita'!N12-'Metas de Inflação'!N12</f>
        <v>2.5093701435212168E-2</v>
      </c>
      <c r="O12" s="3">
        <f>'Inflação Implícita'!O12-'Metas de Inflação'!O12</f>
        <v>2.5093701435212168E-2</v>
      </c>
      <c r="P12" s="3">
        <f>'Inflação Implícita'!P12-'Metas de Inflação'!P12</f>
        <v>2.5093701435212168E-2</v>
      </c>
      <c r="Q12" s="3">
        <f>'Inflação Implícita'!Q12-'Metas de Inflação'!Q12</f>
        <v>2.5093701435212168E-2</v>
      </c>
    </row>
    <row r="13" spans="1:32" ht="18.75" customHeight="1" x14ac:dyDescent="0.25">
      <c r="A13" s="2">
        <v>38748</v>
      </c>
      <c r="B13" s="3">
        <f>'Inflação Implícita'!B13-'Metas de Inflação'!B13</f>
        <v>1.2000000000000002</v>
      </c>
      <c r="C13" s="3">
        <f>'Inflação Implícita'!C13-'Metas de Inflação'!C13</f>
        <v>-0.35506203920157731</v>
      </c>
      <c r="D13" s="3">
        <f>'Inflação Implícita'!D13-'Metas de Inflação'!D13</f>
        <v>-0.44728766134126285</v>
      </c>
      <c r="E13" s="3">
        <f>'Inflação Implícita'!E13-'Metas de Inflação'!E13</f>
        <v>-0.39673913043479381</v>
      </c>
      <c r="F13" s="3">
        <f>'Inflação Implícita'!F13-'Metas de Inflação'!F13</f>
        <v>-0.10109289617486628</v>
      </c>
      <c r="G13" s="3">
        <f>'Inflação Implícita'!G13-'Metas de Inflação'!G13</f>
        <v>1.2651868091710483E-2</v>
      </c>
      <c r="H13" s="3">
        <f>'Inflação Implícita'!H13-'Metas de Inflação'!H13</f>
        <v>-8.7832282817219998E-2</v>
      </c>
      <c r="I13" s="3">
        <f>'Inflação Implícita'!I13-'Metas de Inflação'!I13</f>
        <v>-8.7832282817219998E-2</v>
      </c>
      <c r="J13" s="3">
        <f>'Inflação Implícita'!J13-'Metas de Inflação'!J13</f>
        <v>-0.21572120215585677</v>
      </c>
      <c r="K13" s="3">
        <f>'Inflação Implícita'!K13-'Metas de Inflação'!K13</f>
        <v>-0.25226089339545776</v>
      </c>
      <c r="L13" s="3">
        <f>'Inflação Implícita'!L13-'Metas de Inflação'!L13</f>
        <v>-0.28880058463505875</v>
      </c>
      <c r="M13" s="3">
        <f>'Inflação Implícita'!M13-'Metas de Inflação'!M13</f>
        <v>-0.28880058463505875</v>
      </c>
      <c r="N13" s="3">
        <f>'Inflação Implícita'!N13-'Metas de Inflação'!N13</f>
        <v>-0.33447519868457665</v>
      </c>
      <c r="O13" s="3">
        <f>'Inflação Implícita'!O13-'Metas de Inflação'!O13</f>
        <v>-0.33447519868457665</v>
      </c>
      <c r="P13" s="3">
        <f>'Inflação Implícita'!P13-'Metas de Inflação'!P13</f>
        <v>-0.33447519868457665</v>
      </c>
      <c r="Q13" s="3">
        <f>'Inflação Implícita'!Q13-'Metas de Inflação'!Q13</f>
        <v>-0.33447519868457665</v>
      </c>
    </row>
    <row r="14" spans="1:32" ht="18.75" customHeight="1" x14ac:dyDescent="0.25">
      <c r="A14" s="2">
        <v>38776</v>
      </c>
      <c r="B14" s="3">
        <f>'Inflação Implícita'!B14-'Metas de Inflação'!B14</f>
        <v>1.0099999999999998</v>
      </c>
      <c r="C14" s="3">
        <f>'Inflação Implícita'!C14-'Metas de Inflação'!C14</f>
        <v>-0.31374321880653522</v>
      </c>
      <c r="D14" s="3">
        <f>'Inflação Implícita'!D14-'Metas de Inflação'!D14</f>
        <v>-0.27080491132332618</v>
      </c>
      <c r="E14" s="3">
        <f>'Inflação Implícita'!E14-'Metas de Inflação'!E14</f>
        <v>-0.32269244801169261</v>
      </c>
      <c r="F14" s="3">
        <f>'Inflação Implícita'!F14-'Metas de Inflação'!F14</f>
        <v>-1.7873510540796111E-2</v>
      </c>
      <c r="G14" s="3">
        <f>'Inflação Implícita'!G14-'Metas de Inflação'!G14</f>
        <v>6.8014705882328386E-2</v>
      </c>
      <c r="H14" s="3">
        <f>'Inflação Implícita'!H14-'Metas de Inflação'!H14</f>
        <v>-6.2293274531429077E-2</v>
      </c>
      <c r="I14" s="3">
        <f>'Inflação Implícita'!I14-'Metas de Inflação'!I14</f>
        <v>-6.2293274531429077E-2</v>
      </c>
      <c r="J14" s="3">
        <f>'Inflação Implícita'!J14-'Metas de Inflação'!J14</f>
        <v>0.23732718894011029</v>
      </c>
      <c r="K14" s="3">
        <f>'Inflação Implícita'!K14-'Metas de Inflação'!K14</f>
        <v>0.22811059907836118</v>
      </c>
      <c r="L14" s="3">
        <f>'Inflação Implícita'!L14-'Metas de Inflação'!L14</f>
        <v>0.22811059907836118</v>
      </c>
      <c r="M14" s="3">
        <f>'Inflação Implícita'!M14-'Metas de Inflação'!M14</f>
        <v>0.22811059907836118</v>
      </c>
      <c r="N14" s="3">
        <f>'Inflação Implícita'!N14-'Metas de Inflação'!N14</f>
        <v>0.21889400921661206</v>
      </c>
      <c r="O14" s="3">
        <f>'Inflação Implícita'!O14-'Metas de Inflação'!O14</f>
        <v>0.21889400921661206</v>
      </c>
      <c r="P14" s="3">
        <f>'Inflação Implícita'!P14-'Metas de Inflação'!P14</f>
        <v>0.21889400921661206</v>
      </c>
      <c r="Q14" s="3">
        <f>'Inflação Implícita'!Q14-'Metas de Inflação'!Q14</f>
        <v>0.21889400921661206</v>
      </c>
    </row>
    <row r="15" spans="1:32" ht="18.75" customHeight="1" x14ac:dyDescent="0.25">
      <c r="A15" s="2">
        <v>38807</v>
      </c>
      <c r="B15" s="3">
        <f>'Inflação Implícita'!B15-'Metas de Inflação'!B15</f>
        <v>0.82000000000000028</v>
      </c>
      <c r="C15" s="3">
        <f>'Inflação Implícita'!C15-'Metas de Inflação'!C15</f>
        <v>-0.14703744093059345</v>
      </c>
      <c r="D15" s="3">
        <f>'Inflação Implícita'!D15-'Metas de Inflação'!D15</f>
        <v>-5.3530751708404267E-2</v>
      </c>
      <c r="E15" s="3">
        <f>'Inflação Implícita'!E15-'Metas de Inflação'!E15</f>
        <v>9.0253695929913391E-2</v>
      </c>
      <c r="F15" s="3">
        <f>'Inflação Implícita'!F15-'Metas de Inflação'!F15</f>
        <v>0.20620487983184344</v>
      </c>
      <c r="G15" s="3">
        <f>'Inflação Implícita'!G15-'Metas de Inflação'!G15</f>
        <v>0.28587115666178065</v>
      </c>
      <c r="H15" s="3">
        <f>'Inflação Implícita'!H15-'Metas de Inflação'!H15</f>
        <v>0.26975189966126756</v>
      </c>
      <c r="I15" s="3">
        <f>'Inflação Implícita'!I15-'Metas de Inflação'!I15</f>
        <v>0.26975189966126756</v>
      </c>
      <c r="J15" s="3">
        <f>'Inflação Implícita'!J15-'Metas de Inflação'!J15</f>
        <v>0.23660100778745541</v>
      </c>
      <c r="K15" s="3">
        <f>'Inflação Implícita'!K15-'Metas de Inflação'!K15</f>
        <v>0.26408612001832932</v>
      </c>
      <c r="L15" s="3">
        <f>'Inflação Implícita'!L15-'Metas de Inflação'!L15</f>
        <v>0.29157123224920323</v>
      </c>
      <c r="M15" s="3">
        <f>'Inflação Implícita'!M15-'Metas de Inflação'!M15</f>
        <v>0.29157123224920323</v>
      </c>
      <c r="N15" s="3">
        <f>'Inflação Implícita'!N15-'Metas de Inflação'!N15</f>
        <v>0.31905634448007714</v>
      </c>
      <c r="O15" s="3">
        <f>'Inflação Implícita'!O15-'Metas de Inflação'!O15</f>
        <v>0.31905634448007714</v>
      </c>
      <c r="P15" s="3">
        <f>'Inflação Implícita'!P15-'Metas de Inflação'!P15</f>
        <v>0.31905634448007714</v>
      </c>
      <c r="Q15" s="3">
        <f>'Inflação Implícita'!Q15-'Metas de Inflação'!Q15</f>
        <v>0.31905634448007714</v>
      </c>
    </row>
    <row r="16" spans="1:32" ht="18.75" customHeight="1" x14ac:dyDescent="0.25">
      <c r="A16" s="2">
        <v>38837</v>
      </c>
      <c r="B16" s="3">
        <f>'Inflação Implícita'!B16-'Metas de Inflação'!B16</f>
        <v>0.12999999999999989</v>
      </c>
      <c r="C16" s="3">
        <f>'Inflação Implícita'!C16-'Metas de Inflação'!C16</f>
        <v>-0.26440647155062269</v>
      </c>
      <c r="D16" s="3">
        <f>'Inflação Implícita'!D16-'Metas de Inflação'!D16</f>
        <v>-9.1583932962920223E-2</v>
      </c>
      <c r="E16" s="3">
        <f>'Inflação Implícita'!E16-'Metas de Inflação'!E16</f>
        <v>3.1905195989097024E-3</v>
      </c>
      <c r="F16" s="3">
        <f>'Inflação Implícita'!F16-'Metas de Inflação'!F16</f>
        <v>3.343063030191562E-2</v>
      </c>
      <c r="G16" s="3">
        <f>'Inflação Implícita'!G16-'Metas de Inflação'!G16</f>
        <v>4.586946599726538E-2</v>
      </c>
      <c r="H16" s="3">
        <f>'Inflação Implícita'!H16-'Metas de Inflação'!H16</f>
        <v>1.8484710178016783E-2</v>
      </c>
      <c r="I16" s="3">
        <f>'Inflação Implícita'!I16-'Metas de Inflação'!I16</f>
        <v>1.8484710178016783E-2</v>
      </c>
      <c r="J16" s="3">
        <f>'Inflação Implícita'!J16-'Metas de Inflação'!J16</f>
        <v>-0.15495207667731314</v>
      </c>
      <c r="K16" s="3">
        <f>'Inflação Implícita'!K16-'Metas de Inflação'!K16</f>
        <v>-0.26449109995435194</v>
      </c>
      <c r="L16" s="3">
        <f>'Inflação Implícita'!L16-'Metas de Inflação'!L16</f>
        <v>-0.35577361935189167</v>
      </c>
      <c r="M16" s="3">
        <f>'Inflação Implícita'!M16-'Metas de Inflação'!M16</f>
        <v>-0.35577361935189167</v>
      </c>
      <c r="N16" s="3">
        <f>'Inflação Implícita'!N16-'Metas de Inflação'!N16</f>
        <v>-0.49269739844820126</v>
      </c>
      <c r="O16" s="3">
        <f>'Inflação Implícita'!O16-'Metas de Inflação'!O16</f>
        <v>-0.49269739844820126</v>
      </c>
      <c r="P16" s="3">
        <f>'Inflação Implícita'!P16-'Metas de Inflação'!P16</f>
        <v>-0.49269739844820126</v>
      </c>
      <c r="Q16" s="3">
        <f>'Inflação Implícita'!Q16-'Metas de Inflação'!Q16</f>
        <v>-0.49269739844820126</v>
      </c>
    </row>
    <row r="17" spans="1:17" ht="18.75" customHeight="1" x14ac:dyDescent="0.25">
      <c r="A17" s="2">
        <v>38868</v>
      </c>
      <c r="B17" s="3">
        <f>'Inflação Implícita'!B17-'Metas de Inflação'!B17</f>
        <v>-0.26999999999999957</v>
      </c>
      <c r="C17" s="3">
        <f>'Inflação Implícita'!C17-'Metas de Inflação'!C17</f>
        <v>-0.21028628194706567</v>
      </c>
      <c r="D17" s="3">
        <f>'Inflação Implícita'!D17-'Metas de Inflação'!D17</f>
        <v>0.36945523534194624</v>
      </c>
      <c r="E17" s="3">
        <f>'Inflação Implícita'!E17-'Metas de Inflação'!E17</f>
        <v>0.70267824828086756</v>
      </c>
      <c r="F17" s="3">
        <f>'Inflação Implícita'!F17-'Metas de Inflação'!F17</f>
        <v>0.72266473569876766</v>
      </c>
      <c r="G17" s="3">
        <f>'Inflação Implícita'!G17-'Metas de Inflação'!G17</f>
        <v>1.0172413793103336</v>
      </c>
      <c r="H17" s="3">
        <f>'Inflação Implícita'!H17-'Metas de Inflação'!H17</f>
        <v>1.098911070780388</v>
      </c>
      <c r="I17" s="3">
        <f>'Inflação Implícita'!I17-'Metas de Inflação'!I17</f>
        <v>1.098911070780388</v>
      </c>
      <c r="J17" s="3">
        <f>'Inflação Implícita'!J17-'Metas de Inflação'!J17</f>
        <v>1.1715063520870856</v>
      </c>
      <c r="K17" s="3">
        <f>'Inflação Implícita'!K17-'Metas de Inflação'!K17</f>
        <v>1.1715063520870856</v>
      </c>
      <c r="L17" s="3">
        <f>'Inflação Implícita'!L17-'Metas de Inflação'!L17</f>
        <v>1.1805807622504423</v>
      </c>
      <c r="M17" s="3">
        <f>'Inflação Implícita'!M17-'Metas de Inflação'!M17</f>
        <v>1.1805807622504423</v>
      </c>
      <c r="N17" s="3">
        <f>'Inflação Implícita'!N17-'Metas de Inflação'!N17</f>
        <v>1.2078039927404678</v>
      </c>
      <c r="O17" s="3">
        <f>'Inflação Implícita'!O17-'Metas de Inflação'!O17</f>
        <v>1.2078039927404678</v>
      </c>
      <c r="P17" s="3">
        <f>'Inflação Implícita'!P17-'Metas de Inflação'!P17</f>
        <v>1.2078039927404678</v>
      </c>
      <c r="Q17" s="3">
        <f>'Inflação Implícita'!Q17-'Metas de Inflação'!Q17</f>
        <v>1.2078039927404678</v>
      </c>
    </row>
    <row r="18" spans="1:17" ht="18.75" customHeight="1" x14ac:dyDescent="0.25">
      <c r="A18" s="2">
        <v>38898</v>
      </c>
      <c r="B18" s="3">
        <f>'Inflação Implícita'!B18-'Metas de Inflação'!B18</f>
        <v>-0.46999999999999975</v>
      </c>
      <c r="C18" s="3">
        <f>'Inflação Implícita'!C18-'Metas de Inflação'!C18</f>
        <v>-0.48586444363899073</v>
      </c>
      <c r="D18" s="3">
        <f>'Inflação Implícita'!D18-'Metas de Inflação'!D18</f>
        <v>-3.361116144230003E-2</v>
      </c>
      <c r="E18" s="3">
        <f>'Inflação Implícita'!E18-'Metas de Inflação'!E18</f>
        <v>1.8699628724065498E-2</v>
      </c>
      <c r="F18" s="3">
        <f>'Inflação Implícita'!F18-'Metas de Inflação'!F18</f>
        <v>0.12988130832655553</v>
      </c>
      <c r="G18" s="3">
        <f>'Inflação Implícita'!G18-'Metas de Inflação'!G18</f>
        <v>0.1842439068587538</v>
      </c>
      <c r="H18" s="3">
        <f>'Inflação Implícita'!H18-'Metas de Inflação'!H18</f>
        <v>0.20236477303616063</v>
      </c>
      <c r="I18" s="3">
        <f>'Inflação Implícita'!I18-'Metas de Inflação'!I18</f>
        <v>0.20236477303616063</v>
      </c>
      <c r="J18" s="3">
        <f>'Inflação Implícita'!J18-'Metas de Inflação'!J18</f>
        <v>0.21142520612486404</v>
      </c>
      <c r="K18" s="3">
        <f>'Inflação Implícita'!K18-'Metas de Inflação'!K18</f>
        <v>0.19330433994745722</v>
      </c>
      <c r="L18" s="3">
        <f>'Inflação Implícita'!L18-'Metas de Inflação'!L18</f>
        <v>0.17518347377005039</v>
      </c>
      <c r="M18" s="3">
        <f>'Inflação Implícita'!M18-'Metas de Inflação'!M18</f>
        <v>0.17518347377005039</v>
      </c>
      <c r="N18" s="3">
        <f>'Inflação Implícita'!N18-'Metas de Inflação'!N18</f>
        <v>0.14800217450396236</v>
      </c>
      <c r="O18" s="3">
        <f>'Inflação Implícita'!O18-'Metas de Inflação'!O18</f>
        <v>0.14800217450396236</v>
      </c>
      <c r="P18" s="3">
        <f>'Inflação Implícita'!P18-'Metas de Inflação'!P18</f>
        <v>0.14800217450396236</v>
      </c>
      <c r="Q18" s="3">
        <f>'Inflação Implícita'!Q18-'Metas de Inflação'!Q18</f>
        <v>0.14800217450396236</v>
      </c>
    </row>
    <row r="19" spans="1:17" ht="18.75" customHeight="1" x14ac:dyDescent="0.25">
      <c r="A19" s="2">
        <v>38929</v>
      </c>
      <c r="B19" s="3">
        <f>'Inflação Implícita'!B19-'Metas de Inflação'!B19</f>
        <v>-0.5299999999999998</v>
      </c>
      <c r="C19" s="3">
        <f>'Inflação Implícita'!C19-'Metas de Inflação'!C19</f>
        <v>5.7493835053438858E-2</v>
      </c>
      <c r="D19" s="3">
        <f>'Inflação Implícita'!D19-'Metas de Inflação'!D19</f>
        <v>2.7648720051025144E-2</v>
      </c>
      <c r="E19" s="3">
        <f>'Inflação Implícita'!E19-'Metas de Inflação'!E19</f>
        <v>0.1013667425968352</v>
      </c>
      <c r="F19" s="3">
        <f>'Inflação Implícita'!F19-'Metas de Inflação'!F19</f>
        <v>0.24931631722881331</v>
      </c>
      <c r="G19" s="3">
        <f>'Inflação Implícita'!G19-'Metas de Inflação'!G19</f>
        <v>0.43613138686130881</v>
      </c>
      <c r="H19" s="3">
        <f>'Inflação Implícita'!H19-'Metas de Inflação'!H19</f>
        <v>0.48175182481752632</v>
      </c>
      <c r="I19" s="3">
        <f>'Inflação Implícita'!I19-'Metas de Inflação'!I19</f>
        <v>0.48175182481752632</v>
      </c>
      <c r="J19" s="3">
        <f>'Inflação Implícita'!J19-'Metas de Inflação'!J19</f>
        <v>0.49087591240876538</v>
      </c>
      <c r="K19" s="3">
        <f>'Inflação Implícita'!K19-'Metas de Inflação'!K19</f>
        <v>0.45437956204378693</v>
      </c>
      <c r="L19" s="3">
        <f>'Inflação Implícita'!L19-'Metas de Inflação'!L19</f>
        <v>0.43613138686130881</v>
      </c>
      <c r="M19" s="3">
        <f>'Inflação Implícita'!M19-'Metas de Inflação'!M19</f>
        <v>0.43613138686130881</v>
      </c>
      <c r="N19" s="3">
        <f>'Inflação Implícita'!N19-'Metas de Inflação'!N19</f>
        <v>0.46350364963502599</v>
      </c>
      <c r="O19" s="3">
        <f>'Inflação Implícita'!O19-'Metas de Inflação'!O19</f>
        <v>0.46350364963502599</v>
      </c>
      <c r="P19" s="3">
        <f>'Inflação Implícita'!P19-'Metas de Inflação'!P19</f>
        <v>0.46350364963502599</v>
      </c>
      <c r="Q19" s="3">
        <f>'Inflação Implícita'!Q19-'Metas de Inflação'!Q19</f>
        <v>0.46350364963502599</v>
      </c>
    </row>
    <row r="20" spans="1:17" ht="18.75" customHeight="1" x14ac:dyDescent="0.25">
      <c r="A20" s="2">
        <v>38960</v>
      </c>
      <c r="B20" s="3">
        <f>'Inflação Implícita'!B20-'Metas de Inflação'!B20</f>
        <v>-0.66000000000000014</v>
      </c>
      <c r="C20" s="3">
        <f>'Inflação Implícita'!C20-'Metas de Inflação'!C20</f>
        <v>-0.31237999451401866</v>
      </c>
      <c r="D20" s="3">
        <f>'Inflação Implícita'!D20-'Metas de Inflação'!D20</f>
        <v>-0.15694431745450643</v>
      </c>
      <c r="E20" s="3">
        <f>'Inflação Implícita'!E20-'Metas de Inflação'!E20</f>
        <v>-4.7632108246483007E-2</v>
      </c>
      <c r="F20" s="3">
        <f>'Inflação Implícita'!F20-'Metas de Inflação'!F20</f>
        <v>3.5893918609978925E-2</v>
      </c>
      <c r="G20" s="3">
        <f>'Inflação Implícita'!G20-'Metas de Inflação'!G20</f>
        <v>0.14860907759883091</v>
      </c>
      <c r="H20" s="3">
        <f>'Inflação Implícita'!H20-'Metas de Inflação'!H20</f>
        <v>0.17606149341142086</v>
      </c>
      <c r="I20" s="3">
        <f>'Inflação Implícita'!I20-'Metas de Inflação'!I20</f>
        <v>0.17606149341142086</v>
      </c>
      <c r="J20" s="3">
        <f>'Inflação Implícita'!J20-'Metas de Inflação'!J20</f>
        <v>0.16691068814055754</v>
      </c>
      <c r="K20" s="3">
        <f>'Inflação Implícita'!K20-'Metas de Inflação'!K20</f>
        <v>0.14860907759883091</v>
      </c>
      <c r="L20" s="3">
        <f>'Inflação Implícita'!L20-'Metas de Inflação'!L20</f>
        <v>0.13030746705710428</v>
      </c>
      <c r="M20" s="3">
        <f>'Inflação Implícita'!M20-'Metas de Inflação'!M20</f>
        <v>0.13030746705710428</v>
      </c>
      <c r="N20" s="3">
        <f>'Inflação Implícita'!N20-'Metas de Inflação'!N20</f>
        <v>9.3704245973651012E-2</v>
      </c>
      <c r="O20" s="3">
        <f>'Inflação Implícita'!O20-'Metas de Inflação'!O20</f>
        <v>9.3704245973651012E-2</v>
      </c>
      <c r="P20" s="3">
        <f>'Inflação Implícita'!P20-'Metas de Inflação'!P20</f>
        <v>9.3704245973651012E-2</v>
      </c>
      <c r="Q20" s="3">
        <f>'Inflação Implícita'!Q20-'Metas de Inflação'!Q20</f>
        <v>9.3704245973651012E-2</v>
      </c>
    </row>
    <row r="21" spans="1:17" ht="18.75" customHeight="1" x14ac:dyDescent="0.25">
      <c r="A21" s="2">
        <v>38990</v>
      </c>
      <c r="B21" s="3">
        <f>'Inflação Implícita'!B21-'Metas de Inflação'!B21</f>
        <v>-0.79999999999999982</v>
      </c>
      <c r="C21" s="3">
        <f>'Inflação Implícita'!C21-'Metas de Inflação'!C21</f>
        <v>-0.90609322265805137</v>
      </c>
      <c r="D21" s="3">
        <f>'Inflação Implícita'!D21-'Metas de Inflação'!D21</f>
        <v>-0.72503875262149453</v>
      </c>
      <c r="E21" s="3">
        <f>'Inflação Implícita'!E21-'Metas de Inflação'!E21</f>
        <v>-0.51277372262775334</v>
      </c>
      <c r="F21" s="3">
        <f>'Inflação Implícita'!F21-'Metas de Inflação'!F21</f>
        <v>-0.38428545354992227</v>
      </c>
      <c r="G21" s="3">
        <f>'Inflação Implícita'!G21-'Metas de Inflação'!G21</f>
        <v>-0.32915031486720636</v>
      </c>
      <c r="H21" s="3">
        <f>'Inflação Implícita'!H21-'Metas de Inflação'!H21</f>
        <v>-0.36565665784430035</v>
      </c>
      <c r="I21" s="3">
        <f>'Inflação Implícita'!I21-'Metas de Inflação'!I21</f>
        <v>-0.36565665784430035</v>
      </c>
      <c r="J21" s="3">
        <f>'Inflação Implícita'!J21-'Metas de Inflação'!J21</f>
        <v>-0.37478324358855719</v>
      </c>
      <c r="K21" s="3">
        <f>'Inflação Implícita'!K21-'Metas de Inflação'!K21</f>
        <v>-0.40216300082137213</v>
      </c>
      <c r="L21" s="3">
        <f>'Inflação Implícita'!L21-'Metas de Inflação'!L21</f>
        <v>-0.45692251528700201</v>
      </c>
      <c r="M21" s="3">
        <f>'Inflação Implícita'!M21-'Metas de Inflação'!M21</f>
        <v>-0.45692251528700201</v>
      </c>
      <c r="N21" s="3">
        <f>'Inflação Implícita'!N21-'Metas de Inflação'!N21</f>
        <v>-0.57556812996256301</v>
      </c>
      <c r="O21" s="3">
        <f>'Inflação Implícita'!O21-'Metas de Inflação'!O21</f>
        <v>-0.57556812996256301</v>
      </c>
      <c r="P21" s="3">
        <f>'Inflação Implícita'!P21-'Metas de Inflação'!P21</f>
        <v>-0.57556812996256301</v>
      </c>
      <c r="Q21" s="3">
        <f>'Inflação Implícita'!Q21-'Metas de Inflação'!Q21</f>
        <v>-0.57556812996256301</v>
      </c>
    </row>
    <row r="22" spans="1:17" ht="18.75" customHeight="1" x14ac:dyDescent="0.25">
      <c r="A22" s="2">
        <v>39021</v>
      </c>
      <c r="B22" s="3">
        <f>'Inflação Implícita'!B22-'Metas de Inflação'!B22</f>
        <v>-1.2400000000000002</v>
      </c>
      <c r="C22" s="3">
        <f>'Inflação Implícita'!C22-'Metas de Inflação'!C22</f>
        <v>-0.67822691777675459</v>
      </c>
      <c r="D22" s="3">
        <f>'Inflação Implícita'!D22-'Metas de Inflação'!D22</f>
        <v>-0.56024428322159636</v>
      </c>
      <c r="E22" s="3">
        <f>'Inflação Implícita'!E22-'Metas de Inflação'!E22</f>
        <v>-0.47173793356581495</v>
      </c>
      <c r="F22" s="3">
        <f>'Inflação Implícita'!F22-'Metas de Inflação'!F22</f>
        <v>-0.31382539245386631</v>
      </c>
      <c r="G22" s="3">
        <f>'Inflação Implícita'!G22-'Metas de Inflação'!G22</f>
        <v>-0.27787976135840875</v>
      </c>
      <c r="H22" s="3">
        <f>'Inflação Implícita'!H22-'Metas de Inflação'!H22</f>
        <v>-0.25034419458468005</v>
      </c>
      <c r="I22" s="3">
        <f>'Inflação Implícita'!I22-'Metas de Inflação'!I22</f>
        <v>-0.25034419458468005</v>
      </c>
      <c r="J22" s="3">
        <f>'Inflação Implícita'!J22-'Metas de Inflação'!J22</f>
        <v>-0.19527306103715603</v>
      </c>
      <c r="K22" s="3">
        <f>'Inflação Implícita'!K22-'Metas de Inflação'!K22</f>
        <v>-0.2044515832950804</v>
      </c>
      <c r="L22" s="3">
        <f>'Inflação Implícita'!L22-'Metas de Inflação'!L22</f>
        <v>-0.22280862781092914</v>
      </c>
      <c r="M22" s="3">
        <f>'Inflação Implícita'!M22-'Metas de Inflação'!M22</f>
        <v>-0.22280862781092914</v>
      </c>
      <c r="N22" s="3">
        <f>'Inflação Implícita'!N22-'Metas de Inflação'!N22</f>
        <v>-0.24116567232675568</v>
      </c>
      <c r="O22" s="3">
        <f>'Inflação Implícita'!O22-'Metas de Inflação'!O22</f>
        <v>-0.24116567232675568</v>
      </c>
      <c r="P22" s="3">
        <f>'Inflação Implícita'!P22-'Metas de Inflação'!P22</f>
        <v>-0.24116567232675568</v>
      </c>
      <c r="Q22" s="3">
        <f>'Inflação Implícita'!Q22-'Metas de Inflação'!Q22</f>
        <v>-0.24116567232675568</v>
      </c>
    </row>
    <row r="23" spans="1:17" ht="18.75" customHeight="1" x14ac:dyDescent="0.25">
      <c r="A23" s="2">
        <v>39051</v>
      </c>
      <c r="B23" s="3">
        <f>'Inflação Implícita'!B23-'Metas de Inflação'!B23</f>
        <v>-1.48</v>
      </c>
      <c r="C23" s="3">
        <f>'Inflação Implícita'!C23-'Metas de Inflação'!C23</f>
        <v>-0.23700758276308953</v>
      </c>
      <c r="D23" s="3">
        <f>'Inflação Implícita'!D23-'Metas de Inflação'!D23</f>
        <v>-0.3302583025830268</v>
      </c>
      <c r="E23" s="3">
        <f>'Inflação Implícita'!E23-'Metas de Inflação'!E23</f>
        <v>-0.28840659847018824</v>
      </c>
      <c r="F23" s="3">
        <f>'Inflação Implícita'!F23-'Metas de Inflação'!F23</f>
        <v>-0.23350534463693773</v>
      </c>
      <c r="G23" s="3">
        <f>'Inflação Implícita'!G23-'Metas de Inflação'!G23</f>
        <v>-0.1597862145226463</v>
      </c>
      <c r="H23" s="3">
        <f>'Inflação Implícita'!H23-'Metas de Inflação'!H23</f>
        <v>-0.13214154072980921</v>
      </c>
      <c r="I23" s="3">
        <f>'Inflação Implícita'!I23-'Metas de Inflação'!I23</f>
        <v>-0.13214154072980921</v>
      </c>
      <c r="J23" s="3">
        <f>'Inflação Implícita'!J23-'Metas de Inflação'!J23</f>
        <v>-0.14135643199409564</v>
      </c>
      <c r="K23" s="3">
        <f>'Inflação Implícita'!K23-'Metas de Inflação'!K23</f>
        <v>-0.1597862145226463</v>
      </c>
      <c r="L23" s="3">
        <f>'Inflação Implícita'!L23-'Metas de Inflação'!L23</f>
        <v>-0.16900110578693273</v>
      </c>
      <c r="M23" s="3">
        <f>'Inflação Implícita'!M23-'Metas de Inflação'!M23</f>
        <v>-0.16900110578693273</v>
      </c>
      <c r="N23" s="3">
        <f>'Inflação Implícita'!N23-'Metas de Inflação'!N23</f>
        <v>-0.17821599705124136</v>
      </c>
      <c r="O23" s="3">
        <f>'Inflação Implícita'!O23-'Metas de Inflação'!O23</f>
        <v>-0.17821599705124136</v>
      </c>
      <c r="P23" s="3">
        <f>'Inflação Implícita'!P23-'Metas de Inflação'!P23</f>
        <v>-0.17821599705124136</v>
      </c>
      <c r="Q23" s="3">
        <f>'Inflação Implícita'!Q23-'Metas de Inflação'!Q23</f>
        <v>-0.17821599705124136</v>
      </c>
    </row>
    <row r="24" spans="1:17" ht="18.75" customHeight="1" x14ac:dyDescent="0.25">
      <c r="A24" s="2">
        <v>39082</v>
      </c>
      <c r="B24" s="3">
        <f>'Inflação Implícita'!B24-'Metas de Inflação'!B24</f>
        <v>-1.3599999999999999</v>
      </c>
      <c r="C24" s="3">
        <f>'Inflação Implícita'!C24-'Metas de Inflação'!C24</f>
        <v>-0.44406889526809756</v>
      </c>
      <c r="D24" s="3">
        <f>'Inflação Implícita'!D24-'Metas de Inflação'!D24</f>
        <v>-0.48036491618040511</v>
      </c>
      <c r="E24" s="3">
        <f>'Inflação Implícita'!E24-'Metas de Inflação'!E24</f>
        <v>-0.4918541145978077</v>
      </c>
      <c r="F24" s="3">
        <f>'Inflação Implícita'!F24-'Metas de Inflação'!F24</f>
        <v>-0.44294183030753764</v>
      </c>
      <c r="G24" s="3">
        <f>'Inflação Implícita'!G24-'Metas de Inflação'!G24</f>
        <v>-0.44294183030753764</v>
      </c>
      <c r="H24" s="3">
        <f>'Inflação Implícita'!H24-'Metas de Inflação'!H24</f>
        <v>-0.45220452019268542</v>
      </c>
      <c r="I24" s="3">
        <f>'Inflação Implícita'!I24-'Metas de Inflação'!I24</f>
        <v>-0.45220452019268542</v>
      </c>
      <c r="J24" s="3">
        <f>'Inflação Implícita'!J24-'Metas de Inflação'!J24</f>
        <v>-0.40589107076696873</v>
      </c>
      <c r="K24" s="3">
        <f>'Inflação Implícita'!K24-'Metas de Inflação'!K24</f>
        <v>-0.43367914042238986</v>
      </c>
      <c r="L24" s="3">
        <f>'Inflação Implícita'!L24-'Metas de Inflação'!L24</f>
        <v>-0.44294183030753764</v>
      </c>
      <c r="M24" s="3">
        <f>'Inflação Implícita'!M24-'Metas de Inflação'!M24</f>
        <v>-0.44294183030753764</v>
      </c>
      <c r="N24" s="3">
        <f>'Inflação Implícita'!N24-'Metas de Inflação'!N24</f>
        <v>-0.45220452019268542</v>
      </c>
      <c r="O24" s="3">
        <f>'Inflação Implícita'!O24-'Metas de Inflação'!O24</f>
        <v>-0.45220452019268542</v>
      </c>
      <c r="P24" s="3">
        <f>'Inflação Implícita'!P24-'Metas de Inflação'!P24</f>
        <v>-0.45220452019268542</v>
      </c>
      <c r="Q24" s="3">
        <f>'Inflação Implícita'!Q24-'Metas de Inflação'!Q24</f>
        <v>-0.47072989996295878</v>
      </c>
    </row>
    <row r="25" spans="1:17" ht="18.75" customHeight="1" x14ac:dyDescent="0.25">
      <c r="A25" s="2">
        <v>39113</v>
      </c>
      <c r="B25" s="3">
        <f>'Inflação Implícita'!B25-'Metas de Inflação'!B25</f>
        <v>-1.5099999999999998</v>
      </c>
      <c r="C25" s="3">
        <f>'Inflação Implícita'!C25-'Metas de Inflação'!C25</f>
        <v>-0.35967188803410366</v>
      </c>
      <c r="D25" s="3">
        <f>'Inflação Implícita'!D25-'Metas de Inflação'!D25</f>
        <v>-0.36309247750672835</v>
      </c>
      <c r="E25" s="3">
        <f>'Inflação Implícita'!E25-'Metas de Inflação'!E25</f>
        <v>-0.36162122055279511</v>
      </c>
      <c r="F25" s="3">
        <f>'Inflação Implícita'!F25-'Metas de Inflação'!F25</f>
        <v>-0.40546802594994702</v>
      </c>
      <c r="G25" s="3">
        <f>'Inflação Implícita'!G25-'Metas de Inflação'!G25</f>
        <v>-0.38377050699785631</v>
      </c>
      <c r="H25" s="3">
        <f>'Inflação Implícita'!H25-'Metas de Inflação'!H25</f>
        <v>-0.36615997775511655</v>
      </c>
      <c r="I25" s="3">
        <f>'Inflação Implícita'!I25-'Metas de Inflação'!I25</f>
        <v>-0.36615997775511655</v>
      </c>
      <c r="J25" s="3">
        <f>'Inflação Implícita'!J25-'Metas de Inflação'!J25</f>
        <v>-0.30405969042544712</v>
      </c>
      <c r="K25" s="3">
        <f>'Inflação Implícita'!K25-'Metas de Inflação'!K25</f>
        <v>-0.29664473074427367</v>
      </c>
      <c r="L25" s="3">
        <f>'Inflação Implícita'!L25-'Metas de Inflação'!L25</f>
        <v>-0.29201038094353748</v>
      </c>
      <c r="M25" s="3">
        <f>'Inflação Implícita'!M25-'Metas de Inflação'!M25</f>
        <v>-0.29201038094353748</v>
      </c>
      <c r="N25" s="3">
        <f>'Inflação Implícita'!N25-'Metas de Inflação'!N25</f>
        <v>-0.28459542126240844</v>
      </c>
      <c r="O25" s="3">
        <f>'Inflação Implícita'!O25-'Metas de Inflação'!O25</f>
        <v>-0.28459542126240844</v>
      </c>
      <c r="P25" s="3">
        <f>'Inflação Implícita'!P25-'Metas de Inflação'!P25</f>
        <v>-0.28459542126240844</v>
      </c>
      <c r="Q25" s="3">
        <f>'Inflação Implícita'!Q25-'Metas de Inflação'!Q25</f>
        <v>-0.27810733154139555</v>
      </c>
    </row>
    <row r="26" spans="1:17" ht="18.75" customHeight="1" x14ac:dyDescent="0.25">
      <c r="A26" s="2">
        <v>39141</v>
      </c>
      <c r="B26" s="3">
        <f>'Inflação Implícita'!B26-'Metas de Inflação'!B26</f>
        <v>-1.48</v>
      </c>
      <c r="C26" s="3">
        <f>'Inflação Implícita'!C26-'Metas de Inflação'!C26</f>
        <v>-0.63916427313999868</v>
      </c>
      <c r="D26" s="3">
        <f>'Inflação Implícita'!D26-'Metas de Inflação'!D26</f>
        <v>-0.52860592551314411</v>
      </c>
      <c r="E26" s="3">
        <f>'Inflação Implícita'!E26-'Metas de Inflação'!E26</f>
        <v>-0.44423791821562464</v>
      </c>
      <c r="F26" s="3">
        <f>'Inflação Implícita'!F26-'Metas de Inflação'!F26</f>
        <v>-0.4762214378599321</v>
      </c>
      <c r="G26" s="3">
        <f>'Inflação Implícita'!G26-'Metas de Inflação'!G26</f>
        <v>-0.46693293702396321</v>
      </c>
      <c r="H26" s="3">
        <f>'Inflação Implícita'!H26-'Metas de Inflação'!H26</f>
        <v>-0.45392903585360234</v>
      </c>
      <c r="I26" s="3">
        <f>'Inflação Implícita'!I26-'Metas de Inflação'!I26</f>
        <v>-0.45392903585360234</v>
      </c>
      <c r="J26" s="3">
        <f>'Inflação Implícita'!J26-'Metas de Inflação'!J26</f>
        <v>-0.44185398476686721</v>
      </c>
      <c r="K26" s="3">
        <f>'Inflação Implícita'!K26-'Metas de Inflação'!K26</f>
        <v>-0.45950213635517922</v>
      </c>
      <c r="L26" s="3">
        <f>'Inflação Implícita'!L26-'Metas de Inflação'!L26</f>
        <v>-0.47343488760914365</v>
      </c>
      <c r="M26" s="3">
        <f>'Inflação Implícita'!M26-'Metas de Inflação'!M26</f>
        <v>-0.47343488760914365</v>
      </c>
      <c r="N26" s="3">
        <f>'Inflação Implícita'!N26-'Metas de Inflação'!N26</f>
        <v>-0.49572728961545121</v>
      </c>
      <c r="O26" s="3">
        <f>'Inflação Implícita'!O26-'Metas de Inflação'!O26</f>
        <v>-0.49572728961545121</v>
      </c>
      <c r="P26" s="3">
        <f>'Inflação Implícita'!P26-'Metas de Inflação'!P26</f>
        <v>-0.49572728961545121</v>
      </c>
      <c r="Q26" s="3">
        <f>'Inflação Implícita'!Q26-'Metas de Inflação'!Q26</f>
        <v>-0.51523314137099252</v>
      </c>
    </row>
    <row r="27" spans="1:17" ht="18.75" customHeight="1" x14ac:dyDescent="0.25">
      <c r="A27" s="2">
        <v>39172</v>
      </c>
      <c r="B27" s="3">
        <f>'Inflação Implícita'!B27-'Metas de Inflação'!B27</f>
        <v>-1.54</v>
      </c>
      <c r="C27" s="3">
        <f>'Inflação Implícita'!C27-'Metas de Inflação'!C27</f>
        <v>-1.0115203109095932</v>
      </c>
      <c r="D27" s="3">
        <f>'Inflação Implícita'!D27-'Metas de Inflação'!D27</f>
        <v>-0.89773465787764284</v>
      </c>
      <c r="E27" s="3">
        <f>'Inflação Implícita'!E27-'Metas de Inflação'!E27</f>
        <v>-0.70987998883616665</v>
      </c>
      <c r="F27" s="3">
        <f>'Inflação Implícita'!F27-'Metas de Inflação'!F27</f>
        <v>-0.6217650344442287</v>
      </c>
      <c r="G27" s="3">
        <f>'Inflação Implícita'!G27-'Metas de Inflação'!G27</f>
        <v>-0.57675111773470444</v>
      </c>
      <c r="H27" s="3">
        <f>'Inflação Implícita'!H27-'Metas de Inflação'!H27</f>
        <v>-0.56743666169894613</v>
      </c>
      <c r="I27" s="3">
        <f>'Inflação Implícita'!I27-'Metas de Inflação'!I27</f>
        <v>-0.56743666169894613</v>
      </c>
      <c r="J27" s="3">
        <f>'Inflação Implícita'!J27-'Metas de Inflação'!J27</f>
        <v>-0.56277943368106698</v>
      </c>
      <c r="K27" s="3">
        <f>'Inflação Implícita'!K27-'Metas de Inflação'!K27</f>
        <v>-0.57954545454544526</v>
      </c>
      <c r="L27" s="3">
        <f>'Inflação Implícita'!L27-'Metas de Inflação'!L27</f>
        <v>-0.58885991058120357</v>
      </c>
      <c r="M27" s="3">
        <f>'Inflação Implícita'!M27-'Metas de Inflação'!M27</f>
        <v>-0.58885991058120357</v>
      </c>
      <c r="N27" s="3">
        <f>'Inflação Implícita'!N27-'Metas de Inflação'!N27</f>
        <v>-0.60283159463486324</v>
      </c>
      <c r="O27" s="3">
        <f>'Inflação Implícita'!O27-'Metas de Inflação'!O27</f>
        <v>-0.60283159463486324</v>
      </c>
      <c r="P27" s="3">
        <f>'Inflação Implícita'!P27-'Metas de Inflação'!P27</f>
        <v>-0.60283159463486324</v>
      </c>
      <c r="Q27" s="3">
        <f>'Inflação Implícita'!Q27-'Metas de Inflação'!Q27</f>
        <v>-0.61587183308494264</v>
      </c>
    </row>
    <row r="28" spans="1:17" ht="18.75" customHeight="1" x14ac:dyDescent="0.25">
      <c r="A28" s="2">
        <v>39202</v>
      </c>
      <c r="B28" s="3">
        <f>'Inflação Implícita'!B28-'Metas de Inflação'!B28</f>
        <v>-1.5</v>
      </c>
      <c r="C28" s="3">
        <f>'Inflação Implícita'!C28-'Metas de Inflação'!C28</f>
        <v>-1.06537496515194</v>
      </c>
      <c r="D28" s="3">
        <f>'Inflação Implícita'!D28-'Metas de Inflação'!D28</f>
        <v>-0.94164332399625117</v>
      </c>
      <c r="E28" s="3">
        <f>'Inflação Implícita'!E28-'Metas de Inflação'!E28</f>
        <v>-0.88491060563514345</v>
      </c>
      <c r="F28" s="3">
        <f>'Inflação Implícita'!F28-'Metas de Inflação'!F28</f>
        <v>-0.70061931125083454</v>
      </c>
      <c r="G28" s="3">
        <f>'Inflação Implícita'!G28-'Metas de Inflação'!G28</f>
        <v>-0.59226721788968195</v>
      </c>
      <c r="H28" s="3">
        <f>'Inflação Implícita'!H28-'Metas de Inflação'!H28</f>
        <v>-0.61387766607160099</v>
      </c>
      <c r="I28" s="3">
        <f>'Inflação Implícita'!I28-'Metas de Inflação'!I28</f>
        <v>-0.61387766607160099</v>
      </c>
      <c r="J28" s="3">
        <f>'Inflação Implícita'!J28-'Metas de Inflação'!J28</f>
        <v>-0.61105891196090045</v>
      </c>
      <c r="K28" s="3">
        <f>'Inflação Implícita'!K28-'Metas de Inflação'!K28</f>
        <v>-0.61481725077515303</v>
      </c>
      <c r="L28" s="3">
        <f>'Inflação Implícita'!L28-'Metas de Inflação'!L28</f>
        <v>-0.61481725077515303</v>
      </c>
      <c r="M28" s="3">
        <f>'Inflação Implícita'!M28-'Metas de Inflação'!M28</f>
        <v>-0.61481725077515303</v>
      </c>
      <c r="N28" s="3">
        <f>'Inflação Implícita'!N28-'Metas de Inflação'!N28</f>
        <v>-0.61857558958940562</v>
      </c>
      <c r="O28" s="3">
        <f>'Inflação Implícita'!O28-'Metas de Inflação'!O28</f>
        <v>-0.61857558958940562</v>
      </c>
      <c r="P28" s="3">
        <f>'Inflação Implícita'!P28-'Metas de Inflação'!P28</f>
        <v>-0.61857558958940562</v>
      </c>
      <c r="Q28" s="3">
        <f>'Inflação Implícita'!Q28-'Metas de Inflação'!Q28</f>
        <v>-0.62139434370008395</v>
      </c>
    </row>
    <row r="29" spans="1:17" ht="18.75" customHeight="1" x14ac:dyDescent="0.25">
      <c r="A29" s="2">
        <v>39233</v>
      </c>
      <c r="B29" s="3">
        <f>'Inflação Implícita'!B29-'Metas de Inflação'!B29</f>
        <v>-1.3199999999999998</v>
      </c>
      <c r="C29" s="3">
        <f>'Inflação Implícita'!C29-'Metas de Inflação'!C29</f>
        <v>-1.2054443927408025</v>
      </c>
      <c r="D29" s="3">
        <f>'Inflação Implícita'!D29-'Metas de Inflação'!D29</f>
        <v>-1.0443310551446388</v>
      </c>
      <c r="E29" s="3">
        <f>'Inflação Implícita'!E29-'Metas de Inflação'!E29</f>
        <v>-1.0149666885615209</v>
      </c>
      <c r="F29" s="3">
        <f>'Inflação Implícita'!F29-'Metas de Inflação'!F29</f>
        <v>-0.8556851311953233</v>
      </c>
      <c r="G29" s="3">
        <f>'Inflação Implícita'!G29-'Metas de Inflação'!G29</f>
        <v>-0.75129509277574602</v>
      </c>
      <c r="H29" s="3">
        <f>'Inflação Implícita'!H29-'Metas de Inflação'!H29</f>
        <v>-0.79744748987474345</v>
      </c>
      <c r="I29" s="3">
        <f>'Inflação Implícita'!I29-'Metas de Inflação'!I29</f>
        <v>-0.79744748987474345</v>
      </c>
      <c r="J29" s="3">
        <f>'Inflação Implícita'!J29-'Metas de Inflação'!J29</f>
        <v>-0.82947160214750948</v>
      </c>
      <c r="K29" s="3">
        <f>'Inflação Implícita'!K29-'Metas de Inflação'!K29</f>
        <v>-0.84548365828388139</v>
      </c>
      <c r="L29" s="3">
        <f>'Inflação Implícita'!L29-'Metas de Inflação'!L29</f>
        <v>-0.87468211359141446</v>
      </c>
      <c r="M29" s="3">
        <f>'Inflação Implícita'!M29-'Metas de Inflação'!M29</f>
        <v>-0.88786851276255341</v>
      </c>
      <c r="N29" s="3">
        <f>'Inflação Implícita'!N29-'Metas de Inflação'!N29</f>
        <v>-0.90858999717434319</v>
      </c>
      <c r="O29" s="3">
        <f>'Inflação Implícita'!O29-'Metas de Inflação'!O29</f>
        <v>-0.90858999717434319</v>
      </c>
      <c r="P29" s="3">
        <f>'Inflação Implícita'!P29-'Metas de Inflação'!P29</f>
        <v>-0.90858999717434319</v>
      </c>
      <c r="Q29" s="3">
        <f>'Inflação Implícita'!Q29-'Metas de Inflação'!Q29</f>
        <v>-0.93778845248187626</v>
      </c>
    </row>
    <row r="30" spans="1:17" ht="18.75" customHeight="1" x14ac:dyDescent="0.25">
      <c r="A30" s="2">
        <v>39263</v>
      </c>
      <c r="B30" s="3">
        <f>'Inflação Implícita'!B30-'Metas de Inflação'!B30</f>
        <v>-0.81</v>
      </c>
      <c r="C30" s="3">
        <f>'Inflação Implícita'!C30-'Metas de Inflação'!C30</f>
        <v>-0.95975507151538508</v>
      </c>
      <c r="D30" s="3">
        <f>'Inflação Implícita'!D30-'Metas de Inflação'!D30</f>
        <v>-0.70097579283168887</v>
      </c>
      <c r="E30" s="3">
        <f>'Inflação Implícita'!E30-'Metas de Inflação'!E30</f>
        <v>-0.64265603003284699</v>
      </c>
      <c r="F30" s="3">
        <f>'Inflação Implícita'!F30-'Metas de Inflação'!F30</f>
        <v>-0.52235371466139036</v>
      </c>
      <c r="G30" s="3">
        <f>'Inflação Implícita'!G30-'Metas de Inflação'!G30</f>
        <v>-0.49661685931772936</v>
      </c>
      <c r="H30" s="3">
        <f>'Inflação Implícita'!H30-'Metas de Inflação'!H30</f>
        <v>-0.47442888032341468</v>
      </c>
      <c r="I30" s="3">
        <f>'Inflação Implícita'!I30-'Metas de Inflação'!I30</f>
        <v>-0.47442888032341468</v>
      </c>
      <c r="J30" s="3">
        <f>'Inflação Implícita'!J30-'Metas de Inflação'!J30</f>
        <v>-0.39651928504232536</v>
      </c>
      <c r="K30" s="3">
        <f>'Inflação Implícita'!K30-'Metas de Inflação'!K30</f>
        <v>-0.31960267394784569</v>
      </c>
      <c r="L30" s="3">
        <f>'Inflação Implícita'!L30-'Metas de Inflação'!L30</f>
        <v>-0.26071596796986718</v>
      </c>
      <c r="M30" s="3">
        <f>'Inflação Implícita'!M30-'Metas de Inflação'!M30</f>
        <v>-0.26071596796986718</v>
      </c>
      <c r="N30" s="3">
        <f>'Inflação Implícita'!N30-'Metas de Inflação'!N30</f>
        <v>-0.26071596796986718</v>
      </c>
      <c r="O30" s="3">
        <f>'Inflação Implícita'!O30-'Metas de Inflação'!O30</f>
        <v>-0.26071596796986718</v>
      </c>
      <c r="P30" s="3">
        <f>'Inflação Implícita'!P30-'Metas de Inflação'!P30</f>
        <v>-0.26071596796986718</v>
      </c>
      <c r="Q30" s="3">
        <f>'Inflação Implícita'!Q30-'Metas de Inflação'!Q30</f>
        <v>-0.26071596796986718</v>
      </c>
    </row>
    <row r="31" spans="1:17" ht="18.75" customHeight="1" x14ac:dyDescent="0.25">
      <c r="A31" s="2">
        <v>39294</v>
      </c>
      <c r="B31" s="3">
        <f>'Inflação Implícita'!B31-'Metas de Inflação'!B31</f>
        <v>-0.75999999999999979</v>
      </c>
      <c r="C31" s="3">
        <f>'Inflação Implícita'!C31-'Metas de Inflação'!C31</f>
        <v>-0.67688348151613997</v>
      </c>
      <c r="D31" s="3">
        <f>'Inflação Implícita'!D31-'Metas de Inflação'!D31</f>
        <v>-0.53708212379438169</v>
      </c>
      <c r="E31" s="3">
        <f>'Inflação Implícita'!E31-'Metas de Inflação'!E31</f>
        <v>-0.48482719865131241</v>
      </c>
      <c r="F31" s="3">
        <f>'Inflação Implícita'!F31-'Metas de Inflação'!F31</f>
        <v>-0.4344262295081851</v>
      </c>
      <c r="G31" s="3">
        <f>'Inflação Implícita'!G31-'Metas de Inflação'!G31</f>
        <v>-0.42429494987351202</v>
      </c>
      <c r="H31" s="3">
        <f>'Inflação Implícita'!H31-'Metas de Inflação'!H31</f>
        <v>-0.42148411880445646</v>
      </c>
      <c r="I31" s="3">
        <f>'Inflação Implícita'!I31-'Metas de Inflação'!I31</f>
        <v>-0.42148411880445646</v>
      </c>
      <c r="J31" s="3">
        <f>'Inflação Implícita'!J31-'Metas de Inflação'!J31</f>
        <v>-0.33364591147787159</v>
      </c>
      <c r="K31" s="3">
        <f>'Inflação Implícita'!K31-'Metas de Inflação'!K31</f>
        <v>-0.29416455577447476</v>
      </c>
      <c r="L31" s="3">
        <f>'Inflação Implícita'!L31-'Metas de Inflação'!L31</f>
        <v>-0.26442984514312862</v>
      </c>
      <c r="M31" s="3">
        <f>'Inflação Implícita'!M31-'Metas de Inflação'!M31</f>
        <v>-0.27193805725012776</v>
      </c>
      <c r="N31" s="3">
        <f>'Inflação Implícita'!N31-'Metas de Inflação'!N31</f>
        <v>-0.27663068981698835</v>
      </c>
      <c r="O31" s="3">
        <f>'Inflação Implícita'!O31-'Metas de Inflação'!O31</f>
        <v>-0.27663068981698835</v>
      </c>
      <c r="P31" s="3">
        <f>'Inflação Implícita'!P31-'Metas de Inflação'!P31</f>
        <v>-0.27663068981698835</v>
      </c>
      <c r="Q31" s="3">
        <f>'Inflação Implícita'!Q31-'Metas de Inflação'!Q31</f>
        <v>-0.28132332238387114</v>
      </c>
    </row>
    <row r="32" spans="1:17" ht="18.75" customHeight="1" x14ac:dyDescent="0.25">
      <c r="A32" s="2">
        <v>39325</v>
      </c>
      <c r="B32" s="3">
        <f>'Inflação Implícita'!B32-'Metas de Inflação'!B32</f>
        <v>-0.32000000000000028</v>
      </c>
      <c r="C32" s="3">
        <f>'Inflação Implícita'!C32-'Metas de Inflação'!C32</f>
        <v>5.3563045723407754E-2</v>
      </c>
      <c r="D32" s="3">
        <f>'Inflação Implícita'!D32-'Metas de Inflação'!D32</f>
        <v>-2.7619403682595411E-2</v>
      </c>
      <c r="E32" s="3">
        <f>'Inflação Implícita'!E32-'Metas de Inflação'!E32</f>
        <v>-3.8849458348895638E-2</v>
      </c>
      <c r="F32" s="3">
        <f>'Inflação Implícita'!F32-'Metas de Inflação'!F32</f>
        <v>-4.9122151662313485E-2</v>
      </c>
      <c r="G32" s="3">
        <f>'Inflação Implícita'!G32-'Metas de Inflação'!G32</f>
        <v>-5.2339153982623898E-2</v>
      </c>
      <c r="H32" s="3">
        <f>'Inflação Implícita'!H32-'Metas de Inflação'!H32</f>
        <v>-6.8627450980381255E-2</v>
      </c>
      <c r="I32" s="3">
        <f>'Inflação Implícita'!I32-'Metas de Inflação'!I32</f>
        <v>-6.8627450980381255E-2</v>
      </c>
      <c r="J32" s="3">
        <f>'Inflação Implícita'!J32-'Metas de Inflação'!J32</f>
        <v>-1.0509107893515335E-2</v>
      </c>
      <c r="K32" s="3">
        <f>'Inflação Implícita'!K32-'Metas de Inflação'!K32</f>
        <v>-6.3527653213784063E-3</v>
      </c>
      <c r="L32" s="3">
        <f>'Inflação Implícita'!L32-'Metas de Inflação'!L32</f>
        <v>5.2252757524777316E-2</v>
      </c>
      <c r="M32" s="3">
        <f>'Inflação Implícita'!M32-'Metas de Inflação'!M32</f>
        <v>5.2252757524777316E-2</v>
      </c>
      <c r="N32" s="3">
        <f>'Inflação Implícita'!N32-'Metas de Inflação'!N32</f>
        <v>5.2252757524777316E-2</v>
      </c>
      <c r="O32" s="3">
        <f>'Inflação Implícita'!O32-'Metas de Inflação'!O32</f>
        <v>5.2252757524777316E-2</v>
      </c>
      <c r="P32" s="3">
        <f>'Inflação Implícita'!P32-'Metas de Inflação'!P32</f>
        <v>5.2252757524777316E-2</v>
      </c>
      <c r="Q32" s="3">
        <f>'Inflação Implícita'!Q32-'Metas de Inflação'!Q32</f>
        <v>5.2252757524777316E-2</v>
      </c>
    </row>
    <row r="33" spans="1:17" ht="18.75" customHeight="1" x14ac:dyDescent="0.25">
      <c r="A33" s="2">
        <v>39355</v>
      </c>
      <c r="B33" s="3">
        <f>'Inflação Implícita'!B33-'Metas de Inflação'!B33</f>
        <v>-0.34999999999999964</v>
      </c>
      <c r="C33" s="3">
        <f>'Inflação Implícita'!C33-'Metas de Inflação'!C33</f>
        <v>-0.20972886762361131</v>
      </c>
      <c r="D33" s="3">
        <f>'Inflação Implícita'!D33-'Metas de Inflação'!D33</f>
        <v>-0.2287373548145526</v>
      </c>
      <c r="E33" s="3">
        <f>'Inflação Implícita'!E33-'Metas de Inflação'!E33</f>
        <v>-0.19167369111175603</v>
      </c>
      <c r="F33" s="3">
        <f>'Inflação Implícita'!F33-'Metas de Inflação'!F33</f>
        <v>-0.19046280682029781</v>
      </c>
      <c r="G33" s="3">
        <f>'Inflação Implícita'!G33-'Metas de Inflação'!G33</f>
        <v>-0.17600487210716764</v>
      </c>
      <c r="H33" s="3">
        <f>'Inflação Implícita'!H33-'Metas de Inflação'!H33</f>
        <v>-0.19408017984264436</v>
      </c>
      <c r="I33" s="3">
        <f>'Inflação Implícita'!I33-'Metas de Inflação'!I33</f>
        <v>-0.19408017984264436</v>
      </c>
      <c r="J33" s="3">
        <f>'Inflação Implícita'!J33-'Metas de Inflação'!J33</f>
        <v>-0.10929883764528459</v>
      </c>
      <c r="K33" s="3">
        <f>'Inflação Implícita'!K33-'Metas de Inflação'!K33</f>
        <v>-7.8059071729959406E-2</v>
      </c>
      <c r="L33" s="3">
        <f>'Inflação Implícita'!L33-'Metas de Inflação'!L33</f>
        <v>-7.9934364744500996E-2</v>
      </c>
      <c r="M33" s="3">
        <f>'Inflação Implícita'!M33-'Metas de Inflação'!M33</f>
        <v>-8.3684950773561972E-2</v>
      </c>
      <c r="N33" s="3">
        <f>'Inflação Implícita'!N33-'Metas de Inflação'!N33</f>
        <v>-8.6497890295363256E-2</v>
      </c>
      <c r="O33" s="3">
        <f>'Inflação Implícita'!O33-'Metas de Inflação'!O33</f>
        <v>-8.6497890295363256E-2</v>
      </c>
      <c r="P33" s="3">
        <f>'Inflação Implícita'!P33-'Metas de Inflação'!P33</f>
        <v>-8.6497890295363256E-2</v>
      </c>
      <c r="Q33" s="3">
        <f>'Inflação Implícita'!Q33-'Metas de Inflação'!Q33</f>
        <v>-8.8373183309882641E-2</v>
      </c>
    </row>
    <row r="34" spans="1:17" ht="18.75" customHeight="1" x14ac:dyDescent="0.25">
      <c r="A34" s="2">
        <v>39386</v>
      </c>
      <c r="B34" s="3">
        <f>'Inflação Implícita'!B34-'Metas de Inflação'!B34</f>
        <v>-0.37999999999999989</v>
      </c>
      <c r="C34" s="3">
        <f>'Inflação Implícita'!C34-'Metas de Inflação'!C34</f>
        <v>-0.49046907120163397</v>
      </c>
      <c r="D34" s="3">
        <f>'Inflação Implícita'!D34-'Metas de Inflação'!D34</f>
        <v>-0.38855702818741555</v>
      </c>
      <c r="E34" s="3">
        <f>'Inflação Implícita'!E34-'Metas de Inflação'!E34</f>
        <v>-0.28829459535143087</v>
      </c>
      <c r="F34" s="3">
        <f>'Inflação Implícita'!F34-'Metas de Inflação'!F34</f>
        <v>-0.25217107106173131</v>
      </c>
      <c r="G34" s="3">
        <f>'Inflação Implícita'!G34-'Metas de Inflação'!G34</f>
        <v>-0.25870762909701739</v>
      </c>
      <c r="H34" s="3">
        <f>'Inflação Implícita'!H34-'Metas de Inflação'!H34</f>
        <v>-0.22442120985809044</v>
      </c>
      <c r="I34" s="3">
        <f>'Inflação Implícita'!I34-'Metas de Inflação'!I34</f>
        <v>-0.22442120985809044</v>
      </c>
      <c r="J34" s="3">
        <f>'Inflação Implícita'!J34-'Metas de Inflação'!J34</f>
        <v>-9.5927517280032681E-2</v>
      </c>
      <c r="K34" s="3">
        <f>'Inflação Implícita'!K34-'Metas de Inflação'!K34</f>
        <v>-3.5931221381198419E-2</v>
      </c>
      <c r="L34" s="3">
        <f>'Inflação Implícita'!L34-'Metas de Inflação'!L34</f>
        <v>1.7760329033373878E-3</v>
      </c>
      <c r="M34" s="3">
        <f>'Inflação Implícita'!M34-'Metas de Inflação'!M34</f>
        <v>3.6455412226450434E-3</v>
      </c>
      <c r="N34" s="3">
        <f>'Inflação Implícita'!N34-'Metas de Inflação'!N34</f>
        <v>1.3927836978859354E-2</v>
      </c>
      <c r="O34" s="3">
        <f>'Inflação Implícita'!O34-'Metas de Inflação'!O34</f>
        <v>1.3927836978859354E-2</v>
      </c>
      <c r="P34" s="3">
        <f>'Inflação Implícita'!P34-'Metas de Inflação'!P34</f>
        <v>1.3927836978859354E-2</v>
      </c>
      <c r="Q34" s="3">
        <f>'Inflação Implícita'!Q34-'Metas de Inflação'!Q34</f>
        <v>2.3275378575419836E-2</v>
      </c>
    </row>
    <row r="35" spans="1:17" ht="18.75" customHeight="1" x14ac:dyDescent="0.25">
      <c r="A35" s="2">
        <v>39416</v>
      </c>
      <c r="B35" s="3">
        <f>'Inflação Implícita'!B35-'Metas de Inflação'!B35</f>
        <v>-0.30999999999999961</v>
      </c>
      <c r="C35" s="3">
        <f>'Inflação Implícita'!C35-'Metas de Inflação'!C35</f>
        <v>2.8849756463082521E-2</v>
      </c>
      <c r="D35" s="3">
        <f>'Inflação Implícita'!D35-'Metas de Inflação'!D35</f>
        <v>5.138966610706408E-2</v>
      </c>
      <c r="E35" s="3">
        <f>'Inflação Implícita'!E35-'Metas de Inflação'!E35</f>
        <v>0.11767719102170737</v>
      </c>
      <c r="F35" s="3">
        <f>'Inflação Implícita'!F35-'Metas de Inflação'!F35</f>
        <v>0.14289039947853865</v>
      </c>
      <c r="G35" s="3">
        <f>'Inflação Implícita'!G35-'Metas de Inflação'!G35</f>
        <v>0.20024204058834272</v>
      </c>
      <c r="H35" s="3">
        <f>'Inflação Implícita'!H35-'Metas de Inflação'!H35</f>
        <v>0.2101516702335422</v>
      </c>
      <c r="I35" s="3">
        <f>'Inflação Implícita'!I35-'Metas de Inflação'!I35</f>
        <v>0.2101516702335422</v>
      </c>
      <c r="J35" s="3">
        <f>'Inflação Implícita'!J35-'Metas de Inflação'!J35</f>
        <v>0.2799795329798167</v>
      </c>
      <c r="K35" s="3">
        <f>'Inflação Implícita'!K35-'Metas de Inflação'!K35</f>
        <v>0.31529729226759518</v>
      </c>
      <c r="L35" s="3">
        <f>'Inflação Implícita'!L35-'Metas de Inflação'!L35</f>
        <v>0.37246322844905322</v>
      </c>
      <c r="M35" s="3">
        <f>'Inflação Implícita'!M35-'Metas de Inflação'!M35</f>
        <v>0.37432507912866075</v>
      </c>
      <c r="N35" s="3">
        <f>'Inflação Implícita'!N35-'Metas de Inflação'!N35</f>
        <v>0.38642710854587659</v>
      </c>
      <c r="O35" s="3">
        <f>'Inflação Implícita'!O35-'Metas de Inflação'!O35</f>
        <v>0.38642710854587659</v>
      </c>
      <c r="P35" s="3">
        <f>'Inflação Implícita'!P35-'Metas de Inflação'!P35</f>
        <v>0.38642710854587659</v>
      </c>
      <c r="Q35" s="3">
        <f>'Inflação Implícita'!Q35-'Metas de Inflação'!Q35</f>
        <v>0.3966672872835515</v>
      </c>
    </row>
    <row r="36" spans="1:17" ht="18.75" customHeight="1" x14ac:dyDescent="0.25">
      <c r="A36" s="2">
        <v>39447</v>
      </c>
      <c r="B36" s="3">
        <f>'Inflação Implícita'!B36-'Metas de Inflação'!B36</f>
        <v>-4.0000000000000036E-2</v>
      </c>
      <c r="C36" s="3">
        <f>'Inflação Implícita'!C36-'Metas de Inflação'!C36</f>
        <v>0.62430809644430774</v>
      </c>
      <c r="D36" s="3">
        <f>'Inflação Implícita'!D36-'Metas de Inflação'!D36</f>
        <v>0.52187878223627759</v>
      </c>
      <c r="E36" s="3">
        <f>'Inflação Implícita'!E36-'Metas de Inflação'!E36</f>
        <v>0.53998512181513814</v>
      </c>
      <c r="F36" s="3">
        <f>'Inflação Implícita'!F36-'Metas de Inflação'!F36</f>
        <v>0.49814126394051428</v>
      </c>
      <c r="G36" s="3">
        <f>'Inflação Implícita'!G36-'Metas de Inflação'!G36</f>
        <v>0.47584092176175385</v>
      </c>
      <c r="H36" s="3">
        <f>'Inflação Implícita'!H36-'Metas de Inflação'!H36</f>
        <v>0.52927237245609504</v>
      </c>
      <c r="I36" s="3">
        <f>'Inflação Implícita'!I36-'Metas de Inflação'!I36</f>
        <v>0.52927237245609504</v>
      </c>
      <c r="J36" s="3">
        <f>'Inflação Implícita'!J36-'Metas de Inflação'!J36</f>
        <v>0.70513536142899191</v>
      </c>
      <c r="K36" s="3">
        <f>'Inflação Implícita'!K36-'Metas de Inflação'!K36</f>
        <v>0.77467411545623488</v>
      </c>
      <c r="L36" s="3">
        <f>'Inflação Implícita'!L36-'Metas de Inflação'!L36</f>
        <v>0.92191142191141839</v>
      </c>
      <c r="M36" s="3">
        <f>'Inflação Implícita'!M36-'Metas de Inflação'!M36</f>
        <v>0.92191142191141839</v>
      </c>
      <c r="N36" s="3">
        <f>'Inflação Implícita'!N36-'Metas de Inflação'!N36</f>
        <v>0.92191142191141839</v>
      </c>
      <c r="O36" s="3">
        <f>'Inflação Implícita'!O36-'Metas de Inflação'!O36</f>
        <v>0.92191142191141839</v>
      </c>
      <c r="P36" s="3">
        <f>'Inflação Implícita'!P36-'Metas de Inflação'!P36</f>
        <v>0.92191142191141839</v>
      </c>
      <c r="Q36" s="3">
        <f>'Inflação Implícita'!Q36-'Metas de Inflação'!Q36</f>
        <v>0.92191142191141839</v>
      </c>
    </row>
    <row r="37" spans="1:17" ht="18.75" customHeight="1" x14ac:dyDescent="0.25">
      <c r="A37" s="2">
        <v>39478</v>
      </c>
      <c r="B37" s="3">
        <f>'Inflação Implícita'!B37-'Metas de Inflação'!B37</f>
        <v>5.9999999999999609E-2</v>
      </c>
      <c r="C37" s="3">
        <f>'Inflação Implícita'!C37-'Metas de Inflação'!C37</f>
        <v>0.64870062857677446</v>
      </c>
      <c r="D37" s="3">
        <f>'Inflação Implícita'!D37-'Metas de Inflação'!D37</f>
        <v>0.62354312354312835</v>
      </c>
      <c r="E37" s="3">
        <f>'Inflação Implícita'!E37-'Metas de Inflação'!E37</f>
        <v>0.53115989210305425</v>
      </c>
      <c r="F37" s="3">
        <f>'Inflação Implícita'!F37-'Metas de Inflação'!F37</f>
        <v>0.45258460394198963</v>
      </c>
      <c r="G37" s="3">
        <f>'Inflação Implícita'!G37-'Metas de Inflação'!G37</f>
        <v>0.53209003813598343</v>
      </c>
      <c r="H37" s="3">
        <f>'Inflação Implícita'!H37-'Metas de Inflação'!H37</f>
        <v>0.52650423137731561</v>
      </c>
      <c r="I37" s="3">
        <f>'Inflação Implícita'!I37-'Metas de Inflação'!I37</f>
        <v>0.52650423137731561</v>
      </c>
      <c r="J37" s="3">
        <f>'Inflação Implícita'!J37-'Metas de Inflação'!J37</f>
        <v>0.70532638048234464</v>
      </c>
      <c r="K37" s="3">
        <f>'Inflação Implícita'!K37-'Metas de Inflação'!K37</f>
        <v>0.73521192361435794</v>
      </c>
      <c r="L37" s="3">
        <f>'Inflação Implícita'!L37-'Metas de Inflação'!L37</f>
        <v>0.79406282039333043</v>
      </c>
      <c r="M37" s="3">
        <f>'Inflação Implícita'!M37-'Metas de Inflação'!M37</f>
        <v>0.79406282039333043</v>
      </c>
      <c r="N37" s="3">
        <f>'Inflação Implícita'!N37-'Metas de Inflação'!N37</f>
        <v>0.79406282039333043</v>
      </c>
      <c r="O37" s="3">
        <f>'Inflação Implícita'!O37-'Metas de Inflação'!O37</f>
        <v>0.79406282039333043</v>
      </c>
      <c r="P37" s="3">
        <f>'Inflação Implícita'!P37-'Metas de Inflação'!P37</f>
        <v>0.79406282039333043</v>
      </c>
      <c r="Q37" s="3">
        <f>'Inflação Implícita'!Q37-'Metas de Inflação'!Q37</f>
        <v>0.79406282039333043</v>
      </c>
    </row>
    <row r="38" spans="1:17" ht="18.75" customHeight="1" x14ac:dyDescent="0.25">
      <c r="A38" s="2">
        <v>39507</v>
      </c>
      <c r="B38" s="3">
        <f>'Inflação Implícita'!B38-'Metas de Inflação'!B38</f>
        <v>0.11000000000000032</v>
      </c>
      <c r="C38" s="3">
        <f>'Inflação Implícita'!C38-'Metas de Inflação'!C38</f>
        <v>0.22817441751660628</v>
      </c>
      <c r="D38" s="3">
        <f>'Inflação Implícita'!D38-'Metas de Inflação'!D38</f>
        <v>0.29828566104538723</v>
      </c>
      <c r="E38" s="3">
        <f>'Inflação Implícita'!E38-'Metas de Inflação'!E38</f>
        <v>0.36441151803187477</v>
      </c>
      <c r="F38" s="3">
        <f>'Inflação Implícita'!F38-'Metas de Inflação'!F38</f>
        <v>0.3527493010251721</v>
      </c>
      <c r="G38" s="3">
        <f>'Inflação Implícita'!G38-'Metas de Inflação'!G38</f>
        <v>0.41097231285542168</v>
      </c>
      <c r="H38" s="3">
        <f>'Inflação Implícita'!H38-'Metas de Inflação'!H38</f>
        <v>0.46455223880596375</v>
      </c>
      <c r="I38" s="3">
        <f>'Inflação Implícita'!I38-'Metas de Inflação'!I38</f>
        <v>0.46455223880596375</v>
      </c>
      <c r="J38" s="3">
        <f>'Inflação Implícita'!J38-'Metas de Inflação'!J38</f>
        <v>0.61349836524988</v>
      </c>
      <c r="K38" s="3">
        <f>'Inflação Implícita'!K38-'Metas de Inflação'!K38</f>
        <v>0.64064106158302891</v>
      </c>
      <c r="L38" s="3">
        <f>'Inflação Implícita'!L38-'Metas de Inflação'!L38</f>
        <v>0.69869097709209083</v>
      </c>
      <c r="M38" s="3">
        <f>'Inflação Implícita'!M38-'Metas de Inflação'!M38</f>
        <v>0.69869097709209083</v>
      </c>
      <c r="N38" s="3">
        <f>'Inflação Implícita'!N38-'Metas de Inflação'!N38</f>
        <v>0.71645628798503846</v>
      </c>
      <c r="O38" s="3">
        <f>'Inflação Implícita'!O38-'Metas de Inflação'!O38</f>
        <v>0.71645628798503846</v>
      </c>
      <c r="P38" s="3">
        <f>'Inflação Implícita'!P38-'Metas de Inflação'!P38</f>
        <v>0.72674146797568184</v>
      </c>
      <c r="Q38" s="3">
        <f>'Inflação Implícita'!Q38-'Metas de Inflação'!Q38</f>
        <v>0.72674146797568184</v>
      </c>
    </row>
    <row r="39" spans="1:17" ht="18.75" customHeight="1" x14ac:dyDescent="0.25">
      <c r="A39" s="2">
        <v>39538</v>
      </c>
      <c r="B39" s="3">
        <f>'Inflação Implícita'!B39-'Metas de Inflação'!B39</f>
        <v>0.23000000000000043</v>
      </c>
      <c r="C39" s="3">
        <f>'Inflação Implícita'!C39-'Metas de Inflação'!C39</f>
        <v>0.14574240876589606</v>
      </c>
      <c r="D39" s="3">
        <f>'Inflação Implícita'!D39-'Metas de Inflação'!D39</f>
        <v>0.20751316883837312</v>
      </c>
      <c r="E39" s="3">
        <f>'Inflação Implícita'!E39-'Metas de Inflação'!E39</f>
        <v>0.27026902098547367</v>
      </c>
      <c r="F39" s="3">
        <f>'Inflação Implícita'!F39-'Metas de Inflação'!F39</f>
        <v>0.27440828402369011</v>
      </c>
      <c r="G39" s="3">
        <f>'Inflação Implícita'!G39-'Metas de Inflação'!G39</f>
        <v>0.35288675055512986</v>
      </c>
      <c r="H39" s="3">
        <f>'Inflação Implícita'!H39-'Metas de Inflação'!H39</f>
        <v>0.45878484764287197</v>
      </c>
      <c r="I39" s="3">
        <f>'Inflação Implícita'!I39-'Metas de Inflação'!I39</f>
        <v>0.45878484764287197</v>
      </c>
      <c r="J39" s="3">
        <f>'Inflação Implícita'!J39-'Metas de Inflação'!J39</f>
        <v>0.65868596881960961</v>
      </c>
      <c r="K39" s="3">
        <f>'Inflação Implícita'!K39-'Metas de Inflação'!K39</f>
        <v>0.6893798737467467</v>
      </c>
      <c r="L39" s="3">
        <f>'Inflação Implícita'!L39-'Metas de Inflação'!L39</f>
        <v>0.71868325749836881</v>
      </c>
      <c r="M39" s="3">
        <f>'Inflação Implícita'!M39-'Metas de Inflação'!M39</f>
        <v>0.71868325749836881</v>
      </c>
      <c r="N39" s="3">
        <f>'Inflação Implícita'!N39-'Metas de Inflação'!N39</f>
        <v>0.71868325749836881</v>
      </c>
      <c r="O39" s="3">
        <f>'Inflação Implícita'!O39-'Metas de Inflação'!O39</f>
        <v>0.71868325749836881</v>
      </c>
      <c r="P39" s="3">
        <f>'Inflação Implícita'!P39-'Metas de Inflação'!P39</f>
        <v>0.71868325749836881</v>
      </c>
      <c r="Q39" s="3">
        <f>'Inflação Implícita'!Q39-'Metas de Inflação'!Q39</f>
        <v>0.71868325749836881</v>
      </c>
    </row>
    <row r="40" spans="1:17" ht="18.75" customHeight="1" x14ac:dyDescent="0.25">
      <c r="A40" s="2">
        <v>39568</v>
      </c>
      <c r="B40" s="3">
        <f>'Inflação Implícita'!B40-'Metas de Inflação'!B40</f>
        <v>0.54</v>
      </c>
      <c r="C40" s="3">
        <f>'Inflação Implícita'!C40-'Metas de Inflação'!C40</f>
        <v>0.72167487684728204</v>
      </c>
      <c r="D40" s="3">
        <f>'Inflação Implícita'!D40-'Metas de Inflação'!D40</f>
        <v>0.73042754025540013</v>
      </c>
      <c r="E40" s="3">
        <f>'Inflação Implícita'!E40-'Metas de Inflação'!E40</f>
        <v>0.77178442448374973</v>
      </c>
      <c r="F40" s="3">
        <f>'Inflação Implícita'!F40-'Metas de Inflação'!F40</f>
        <v>0.78022232515055201</v>
      </c>
      <c r="G40" s="3">
        <f>'Inflação Implícita'!G40-'Metas de Inflação'!G40</f>
        <v>0.92493969196511383</v>
      </c>
      <c r="H40" s="3">
        <f>'Inflação Implícita'!H40-'Metas de Inflação'!H40</f>
        <v>1.0729021466406348</v>
      </c>
      <c r="I40" s="3">
        <f>'Inflação Implícita'!I40-'Metas de Inflação'!I40</f>
        <v>1.0729021466406348</v>
      </c>
      <c r="J40" s="3">
        <f>'Inflação Implícita'!J40-'Metas de Inflação'!J40</f>
        <v>1.249674054758791</v>
      </c>
      <c r="K40" s="3">
        <f>'Inflação Implícita'!K40-'Metas de Inflação'!K40</f>
        <v>1.2962911191874023</v>
      </c>
      <c r="L40" s="3">
        <f>'Inflação Implícita'!L40-'Metas de Inflação'!L40</f>
        <v>1.3752214865242847</v>
      </c>
      <c r="M40" s="3">
        <f>'Inflação Implícita'!M40-'Metas de Inflação'!M40</f>
        <v>1.3752214865242847</v>
      </c>
      <c r="N40" s="3">
        <f>'Inflação Implícita'!N40-'Metas de Inflação'!N40</f>
        <v>1.3752214865242847</v>
      </c>
      <c r="O40" s="3">
        <f>'Inflação Implícita'!O40-'Metas de Inflação'!O40</f>
        <v>1.3752214865242847</v>
      </c>
      <c r="P40" s="3">
        <f>'Inflação Implícita'!P40-'Metas de Inflação'!P40</f>
        <v>1.3752214865242847</v>
      </c>
      <c r="Q40" s="3">
        <f>'Inflação Implícita'!Q40-'Metas de Inflação'!Q40</f>
        <v>1.3752214865242847</v>
      </c>
    </row>
    <row r="41" spans="1:17" ht="18.75" customHeight="1" x14ac:dyDescent="0.25">
      <c r="A41" s="2">
        <v>39599</v>
      </c>
      <c r="B41" s="3">
        <f>'Inflação Implícita'!B41-'Metas de Inflação'!B41</f>
        <v>1.08</v>
      </c>
      <c r="C41" s="3">
        <f>'Inflação Implícita'!C41-'Metas de Inflação'!C41</f>
        <v>0.99526989426822876</v>
      </c>
      <c r="D41" s="3">
        <f>'Inflação Implícita'!D41-'Metas de Inflação'!D41</f>
        <v>0.93440125565508581</v>
      </c>
      <c r="E41" s="3">
        <f>'Inflação Implícita'!E41-'Metas de Inflação'!E41</f>
        <v>1.0261453031004049</v>
      </c>
      <c r="F41" s="3">
        <f>'Inflação Implícita'!F41-'Metas de Inflação'!F41</f>
        <v>0.96204467513209391</v>
      </c>
      <c r="G41" s="3">
        <f>'Inflação Implícita'!G41-'Metas de Inflação'!G41</f>
        <v>0.97329307942405752</v>
      </c>
      <c r="H41" s="3">
        <f>'Inflação Implícita'!H41-'Metas de Inflação'!H41</f>
        <v>1.1709190799888232</v>
      </c>
      <c r="I41" s="3">
        <f>'Inflação Implícita'!I41-'Metas de Inflação'!I41</f>
        <v>1.1709190799888232</v>
      </c>
      <c r="J41" s="3">
        <f>'Inflação Implícita'!J41-'Metas de Inflação'!J41</f>
        <v>1.3890549122151636</v>
      </c>
      <c r="K41" s="3">
        <f>'Inflação Implícita'!K41-'Metas de Inflação'!K41</f>
        <v>1.5389003179353029</v>
      </c>
      <c r="L41" s="3">
        <f>'Inflação Implícita'!L41-'Metas de Inflação'!L41</f>
        <v>1.6779026217228417</v>
      </c>
      <c r="M41" s="3">
        <f>'Inflação Implícita'!M41-'Metas de Inflação'!M41</f>
        <v>1.6779026217228417</v>
      </c>
      <c r="N41" s="3">
        <f>'Inflação Implícita'!N41-'Metas de Inflação'!N41</f>
        <v>1.6779026217228417</v>
      </c>
      <c r="O41" s="3">
        <f>'Inflação Implícita'!O41-'Metas de Inflação'!O41</f>
        <v>1.6779026217228417</v>
      </c>
      <c r="P41" s="3">
        <f>'Inflação Implícita'!P41-'Metas de Inflação'!P41</f>
        <v>1.6779026217228417</v>
      </c>
      <c r="Q41" s="3">
        <f>'Inflação Implícita'!Q41-'Metas de Inflação'!Q41</f>
        <v>1.6779026217228417</v>
      </c>
    </row>
    <row r="42" spans="1:17" ht="18.75" customHeight="1" x14ac:dyDescent="0.25">
      <c r="A42" s="2">
        <v>39629</v>
      </c>
      <c r="B42" s="3">
        <f>'Inflação Implícita'!B42-'Metas de Inflação'!B42</f>
        <v>1.5599999999999996</v>
      </c>
      <c r="C42" s="3">
        <f>'Inflação Implícita'!C42-'Metas de Inflação'!C42</f>
        <v>2.1039493293591933</v>
      </c>
      <c r="D42" s="3">
        <f>'Inflação Implícita'!D42-'Metas de Inflação'!D42</f>
        <v>1.6651021535063411</v>
      </c>
      <c r="E42" s="3">
        <f>'Inflação Implícita'!E42-'Metas de Inflação'!E42</f>
        <v>1.5281146637265692</v>
      </c>
      <c r="F42" s="3">
        <f>'Inflação Implícita'!F42-'Metas de Inflação'!F42</f>
        <v>1.3313408129483157</v>
      </c>
      <c r="G42" s="3">
        <f>'Inflação Implícita'!G42-'Metas de Inflação'!G42</f>
        <v>1.616289801568997</v>
      </c>
      <c r="H42" s="3">
        <f>'Inflação Implícita'!H42-'Metas de Inflação'!H42</f>
        <v>1.8692734844979171</v>
      </c>
      <c r="I42" s="3">
        <f>'Inflação Implícita'!I42-'Metas de Inflação'!I42</f>
        <v>1.8692734844979171</v>
      </c>
      <c r="J42" s="3">
        <f>'Inflação Implícita'!J42-'Metas de Inflação'!J42</f>
        <v>2.3093023255814122</v>
      </c>
      <c r="K42" s="3">
        <f>'Inflação Implícita'!K42-'Metas de Inflação'!K42</f>
        <v>2.1802935984391132</v>
      </c>
      <c r="L42" s="3">
        <f>'Inflação Implícita'!L42-'Metas de Inflação'!L42</f>
        <v>2.5083876980428839</v>
      </c>
      <c r="M42" s="3">
        <f>'Inflação Implícita'!M42-'Metas de Inflação'!M42</f>
        <v>2.5083876980428839</v>
      </c>
      <c r="N42" s="3">
        <f>'Inflação Implícita'!N42-'Metas de Inflação'!N42</f>
        <v>2.5083876980428839</v>
      </c>
      <c r="O42" s="3">
        <f>'Inflação Implícita'!O42-'Metas de Inflação'!O42</f>
        <v>2.5083876980428839</v>
      </c>
      <c r="P42" s="3">
        <f>'Inflação Implícita'!P42-'Metas de Inflação'!P42</f>
        <v>2.5083876980428839</v>
      </c>
      <c r="Q42" s="3">
        <f>'Inflação Implícita'!Q42-'Metas de Inflação'!Q42</f>
        <v>2.5083876980428839</v>
      </c>
    </row>
    <row r="43" spans="1:17" ht="18.75" customHeight="1" x14ac:dyDescent="0.25">
      <c r="A43" s="2">
        <v>39660</v>
      </c>
      <c r="B43" s="3">
        <f>'Inflação Implícita'!B43-'Metas de Inflação'!B43</f>
        <v>1.87</v>
      </c>
      <c r="C43" s="3">
        <f>'Inflação Implícita'!C43-'Metas de Inflação'!C43</f>
        <v>1.3679593721145062</v>
      </c>
      <c r="D43" s="3">
        <f>'Inflação Implícita'!D43-'Metas de Inflação'!D43</f>
        <v>0.66406966086160324</v>
      </c>
      <c r="E43" s="3">
        <f>'Inflação Implícita'!E43-'Metas de Inflação'!E43</f>
        <v>0.62596542846637249</v>
      </c>
      <c r="F43" s="3">
        <f>'Inflação Implícita'!F43-'Metas de Inflação'!F43</f>
        <v>0.61844409623007923</v>
      </c>
      <c r="G43" s="3">
        <f>'Inflação Implícita'!G43-'Metas de Inflação'!G43</f>
        <v>0.75561615974852181</v>
      </c>
      <c r="H43" s="3">
        <f>'Inflação Implícita'!H43-'Metas de Inflação'!H43</f>
        <v>1.0057950857672733</v>
      </c>
      <c r="I43" s="3">
        <f>'Inflação Implícita'!I43-'Metas de Inflação'!I43</f>
        <v>1.0057950857672733</v>
      </c>
      <c r="J43" s="3">
        <f>'Inflação Implícita'!J43-'Metas de Inflação'!J43</f>
        <v>1.3023082650781932</v>
      </c>
      <c r="K43" s="3">
        <f>'Inflação Implícita'!K43-'Metas de Inflação'!K43</f>
        <v>1.4442580164056791</v>
      </c>
      <c r="L43" s="3">
        <f>'Inflação Implícita'!L43-'Metas de Inflação'!L43</f>
        <v>1.5625291647223634</v>
      </c>
      <c r="M43" s="3">
        <f>'Inflação Implícita'!M43-'Metas de Inflação'!M43</f>
        <v>1.5625291647223634</v>
      </c>
      <c r="N43" s="3">
        <f>'Inflação Implícita'!N43-'Metas de Inflação'!N43</f>
        <v>1.5494633691087429</v>
      </c>
      <c r="O43" s="3">
        <f>'Inflação Implícita'!O43-'Metas de Inflação'!O43</f>
        <v>1.5494633691087429</v>
      </c>
      <c r="P43" s="3">
        <f>'Inflação Implícita'!P43-'Metas de Inflação'!P43</f>
        <v>1.5429304713019327</v>
      </c>
      <c r="Q43" s="3">
        <f>'Inflação Implícita'!Q43-'Metas de Inflação'!Q43</f>
        <v>1.5429304713019327</v>
      </c>
    </row>
    <row r="44" spans="1:17" ht="18.75" customHeight="1" x14ac:dyDescent="0.25">
      <c r="A44" s="2">
        <v>39691</v>
      </c>
      <c r="B44" s="3">
        <f>'Inflação Implícita'!B44-'Metas de Inflação'!B44</f>
        <v>1.67</v>
      </c>
      <c r="C44" s="3">
        <f>'Inflação Implícita'!C44-'Metas de Inflação'!C44</f>
        <v>0.34352122986821954</v>
      </c>
      <c r="D44" s="3">
        <f>'Inflação Implícita'!D44-'Metas de Inflação'!D44</f>
        <v>0.35104042533688329</v>
      </c>
      <c r="E44" s="3">
        <f>'Inflação Implícita'!E44-'Metas de Inflação'!E44</f>
        <v>0.42081031307549654</v>
      </c>
      <c r="F44" s="3">
        <f>'Inflação Implícita'!F44-'Metas de Inflação'!F44</f>
        <v>0.36441615938018046</v>
      </c>
      <c r="G44" s="3">
        <f>'Inflação Implícita'!G44-'Metas de Inflação'!G44</f>
        <v>0.50277315585135884</v>
      </c>
      <c r="H44" s="3">
        <f>'Inflação Implícita'!H44-'Metas de Inflação'!H44</f>
        <v>0.6686121919584993</v>
      </c>
      <c r="I44" s="3">
        <f>'Inflação Implícita'!I44-'Metas de Inflação'!I44</f>
        <v>0.6686121919584993</v>
      </c>
      <c r="J44" s="3">
        <f>'Inflação Implícita'!J44-'Metas de Inflação'!J44</f>
        <v>0.92708430151499499</v>
      </c>
      <c r="K44" s="3">
        <f>'Inflação Implícita'!K44-'Metas de Inflação'!K44</f>
        <v>1.0378745579750532</v>
      </c>
      <c r="L44" s="3">
        <f>'Inflação Implícita'!L44-'Metas de Inflação'!L44</f>
        <v>1.0669335319307178</v>
      </c>
      <c r="M44" s="3">
        <f>'Inflação Implícita'!M44-'Metas de Inflação'!M44</f>
        <v>1.0613479798920062</v>
      </c>
      <c r="N44" s="3">
        <f>'Inflação Implícita'!N44-'Metas de Inflação'!N44</f>
        <v>1.0557624278532725</v>
      </c>
      <c r="O44" s="3">
        <f>'Inflação Implícita'!O44-'Metas de Inflação'!O44</f>
        <v>1.0511078011543535</v>
      </c>
      <c r="P44" s="3">
        <f>'Inflação Implícita'!P44-'Metas de Inflação'!P44</f>
        <v>1.0464531744554124</v>
      </c>
      <c r="Q44" s="3">
        <f>'Inflação Implícita'!Q44-'Metas de Inflação'!Q44</f>
        <v>1.0427294730962418</v>
      </c>
    </row>
    <row r="45" spans="1:17" ht="18.75" customHeight="1" x14ac:dyDescent="0.25">
      <c r="A45" s="2">
        <v>39721</v>
      </c>
      <c r="B45" s="3">
        <f>'Inflação Implícita'!B45-'Metas de Inflação'!B45</f>
        <v>1.75</v>
      </c>
      <c r="C45" s="3">
        <f>'Inflação Implícita'!C45-'Metas de Inflação'!C45</f>
        <v>0.20582852960015341</v>
      </c>
      <c r="D45" s="3">
        <f>'Inflação Implícita'!D45-'Metas de Inflação'!D45</f>
        <v>0.23529950540390043</v>
      </c>
      <c r="E45" s="3">
        <f>'Inflação Implícita'!E45-'Metas de Inflação'!E45</f>
        <v>0.28767311749059843</v>
      </c>
      <c r="F45" s="3">
        <f>'Inflação Implícita'!F45-'Metas de Inflação'!F45</f>
        <v>0.22563773169387691</v>
      </c>
      <c r="G45" s="3">
        <f>'Inflação Implícita'!G45-'Metas de Inflação'!G45</f>
        <v>0.30257116620752544</v>
      </c>
      <c r="H45" s="3">
        <f>'Inflação Implícita'!H45-'Metas de Inflação'!H45</f>
        <v>0.54279797514954886</v>
      </c>
      <c r="I45" s="3">
        <f>'Inflação Implícita'!I45-'Metas de Inflação'!I45</f>
        <v>0.54279797514954886</v>
      </c>
      <c r="J45" s="3">
        <f>'Inflação Implícita'!J45-'Metas de Inflação'!J45</f>
        <v>0.85875888817065604</v>
      </c>
      <c r="K45" s="3">
        <f>'Inflação Implícita'!K45-'Metas de Inflação'!K45</f>
        <v>1.0364409914909318</v>
      </c>
      <c r="L45" s="3">
        <f>'Inflação Implícita'!L45-'Metas de Inflação'!L45</f>
        <v>1.1085145765849109</v>
      </c>
      <c r="M45" s="3">
        <f>'Inflação Implícita'!M45-'Metas de Inflação'!M45</f>
        <v>1.1085145765849109</v>
      </c>
      <c r="N45" s="3">
        <f>'Inflação Implícita'!N45-'Metas de Inflação'!N45</f>
        <v>1.1085145765849109</v>
      </c>
      <c r="O45" s="3">
        <f>'Inflação Implícita'!O45-'Metas de Inflação'!O45</f>
        <v>1.1085145765849109</v>
      </c>
      <c r="P45" s="3">
        <f>'Inflação Implícita'!P45-'Metas de Inflação'!P45</f>
        <v>1.1085145765849109</v>
      </c>
      <c r="Q45" s="3">
        <f>'Inflação Implícita'!Q45-'Metas de Inflação'!Q45</f>
        <v>1.1085145765849109</v>
      </c>
    </row>
    <row r="46" spans="1:17" ht="18.75" customHeight="1" x14ac:dyDescent="0.25">
      <c r="A46" s="2">
        <v>39752</v>
      </c>
      <c r="B46" s="3">
        <f>'Inflação Implícita'!B46-'Metas de Inflação'!B46</f>
        <v>1.9100000000000001</v>
      </c>
      <c r="C46" s="3">
        <f>'Inflação Implícita'!C46-'Metas de Inflação'!C46</f>
        <v>1.3883994126285089</v>
      </c>
      <c r="D46" s="3">
        <f>'Inflação Implícita'!D46-'Metas de Inflação'!D46</f>
        <v>0.89493969347963898</v>
      </c>
      <c r="E46" s="3">
        <f>'Inflação Implícita'!E46-'Metas de Inflação'!E46</f>
        <v>1.4314658689148869</v>
      </c>
      <c r="F46" s="3">
        <f>'Inflação Implícita'!F46-'Metas de Inflação'!F46</f>
        <v>1.6140271493212772</v>
      </c>
      <c r="G46" s="3">
        <f>'Inflação Implícita'!G46-'Metas de Inflação'!G46</f>
        <v>1.8026351534908986</v>
      </c>
      <c r="H46" s="3">
        <f>'Inflação Implícita'!H46-'Metas de Inflação'!H46</f>
        <v>1.9342701722574835</v>
      </c>
      <c r="I46" s="3">
        <f>'Inflação Implícita'!I46-'Metas de Inflação'!I46</f>
        <v>1.9342701722574835</v>
      </c>
      <c r="J46" s="3">
        <f>'Inflação Implícita'!J46-'Metas de Inflação'!J46</f>
        <v>2.1333757036499019</v>
      </c>
      <c r="K46" s="3">
        <f>'Inflação Implícita'!K46-'Metas de Inflação'!K46</f>
        <v>2.2824347667969853</v>
      </c>
      <c r="L46" s="3">
        <f>'Inflação Implícita'!L46-'Metas de Inflação'!L46</f>
        <v>2.3407168197944346</v>
      </c>
      <c r="M46" s="3">
        <f>'Inflação Implícita'!M46-'Metas de Inflação'!M46</f>
        <v>2.3407168197944346</v>
      </c>
      <c r="N46" s="3">
        <f>'Inflação Implícita'!N46-'Metas de Inflação'!N46</f>
        <v>2.3407168197944346</v>
      </c>
      <c r="O46" s="3">
        <f>'Inflação Implícita'!O46-'Metas de Inflação'!O46</f>
        <v>2.3407168197944346</v>
      </c>
      <c r="P46" s="3">
        <f>'Inflação Implícita'!P46-'Metas de Inflação'!P46</f>
        <v>2.3407168197944346</v>
      </c>
      <c r="Q46" s="3">
        <f>'Inflação Implícita'!Q46-'Metas de Inflação'!Q46</f>
        <v>2.3407168197944346</v>
      </c>
    </row>
    <row r="47" spans="1:17" ht="18.75" customHeight="1" x14ac:dyDescent="0.25">
      <c r="A47" s="2">
        <v>39782</v>
      </c>
      <c r="B47" s="3">
        <f>'Inflação Implícita'!B47-'Metas de Inflação'!B47</f>
        <v>1.8899999999999997</v>
      </c>
      <c r="C47" s="3">
        <f>'Inflação Implícita'!C47-'Metas de Inflação'!C47</f>
        <v>0.97373271889401991</v>
      </c>
      <c r="D47" s="3">
        <f>'Inflação Implícita'!D47-'Metas de Inflação'!D47</f>
        <v>0.52189381499726917</v>
      </c>
      <c r="E47" s="3">
        <f>'Inflação Implícita'!E47-'Metas de Inflação'!E47</f>
        <v>0.74899671652681032</v>
      </c>
      <c r="F47" s="3">
        <f>'Inflação Implícita'!F47-'Metas de Inflação'!F47</f>
        <v>0.99949822096522656</v>
      </c>
      <c r="G47" s="3">
        <f>'Inflação Implícita'!G47-'Metas de Inflação'!G47</f>
        <v>1.2478086194302502</v>
      </c>
      <c r="H47" s="3">
        <f>'Inflação Implícita'!H47-'Metas de Inflação'!H47</f>
        <v>1.6685753550160483</v>
      </c>
      <c r="I47" s="3">
        <f>'Inflação Implícita'!I47-'Metas de Inflação'!I47</f>
        <v>1.6685753550160483</v>
      </c>
      <c r="J47" s="3">
        <f>'Inflação Implícita'!J47-'Metas de Inflação'!J47</f>
        <v>1.881397908640607</v>
      </c>
      <c r="K47" s="3">
        <f>'Inflação Implícita'!K47-'Metas de Inflação'!K47</f>
        <v>1.9766363719820141</v>
      </c>
      <c r="L47" s="3">
        <f>'Inflação Implícita'!L47-'Metas de Inflação'!L47</f>
        <v>2.0548920532843447</v>
      </c>
      <c r="M47" s="3">
        <f>'Inflação Implícita'!M47-'Metas de Inflação'!M47</f>
        <v>2.0548920532843447</v>
      </c>
      <c r="N47" s="3">
        <f>'Inflação Implícita'!N47-'Metas de Inflação'!N47</f>
        <v>2.0548920532843447</v>
      </c>
      <c r="O47" s="3">
        <f>'Inflação Implícita'!O47-'Metas de Inflação'!O47</f>
        <v>2.0548920532843447</v>
      </c>
      <c r="P47" s="3">
        <f>'Inflação Implícita'!P47-'Metas de Inflação'!P47</f>
        <v>2.0548920532843447</v>
      </c>
      <c r="Q47" s="3">
        <f>'Inflação Implícita'!Q47-'Metas de Inflação'!Q47</f>
        <v>2.0548920532843447</v>
      </c>
    </row>
    <row r="48" spans="1:17" ht="18.75" customHeight="1" x14ac:dyDescent="0.25">
      <c r="A48" s="2">
        <v>39813</v>
      </c>
      <c r="B48" s="3">
        <f>'Inflação Implícita'!B48-'Metas de Inflação'!B48</f>
        <v>1.4000000000000004</v>
      </c>
      <c r="C48" s="3">
        <f>'Inflação Implícita'!C48-'Metas de Inflação'!C48</f>
        <v>-7.7692952239101665E-2</v>
      </c>
      <c r="D48" s="3">
        <f>'Inflação Implícita'!D48-'Metas de Inflação'!D48</f>
        <v>-0.40462052328818654</v>
      </c>
      <c r="E48" s="3">
        <f>'Inflação Implícita'!E48-'Metas de Inflação'!E48</f>
        <v>-0.44198869428227638</v>
      </c>
      <c r="F48" s="3">
        <f>'Inflação Implícita'!F48-'Metas de Inflação'!F48</f>
        <v>-0.45359156882685703</v>
      </c>
      <c r="G48" s="3">
        <f>'Inflação Implícita'!G48-'Metas de Inflação'!G48</f>
        <v>-0.30672035545683141</v>
      </c>
      <c r="H48" s="3">
        <f>'Inflação Implícita'!H48-'Metas de Inflação'!H48</f>
        <v>-8.3055246570269858E-2</v>
      </c>
      <c r="I48" s="3">
        <f>'Inflação Implícita'!I48-'Metas de Inflação'!I48</f>
        <v>-8.3055246570269858E-2</v>
      </c>
      <c r="J48" s="3">
        <f>'Inflação Implícita'!J48-'Metas de Inflação'!J48</f>
        <v>0.1967586142843798</v>
      </c>
      <c r="K48" s="3">
        <f>'Inflação Implícita'!K48-'Metas de Inflação'!K48</f>
        <v>0.28434653281278877</v>
      </c>
      <c r="L48" s="3">
        <f>'Inflação Implícita'!L48-'Metas de Inflação'!L48</f>
        <v>0.39159765515958522</v>
      </c>
      <c r="M48" s="3">
        <f>'Inflação Implícita'!M48-'Metas de Inflação'!M48</f>
        <v>0.39159765515958522</v>
      </c>
      <c r="N48" s="3">
        <f>'Inflação Implícita'!N48-'Metas de Inflação'!N48</f>
        <v>0.39159765515958522</v>
      </c>
      <c r="O48" s="3">
        <f>'Inflação Implícita'!O48-'Metas de Inflação'!O48</f>
        <v>0.39159765515958522</v>
      </c>
      <c r="P48" s="3">
        <f>'Inflação Implícita'!P48-'Metas de Inflação'!P48</f>
        <v>0.39159765515958522</v>
      </c>
      <c r="Q48" s="3">
        <f>'Inflação Implícita'!Q48-'Metas de Inflação'!Q48</f>
        <v>0.39159765515958522</v>
      </c>
    </row>
    <row r="49" spans="1:17" ht="18.75" customHeight="1" x14ac:dyDescent="0.25">
      <c r="A49" s="2">
        <v>39844</v>
      </c>
      <c r="B49" s="3">
        <f>'Inflação Implícita'!B49-'Metas de Inflação'!B49</f>
        <v>1.3399999999999999</v>
      </c>
      <c r="C49" s="3">
        <f>'Inflação Implícita'!C49-'Metas de Inflação'!C49</f>
        <v>-0.28606918533796311</v>
      </c>
      <c r="D49" s="3">
        <f>'Inflação Implícita'!D49-'Metas de Inflação'!D49</f>
        <v>-0.14757626801421164</v>
      </c>
      <c r="E49" s="3">
        <f>'Inflação Implícita'!E49-'Metas de Inflação'!E49</f>
        <v>6.3915403331453291E-2</v>
      </c>
      <c r="F49" s="3">
        <f>'Inflação Implícita'!F49-'Metas de Inflação'!F49</f>
        <v>0.35270737865892698</v>
      </c>
      <c r="G49" s="3">
        <f>'Inflação Implícita'!G49-'Metas de Inflação'!G49</f>
        <v>0.58976996446606211</v>
      </c>
      <c r="H49" s="3">
        <f>'Inflação Implícita'!H49-'Metas de Inflação'!H49</f>
        <v>0.67770295548074522</v>
      </c>
      <c r="I49" s="3">
        <f>'Inflação Implícita'!I49-'Metas de Inflação'!I49</f>
        <v>0.67770295548074522</v>
      </c>
      <c r="J49" s="3">
        <f>'Inflação Implícita'!J49-'Metas de Inflação'!J49</f>
        <v>0.76483249110987206</v>
      </c>
      <c r="K49" s="3">
        <f>'Inflação Implícita'!K49-'Metas de Inflação'!K49</f>
        <v>0.83707865168537854</v>
      </c>
      <c r="L49" s="3">
        <f>'Inflação Implícita'!L49-'Metas de Inflação'!L49</f>
        <v>0.93580131208998285</v>
      </c>
      <c r="M49" s="3">
        <f>'Inflação Implícita'!M49-'Metas de Inflação'!M49</f>
        <v>0.93580131208998285</v>
      </c>
      <c r="N49" s="3">
        <f>'Inflação Implícita'!N49-'Metas de Inflação'!N49</f>
        <v>0.93580131208998285</v>
      </c>
      <c r="O49" s="3">
        <f>'Inflação Implícita'!O49-'Metas de Inflação'!O49</f>
        <v>0.93580131208998285</v>
      </c>
      <c r="P49" s="3">
        <f>'Inflação Implícita'!P49-'Metas de Inflação'!P49</f>
        <v>0.93580131208998285</v>
      </c>
      <c r="Q49" s="3">
        <f>'Inflação Implícita'!Q49-'Metas de Inflação'!Q49</f>
        <v>0.93580131208998285</v>
      </c>
    </row>
    <row r="50" spans="1:17" ht="18.75" customHeight="1" x14ac:dyDescent="0.25">
      <c r="A50" s="2">
        <v>39872</v>
      </c>
      <c r="B50" s="3">
        <f>'Inflação Implícita'!B50-'Metas de Inflação'!B50</f>
        <v>1.4000000000000004</v>
      </c>
      <c r="C50" s="3">
        <f>'Inflação Implícita'!C50-'Metas de Inflação'!C50</f>
        <v>-0.24175306314798295</v>
      </c>
      <c r="D50" s="3">
        <f>'Inflação Implícita'!D50-'Metas de Inflação'!D50</f>
        <v>-0.28295155839278152</v>
      </c>
      <c r="E50" s="3">
        <f>'Inflação Implícita'!E50-'Metas de Inflação'!E50</f>
        <v>-0.25039790281807406</v>
      </c>
      <c r="F50" s="3">
        <f>'Inflação Implícita'!F50-'Metas de Inflação'!F50</f>
        <v>-8.1612631972334704E-2</v>
      </c>
      <c r="G50" s="3">
        <f>'Inflação Implícita'!G50-'Metas de Inflação'!G50</f>
        <v>4.8847625268259698E-2</v>
      </c>
      <c r="H50" s="3">
        <f>'Inflação Implícita'!H50-'Metas de Inflação'!H50</f>
        <v>0.21071295259424261</v>
      </c>
      <c r="I50" s="3">
        <f>'Inflação Implícita'!I50-'Metas de Inflação'!I50</f>
        <v>0.21071295259424261</v>
      </c>
      <c r="J50" s="3">
        <f>'Inflação Implícita'!J50-'Metas de Inflação'!J50</f>
        <v>0.34463935802930123</v>
      </c>
      <c r="K50" s="3">
        <f>'Inflação Implícita'!K50-'Metas de Inflação'!K50</f>
        <v>0.42998506348021337</v>
      </c>
      <c r="L50" s="3">
        <f>'Inflação Implícita'!L50-'Metas de Inflação'!L50</f>
        <v>0.51774705772464191</v>
      </c>
      <c r="M50" s="3">
        <f>'Inflação Implícita'!M50-'Metas de Inflação'!M50</f>
        <v>0.54296656080702732</v>
      </c>
      <c r="N50" s="3">
        <f>'Inflação Implícita'!N50-'Metas de Inflação'!N50</f>
        <v>0.56631795254997019</v>
      </c>
      <c r="O50" s="3">
        <f>'Inflação Implícita'!O50-'Metas de Inflação'!O50</f>
        <v>0.58126284326546607</v>
      </c>
      <c r="P50" s="3">
        <f>'Inflação Implícita'!P50-'Metas de Inflação'!P50</f>
        <v>0.59620773398093974</v>
      </c>
      <c r="Q50" s="3">
        <f>'Inflação Implícita'!Q50-'Metas de Inflação'!Q50</f>
        <v>0.605548290678108</v>
      </c>
    </row>
    <row r="51" spans="1:17" ht="18.75" customHeight="1" x14ac:dyDescent="0.25">
      <c r="A51" s="2">
        <v>39903</v>
      </c>
      <c r="B51" s="3">
        <f>'Inflação Implícita'!B51-'Metas de Inflação'!B51</f>
        <v>1.1100000000000003</v>
      </c>
      <c r="C51" s="3">
        <f>'Inflação Implícita'!C51-'Metas de Inflação'!C51</f>
        <v>-0.8014733660747968</v>
      </c>
      <c r="D51" s="3">
        <f>'Inflação Implícita'!D51-'Metas de Inflação'!D51</f>
        <v>-0.52786144578312477</v>
      </c>
      <c r="E51" s="3">
        <f>'Inflação Implícita'!E51-'Metas de Inflação'!E51</f>
        <v>-0.1922498118886411</v>
      </c>
      <c r="F51" s="3">
        <f>'Inflação Implícita'!F51-'Metas de Inflação'!F51</f>
        <v>-6.0243788091892014E-2</v>
      </c>
      <c r="G51" s="3">
        <f>'Inflação Implícita'!G51-'Metas de Inflação'!G51</f>
        <v>6.2915768762310087E-2</v>
      </c>
      <c r="H51" s="3">
        <f>'Inflação Implícita'!H51-'Metas de Inflação'!H51</f>
        <v>0.11797752808990047</v>
      </c>
      <c r="I51" s="3">
        <f>'Inflação Implícita'!I51-'Metas de Inflação'!I51</f>
        <v>0.11797752808990047</v>
      </c>
      <c r="J51" s="3">
        <f>'Inflação Implícita'!J51-'Metas de Inflação'!J51</f>
        <v>0.25655430711610094</v>
      </c>
      <c r="K51" s="3">
        <f>'Inflação Implícita'!K51-'Metas de Inflação'!K51</f>
        <v>0.32244917080485447</v>
      </c>
      <c r="L51" s="3">
        <f>'Inflação Implícita'!L51-'Metas de Inflação'!L51</f>
        <v>0.38936808550533009</v>
      </c>
      <c r="M51" s="3">
        <f>'Inflação Implícita'!M51-'Metas de Inflação'!M51</f>
        <v>0.38843052690794977</v>
      </c>
      <c r="N51" s="3">
        <f>'Inflação Implícita'!N51-'Metas de Inflação'!N51</f>
        <v>0.38655540971310032</v>
      </c>
      <c r="O51" s="3">
        <f>'Inflação Implícita'!O51-'Metas de Inflação'!O51</f>
        <v>0.38468029251829527</v>
      </c>
      <c r="P51" s="3">
        <f>'Inflação Implícita'!P51-'Metas de Inflação'!P51</f>
        <v>0.38374273392087055</v>
      </c>
      <c r="Q51" s="3">
        <f>'Inflação Implícita'!Q51-'Metas de Inflação'!Q51</f>
        <v>0.38280517532344582</v>
      </c>
    </row>
    <row r="52" spans="1:17" ht="18.75" customHeight="1" x14ac:dyDescent="0.25">
      <c r="A52" s="2">
        <v>39933</v>
      </c>
      <c r="B52" s="3">
        <f>'Inflação Implícita'!B52-'Metas de Inflação'!B52</f>
        <v>1.0300000000000002</v>
      </c>
      <c r="C52" s="3">
        <f>'Inflação Implícita'!C52-'Metas de Inflação'!C52</f>
        <v>-0.70549626971384161</v>
      </c>
      <c r="D52" s="3">
        <f>'Inflação Implícita'!D52-'Metas de Inflação'!D52</f>
        <v>-0.5165196170452484</v>
      </c>
      <c r="E52" s="3">
        <f>'Inflação Implícita'!E52-'Metas de Inflação'!E52</f>
        <v>1.5373078365203519E-2</v>
      </c>
      <c r="F52" s="3">
        <f>'Inflação Implícita'!F52-'Metas de Inflação'!F52</f>
        <v>0.25976818096839338</v>
      </c>
      <c r="G52" s="3">
        <f>'Inflação Implícita'!G52-'Metas de Inflação'!G52</f>
        <v>0.37907367634701217</v>
      </c>
      <c r="H52" s="3">
        <f>'Inflação Implícita'!H52-'Metas de Inflação'!H52</f>
        <v>0.55697739585280193</v>
      </c>
      <c r="I52" s="3">
        <f>'Inflação Implícita'!I52-'Metas de Inflação'!I52</f>
        <v>0.55697739585280193</v>
      </c>
      <c r="J52" s="3">
        <f>'Inflação Implícita'!J52-'Metas de Inflação'!J52</f>
        <v>0.77378060175669461</v>
      </c>
      <c r="K52" s="3">
        <f>'Inflação Implícita'!K52-'Metas de Inflação'!K52</f>
        <v>0.87267371177405639</v>
      </c>
      <c r="L52" s="3">
        <f>'Inflação Implícita'!L52-'Metas de Inflação'!L52</f>
        <v>0.94918585064571026</v>
      </c>
      <c r="M52" s="3">
        <f>'Inflação Implícita'!M52-'Metas de Inflação'!M52</f>
        <v>0.9557364776342876</v>
      </c>
      <c r="N52" s="3">
        <f>'Inflação Implícita'!N52-'Metas de Inflação'!N52</f>
        <v>0.96135130076734754</v>
      </c>
      <c r="O52" s="3">
        <f>'Inflação Implícita'!O52-'Metas de Inflação'!O52</f>
        <v>0.96509451618941711</v>
      </c>
      <c r="P52" s="3">
        <f>'Inflação Implícita'!P52-'Metas de Inflação'!P52</f>
        <v>0.96509451618941711</v>
      </c>
      <c r="Q52" s="3">
        <f>'Inflação Implícita'!Q52-'Metas de Inflação'!Q52</f>
        <v>0.96509451618941711</v>
      </c>
    </row>
    <row r="53" spans="1:17" ht="18.75" customHeight="1" x14ac:dyDescent="0.25">
      <c r="A53" s="2">
        <v>39964</v>
      </c>
      <c r="B53" s="3">
        <f>'Inflação Implícita'!B53-'Metas de Inflação'!B53</f>
        <v>0.70000000000000018</v>
      </c>
      <c r="C53" s="3">
        <f>'Inflação Implícita'!C53-'Metas de Inflação'!C53</f>
        <v>-0.38784156907550482</v>
      </c>
      <c r="D53" s="3">
        <f>'Inflação Implícita'!D53-'Metas de Inflação'!D53</f>
        <v>-0.57152967821082079</v>
      </c>
      <c r="E53" s="3">
        <f>'Inflação Implícita'!E53-'Metas de Inflação'!E53</f>
        <v>-0.35429966203529162</v>
      </c>
      <c r="F53" s="3">
        <f>'Inflação Implícita'!F53-'Metas de Inflação'!F53</f>
        <v>-7.513827692882824E-2</v>
      </c>
      <c r="G53" s="3">
        <f>'Inflação Implícita'!G53-'Metas de Inflação'!G53</f>
        <v>-6.7440989134652796E-3</v>
      </c>
      <c r="H53" s="3">
        <f>'Inflação Implícita'!H53-'Metas de Inflação'!H53</f>
        <v>0.44597387954525125</v>
      </c>
      <c r="I53" s="3">
        <f>'Inflação Implícita'!I53-'Metas de Inflação'!I53</f>
        <v>0.44597387954525125</v>
      </c>
      <c r="J53" s="3">
        <f>'Inflação Implícita'!J53-'Metas de Inflação'!J53</f>
        <v>0.69627223948035954</v>
      </c>
      <c r="K53" s="3">
        <f>'Inflação Implícita'!K53-'Metas de Inflação'!K53</f>
        <v>0.8251649387370481</v>
      </c>
      <c r="L53" s="3">
        <f>'Inflação Implícita'!L53-'Metas de Inflação'!L53</f>
        <v>0.95437387939982088</v>
      </c>
      <c r="M53" s="3">
        <f>'Inflação Implícita'!M53-'Metas de Inflação'!M53</f>
        <v>0.95437387939982088</v>
      </c>
      <c r="N53" s="3">
        <f>'Inflação Implícita'!N53-'Metas de Inflação'!N53</f>
        <v>0.95437387939982088</v>
      </c>
      <c r="O53" s="3">
        <f>'Inflação Implícita'!O53-'Metas de Inflação'!O53</f>
        <v>0.95437387939982088</v>
      </c>
      <c r="P53" s="3">
        <f>'Inflação Implícita'!P53-'Metas de Inflação'!P53</f>
        <v>0.95437387939982088</v>
      </c>
      <c r="Q53" s="3">
        <f>'Inflação Implícita'!Q53-'Metas de Inflação'!Q53</f>
        <v>0.95437387939982088</v>
      </c>
    </row>
    <row r="54" spans="1:17" ht="18.75" customHeight="1" x14ac:dyDescent="0.25">
      <c r="A54" s="2">
        <v>39994</v>
      </c>
      <c r="B54" s="3">
        <f>'Inflação Implícita'!B54-'Metas de Inflação'!B54</f>
        <v>0.29999999999999982</v>
      </c>
      <c r="C54" s="3">
        <f>'Inflação Implícita'!C54-'Metas de Inflação'!C54</f>
        <v>-0.54111153406926782</v>
      </c>
      <c r="D54" s="3">
        <f>'Inflação Implícita'!D54-'Metas de Inflação'!D54</f>
        <v>-6.4363910909788657E-2</v>
      </c>
      <c r="E54" s="3">
        <f>'Inflação Implícita'!E54-'Metas de Inflação'!E54</f>
        <v>0.24287863119300379</v>
      </c>
      <c r="F54" s="3">
        <f>'Inflação Implícita'!F54-'Metas de Inflação'!F54</f>
        <v>0.74682651622003782</v>
      </c>
      <c r="G54" s="3">
        <f>'Inflação Implícita'!G54-'Metas de Inflação'!G54</f>
        <v>0.98256742787331941</v>
      </c>
      <c r="H54" s="3">
        <f>'Inflação Implícita'!H54-'Metas de Inflação'!H54</f>
        <v>1.0727699530516484</v>
      </c>
      <c r="I54" s="3">
        <f>'Inflação Implícita'!I54-'Metas de Inflação'!I54</f>
        <v>1.0727699530516484</v>
      </c>
      <c r="J54" s="3">
        <f>'Inflação Implícita'!J54-'Metas de Inflação'!J54</f>
        <v>1.0979739236469372</v>
      </c>
      <c r="K54" s="3">
        <f>'Inflação Implícita'!K54-'Metas de Inflação'!K54</f>
        <v>1.1558453743666526</v>
      </c>
      <c r="L54" s="3">
        <f>'Inflação Implícita'!L54-'Metas de Inflação'!L54</f>
        <v>1.2766716754320102</v>
      </c>
      <c r="M54" s="3">
        <f>'Inflação Implícita'!M54-'Metas de Inflação'!M54</f>
        <v>1.2954545454545592</v>
      </c>
      <c r="N54" s="3">
        <f>'Inflação Implícita'!N54-'Metas de Inflação'!N54</f>
        <v>1.311419984973698</v>
      </c>
      <c r="O54" s="3">
        <f>'Inflação Implícita'!O54-'Metas de Inflação'!O54</f>
        <v>1.3179939894815957</v>
      </c>
      <c r="P54" s="3">
        <f>'Inflação Implícita'!P54-'Metas de Inflação'!P54</f>
        <v>1.3179939894815957</v>
      </c>
      <c r="Q54" s="3">
        <f>'Inflação Implícita'!Q54-'Metas de Inflação'!Q54</f>
        <v>1.3179939894815957</v>
      </c>
    </row>
    <row r="55" spans="1:17" ht="18.75" customHeight="1" x14ac:dyDescent="0.25">
      <c r="A55" s="2">
        <v>40025</v>
      </c>
      <c r="B55" s="3">
        <f>'Inflação Implícita'!B55-'Metas de Inflação'!B55</f>
        <v>0</v>
      </c>
      <c r="C55" s="3">
        <f>'Inflação Implícita'!C55-'Metas de Inflação'!C55</f>
        <v>-9.5909395010991716E-2</v>
      </c>
      <c r="D55" s="3">
        <f>'Inflação Implícita'!D55-'Metas de Inflação'!D55</f>
        <v>0.30628966562470783</v>
      </c>
      <c r="E55" s="3">
        <f>'Inflação Implícita'!E55-'Metas de Inflação'!E55</f>
        <v>0.39836250705815157</v>
      </c>
      <c r="F55" s="3">
        <f>'Inflação Implícita'!F55-'Metas de Inflação'!F55</f>
        <v>0.80009407337723726</v>
      </c>
      <c r="G55" s="3">
        <f>'Inflação Implícita'!G55-'Metas de Inflação'!G55</f>
        <v>0.93958627174425668</v>
      </c>
      <c r="H55" s="3">
        <f>'Inflação Implícita'!H55-'Metas de Inflação'!H55</f>
        <v>1.0919939860928247</v>
      </c>
      <c r="I55" s="3">
        <f>'Inflação Implícita'!I55-'Metas de Inflação'!I55</f>
        <v>1.0919939860928247</v>
      </c>
      <c r="J55" s="3">
        <f>'Inflação Implícita'!J55-'Metas de Inflação'!J55</f>
        <v>1.2526780680323242</v>
      </c>
      <c r="K55" s="3">
        <f>'Inflação Implícita'!K55-'Metas de Inflação'!K55</f>
        <v>1.2564367600074995</v>
      </c>
      <c r="L55" s="3">
        <f>'Inflação Implícita'!L55-'Metas de Inflação'!L55</f>
        <v>1.3397592627421613</v>
      </c>
      <c r="M55" s="3">
        <f>'Inflação Implícita'!M55-'Metas de Inflação'!M55</f>
        <v>1.2620747979703069</v>
      </c>
      <c r="N55" s="3">
        <f>'Inflação Implícita'!N55-'Metas de Inflação'!N55</f>
        <v>1.2639541439578945</v>
      </c>
      <c r="O55" s="3">
        <f>'Inflação Implícita'!O55-'Metas de Inflação'!O55</f>
        <v>1.2648938169517105</v>
      </c>
      <c r="P55" s="3">
        <f>'Inflação Implícita'!P55-'Metas de Inflação'!P55</f>
        <v>1.2648938169517105</v>
      </c>
      <c r="Q55" s="3">
        <f>'Inflação Implícita'!Q55-'Metas de Inflação'!Q55</f>
        <v>1.2648938169517105</v>
      </c>
    </row>
    <row r="56" spans="1:17" ht="18.75" customHeight="1" x14ac:dyDescent="0.25">
      <c r="A56" s="2">
        <v>40056</v>
      </c>
      <c r="B56" s="3">
        <f>'Inflação Implícita'!B56-'Metas de Inflação'!B56</f>
        <v>-0.13999999999999968</v>
      </c>
      <c r="C56" s="3">
        <f>'Inflação Implícita'!C56-'Metas de Inflação'!C56</f>
        <v>-0.3170371076981775</v>
      </c>
      <c r="D56" s="3">
        <f>'Inflação Implícita'!D56-'Metas de Inflação'!D56</f>
        <v>0.16767514418076068</v>
      </c>
      <c r="E56" s="3">
        <f>'Inflação Implícita'!E56-'Metas de Inflação'!E56</f>
        <v>0.47083176514865333</v>
      </c>
      <c r="F56" s="3">
        <f>'Inflação Implícita'!F56-'Metas de Inflação'!F56</f>
        <v>0.912550569197494</v>
      </c>
      <c r="G56" s="3">
        <f>'Inflação Implícita'!G56-'Metas de Inflação'!G56</f>
        <v>1.0499153976311222</v>
      </c>
      <c r="H56" s="3">
        <f>'Inflação Implícita'!H56-'Metas de Inflação'!H56</f>
        <v>1.2097198721564268</v>
      </c>
      <c r="I56" s="3">
        <f>'Inflação Implícita'!I56-'Metas de Inflação'!I56</f>
        <v>1.2097198721564268</v>
      </c>
      <c r="J56" s="3">
        <f>'Inflação Implícita'!J56-'Metas de Inflação'!J56</f>
        <v>1.3822976403120952</v>
      </c>
      <c r="K56" s="3">
        <f>'Inflação Implícita'!K56-'Metas de Inflação'!K56</f>
        <v>1.4016547574276101</v>
      </c>
      <c r="L56" s="3">
        <f>'Inflação Implícita'!L56-'Metas de Inflação'!L56</f>
        <v>1.4888972525404593</v>
      </c>
      <c r="M56" s="3">
        <f>'Inflação Implícita'!M56-'Metas de Inflação'!M56</f>
        <v>1.5853187682455845</v>
      </c>
      <c r="N56" s="3">
        <f>'Inflação Implícita'!N56-'Metas de Inflação'!N56</f>
        <v>1.5909690177982645</v>
      </c>
      <c r="O56" s="3">
        <f>'Inflação Implícita'!O56-'Metas de Inflação'!O56</f>
        <v>1.5928524343158541</v>
      </c>
      <c r="P56" s="3">
        <f>'Inflação Implícita'!P56-'Metas de Inflação'!P56</f>
        <v>1.5928524343158541</v>
      </c>
      <c r="Q56" s="3">
        <f>'Inflação Implícita'!Q56-'Metas de Inflação'!Q56</f>
        <v>1.5928524343158541</v>
      </c>
    </row>
    <row r="57" spans="1:17" ht="18.75" customHeight="1" x14ac:dyDescent="0.25">
      <c r="A57" s="2">
        <v>40086</v>
      </c>
      <c r="B57" s="3">
        <f>'Inflação Implícita'!B57-'Metas de Inflação'!B57</f>
        <v>-0.16000000000000014</v>
      </c>
      <c r="C57" s="3">
        <f>'Inflação Implícita'!C57-'Metas de Inflação'!C57</f>
        <v>-7.2271948200349101E-2</v>
      </c>
      <c r="D57" s="3">
        <f>'Inflação Implícita'!D57-'Metas de Inflação'!D57</f>
        <v>0.53963759909398235</v>
      </c>
      <c r="E57" s="3">
        <f>'Inflação Implícita'!E57-'Metas de Inflação'!E57</f>
        <v>0.76018631786957513</v>
      </c>
      <c r="F57" s="3">
        <f>'Inflação Implícita'!F57-'Metas de Inflação'!F57</f>
        <v>1.039879608728393</v>
      </c>
      <c r="G57" s="3">
        <f>'Inflação Implícita'!G57-'Metas de Inflação'!G57</f>
        <v>1.3027479766610268</v>
      </c>
      <c r="H57" s="3">
        <f>'Inflação Implícita'!H57-'Metas de Inflação'!H57</f>
        <v>1.4269715791455013</v>
      </c>
      <c r="I57" s="3">
        <f>'Inflação Implícita'!I57-'Metas de Inflação'!I57</f>
        <v>1.4269715791455013</v>
      </c>
      <c r="J57" s="3">
        <f>'Inflação Implícita'!J57-'Metas de Inflação'!J57</f>
        <v>1.5764379177256966</v>
      </c>
      <c r="K57" s="3">
        <f>'Inflação Implícita'!K57-'Metas de Inflação'!K57</f>
        <v>1.5918674698795305</v>
      </c>
      <c r="L57" s="3">
        <f>'Inflação Implícita'!L57-'Metas de Inflação'!L57</f>
        <v>1.6325550743739354</v>
      </c>
      <c r="M57" s="3">
        <f>'Inflação Implícita'!M57-'Metas de Inflação'!M57</f>
        <v>1.7395175727881114</v>
      </c>
      <c r="N57" s="3">
        <f>'Inflação Implícita'!N57-'Metas de Inflação'!N57</f>
        <v>1.7536511825120211</v>
      </c>
      <c r="O57" s="3">
        <f>'Inflação Implícita'!O57-'Metas de Inflação'!O57</f>
        <v>1.7564779044568031</v>
      </c>
      <c r="P57" s="3">
        <f>'Inflação Implícita'!P57-'Metas de Inflação'!P57</f>
        <v>1.7564779044568031</v>
      </c>
      <c r="Q57" s="3">
        <f>'Inflação Implícita'!Q57-'Metas de Inflação'!Q57</f>
        <v>1.7564779044568031</v>
      </c>
    </row>
    <row r="58" spans="1:17" ht="18.75" customHeight="1" x14ac:dyDescent="0.25">
      <c r="A58" s="2">
        <v>40117</v>
      </c>
      <c r="B58" s="3">
        <f>'Inflação Implícita'!B58-'Metas de Inflação'!B58</f>
        <v>-0.33000000000000007</v>
      </c>
      <c r="C58" s="3">
        <f>'Inflação Implícita'!C58-'Metas de Inflação'!C58</f>
        <v>0.21708896932749866</v>
      </c>
      <c r="D58" s="3">
        <f>'Inflação Implícita'!D58-'Metas de Inflação'!D58</f>
        <v>0.58909210898462749</v>
      </c>
      <c r="E58" s="3">
        <f>'Inflação Implícita'!E58-'Metas de Inflação'!E58</f>
        <v>0.96795715091148438</v>
      </c>
      <c r="F58" s="3">
        <f>'Inflação Implícita'!F58-'Metas de Inflação'!F58</f>
        <v>1.1029632408101993</v>
      </c>
      <c r="G58" s="3">
        <f>'Inflação Implícita'!G58-'Metas de Inflação'!G58</f>
        <v>1.3039399624765453</v>
      </c>
      <c r="H58" s="3">
        <f>'Inflação Implícita'!H58-'Metas de Inflação'!H58</f>
        <v>1.4243973360847857</v>
      </c>
      <c r="I58" s="3">
        <f>'Inflação Implícita'!I58-'Metas de Inflação'!I58</f>
        <v>1.4243973360847857</v>
      </c>
      <c r="J58" s="3">
        <f>'Inflação Implícita'!J58-'Metas de Inflação'!J58</f>
        <v>1.6698732989206917</v>
      </c>
      <c r="K58" s="3">
        <f>'Inflação Implícita'!K58-'Metas de Inflação'!K58</f>
        <v>1.7232444611340476</v>
      </c>
      <c r="L58" s="3">
        <f>'Inflação Implícita'!L58-'Metas de Inflação'!L58</f>
        <v>1.7410814870446973</v>
      </c>
      <c r="M58" s="3">
        <f>'Inflação Implícita'!M58-'Metas de Inflação'!M58</f>
        <v>1.7660783025068056</v>
      </c>
      <c r="N58" s="3">
        <f>'Inflação Implícita'!N58-'Metas de Inflação'!N58</f>
        <v>1.7782837292272964</v>
      </c>
      <c r="O58" s="3">
        <f>'Inflação Implícita'!O58-'Metas de Inflação'!O58</f>
        <v>1.7811003661628284</v>
      </c>
      <c r="P58" s="3">
        <f>'Inflação Implícita'!P58-'Metas de Inflação'!P58</f>
        <v>1.7811003661628284</v>
      </c>
      <c r="Q58" s="3">
        <f>'Inflação Implícita'!Q58-'Metas de Inflação'!Q58</f>
        <v>1.7811003661628284</v>
      </c>
    </row>
    <row r="59" spans="1:17" ht="18.75" customHeight="1" x14ac:dyDescent="0.25">
      <c r="A59" s="2">
        <v>40147</v>
      </c>
      <c r="B59" s="3">
        <f>'Inflação Implícita'!B59-'Metas de Inflação'!B59</f>
        <v>-0.28000000000000025</v>
      </c>
      <c r="C59" s="3">
        <f>'Inflação Implícita'!C59-'Metas de Inflação'!C59</f>
        <v>0.4680678676961465</v>
      </c>
      <c r="D59" s="3">
        <f>'Inflação Implícita'!D59-'Metas de Inflação'!D59</f>
        <v>0.81573986804900755</v>
      </c>
      <c r="E59" s="3">
        <f>'Inflação Implícita'!E59-'Metas de Inflação'!E59</f>
        <v>1.1316333239410099</v>
      </c>
      <c r="F59" s="3">
        <f>'Inflação Implícita'!F59-'Metas de Inflação'!F59</f>
        <v>1.1342514521266818</v>
      </c>
      <c r="G59" s="3">
        <f>'Inflação Implícita'!G59-'Metas de Inflação'!G59</f>
        <v>1.3545045467329304</v>
      </c>
      <c r="H59" s="3">
        <f>'Inflação Implícita'!H59-'Metas de Inflação'!H59</f>
        <v>1.4411599362878542</v>
      </c>
      <c r="I59" s="3">
        <f>'Inflação Implícita'!I59-'Metas de Inflação'!I59</f>
        <v>1.4411599362878542</v>
      </c>
      <c r="J59" s="3">
        <f>'Inflação Implícita'!J59-'Metas de Inflação'!J59</f>
        <v>1.6836428437441526</v>
      </c>
      <c r="K59" s="3">
        <f>'Inflação Implícita'!K59-'Metas de Inflação'!K59</f>
        <v>1.7400300272121623</v>
      </c>
      <c r="L59" s="3">
        <f>'Inflação Implícita'!L59-'Metas de Inflação'!L59</f>
        <v>1.7599718442045926</v>
      </c>
      <c r="M59" s="3">
        <f>'Inflação Implícita'!M59-'Metas de Inflação'!M59</f>
        <v>1.8098591549295868</v>
      </c>
      <c r="N59" s="3">
        <f>'Inflação Implícita'!N59-'Metas de Inflação'!N59</f>
        <v>1.8098591549295868</v>
      </c>
      <c r="O59" s="3">
        <f>'Inflação Implícita'!O59-'Metas de Inflação'!O59</f>
        <v>1.8098591549295868</v>
      </c>
      <c r="P59" s="3">
        <f>'Inflação Implícita'!P59-'Metas de Inflação'!P59</f>
        <v>1.8098591549295868</v>
      </c>
      <c r="Q59" s="3">
        <f>'Inflação Implícita'!Q59-'Metas de Inflação'!Q59</f>
        <v>1.8098591549295868</v>
      </c>
    </row>
    <row r="60" spans="1:17" ht="18.75" customHeight="1" x14ac:dyDescent="0.25">
      <c r="A60" s="2">
        <v>40178</v>
      </c>
      <c r="B60" s="3">
        <f>'Inflação Implícita'!B60-'Metas de Inflação'!B60</f>
        <v>-0.19000000000000039</v>
      </c>
      <c r="C60" s="3">
        <f>'Inflação Implícita'!C60-'Metas de Inflação'!C60</f>
        <v>0.76205450733749913</v>
      </c>
      <c r="D60" s="3">
        <f>'Inflação Implícita'!D60-'Metas de Inflação'!D60</f>
        <v>0.81964975049430411</v>
      </c>
      <c r="E60" s="3">
        <f>'Inflação Implícita'!E60-'Metas de Inflação'!E60</f>
        <v>1.147434692726927</v>
      </c>
      <c r="F60" s="3">
        <f>'Inflação Implícita'!F60-'Metas de Inflação'!F60</f>
        <v>1.1258790436005679</v>
      </c>
      <c r="G60" s="3">
        <f>'Inflação Implícita'!G60-'Metas de Inflação'!G60</f>
        <v>1.2803413993622099</v>
      </c>
      <c r="H60" s="3">
        <f>'Inflação Implícita'!H60-'Metas de Inflação'!H60</f>
        <v>1.3801463002907228</v>
      </c>
      <c r="I60" s="3">
        <f>'Inflação Implícita'!I60-'Metas de Inflação'!I60</f>
        <v>1.3801463002907228</v>
      </c>
      <c r="J60" s="3">
        <f>'Inflação Implícita'!J60-'Metas de Inflação'!J60</f>
        <v>1.8150980576146987</v>
      </c>
      <c r="K60" s="3">
        <f>'Inflação Implícita'!K60-'Metas de Inflação'!K60</f>
        <v>1.8506664163694548</v>
      </c>
      <c r="L60" s="3">
        <f>'Inflação Implícita'!L60-'Metas de Inflação'!L60</f>
        <v>1.8662817985544073</v>
      </c>
      <c r="M60" s="3">
        <f>'Inflação Implícita'!M60-'Metas de Inflação'!M60</f>
        <v>1.9099915485022141</v>
      </c>
      <c r="N60" s="3">
        <f>'Inflação Implícita'!N60-'Metas de Inflação'!N60</f>
        <v>1.9137477697436385</v>
      </c>
      <c r="O60" s="3">
        <f>'Inflação Implícita'!O60-'Metas de Inflação'!O60</f>
        <v>1.9137477697436385</v>
      </c>
      <c r="P60" s="3">
        <f>'Inflação Implícita'!P60-'Metas de Inflação'!P60</f>
        <v>1.9137477697436385</v>
      </c>
      <c r="Q60" s="3">
        <f>'Inflação Implícita'!Q60-'Metas de Inflação'!Q60</f>
        <v>1.9137477697436385</v>
      </c>
    </row>
    <row r="61" spans="1:17" ht="18.75" customHeight="1" x14ac:dyDescent="0.25">
      <c r="A61" s="2">
        <v>40209</v>
      </c>
      <c r="B61" s="3">
        <f>'Inflação Implícita'!B61-'Metas de Inflação'!B61</f>
        <v>8.9999999999999858E-2</v>
      </c>
      <c r="C61" s="3">
        <f>'Inflação Implícita'!C61-'Metas de Inflação'!C61</f>
        <v>0.89599236641219449</v>
      </c>
      <c r="D61" s="3">
        <f>'Inflação Implícita'!D61-'Metas de Inflação'!D61</f>
        <v>1.1238185255198303</v>
      </c>
      <c r="E61" s="3">
        <f>'Inflação Implícita'!E61-'Metas de Inflação'!E61</f>
        <v>1.0517954502726008</v>
      </c>
      <c r="F61" s="3">
        <f>'Inflação Implícita'!F61-'Metas de Inflação'!F61</f>
        <v>1.1275227635407932</v>
      </c>
      <c r="G61" s="3">
        <f>'Inflação Implícita'!G61-'Metas de Inflação'!G61</f>
        <v>1.3512536388393377</v>
      </c>
      <c r="H61" s="3">
        <f>'Inflação Implícita'!H61-'Metas de Inflação'!H61</f>
        <v>1.5120108848643827</v>
      </c>
      <c r="I61" s="3">
        <f>'Inflação Implícita'!I61-'Metas de Inflação'!I61</f>
        <v>1.5120108848643827</v>
      </c>
      <c r="J61" s="3">
        <f>'Inflação Implícita'!J61-'Metas de Inflação'!J61</f>
        <v>1.7070583818284231</v>
      </c>
      <c r="K61" s="3">
        <f>'Inflação Implícita'!K61-'Metas de Inflação'!K61</f>
        <v>1.7780437435464131</v>
      </c>
      <c r="L61" s="3">
        <f>'Inflação Implícita'!L61-'Metas de Inflação'!L61</f>
        <v>1.8087752229000316</v>
      </c>
      <c r="M61" s="3">
        <f>'Inflação Implícita'!M61-'Metas de Inflação'!M61</f>
        <v>1.8790837401427103</v>
      </c>
      <c r="N61" s="3">
        <f>'Inflação Implícita'!N61-'Metas de Inflação'!N61</f>
        <v>1.9119414194517388</v>
      </c>
      <c r="O61" s="3">
        <f>'Inflação Implícita'!O61-'Metas de Inflação'!O61</f>
        <v>1.9119414194517388</v>
      </c>
      <c r="P61" s="3">
        <f>'Inflação Implícita'!P61-'Metas de Inflação'!P61</f>
        <v>1.9119414194517388</v>
      </c>
      <c r="Q61" s="3">
        <f>'Inflação Implícita'!Q61-'Metas de Inflação'!Q61</f>
        <v>1.9119414194517388</v>
      </c>
    </row>
    <row r="62" spans="1:17" ht="18.75" customHeight="1" x14ac:dyDescent="0.25">
      <c r="A62" s="2">
        <v>40237</v>
      </c>
      <c r="B62" s="3">
        <f>'Inflação Implícita'!B62-'Metas de Inflação'!B62</f>
        <v>0.33000000000000007</v>
      </c>
      <c r="C62" s="3">
        <f>'Inflação Implícita'!C62-'Metas de Inflação'!C62</f>
        <v>0.95515139973338226</v>
      </c>
      <c r="D62" s="3">
        <f>'Inflação Implícita'!D62-'Metas de Inflação'!D62</f>
        <v>0.91981132075470828</v>
      </c>
      <c r="E62" s="3">
        <f>'Inflação Implícita'!E62-'Metas de Inflação'!E62</f>
        <v>1.0096470588235302</v>
      </c>
      <c r="F62" s="3">
        <f>'Inflação Implícita'!F62-'Metas de Inflação'!F62</f>
        <v>1.0467869222096899</v>
      </c>
      <c r="G62" s="3">
        <f>'Inflação Implícita'!G62-'Metas de Inflação'!G62</f>
        <v>1.1874353914105669</v>
      </c>
      <c r="H62" s="3">
        <f>'Inflação Implícita'!H62-'Metas de Inflação'!H62</f>
        <v>1.3092105263157778</v>
      </c>
      <c r="I62" s="3">
        <f>'Inflação Implícita'!I62-'Metas de Inflação'!I62</f>
        <v>1.3092105263157778</v>
      </c>
      <c r="J62" s="3">
        <f>'Inflação Implícita'!J62-'Metas de Inflação'!J62</f>
        <v>1.6012967487314329</v>
      </c>
      <c r="K62" s="3">
        <f>'Inflação Implícita'!K62-'Metas de Inflação'!K62</f>
        <v>1.6456082667919132</v>
      </c>
      <c r="L62" s="3">
        <f>'Inflação Implícita'!L62-'Metas de Inflação'!L62</f>
        <v>1.6740681626138327</v>
      </c>
      <c r="M62" s="3">
        <f>'Inflação Implícita'!M62-'Metas de Inflação'!M62</f>
        <v>1.7576283917003206</v>
      </c>
      <c r="N62" s="3">
        <f>'Inflação Implícita'!N62-'Metas de Inflação'!N62</f>
        <v>2.1097080086376936</v>
      </c>
      <c r="O62" s="3">
        <f>'Inflação Implícita'!O62-'Metas de Inflação'!O62</f>
        <v>2.1097080086376936</v>
      </c>
      <c r="P62" s="3">
        <f>'Inflação Implícita'!P62-'Metas de Inflação'!P62</f>
        <v>2.1097080086376936</v>
      </c>
      <c r="Q62" s="3">
        <f>'Inflação Implícita'!Q62-'Metas de Inflação'!Q62</f>
        <v>2.1097080086376936</v>
      </c>
    </row>
    <row r="63" spans="1:17" ht="18.75" customHeight="1" x14ac:dyDescent="0.25">
      <c r="A63" s="2">
        <v>40268</v>
      </c>
      <c r="B63" s="3">
        <f>'Inflação Implícita'!B63-'Metas de Inflação'!B63</f>
        <v>0.66999999999999993</v>
      </c>
      <c r="C63" s="3">
        <f>'Inflação Implícita'!C63-'Metas de Inflação'!C63</f>
        <v>0.95809152316623081</v>
      </c>
      <c r="D63" s="3">
        <f>'Inflação Implícita'!D63-'Metas de Inflação'!D63</f>
        <v>1.0408721918067005</v>
      </c>
      <c r="E63" s="3">
        <f>'Inflação Implícita'!E63-'Metas de Inflação'!E63</f>
        <v>1.155042412818112</v>
      </c>
      <c r="F63" s="3">
        <f>'Inflação Implícita'!F63-'Metas de Inflação'!F63</f>
        <v>1.1408324701007428</v>
      </c>
      <c r="G63" s="3">
        <f>'Inflação Implícita'!G63-'Metas de Inflação'!G63</f>
        <v>1.2183231276495494</v>
      </c>
      <c r="H63" s="3">
        <f>'Inflação Implícita'!H63-'Metas de Inflação'!H63</f>
        <v>1.2394498869630661</v>
      </c>
      <c r="I63" s="3">
        <f>'Inflação Implícita'!I63-'Metas de Inflação'!I63</f>
        <v>1.2394498869630661</v>
      </c>
      <c r="J63" s="3">
        <f>'Inflação Implícita'!J63-'Metas de Inflação'!J63</f>
        <v>1.3438500659257819</v>
      </c>
      <c r="K63" s="3">
        <f>'Inflação Implícita'!K63-'Metas de Inflação'!K63</f>
        <v>1.3388250800225805</v>
      </c>
      <c r="L63" s="3">
        <f>'Inflação Implícita'!L63-'Metas de Inflação'!L63</f>
        <v>1.3633668956431739</v>
      </c>
      <c r="M63" s="3">
        <f>'Inflação Implícita'!M63-'Metas de Inflação'!M63</f>
        <v>1.4612308271384196</v>
      </c>
      <c r="N63" s="3">
        <f>'Inflação Implícita'!N63-'Metas de Inflação'!N63</f>
        <v>1.6070857250399957</v>
      </c>
      <c r="O63" s="3">
        <f>'Inflação Implícita'!O63-'Metas de Inflação'!O63</f>
        <v>1.6070857250399957</v>
      </c>
      <c r="P63" s="3">
        <f>'Inflação Implícita'!P63-'Metas de Inflação'!P63</f>
        <v>1.6070857250399957</v>
      </c>
      <c r="Q63" s="3">
        <f>'Inflação Implícita'!Q63-'Metas de Inflação'!Q63</f>
        <v>1.6070857250399957</v>
      </c>
    </row>
    <row r="64" spans="1:17" ht="18.75" customHeight="1" x14ac:dyDescent="0.25">
      <c r="A64" s="2">
        <v>40298</v>
      </c>
      <c r="B64" s="3">
        <f>'Inflação Implícita'!B64-'Metas de Inflação'!B64</f>
        <v>0.75999999999999979</v>
      </c>
      <c r="C64" s="3">
        <f>'Inflação Implícita'!C64-'Metas de Inflação'!C64</f>
        <v>1.0924349881796731</v>
      </c>
      <c r="D64" s="3">
        <f>'Inflação Implícita'!D64-'Metas de Inflação'!D64</f>
        <v>1.0636909790669486</v>
      </c>
      <c r="E64" s="3">
        <f>'Inflação Implícita'!E64-'Metas de Inflação'!E64</f>
        <v>1.1512762762762847</v>
      </c>
      <c r="F64" s="3">
        <f>'Inflação Implícita'!F64-'Metas de Inflação'!F64</f>
        <v>1.0104527983500518</v>
      </c>
      <c r="G64" s="3">
        <f>'Inflação Implícita'!G64-'Metas de Inflação'!G64</f>
        <v>1.0616027024490977</v>
      </c>
      <c r="H64" s="3">
        <f>'Inflação Implícita'!H64-'Metas de Inflação'!H64</f>
        <v>1.127465714822466</v>
      </c>
      <c r="I64" s="3">
        <f>'Inflação Implícita'!I64-'Metas de Inflação'!I64</f>
        <v>1.127465714822466</v>
      </c>
      <c r="J64" s="3">
        <f>'Inflação Implícita'!J64-'Metas de Inflação'!J64</f>
        <v>1.1393380970289453</v>
      </c>
      <c r="K64" s="3">
        <f>'Inflação Implícita'!K64-'Metas de Inflação'!K64</f>
        <v>1.1673878280500523</v>
      </c>
      <c r="L64" s="3">
        <f>'Inflação Implícita'!L64-'Metas de Inflação'!L64</f>
        <v>1.1754468485418652</v>
      </c>
      <c r="M64" s="3">
        <f>'Inflação Implícita'!M64-'Metas de Inflação'!M64</f>
        <v>1.2364705882352984</v>
      </c>
      <c r="N64" s="3">
        <f>'Inflação Implícita'!N64-'Metas de Inflação'!N64</f>
        <v>1.2694117647058674</v>
      </c>
      <c r="O64" s="3">
        <f>'Inflação Implícita'!O64-'Metas de Inflação'!O64</f>
        <v>1.2694117647058674</v>
      </c>
      <c r="P64" s="3">
        <f>'Inflação Implícita'!P64-'Metas de Inflação'!P64</f>
        <v>1.2694117647058674</v>
      </c>
      <c r="Q64" s="3">
        <f>'Inflação Implícita'!Q64-'Metas de Inflação'!Q64</f>
        <v>1.2694117647058674</v>
      </c>
    </row>
    <row r="65" spans="1:17" ht="18.75" customHeight="1" x14ac:dyDescent="0.25">
      <c r="A65" s="2">
        <v>40329</v>
      </c>
      <c r="B65" s="3">
        <f>'Inflação Implícita'!B65-'Metas de Inflação'!B65</f>
        <v>0.71999999999999975</v>
      </c>
      <c r="C65" s="3">
        <f>'Inflação Implícita'!C65-'Metas de Inflação'!C65</f>
        <v>0.67963224893918106</v>
      </c>
      <c r="D65" s="3">
        <f>'Inflação Implícita'!D65-'Metas de Inflação'!D65</f>
        <v>0.75950258094789458</v>
      </c>
      <c r="E65" s="3">
        <f>'Inflação Implícita'!E65-'Metas de Inflação'!E65</f>
        <v>0.80681178457497182</v>
      </c>
      <c r="F65" s="3">
        <f>'Inflação Implícita'!F65-'Metas de Inflação'!F65</f>
        <v>0.81944835350408596</v>
      </c>
      <c r="G65" s="3">
        <f>'Inflação Implícita'!G65-'Metas de Inflação'!G65</f>
        <v>0.7582731789631465</v>
      </c>
      <c r="H65" s="3">
        <f>'Inflação Implícita'!H65-'Metas de Inflação'!H65</f>
        <v>0.85091011446799936</v>
      </c>
      <c r="I65" s="3">
        <f>'Inflação Implícita'!I65-'Metas de Inflação'!I65</f>
        <v>0.85091011446799936</v>
      </c>
      <c r="J65" s="3">
        <f>'Inflação Implícita'!J65-'Metas de Inflação'!J65</f>
        <v>0.8343963980864828</v>
      </c>
      <c r="K65" s="3">
        <f>'Inflação Implícita'!K65-'Metas de Inflação'!K65</f>
        <v>0.84946993151326211</v>
      </c>
      <c r="L65" s="3">
        <f>'Inflação Implícita'!L65-'Metas de Inflação'!L65</f>
        <v>0.8343963980864828</v>
      </c>
      <c r="M65" s="3">
        <f>'Inflação Implícita'!M65-'Metas de Inflação'!M65</f>
        <v>0.88937887033212881</v>
      </c>
      <c r="N65" s="3">
        <f>'Inflação Implícita'!N65-'Metas de Inflação'!N65</f>
        <v>0.94192156126850346</v>
      </c>
      <c r="O65" s="3">
        <f>'Inflação Implícita'!O65-'Metas de Inflação'!O65</f>
        <v>0.94192156126850346</v>
      </c>
      <c r="P65" s="3">
        <f>'Inflação Implícita'!P65-'Metas de Inflação'!P65</f>
        <v>0.94192156126850346</v>
      </c>
      <c r="Q65" s="3">
        <f>'Inflação Implícita'!Q65-'Metas de Inflação'!Q65</f>
        <v>0.94192156126850346</v>
      </c>
    </row>
    <row r="66" spans="1:17" ht="18.75" customHeight="1" x14ac:dyDescent="0.25">
      <c r="A66" s="2">
        <v>40359</v>
      </c>
      <c r="B66" s="3">
        <f>'Inflação Implícita'!B66-'Metas de Inflação'!B66</f>
        <v>0.33999999999999986</v>
      </c>
      <c r="C66" s="3">
        <f>'Inflação Implícita'!C66-'Metas de Inflação'!C66</f>
        <v>0.39591147786947456</v>
      </c>
      <c r="D66" s="3">
        <f>'Inflação Implícita'!D66-'Metas de Inflação'!D66</f>
        <v>0.71009191521291104</v>
      </c>
      <c r="E66" s="3">
        <f>'Inflação Implícita'!E66-'Metas de Inflação'!E66</f>
        <v>0.78340840840841874</v>
      </c>
      <c r="F66" s="3">
        <f>'Inflação Implícita'!F66-'Metas de Inflação'!F66</f>
        <v>0.76118353183906429</v>
      </c>
      <c r="G66" s="3">
        <f>'Inflação Implícita'!G66-'Metas de Inflação'!G66</f>
        <v>0.82819983097003735</v>
      </c>
      <c r="H66" s="3">
        <f>'Inflação Implícita'!H66-'Metas de Inflação'!H66</f>
        <v>0.89791412195809173</v>
      </c>
      <c r="I66" s="3">
        <f>'Inflação Implícita'!I66-'Metas de Inflação'!I66</f>
        <v>0.89791412195809173</v>
      </c>
      <c r="J66" s="3">
        <f>'Inflação Implícita'!J66-'Metas de Inflação'!J66</f>
        <v>0.88194118199755156</v>
      </c>
      <c r="K66" s="3">
        <f>'Inflação Implícita'!K66-'Metas de Inflação'!K66</f>
        <v>0.83859303090071791</v>
      </c>
      <c r="L66" s="3">
        <f>'Inflação Implícita'!L66-'Metas de Inflação'!L66</f>
        <v>0.82588279489105698</v>
      </c>
      <c r="M66" s="3">
        <f>'Inflação Implícita'!M66-'Metas de Inflação'!M66</f>
        <v>0.85305164319248572</v>
      </c>
      <c r="N66" s="3">
        <f>'Inflação Implícita'!N66-'Metas de Inflação'!N66</f>
        <v>0.89906103286384997</v>
      </c>
      <c r="O66" s="3">
        <f>'Inflação Implícita'!O66-'Metas de Inflação'!O66</f>
        <v>0.89906103286384997</v>
      </c>
      <c r="P66" s="3">
        <f>'Inflação Implícita'!P66-'Metas de Inflação'!P66</f>
        <v>0.89906103286384997</v>
      </c>
      <c r="Q66" s="3">
        <f>'Inflação Implícita'!Q66-'Metas de Inflação'!Q66</f>
        <v>0.89906103286384997</v>
      </c>
    </row>
    <row r="67" spans="1:17" ht="18.75" customHeight="1" x14ac:dyDescent="0.25">
      <c r="A67" s="2">
        <v>40390</v>
      </c>
      <c r="B67" s="3">
        <f>'Inflação Implícita'!B67-'Metas de Inflação'!B67</f>
        <v>9.9999999999999645E-2</v>
      </c>
      <c r="C67" s="3">
        <f>'Inflação Implícita'!C67-'Metas de Inflação'!C67</f>
        <v>0.36698113207546523</v>
      </c>
      <c r="D67" s="3">
        <f>'Inflação Implícita'!D67-'Metas de Inflação'!D67</f>
        <v>0.69156547114751898</v>
      </c>
      <c r="E67" s="3">
        <f>'Inflação Implícita'!E67-'Metas de Inflação'!E67</f>
        <v>0.86773707505413533</v>
      </c>
      <c r="F67" s="3">
        <f>'Inflação Implícita'!F67-'Metas de Inflação'!F67</f>
        <v>0.80950141110066998</v>
      </c>
      <c r="G67" s="3">
        <f>'Inflação Implícita'!G67-'Metas de Inflação'!G67</f>
        <v>0.78514963297572749</v>
      </c>
      <c r="H67" s="3">
        <f>'Inflação Implícita'!H67-'Metas de Inflação'!H67</f>
        <v>0.81594312082115383</v>
      </c>
      <c r="I67" s="3">
        <f>'Inflação Implícita'!I67-'Metas de Inflação'!I67</f>
        <v>0.81594312082115383</v>
      </c>
      <c r="J67" s="3">
        <f>'Inflação Implícita'!J67-'Metas de Inflação'!J67</f>
        <v>0.83157498116050288</v>
      </c>
      <c r="K67" s="3">
        <f>'Inflação Implícita'!K67-'Metas de Inflação'!K67</f>
        <v>0.83678756476683169</v>
      </c>
      <c r="L67" s="3">
        <f>'Inflação Implícita'!L67-'Metas de Inflação'!L67</f>
        <v>0.79334212261041159</v>
      </c>
      <c r="M67" s="3">
        <f>'Inflação Implícita'!M67-'Metas de Inflação'!M67</f>
        <v>0.82912703644410346</v>
      </c>
      <c r="N67" s="3">
        <f>'Inflação Implícita'!N67-'Metas de Inflação'!N67</f>
        <v>0.85831999246632051</v>
      </c>
      <c r="O67" s="3">
        <f>'Inflação Implícita'!O67-'Metas de Inflação'!O67</f>
        <v>0.85831999246632051</v>
      </c>
      <c r="P67" s="3">
        <f>'Inflação Implícita'!P67-'Metas de Inflação'!P67</f>
        <v>0.85831999246632051</v>
      </c>
      <c r="Q67" s="3">
        <f>'Inflação Implícita'!Q67-'Metas de Inflação'!Q67</f>
        <v>0.85831999246632051</v>
      </c>
    </row>
    <row r="68" spans="1:17" ht="18.75" customHeight="1" x14ac:dyDescent="0.25">
      <c r="A68" s="2">
        <v>40421</v>
      </c>
      <c r="B68" s="3">
        <f>'Inflação Implícita'!B68-'Metas de Inflação'!B68</f>
        <v>-9.9999999999997868E-3</v>
      </c>
      <c r="C68" s="3">
        <f>'Inflação Implícita'!C68-'Metas de Inflação'!C68</f>
        <v>0.68367733383828799</v>
      </c>
      <c r="D68" s="3">
        <f>'Inflação Implícita'!D68-'Metas de Inflação'!D68</f>
        <v>0.64999999999998792</v>
      </c>
      <c r="E68" s="3">
        <f>'Inflação Implícita'!E68-'Metas de Inflação'!E68</f>
        <v>0.66655657261486656</v>
      </c>
      <c r="F68" s="3">
        <f>'Inflação Implícita'!F68-'Metas de Inflação'!F68</f>
        <v>0.58442599754741487</v>
      </c>
      <c r="G68" s="3">
        <f>'Inflação Implícita'!G68-'Metas de Inflação'!G68</f>
        <v>0.61276776446163428</v>
      </c>
      <c r="H68" s="3">
        <f>'Inflação Implícita'!H68-'Metas de Inflação'!H68</f>
        <v>0.67524799244213352</v>
      </c>
      <c r="I68" s="3">
        <f>'Inflação Implícita'!I68-'Metas de Inflação'!I68</f>
        <v>0.67524799244213352</v>
      </c>
      <c r="J68" s="3">
        <f>'Inflação Implícita'!J68-'Metas de Inflação'!J68</f>
        <v>0.71176025713745439</v>
      </c>
      <c r="K68" s="3">
        <f>'Inflação Implícita'!K68-'Metas de Inflação'!K68</f>
        <v>0.71130755412686497</v>
      </c>
      <c r="L68" s="3">
        <f>'Inflação Implícita'!L68-'Metas de Inflação'!L68</f>
        <v>0.69379844961240789</v>
      </c>
      <c r="M68" s="3">
        <f>'Inflação Implícita'!M68-'Metas de Inflação'!M68</f>
        <v>0.71648704859141166</v>
      </c>
      <c r="N68" s="3">
        <f>'Inflação Implícita'!N68-'Metas de Inflação'!N68</f>
        <v>0.70325203252032242</v>
      </c>
      <c r="O68" s="3">
        <f>'Inflação Implícita'!O68-'Metas de Inflação'!O68</f>
        <v>0.67583664208733918</v>
      </c>
      <c r="P68" s="3">
        <f>'Inflação Implícita'!P68-'Metas de Inflação'!P68</f>
        <v>0.67583664208733918</v>
      </c>
      <c r="Q68" s="3">
        <f>'Inflação Implícita'!Q68-'Metas de Inflação'!Q68</f>
        <v>0.67583664208733918</v>
      </c>
    </row>
    <row r="69" spans="1:17" ht="18.75" customHeight="1" x14ac:dyDescent="0.25">
      <c r="A69" s="2">
        <v>40451</v>
      </c>
      <c r="B69" s="3">
        <f>'Inflação Implícita'!B69-'Metas de Inflação'!B69</f>
        <v>0.20000000000000018</v>
      </c>
      <c r="C69" s="3">
        <f>'Inflação Implícita'!C69-'Metas de Inflação'!C69</f>
        <v>1.3839200761179988</v>
      </c>
      <c r="D69" s="3">
        <f>'Inflação Implícita'!D69-'Metas de Inflação'!D69</f>
        <v>1.4115865202574724</v>
      </c>
      <c r="E69" s="3">
        <f>'Inflação Implícita'!E69-'Metas de Inflação'!E69</f>
        <v>1.1778460085026072</v>
      </c>
      <c r="F69" s="3">
        <f>'Inflação Implícita'!F69-'Metas de Inflação'!F69</f>
        <v>1.1137865911237039</v>
      </c>
      <c r="G69" s="3">
        <f>'Inflação Implícita'!G69-'Metas de Inflação'!G69</f>
        <v>1.0231350330500639</v>
      </c>
      <c r="H69" s="3">
        <f>'Inflação Implícita'!H69-'Metas de Inflação'!H69</f>
        <v>1.0073696145124584</v>
      </c>
      <c r="I69" s="3">
        <f>'Inflação Implícita'!I69-'Metas de Inflação'!I69</f>
        <v>1.0073696145124584</v>
      </c>
      <c r="J69" s="3">
        <f>'Inflação Implícita'!J69-'Metas de Inflação'!J69</f>
        <v>0.9296506137865963</v>
      </c>
      <c r="K69" s="3">
        <f>'Inflação Implícita'!K69-'Metas de Inflação'!K69</f>
        <v>0.9296506137865963</v>
      </c>
      <c r="L69" s="3">
        <f>'Inflação Implícita'!L69-'Metas de Inflação'!L69</f>
        <v>0.91969596827496236</v>
      </c>
      <c r="M69" s="3">
        <f>'Inflação Implícita'!M69-'Metas de Inflação'!M69</f>
        <v>0.91395261021428986</v>
      </c>
      <c r="N69" s="3">
        <f>'Inflação Implícita'!N69-'Metas de Inflação'!N69</f>
        <v>0.91867270839233584</v>
      </c>
      <c r="O69" s="3">
        <f>'Inflação Implícita'!O69-'Metas de Inflação'!O69</f>
        <v>0.91867270839233584</v>
      </c>
      <c r="P69" s="3">
        <f>'Inflação Implícita'!P69-'Metas de Inflação'!P69</f>
        <v>0.91867270839233584</v>
      </c>
      <c r="Q69" s="3">
        <f>'Inflação Implícita'!Q69-'Metas de Inflação'!Q69</f>
        <v>0.91867270839233584</v>
      </c>
    </row>
    <row r="70" spans="1:17" ht="18.75" customHeight="1" x14ac:dyDescent="0.25">
      <c r="A70" s="2">
        <v>40482</v>
      </c>
      <c r="B70" s="3">
        <f>'Inflação Implícita'!B70-'Metas de Inflação'!B70</f>
        <v>0.70000000000000018</v>
      </c>
      <c r="C70" s="3">
        <f>'Inflação Implícita'!C70-'Metas de Inflação'!C70</f>
        <v>1.7980309692219461</v>
      </c>
      <c r="D70" s="3">
        <f>'Inflação Implícita'!D70-'Metas de Inflação'!D70</f>
        <v>1.4440493124703675</v>
      </c>
      <c r="E70" s="3">
        <f>'Inflação Implícita'!E70-'Metas de Inflação'!E70</f>
        <v>1.1678017404464542</v>
      </c>
      <c r="F70" s="3">
        <f>'Inflação Implícita'!F70-'Metas de Inflação'!F70</f>
        <v>1.0098761931764439</v>
      </c>
      <c r="G70" s="3">
        <f>'Inflação Implícita'!G70-'Metas de Inflação'!G70</f>
        <v>0.99759001984690965</v>
      </c>
      <c r="H70" s="3">
        <f>'Inflação Implícita'!H70-'Metas de Inflação'!H70</f>
        <v>1.0238275340393272</v>
      </c>
      <c r="I70" s="3">
        <f>'Inflação Implícita'!I70-'Metas de Inflação'!I70</f>
        <v>1.0238275340393272</v>
      </c>
      <c r="J70" s="3">
        <f>'Inflação Implícita'!J70-'Metas de Inflação'!J70</f>
        <v>1.1018168054504214</v>
      </c>
      <c r="K70" s="3">
        <f>'Inflação Implícita'!K70-'Metas de Inflação'!K70</f>
        <v>1.1118103529857244</v>
      </c>
      <c r="L70" s="3">
        <f>'Inflação Implícita'!L70-'Metas de Inflação'!L70</f>
        <v>1.0818353831599055</v>
      </c>
      <c r="M70" s="3">
        <f>'Inflação Implícita'!M70-'Metas de Inflação'!M70</f>
        <v>1.1069637619453161</v>
      </c>
      <c r="N70" s="3">
        <f>'Inflação Implícita'!N70-'Metas de Inflação'!N70</f>
        <v>1.1107484151764808</v>
      </c>
      <c r="O70" s="3">
        <f>'Inflação Implícita'!O70-'Metas de Inflação'!O70</f>
        <v>1.1107484151764808</v>
      </c>
      <c r="P70" s="3">
        <f>'Inflação Implícita'!P70-'Metas de Inflação'!P70</f>
        <v>1.1107484151764808</v>
      </c>
      <c r="Q70" s="3">
        <f>'Inflação Implícita'!Q70-'Metas de Inflação'!Q70</f>
        <v>1.1107484151764808</v>
      </c>
    </row>
    <row r="71" spans="1:17" ht="18.75" customHeight="1" x14ac:dyDescent="0.25">
      <c r="A71" s="2">
        <v>40512</v>
      </c>
      <c r="B71" s="3">
        <f>'Inflação Implícita'!B71-'Metas de Inflação'!B71</f>
        <v>1.1299999999999999</v>
      </c>
      <c r="C71" s="3">
        <f>'Inflação Implícita'!C71-'Metas de Inflação'!C71</f>
        <v>1.9738894701797722</v>
      </c>
      <c r="D71" s="3">
        <f>'Inflação Implícita'!D71-'Metas de Inflação'!D71</f>
        <v>1.5483566301473557</v>
      </c>
      <c r="E71" s="3">
        <f>'Inflação Implícita'!E71-'Metas de Inflação'!E71</f>
        <v>1.2510365623822279</v>
      </c>
      <c r="F71" s="3">
        <f>'Inflação Implícita'!F71-'Metas de Inflação'!F71</f>
        <v>1.1585641605426895</v>
      </c>
      <c r="G71" s="3">
        <f>'Inflação Implícita'!G71-'Metas de Inflação'!G71</f>
        <v>1.3480415290230958</v>
      </c>
      <c r="H71" s="3">
        <f>'Inflação Implícita'!H71-'Metas de Inflação'!H71</f>
        <v>1.4240362811791458</v>
      </c>
      <c r="I71" s="3">
        <f>'Inflação Implícita'!I71-'Metas de Inflação'!I71</f>
        <v>1.4240362811791458</v>
      </c>
      <c r="J71" s="3">
        <f>'Inflação Implícita'!J71-'Metas de Inflação'!J71</f>
        <v>1.3762983947119984</v>
      </c>
      <c r="K71" s="3">
        <f>'Inflação Implícita'!K71-'Metas de Inflação'!K71</f>
        <v>1.363859516616321</v>
      </c>
      <c r="L71" s="3">
        <f>'Inflação Implícita'!L71-'Metas de Inflação'!L71</f>
        <v>1.3205152401623161</v>
      </c>
      <c r="M71" s="3">
        <f>'Inflação Implícita'!M71-'Metas de Inflação'!M71</f>
        <v>1.3075471698113335</v>
      </c>
      <c r="N71" s="3">
        <f>'Inflação Implícita'!N71-'Metas de Inflação'!N71</f>
        <v>1.3113207547169754</v>
      </c>
      <c r="O71" s="3">
        <f>'Inflação Implícita'!O71-'Metas de Inflação'!O71</f>
        <v>1.3113207547169754</v>
      </c>
      <c r="P71" s="3">
        <f>'Inflação Implícita'!P71-'Metas de Inflação'!P71</f>
        <v>1.3113207547169754</v>
      </c>
      <c r="Q71" s="3">
        <f>'Inflação Implícita'!Q71-'Metas de Inflação'!Q71</f>
        <v>1.3113207547169754</v>
      </c>
    </row>
    <row r="72" spans="1:17" ht="18.75" customHeight="1" x14ac:dyDescent="0.25">
      <c r="A72" s="2">
        <v>40543</v>
      </c>
      <c r="B72" s="3">
        <f>'Inflação Implícita'!B72-'Metas de Inflação'!B72</f>
        <v>1.4100000000000001</v>
      </c>
      <c r="C72" s="3">
        <f>'Inflação Implícita'!C72-'Metas de Inflação'!C72</f>
        <v>1.3994233859532841</v>
      </c>
      <c r="D72" s="3">
        <f>'Inflação Implícita'!D72-'Metas de Inflação'!D72</f>
        <v>1.4350820909605639</v>
      </c>
      <c r="E72" s="3">
        <f>'Inflação Implícita'!E72-'Metas de Inflação'!E72</f>
        <v>1.2243849561692928</v>
      </c>
      <c r="F72" s="3">
        <f>'Inflação Implícita'!F72-'Metas de Inflação'!F72</f>
        <v>1.1383179332453404</v>
      </c>
      <c r="G72" s="3">
        <f>'Inflação Implícita'!G72-'Metas de Inflação'!G72</f>
        <v>1.2728647014361201</v>
      </c>
      <c r="H72" s="3">
        <f>'Inflação Implícita'!H72-'Metas de Inflação'!H72</f>
        <v>1.3161528276905683</v>
      </c>
      <c r="I72" s="3">
        <f>'Inflação Implícita'!I72-'Metas de Inflação'!I72</f>
        <v>1.3161528276905683</v>
      </c>
      <c r="J72" s="3">
        <f>'Inflação Implícita'!J72-'Metas de Inflação'!J72</f>
        <v>1.1782542981296258</v>
      </c>
      <c r="K72" s="3">
        <f>'Inflação Implícita'!K72-'Metas de Inflação'!K72</f>
        <v>1.1468366383380708</v>
      </c>
      <c r="L72" s="3">
        <f>'Inflação Implícita'!L72-'Metas de Inflação'!L72</f>
        <v>1.1158565361019264</v>
      </c>
      <c r="M72" s="3">
        <f>'Inflação Implícita'!M72-'Metas de Inflação'!M72</f>
        <v>1.085959615021685</v>
      </c>
      <c r="N72" s="3">
        <f>'Inflação Implícita'!N72-'Metas de Inflação'!N72</f>
        <v>1.085959615021685</v>
      </c>
      <c r="O72" s="3">
        <f>'Inflação Implícita'!O72-'Metas de Inflação'!O72</f>
        <v>1.085959615021685</v>
      </c>
      <c r="P72" s="3">
        <f>'Inflação Implícita'!P72-'Metas de Inflação'!P72</f>
        <v>1.085959615021685</v>
      </c>
      <c r="Q72" s="3">
        <f>'Inflação Implícita'!Q72-'Metas de Inflação'!Q72</f>
        <v>1.085959615021685</v>
      </c>
    </row>
    <row r="73" spans="1:17" ht="18.75" customHeight="1" x14ac:dyDescent="0.25">
      <c r="A73" s="2">
        <v>40574</v>
      </c>
      <c r="B73" s="3">
        <f>'Inflação Implícita'!B73-'Metas de Inflação'!B73</f>
        <v>1.4900000000000002</v>
      </c>
      <c r="C73" s="3">
        <f>'Inflação Implícita'!C73-'Metas de Inflação'!C73</f>
        <v>1.9782196969696892</v>
      </c>
      <c r="D73" s="3">
        <f>'Inflação Implícita'!D73-'Metas de Inflação'!D73</f>
        <v>1.8573850791258213</v>
      </c>
      <c r="E73" s="3">
        <f>'Inflação Implícita'!E73-'Metas de Inflação'!E73</f>
        <v>1.6982693754702778</v>
      </c>
      <c r="F73" s="3">
        <f>'Inflação Implícita'!F73-'Metas de Inflação'!F73</f>
        <v>1.5347581023954877</v>
      </c>
      <c r="G73" s="3">
        <f>'Inflação Implícita'!G73-'Metas de Inflação'!G73</f>
        <v>1.4926712393122195</v>
      </c>
      <c r="H73" s="3">
        <f>'Inflação Implícita'!H73-'Metas de Inflação'!H73</f>
        <v>1.587120143004987</v>
      </c>
      <c r="I73" s="3">
        <f>'Inflação Implícita'!I73-'Metas de Inflação'!I73</f>
        <v>1.587120143004987</v>
      </c>
      <c r="J73" s="3">
        <f>'Inflação Implícita'!J73-'Metas de Inflação'!J73</f>
        <v>1.7206727598228762</v>
      </c>
      <c r="K73" s="3">
        <f>'Inflação Implícita'!K73-'Metas de Inflação'!K73</f>
        <v>1.7293846008858678</v>
      </c>
      <c r="L73" s="3">
        <f>'Inflação Implícita'!L73-'Metas de Inflação'!L73</f>
        <v>1.7393967954759599</v>
      </c>
      <c r="M73" s="3">
        <f>'Inflação Implícita'!M73-'Metas de Inflação'!M73</f>
        <v>1.7694447063260217</v>
      </c>
      <c r="N73" s="3">
        <f>'Inflação Implícita'!N73-'Metas de Inflação'!N73</f>
        <v>1.7694447063260217</v>
      </c>
      <c r="O73" s="3">
        <f>'Inflação Implícita'!O73-'Metas de Inflação'!O73</f>
        <v>1.7694447063260217</v>
      </c>
      <c r="P73" s="3">
        <f>'Inflação Implícita'!P73-'Metas de Inflação'!P73</f>
        <v>1.7694447063260217</v>
      </c>
      <c r="Q73" s="3">
        <f>'Inflação Implícita'!Q73-'Metas de Inflação'!Q73</f>
        <v>1.7694447063260217</v>
      </c>
    </row>
    <row r="74" spans="1:17" ht="18.75" customHeight="1" x14ac:dyDescent="0.25">
      <c r="A74" s="2">
        <v>40602</v>
      </c>
      <c r="B74" s="3">
        <f>'Inflação Implícita'!B74-'Metas de Inflação'!B74</f>
        <v>1.5099999999999998</v>
      </c>
      <c r="C74" s="3">
        <f>'Inflação Implícita'!C74-'Metas de Inflação'!C74</f>
        <v>1.4416745061147802</v>
      </c>
      <c r="D74" s="3">
        <f>'Inflação Implícita'!D74-'Metas de Inflação'!D74</f>
        <v>1.4639063821787852</v>
      </c>
      <c r="E74" s="3">
        <f>'Inflação Implícita'!E74-'Metas de Inflação'!E74</f>
        <v>1.2992111194590468</v>
      </c>
      <c r="F74" s="3">
        <f>'Inflação Implícita'!F74-'Metas de Inflação'!F74</f>
        <v>1.1092299033861703</v>
      </c>
      <c r="G74" s="3">
        <f>'Inflação Implícita'!G74-'Metas de Inflação'!G74</f>
        <v>1.0840375586854618</v>
      </c>
      <c r="H74" s="3">
        <f>'Inflação Implícita'!H74-'Metas de Inflação'!H74</f>
        <v>1.1688617121354534</v>
      </c>
      <c r="I74" s="3">
        <f>'Inflação Implícita'!I74-'Metas de Inflação'!I74</f>
        <v>1.1688617121354534</v>
      </c>
      <c r="J74" s="3">
        <f>'Inflação Implícita'!J74-'Metas de Inflação'!J74</f>
        <v>1.2237027968735088</v>
      </c>
      <c r="K74" s="3">
        <f>'Inflação Implícita'!K74-'Metas de Inflação'!K74</f>
        <v>1.2341998681359918</v>
      </c>
      <c r="L74" s="3">
        <f>'Inflação Implícita'!L74-'Metas de Inflação'!L74</f>
        <v>1.2266647828953632</v>
      </c>
      <c r="M74" s="3">
        <f>'Inflação Implícita'!M74-'Metas de Inflação'!M74</f>
        <v>1.2447008949599532</v>
      </c>
      <c r="N74" s="3">
        <f>'Inflação Implícita'!N74-'Metas de Inflação'!N74</f>
        <v>1.1862929816297703</v>
      </c>
      <c r="O74" s="3">
        <f>'Inflação Implícita'!O74-'Metas de Inflação'!O74</f>
        <v>1.1533207724917434</v>
      </c>
      <c r="P74" s="3">
        <f>'Inflação Implícita'!P74-'Metas de Inflação'!P74</f>
        <v>1.1165803108808143</v>
      </c>
      <c r="Q74" s="3">
        <f>'Inflação Implícita'!Q74-'Metas de Inflação'!Q74</f>
        <v>1.1146961846443633</v>
      </c>
    </row>
    <row r="75" spans="1:17" ht="18.75" customHeight="1" x14ac:dyDescent="0.25">
      <c r="A75" s="2">
        <v>40633</v>
      </c>
      <c r="B75" s="3">
        <f>'Inflação Implícita'!B75-'Metas de Inflação'!B75</f>
        <v>1.7999999999999998</v>
      </c>
      <c r="C75" s="3">
        <f>'Inflação Implícita'!C75-'Metas de Inflação'!C75</f>
        <v>1.5220942309508141</v>
      </c>
      <c r="D75" s="3">
        <f>'Inflação Implícita'!D75-'Metas de Inflação'!D75</f>
        <v>1.866723259762308</v>
      </c>
      <c r="E75" s="3">
        <f>'Inflação Implícita'!E75-'Metas de Inflação'!E75</f>
        <v>1.7700056486537425</v>
      </c>
      <c r="F75" s="3">
        <f>'Inflação Implícita'!F75-'Metas de Inflação'!F75</f>
        <v>1.6255167230364505</v>
      </c>
      <c r="G75" s="3">
        <f>'Inflação Implícita'!G75-'Metas de Inflação'!G75</f>
        <v>1.5719992480496199</v>
      </c>
      <c r="H75" s="3">
        <f>'Inflação Implícita'!H75-'Metas de Inflação'!H75</f>
        <v>1.655076691446304</v>
      </c>
      <c r="I75" s="3">
        <f>'Inflação Implícita'!I75-'Metas de Inflação'!I75</f>
        <v>1.655076691446304</v>
      </c>
      <c r="J75" s="3">
        <f>'Inflação Implícita'!J75-'Metas de Inflação'!J75</f>
        <v>1.6764428961491369</v>
      </c>
      <c r="K75" s="3">
        <f>'Inflação Implícita'!K75-'Metas de Inflação'!K75</f>
        <v>1.6947819534708293</v>
      </c>
      <c r="L75" s="3">
        <f>'Inflação Implícita'!L75-'Metas de Inflação'!L75</f>
        <v>1.6699321778447613</v>
      </c>
      <c r="M75" s="3">
        <f>'Inflação Implícita'!M75-'Metas de Inflação'!M75</f>
        <v>1.6680482290881633</v>
      </c>
      <c r="N75" s="3">
        <f>'Inflação Implícita'!N75-'Metas de Inflação'!N75</f>
        <v>1.6605124340617934</v>
      </c>
      <c r="O75" s="3">
        <f>'Inflação Implícita'!O75-'Metas de Inflação'!O75</f>
        <v>1.6558025621702983</v>
      </c>
      <c r="P75" s="3">
        <f>'Inflação Implícita'!P75-'Metas de Inflação'!P75</f>
        <v>1.6501507159005042</v>
      </c>
      <c r="Q75" s="3">
        <f>'Inflação Implícita'!Q75-'Metas de Inflação'!Q75</f>
        <v>1.6501507159005042</v>
      </c>
    </row>
    <row r="76" spans="1:17" ht="18.75" customHeight="1" x14ac:dyDescent="0.25">
      <c r="A76" s="2">
        <v>40663</v>
      </c>
      <c r="B76" s="3">
        <f>'Inflação Implícita'!B76-'Metas de Inflação'!B76</f>
        <v>2.0099999999999998</v>
      </c>
      <c r="C76" s="3">
        <f>'Inflação Implícita'!C76-'Metas de Inflação'!C76</f>
        <v>1.2471804511278313</v>
      </c>
      <c r="D76" s="3">
        <f>'Inflação Implícita'!D76-'Metas de Inflação'!D76</f>
        <v>1.3711374095989477</v>
      </c>
      <c r="E76" s="3">
        <f>'Inflação Implícita'!E76-'Metas de Inflação'!E76</f>
        <v>1.2676777162174897</v>
      </c>
      <c r="F76" s="3">
        <f>'Inflação Implícita'!F76-'Metas de Inflação'!F76</f>
        <v>1.1334990152865139</v>
      </c>
      <c r="G76" s="3">
        <f>'Inflação Implícita'!G76-'Metas de Inflação'!G76</f>
        <v>1.1759294029290253</v>
      </c>
      <c r="H76" s="3">
        <f>'Inflação Implícita'!H76-'Metas de Inflação'!H76</f>
        <v>1.1911944366131006</v>
      </c>
      <c r="I76" s="3">
        <f>'Inflação Implícita'!I76-'Metas de Inflação'!I76</f>
        <v>1.1911944366131006</v>
      </c>
      <c r="J76" s="3">
        <f>'Inflação Implícita'!J76-'Metas de Inflação'!J76</f>
        <v>1.170771834163757</v>
      </c>
      <c r="K76" s="3">
        <f>'Inflação Implícita'!K76-'Metas de Inflação'!K76</f>
        <v>1.1467381086670265</v>
      </c>
      <c r="L76" s="3">
        <f>'Inflação Implícita'!L76-'Metas de Inflação'!L76</f>
        <v>1.1349280947457503</v>
      </c>
      <c r="M76" s="3">
        <f>'Inflação Implícita'!M76-'Metas de Inflação'!M76</f>
        <v>1.1496803309514787</v>
      </c>
      <c r="N76" s="3">
        <f>'Inflação Implícita'!N76-'Metas de Inflação'!N76</f>
        <v>1.1365174877773594</v>
      </c>
      <c r="O76" s="3">
        <f>'Inflação Implícita'!O76-'Metas de Inflação'!O76</f>
        <v>1.1280556600225351</v>
      </c>
      <c r="P76" s="3">
        <f>'Inflação Implícita'!P76-'Metas de Inflação'!P76</f>
        <v>1.1195938322677552</v>
      </c>
      <c r="Q76" s="3">
        <f>'Inflação Implícita'!Q76-'Metas de Inflação'!Q76</f>
        <v>1.1195938322677552</v>
      </c>
    </row>
    <row r="77" spans="1:17" ht="18.75" customHeight="1" x14ac:dyDescent="0.25">
      <c r="A77" s="2">
        <v>40694</v>
      </c>
      <c r="B77" s="3">
        <f>'Inflação Implícita'!B77-'Metas de Inflação'!B77</f>
        <v>2.0499999999999998</v>
      </c>
      <c r="C77" s="3">
        <f>'Inflação Implícita'!C77-'Metas de Inflação'!C77</f>
        <v>0.8720014992503895</v>
      </c>
      <c r="D77" s="3">
        <f>'Inflação Implícita'!D77-'Metas de Inflação'!D77</f>
        <v>1.1244131455399193</v>
      </c>
      <c r="E77" s="3">
        <f>'Inflação Implícita'!E77-'Metas de Inflação'!E77</f>
        <v>1.1134911687335531</v>
      </c>
      <c r="F77" s="3">
        <f>'Inflação Implícita'!F77-'Metas de Inflação'!F77</f>
        <v>1.1625939849624052</v>
      </c>
      <c r="G77" s="3">
        <f>'Inflação Implícita'!G77-'Metas de Inflação'!G77</f>
        <v>1.1439180297048086</v>
      </c>
      <c r="H77" s="3">
        <f>'Inflação Implícita'!H77-'Metas de Inflação'!H77</f>
        <v>1.2393106046336406</v>
      </c>
      <c r="I77" s="3">
        <f>'Inflação Implícita'!I77-'Metas de Inflação'!I77</f>
        <v>1.2393106046336406</v>
      </c>
      <c r="J77" s="3">
        <f>'Inflação Implícita'!J77-'Metas de Inflação'!J77</f>
        <v>1.1732580037664793</v>
      </c>
      <c r="K77" s="3">
        <f>'Inflação Implícita'!K77-'Metas de Inflação'!K77</f>
        <v>1.1563088512241011</v>
      </c>
      <c r="L77" s="3">
        <f>'Inflação Implícita'!L77-'Metas de Inflação'!L77</f>
        <v>1.1275303643724683</v>
      </c>
      <c r="M77" s="3">
        <f>'Inflação Implícita'!M77-'Metas de Inflação'!M77</f>
        <v>1.2295004712535569</v>
      </c>
      <c r="N77" s="3">
        <f>'Inflação Implícita'!N77-'Metas de Inflação'!N77</f>
        <v>1.2229029217719329</v>
      </c>
      <c r="O77" s="3">
        <f>'Inflação Implícita'!O77-'Metas de Inflação'!O77</f>
        <v>1.2181903864278905</v>
      </c>
      <c r="P77" s="3">
        <f>'Inflação Implícita'!P77-'Metas de Inflação'!P77</f>
        <v>1.2144203581526831</v>
      </c>
      <c r="Q77" s="3">
        <f>'Inflação Implícita'!Q77-'Metas de Inflação'!Q77</f>
        <v>1.2144203581526831</v>
      </c>
    </row>
    <row r="78" spans="1:17" ht="18.75" customHeight="1" x14ac:dyDescent="0.25">
      <c r="A78" s="2">
        <v>40724</v>
      </c>
      <c r="B78" s="3">
        <f>'Inflação Implícita'!B78-'Metas de Inflação'!B78</f>
        <v>2.21</v>
      </c>
      <c r="C78" s="3">
        <f>'Inflação Implícita'!C78-'Metas de Inflação'!C78</f>
        <v>0.74992992618891208</v>
      </c>
      <c r="D78" s="3">
        <f>'Inflação Implícita'!D78-'Metas de Inflação'!D78</f>
        <v>1.1232427366448068</v>
      </c>
      <c r="E78" s="3">
        <f>'Inflação Implícita'!E78-'Metas de Inflação'!E78</f>
        <v>1.0394132533508333</v>
      </c>
      <c r="F78" s="3">
        <f>'Inflação Implícita'!F78-'Metas de Inflação'!F78</f>
        <v>1.044090056285178</v>
      </c>
      <c r="G78" s="3">
        <f>'Inflação Implícita'!G78-'Metas de Inflação'!G78</f>
        <v>1.0331330955509683</v>
      </c>
      <c r="H78" s="3">
        <f>'Inflação Implícita'!H78-'Metas de Inflação'!H78</f>
        <v>1.0209018318459258</v>
      </c>
      <c r="I78" s="3">
        <f>'Inflação Implícita'!I78-'Metas de Inflação'!I78</f>
        <v>1.0209018318459258</v>
      </c>
      <c r="J78" s="3">
        <f>'Inflação Implícita'!J78-'Metas de Inflação'!J78</f>
        <v>0.99854336998401028</v>
      </c>
      <c r="K78" s="3">
        <f>'Inflação Implícita'!K78-'Metas de Inflação'!K78</f>
        <v>1.0076142131979644</v>
      </c>
      <c r="L78" s="3">
        <f>'Inflação Implícita'!L78-'Metas de Inflação'!L78</f>
        <v>1.0639168469570066</v>
      </c>
      <c r="M78" s="3">
        <f>'Inflação Implícita'!M78-'Metas de Inflação'!M78</f>
        <v>1.1122352941176512</v>
      </c>
      <c r="N78" s="3">
        <f>'Inflação Implícita'!N78-'Metas de Inflação'!N78</f>
        <v>1.1696176304388501</v>
      </c>
      <c r="O78" s="3">
        <f>'Inflação Implícita'!O78-'Metas de Inflação'!O78</f>
        <v>1.2019031467872683</v>
      </c>
      <c r="P78" s="3">
        <f>'Inflação Implícita'!P78-'Metas de Inflação'!P78</f>
        <v>1.2052671252237896</v>
      </c>
      <c r="Q78" s="3">
        <f>'Inflação Implícita'!Q78-'Metas de Inflação'!Q78</f>
        <v>1.2052671252237896</v>
      </c>
    </row>
    <row r="79" spans="1:17" ht="18.75" customHeight="1" x14ac:dyDescent="0.25">
      <c r="A79" s="2">
        <v>40755</v>
      </c>
      <c r="B79" s="3">
        <f>'Inflação Implícita'!B79-'Metas de Inflação'!B79</f>
        <v>2.37</v>
      </c>
      <c r="C79" s="3">
        <f>'Inflação Implícita'!C79-'Metas de Inflação'!C79</f>
        <v>1.2405842021226672</v>
      </c>
      <c r="D79" s="3">
        <f>'Inflação Implícita'!D79-'Metas de Inflação'!D79</f>
        <v>1.4706822025934914</v>
      </c>
      <c r="E79" s="3">
        <f>'Inflação Implícita'!E79-'Metas de Inflação'!E79</f>
        <v>1.4951137004322641</v>
      </c>
      <c r="F79" s="3">
        <f>'Inflação Implícita'!F79-'Metas de Inflação'!F79</f>
        <v>1.383788604149065</v>
      </c>
      <c r="G79" s="3">
        <f>'Inflação Implícita'!G79-'Metas de Inflação'!G79</f>
        <v>1.3743425995492204</v>
      </c>
      <c r="H79" s="3">
        <f>'Inflação Implícita'!H79-'Metas de Inflação'!H79</f>
        <v>1.3448389217619967</v>
      </c>
      <c r="I79" s="3">
        <f>'Inflação Implícita'!I79-'Metas de Inflação'!I79</f>
        <v>1.3448389217619967</v>
      </c>
      <c r="J79" s="3">
        <f>'Inflação Implícita'!J79-'Metas de Inflação'!J79</f>
        <v>1.3743888679954726</v>
      </c>
      <c r="K79" s="3">
        <f>'Inflação Implícita'!K79-'Metas de Inflação'!K79</f>
        <v>1.3901532963415715</v>
      </c>
      <c r="L79" s="3">
        <f>'Inflação Implícita'!L79-'Metas de Inflação'!L79</f>
        <v>1.3596689240030031</v>
      </c>
      <c r="M79" s="3">
        <f>'Inflação Implícita'!M79-'Metas de Inflação'!M79</f>
        <v>1.3645343367826896</v>
      </c>
      <c r="N79" s="3">
        <f>'Inflação Implícita'!N79-'Metas de Inflação'!N79</f>
        <v>1.3513640639699105</v>
      </c>
      <c r="O79" s="3">
        <f>'Inflação Implícita'!O79-'Metas de Inflação'!O79</f>
        <v>1.3400752587018046</v>
      </c>
      <c r="P79" s="3">
        <f>'Inflação Implícita'!P79-'Metas de Inflação'!P79</f>
        <v>1.3363123236124359</v>
      </c>
      <c r="Q79" s="3">
        <f>'Inflação Implícita'!Q79-'Metas de Inflação'!Q79</f>
        <v>1.3363123236124359</v>
      </c>
    </row>
    <row r="80" spans="1:17" ht="18.75" customHeight="1" x14ac:dyDescent="0.25">
      <c r="A80" s="2">
        <v>40786</v>
      </c>
      <c r="B80" s="3">
        <f>'Inflação Implícita'!B80-'Metas de Inflação'!B80</f>
        <v>2.7300000000000004</v>
      </c>
      <c r="C80" s="3">
        <f>'Inflação Implícita'!C80-'Metas de Inflação'!C80</f>
        <v>1.5560694192810072</v>
      </c>
      <c r="D80" s="3">
        <f>'Inflação Implícita'!D80-'Metas de Inflação'!D80</f>
        <v>1.4167143129407185</v>
      </c>
      <c r="E80" s="3">
        <f>'Inflação Implícita'!E80-'Metas de Inflação'!E80</f>
        <v>1.563292345820237</v>
      </c>
      <c r="F80" s="3">
        <f>'Inflação Implícita'!F80-'Metas de Inflação'!F80</f>
        <v>1.4048977650974832</v>
      </c>
      <c r="G80" s="3">
        <f>'Inflação Implícita'!G80-'Metas de Inflação'!G80</f>
        <v>1.279276284547441</v>
      </c>
      <c r="H80" s="3">
        <f>'Inflação Implícita'!H80-'Metas de Inflação'!H80</f>
        <v>1.2891737891738071</v>
      </c>
      <c r="I80" s="3">
        <f>'Inflação Implícita'!I80-'Metas de Inflação'!I80</f>
        <v>1.2891737891738071</v>
      </c>
      <c r="J80" s="3">
        <f>'Inflação Implícita'!J80-'Metas de Inflação'!J80</f>
        <v>1.1560098662365998</v>
      </c>
      <c r="K80" s="3">
        <f>'Inflação Implícita'!K80-'Metas de Inflação'!K80</f>
        <v>1.0654564413688545</v>
      </c>
      <c r="L80" s="3">
        <f>'Inflação Implícita'!L80-'Metas de Inflação'!L80</f>
        <v>1.1117223065250244</v>
      </c>
      <c r="M80" s="3">
        <f>'Inflação Implícita'!M80-'Metas de Inflação'!M80</f>
        <v>1.1489563567362344</v>
      </c>
      <c r="N80" s="3">
        <f>'Inflação Implícita'!N80-'Metas de Inflação'!N80</f>
        <v>1.1461100569259903</v>
      </c>
      <c r="O80" s="3">
        <f>'Inflação Implícita'!O80-'Metas de Inflação'!O80</f>
        <v>1.1442125237191609</v>
      </c>
      <c r="P80" s="3">
        <f>'Inflação Implícita'!P80-'Metas de Inflação'!P80</f>
        <v>1.1432637571157462</v>
      </c>
      <c r="Q80" s="3">
        <f>'Inflação Implícita'!Q80-'Metas de Inflação'!Q80</f>
        <v>1.1432637571157462</v>
      </c>
    </row>
    <row r="81" spans="1:17" ht="18.75" customHeight="1" x14ac:dyDescent="0.25">
      <c r="A81" s="2">
        <v>40816</v>
      </c>
      <c r="B81" s="3">
        <f>'Inflação Implícita'!B81-'Metas de Inflação'!B81</f>
        <v>2.8099999999999996</v>
      </c>
      <c r="C81" s="3">
        <f>'Inflação Implícita'!C81-'Metas de Inflação'!C81</f>
        <v>1.512293507491373</v>
      </c>
      <c r="D81" s="3">
        <f>'Inflação Implícita'!D81-'Metas de Inflação'!D81</f>
        <v>1.7014015551502322</v>
      </c>
      <c r="E81" s="3">
        <f>'Inflação Implícita'!E81-'Metas de Inflação'!E81</f>
        <v>1.5504683616899202</v>
      </c>
      <c r="F81" s="3">
        <f>'Inflação Implícita'!F81-'Metas de Inflação'!F81</f>
        <v>1.3974847560975485</v>
      </c>
      <c r="G81" s="3">
        <f>'Inflação Implícita'!G81-'Metas de Inflação'!G81</f>
        <v>1.3224716963181544</v>
      </c>
      <c r="H81" s="3">
        <f>'Inflação Implícita'!H81-'Metas de Inflação'!H81</f>
        <v>1.2919756607719863</v>
      </c>
      <c r="I81" s="3">
        <f>'Inflação Implícita'!I81-'Metas de Inflação'!I81</f>
        <v>1.2919756607719863</v>
      </c>
      <c r="J81" s="3">
        <f>'Inflação Implícita'!J81-'Metas de Inflação'!J81</f>
        <v>1.121144538293632</v>
      </c>
      <c r="K81" s="3">
        <f>'Inflação Implícita'!K81-'Metas de Inflação'!K81</f>
        <v>1.1378132118450885</v>
      </c>
      <c r="L81" s="3">
        <f>'Inflação Implícita'!L81-'Metas de Inflação'!L81</f>
        <v>1.0502846299810171</v>
      </c>
      <c r="M81" s="3">
        <f>'Inflação Implícita'!M81-'Metas de Inflação'!M81</f>
        <v>1.0502846299810171</v>
      </c>
      <c r="N81" s="3">
        <f>'Inflação Implícita'!N81-'Metas de Inflação'!N81</f>
        <v>1.0502846299810171</v>
      </c>
      <c r="O81" s="3">
        <f>'Inflação Implícita'!O81-'Metas de Inflação'!O81</f>
        <v>1.0502846299810171</v>
      </c>
      <c r="P81" s="3">
        <f>'Inflação Implícita'!P81-'Metas de Inflação'!P81</f>
        <v>1.0502846299810171</v>
      </c>
      <c r="Q81" s="3">
        <f>'Inflação Implícita'!Q81-'Metas de Inflação'!Q81</f>
        <v>1.0502846299810171</v>
      </c>
    </row>
    <row r="82" spans="1:17" ht="18.75" customHeight="1" x14ac:dyDescent="0.25">
      <c r="A82" s="2">
        <v>40847</v>
      </c>
      <c r="B82" s="3">
        <f>'Inflação Implícita'!B82-'Metas de Inflação'!B82</f>
        <v>2.4699999999999998</v>
      </c>
      <c r="C82" s="3">
        <f>'Inflação Implícita'!C82-'Metas de Inflação'!C82</f>
        <v>1.3884515695497797</v>
      </c>
      <c r="D82" s="3">
        <f>'Inflação Implícita'!D82-'Metas de Inflação'!D82</f>
        <v>1.5487430435616885</v>
      </c>
      <c r="E82" s="3">
        <f>'Inflação Implícita'!E82-'Metas de Inflação'!E82</f>
        <v>1.4493307839388221</v>
      </c>
      <c r="F82" s="3">
        <f>'Inflação Implícita'!F82-'Metas de Inflação'!F82</f>
        <v>1.3387342737323822</v>
      </c>
      <c r="G82" s="3">
        <f>'Inflação Implícita'!G82-'Metas de Inflação'!G82</f>
        <v>1.3097686375321311</v>
      </c>
      <c r="H82" s="3">
        <f>'Inflação Implícita'!H82-'Metas de Inflação'!H82</f>
        <v>1.2450047573739393</v>
      </c>
      <c r="I82" s="3">
        <f>'Inflação Implícita'!I82-'Metas de Inflação'!I82</f>
        <v>1.2450047573739393</v>
      </c>
      <c r="J82" s="3">
        <f>'Inflação Implícita'!J82-'Metas de Inflação'!J82</f>
        <v>1.1428775064145231</v>
      </c>
      <c r="K82" s="3">
        <f>'Inflação Implícita'!K82-'Metas de Inflação'!K82</f>
        <v>1.1659699790993612</v>
      </c>
      <c r="L82" s="3">
        <f>'Inflação Implícita'!L82-'Metas de Inflação'!L82</f>
        <v>1.113601823708203</v>
      </c>
      <c r="M82" s="3">
        <f>'Inflação Implícita'!M82-'Metas de Inflação'!M82</f>
        <v>1.113601823708203</v>
      </c>
      <c r="N82" s="3">
        <f>'Inflação Implícita'!N82-'Metas de Inflação'!N82</f>
        <v>1.113601823708203</v>
      </c>
      <c r="O82" s="3">
        <f>'Inflação Implícita'!O82-'Metas de Inflação'!O82</f>
        <v>1.113601823708203</v>
      </c>
      <c r="P82" s="3">
        <f>'Inflação Implícita'!P82-'Metas de Inflação'!P82</f>
        <v>1.113601823708203</v>
      </c>
      <c r="Q82" s="3">
        <f>'Inflação Implícita'!Q82-'Metas de Inflação'!Q82</f>
        <v>1.113601823708203</v>
      </c>
    </row>
    <row r="83" spans="1:17" ht="18.75" customHeight="1" x14ac:dyDescent="0.25">
      <c r="A83" s="2">
        <v>40877</v>
      </c>
      <c r="B83" s="3">
        <f>'Inflação Implícita'!B83-'Metas de Inflação'!B83</f>
        <v>2.1399999999999997</v>
      </c>
      <c r="C83" s="3">
        <f>'Inflação Implícita'!C83-'Metas de Inflação'!C83</f>
        <v>0.78129800307219899</v>
      </c>
      <c r="D83" s="3">
        <f>'Inflação Implícita'!D83-'Metas de Inflação'!D83</f>
        <v>1.0140276710222924</v>
      </c>
      <c r="E83" s="3">
        <f>'Inflação Implícita'!E83-'Metas de Inflação'!E83</f>
        <v>0.93105922878195368</v>
      </c>
      <c r="F83" s="3">
        <f>'Inflação Implícita'!F83-'Metas de Inflação'!F83</f>
        <v>0.93511450381677363</v>
      </c>
      <c r="G83" s="3">
        <f>'Inflação Implícita'!G83-'Metas de Inflação'!G83</f>
        <v>0.79171028837918112</v>
      </c>
      <c r="H83" s="3">
        <f>'Inflação Implícita'!H83-'Metas de Inflação'!H83</f>
        <v>0.84412184673964674</v>
      </c>
      <c r="I83" s="3">
        <f>'Inflação Implícita'!I83-'Metas de Inflação'!I83</f>
        <v>0.84412184673964674</v>
      </c>
      <c r="J83" s="3">
        <f>'Inflação Implícita'!J83-'Metas de Inflação'!J83</f>
        <v>1.0257142857142894</v>
      </c>
      <c r="K83" s="3">
        <f>'Inflação Implícita'!K83-'Metas de Inflação'!K83</f>
        <v>1.0183246073298609</v>
      </c>
      <c r="L83" s="3">
        <f>'Inflação Implícita'!L83-'Metas de Inflação'!L83</f>
        <v>1.0021418372203756</v>
      </c>
      <c r="M83" s="3">
        <f>'Inflação Implícita'!M83-'Metas de Inflação'!M83</f>
        <v>1.0222317433114343</v>
      </c>
      <c r="N83" s="3">
        <f>'Inflação Implícita'!N83-'Metas de Inflação'!N83</f>
        <v>1.0222317433114343</v>
      </c>
      <c r="O83" s="3">
        <f>'Inflação Implícita'!O83-'Metas de Inflação'!O83</f>
        <v>1.0222317433114343</v>
      </c>
      <c r="P83" s="3">
        <f>'Inflação Implícita'!P83-'Metas de Inflação'!P83</f>
        <v>1.0222317433114343</v>
      </c>
      <c r="Q83" s="3">
        <f>'Inflação Implícita'!Q83-'Metas de Inflação'!Q83</f>
        <v>1.0222317433114343</v>
      </c>
    </row>
    <row r="84" spans="1:17" ht="18.75" customHeight="1" x14ac:dyDescent="0.25">
      <c r="A84" s="2">
        <v>40908</v>
      </c>
      <c r="B84" s="3">
        <f>'Inflação Implícita'!B84-'Metas de Inflação'!B84</f>
        <v>2</v>
      </c>
      <c r="C84" s="3">
        <f>'Inflação Implícita'!C84-'Metas de Inflação'!C84</f>
        <v>1.0235903337169212</v>
      </c>
      <c r="D84" s="3">
        <f>'Inflação Implícita'!D84-'Metas de Inflação'!D84</f>
        <v>0.99995224906885127</v>
      </c>
      <c r="E84" s="3">
        <f>'Inflação Implícita'!E84-'Metas de Inflação'!E84</f>
        <v>0.99776126512335761</v>
      </c>
      <c r="F84" s="3">
        <f>'Inflação Implícita'!F84-'Metas de Inflação'!F84</f>
        <v>0.95739825028526138</v>
      </c>
      <c r="G84" s="3">
        <f>'Inflação Implícita'!G84-'Metas de Inflação'!G84</f>
        <v>0.93416302489074798</v>
      </c>
      <c r="H84" s="3">
        <f>'Inflação Implícita'!H84-'Metas de Inflação'!H84</f>
        <v>1.0307421837879067</v>
      </c>
      <c r="I84" s="3">
        <f>'Inflação Implícita'!I84-'Metas de Inflação'!I84</f>
        <v>1.0307421837879067</v>
      </c>
      <c r="J84" s="3">
        <f>'Inflação Implícita'!J84-'Metas de Inflação'!J84</f>
        <v>0.9695660431108184</v>
      </c>
      <c r="K84" s="3">
        <f>'Inflação Implícita'!K84-'Metas de Inflação'!K84</f>
        <v>1.0545005696923555</v>
      </c>
      <c r="L84" s="3">
        <f>'Inflação Implícita'!L84-'Metas de Inflação'!L84</f>
        <v>1.0819251946079618</v>
      </c>
      <c r="M84" s="3">
        <f>'Inflação Implícita'!M84-'Metas de Inflação'!M84</f>
        <v>1.0919491123136877</v>
      </c>
      <c r="N84" s="3">
        <f>'Inflação Implícita'!N84-'Metas de Inflação'!N84</f>
        <v>1.0919491123136877</v>
      </c>
      <c r="O84" s="3">
        <f>'Inflação Implícita'!O84-'Metas de Inflação'!O84</f>
        <v>1.0919491123136877</v>
      </c>
      <c r="P84" s="3">
        <f>'Inflação Implícita'!P84-'Metas de Inflação'!P84</f>
        <v>1.0919491123136877</v>
      </c>
      <c r="Q84" s="3">
        <f>'Inflação Implícita'!Q84-'Metas de Inflação'!Q84</f>
        <v>1.0919491123136877</v>
      </c>
    </row>
    <row r="85" spans="1:17" ht="18.75" customHeight="1" x14ac:dyDescent="0.25">
      <c r="A85" s="2">
        <v>40939</v>
      </c>
      <c r="B85" s="3">
        <f>'Inflação Implícita'!B85-'Metas de Inflação'!B85</f>
        <v>1.7199999999999998</v>
      </c>
      <c r="C85" s="3">
        <f>'Inflação Implícita'!C85-'Metas de Inflação'!C85</f>
        <v>0.77964635787045999</v>
      </c>
      <c r="D85" s="3">
        <f>'Inflação Implícita'!D85-'Metas de Inflação'!D85</f>
        <v>1.062272116676259</v>
      </c>
      <c r="E85" s="3">
        <f>'Inflação Implícita'!E85-'Metas de Inflação'!E85</f>
        <v>1.2721397797989349</v>
      </c>
      <c r="F85" s="3">
        <f>'Inflação Implícita'!F85-'Metas de Inflação'!F85</f>
        <v>1.1603413750357712</v>
      </c>
      <c r="G85" s="3">
        <f>'Inflação Implícita'!G85-'Metas de Inflação'!G85</f>
        <v>1.1734616117355419</v>
      </c>
      <c r="H85" s="3">
        <f>'Inflação Implícita'!H85-'Metas de Inflação'!H85</f>
        <v>1.2142857142857162</v>
      </c>
      <c r="I85" s="3">
        <f>'Inflação Implícita'!I85-'Metas de Inflação'!I85</f>
        <v>1.2142857142857162</v>
      </c>
      <c r="J85" s="3">
        <f>'Inflação Implícita'!J85-'Metas de Inflação'!J85</f>
        <v>1.2945791726105478</v>
      </c>
      <c r="K85" s="3">
        <f>'Inflação Implícita'!K85-'Metas de Inflação'!K85</f>
        <v>1.3182854970537878</v>
      </c>
      <c r="L85" s="3">
        <f>'Inflação Implícita'!L85-'Metas de Inflação'!L85</f>
        <v>1.3236747102413222</v>
      </c>
      <c r="M85" s="3">
        <f>'Inflação Implícita'!M85-'Metas de Inflação'!M85</f>
        <v>1.3136221145625777</v>
      </c>
      <c r="N85" s="3">
        <f>'Inflação Implícita'!N85-'Metas de Inflação'!N85</f>
        <v>1.3236747102413222</v>
      </c>
      <c r="O85" s="3">
        <f>'Inflação Implícita'!O85-'Metas de Inflação'!O85</f>
        <v>1.3538439608476711</v>
      </c>
      <c r="P85" s="3">
        <f>'Inflação Implícita'!P85-'Metas de Inflação'!P85</f>
        <v>1.4041642897889268</v>
      </c>
      <c r="Q85" s="3">
        <f>'Inflação Implícita'!Q85-'Metas de Inflação'!Q85</f>
        <v>1.4041642897889268</v>
      </c>
    </row>
    <row r="86" spans="1:17" ht="18.75" customHeight="1" x14ac:dyDescent="0.25">
      <c r="A86" s="2">
        <v>40968</v>
      </c>
      <c r="B86" s="3">
        <f>'Inflação Implícita'!B86-'Metas de Inflação'!B86</f>
        <v>1.3499999999999996</v>
      </c>
      <c r="C86" s="3">
        <f>'Inflação Implícita'!C86-'Metas de Inflação'!C86</f>
        <v>0.99193781983197127</v>
      </c>
      <c r="D86" s="3">
        <f>'Inflação Implícita'!D86-'Metas de Inflação'!D86</f>
        <v>1.4652677279305344</v>
      </c>
      <c r="E86" s="3">
        <f>'Inflação Implícita'!E86-'Metas de Inflação'!E86</f>
        <v>1.4556281213984041</v>
      </c>
      <c r="F86" s="3">
        <f>'Inflação Implícita'!F86-'Metas de Inflação'!F86</f>
        <v>1.3889952153110103</v>
      </c>
      <c r="G86" s="3">
        <f>'Inflação Implícita'!G86-'Metas de Inflação'!G86</f>
        <v>1.5124342419894727</v>
      </c>
      <c r="H86" s="3">
        <f>'Inflação Implícita'!H86-'Metas de Inflação'!H86</f>
        <v>1.3254649499284605</v>
      </c>
      <c r="I86" s="3">
        <f>'Inflação Implícita'!I86-'Metas de Inflação'!I86</f>
        <v>1.3254649499284605</v>
      </c>
      <c r="J86" s="3">
        <f>'Inflação Implícita'!J86-'Metas de Inflação'!J86</f>
        <v>1.2844630616907811</v>
      </c>
      <c r="K86" s="3">
        <f>'Inflação Implícita'!K86-'Metas de Inflação'!K86</f>
        <v>1.3258801141769956</v>
      </c>
      <c r="L86" s="3">
        <f>'Inflação Implícita'!L86-'Metas de Inflação'!L86</f>
        <v>1.3339672879421878</v>
      </c>
      <c r="M86" s="3">
        <f>'Inflação Implícita'!M86-'Metas de Inflação'!M86</f>
        <v>1.4131096111797676</v>
      </c>
      <c r="N86" s="3">
        <f>'Inflação Implícita'!N86-'Metas de Inflação'!N86</f>
        <v>1.5038058991436882</v>
      </c>
      <c r="O86" s="3">
        <f>'Inflação Implícita'!O86-'Metas de Inflação'!O86</f>
        <v>1.5542598762494126</v>
      </c>
      <c r="P86" s="3">
        <f>'Inflação Implícita'!P86-'Metas de Inflação'!P86</f>
        <v>1.5542598762494126</v>
      </c>
      <c r="Q86" s="3">
        <f>'Inflação Implícita'!Q86-'Metas de Inflação'!Q86</f>
        <v>1.5542598762494126</v>
      </c>
    </row>
    <row r="87" spans="1:17" ht="18.75" customHeight="1" x14ac:dyDescent="0.25">
      <c r="A87" s="2">
        <v>40999</v>
      </c>
      <c r="B87" s="3">
        <f>'Inflação Implícita'!B87-'Metas de Inflação'!B87</f>
        <v>0.74000000000000021</v>
      </c>
      <c r="C87" s="3">
        <f>'Inflação Implícita'!C87-'Metas de Inflação'!C87</f>
        <v>0.99961270333074737</v>
      </c>
      <c r="D87" s="3">
        <f>'Inflação Implícita'!D87-'Metas de Inflação'!D87</f>
        <v>1.6635220125785928</v>
      </c>
      <c r="E87" s="3">
        <f>'Inflação Implícita'!E87-'Metas de Inflação'!E87</f>
        <v>1.3913983661700975</v>
      </c>
      <c r="F87" s="3">
        <f>'Inflação Implícita'!F87-'Metas de Inflação'!F87</f>
        <v>1.4325282729537854</v>
      </c>
      <c r="G87" s="3">
        <f>'Inflação Implícita'!G87-'Metas de Inflação'!G87</f>
        <v>1.4538623528285761</v>
      </c>
      <c r="H87" s="3">
        <f>'Inflação Implícita'!H87-'Metas de Inflação'!H87</f>
        <v>1.4728463524237441</v>
      </c>
      <c r="I87" s="3">
        <f>'Inflação Implícita'!I87-'Metas de Inflação'!I87</f>
        <v>1.4728463524237441</v>
      </c>
      <c r="J87" s="3">
        <f>'Inflação Implícita'!J87-'Metas de Inflação'!J87</f>
        <v>1.4896877685477135</v>
      </c>
      <c r="K87" s="3">
        <f>'Inflação Implícita'!K87-'Metas de Inflação'!K87</f>
        <v>1.5177497852848427</v>
      </c>
      <c r="L87" s="3">
        <f>'Inflação Implícita'!L87-'Metas de Inflação'!L87</f>
        <v>1.5534096328087594</v>
      </c>
      <c r="M87" s="3">
        <f>'Inflação Implícita'!M87-'Metas de Inflação'!M87</f>
        <v>1.5825626847173409</v>
      </c>
      <c r="N87" s="3">
        <f>'Inflação Implícita'!N87-'Metas de Inflação'!N87</f>
        <v>1.5623391478410227</v>
      </c>
      <c r="O87" s="3">
        <f>'Inflação Implícita'!O87-'Metas de Inflação'!O87</f>
        <v>1.5623391478410227</v>
      </c>
      <c r="P87" s="3">
        <f>'Inflação Implícita'!P87-'Metas de Inflação'!P87</f>
        <v>1.5926773455377559</v>
      </c>
      <c r="Q87" s="3">
        <f>'Inflação Implícita'!Q87-'Metas de Inflação'!Q87</f>
        <v>1.5926773455377559</v>
      </c>
    </row>
    <row r="88" spans="1:17" ht="18.75" customHeight="1" x14ac:dyDescent="0.25">
      <c r="A88" s="2">
        <v>41029</v>
      </c>
      <c r="B88" s="3">
        <f>'Inflação Implícita'!B88-'Metas de Inflação'!B88</f>
        <v>0.59999999999999964</v>
      </c>
      <c r="C88" s="3">
        <f>'Inflação Implícita'!C88-'Metas de Inflação'!C88</f>
        <v>0.9643691588784904</v>
      </c>
      <c r="D88" s="3">
        <f>'Inflação Implícita'!D88-'Metas de Inflação'!D88</f>
        <v>1.1936360108653661</v>
      </c>
      <c r="E88" s="3">
        <f>'Inflação Implícita'!E88-'Metas de Inflação'!E88</f>
        <v>1.3878685355244098</v>
      </c>
      <c r="F88" s="3">
        <f>'Inflação Implícita'!F88-'Metas de Inflação'!F88</f>
        <v>1.4294593813240759</v>
      </c>
      <c r="G88" s="3">
        <f>'Inflação Implícita'!G88-'Metas de Inflação'!G88</f>
        <v>1.4151678368760008</v>
      </c>
      <c r="H88" s="3">
        <f>'Inflação Implícita'!H88-'Metas de Inflação'!H88</f>
        <v>1.4448554135844045</v>
      </c>
      <c r="I88" s="3">
        <f>'Inflação Implícita'!I88-'Metas de Inflação'!I88</f>
        <v>1.4448554135844045</v>
      </c>
      <c r="J88" s="3">
        <f>'Inflação Implícita'!J88-'Metas de Inflação'!J88</f>
        <v>1.5986374976012447</v>
      </c>
      <c r="K88" s="3">
        <f>'Inflação Implícita'!K88-'Metas de Inflação'!K88</f>
        <v>1.6277330264672081</v>
      </c>
      <c r="L88" s="3">
        <f>'Inflação Implícita'!L88-'Metas de Inflação'!L88</f>
        <v>1.6794306527365173</v>
      </c>
      <c r="M88" s="3">
        <f>'Inflação Implícita'!M88-'Metas de Inflação'!M88</f>
        <v>1.7182619526683913</v>
      </c>
      <c r="N88" s="3">
        <f>'Inflação Implícita'!N88-'Metas de Inflação'!N88</f>
        <v>1.6877394636015381</v>
      </c>
      <c r="O88" s="3">
        <f>'Inflação Implícita'!O88-'Metas de Inflação'!O88</f>
        <v>1.6775691983526393</v>
      </c>
      <c r="P88" s="3">
        <f>'Inflação Implícita'!P88-'Metas de Inflação'!P88</f>
        <v>1.6775691983526393</v>
      </c>
      <c r="Q88" s="3">
        <f>'Inflação Implícita'!Q88-'Metas de Inflação'!Q88</f>
        <v>1.6775691983526393</v>
      </c>
    </row>
    <row r="89" spans="1:17" ht="18.75" customHeight="1" x14ac:dyDescent="0.25">
      <c r="A89" s="2">
        <v>41060</v>
      </c>
      <c r="B89" s="3">
        <f>'Inflação Implícita'!B89-'Metas de Inflação'!B89</f>
        <v>0.49000000000000021</v>
      </c>
      <c r="C89" s="3">
        <f>'Inflação Implícita'!C89-'Metas de Inflação'!C89</f>
        <v>0.30578753155953553</v>
      </c>
      <c r="D89" s="3">
        <f>'Inflação Implícita'!D89-'Metas de Inflação'!D89</f>
        <v>0.6784328937160673</v>
      </c>
      <c r="E89" s="3">
        <f>'Inflação Implícita'!E89-'Metas de Inflação'!E89</f>
        <v>0.94312361070842243</v>
      </c>
      <c r="F89" s="3">
        <f>'Inflação Implícita'!F89-'Metas de Inflação'!F89</f>
        <v>0.99123482951261455</v>
      </c>
      <c r="G89" s="3">
        <f>'Inflação Implícita'!G89-'Metas de Inflação'!G89</f>
        <v>1.1157398499133926</v>
      </c>
      <c r="H89" s="3">
        <f>'Inflação Implícita'!H89-'Metas de Inflação'!H89</f>
        <v>1.1942307692307681</v>
      </c>
      <c r="I89" s="3">
        <f>'Inflação Implícita'!I89-'Metas de Inflação'!I89</f>
        <v>1.1942307692307681</v>
      </c>
      <c r="J89" s="3">
        <f>'Inflação Implícita'!J89-'Metas de Inflação'!J89</f>
        <v>1.3737630896339654</v>
      </c>
      <c r="K89" s="3">
        <f>'Inflação Implícita'!K89-'Metas de Inflação'!K89</f>
        <v>1.4825201690357543</v>
      </c>
      <c r="L89" s="3">
        <f>'Inflação Implícita'!L89-'Metas de Inflação'!L89</f>
        <v>1.5879585173804429</v>
      </c>
      <c r="M89" s="3">
        <f>'Inflação Implícita'!M89-'Metas de Inflação'!M89</f>
        <v>1.6438033982912366</v>
      </c>
      <c r="N89" s="3">
        <f>'Inflação Implícita'!N89-'Metas de Inflação'!N89</f>
        <v>1.6234283520491317</v>
      </c>
      <c r="O89" s="3">
        <f>'Inflação Implícita'!O89-'Metas de Inflação'!O89</f>
        <v>1.6132437619961566</v>
      </c>
      <c r="P89" s="3">
        <f>'Inflação Implícita'!P89-'Metas de Inflação'!P89</f>
        <v>1.6132437619961566</v>
      </c>
      <c r="Q89" s="3">
        <f>'Inflação Implícita'!Q89-'Metas de Inflação'!Q89</f>
        <v>1.6132437619961566</v>
      </c>
    </row>
    <row r="90" spans="1:17" ht="18.75" customHeight="1" x14ac:dyDescent="0.25">
      <c r="A90" s="2">
        <v>41090</v>
      </c>
      <c r="B90" s="3">
        <f>'Inflação Implícita'!B90-'Metas de Inflação'!B90</f>
        <v>0.41999999999999993</v>
      </c>
      <c r="C90" s="3">
        <f>'Inflação Implícita'!C90-'Metas de Inflação'!C90</f>
        <v>-0.36640851887704429</v>
      </c>
      <c r="D90" s="3">
        <f>'Inflação Implícita'!D90-'Metas de Inflação'!D90</f>
        <v>0.40690457719165085</v>
      </c>
      <c r="E90" s="3">
        <f>'Inflação Implícita'!E90-'Metas de Inflação'!E90</f>
        <v>0.56133487877908905</v>
      </c>
      <c r="F90" s="3">
        <f>'Inflação Implícita'!F90-'Metas de Inflação'!F90</f>
        <v>0.53126503126503088</v>
      </c>
      <c r="G90" s="3">
        <f>'Inflação Implícita'!G90-'Metas de Inflação'!G90</f>
        <v>0.63015080203631513</v>
      </c>
      <c r="H90" s="3">
        <f>'Inflação Implícita'!H90-'Metas de Inflação'!H90</f>
        <v>0.76735144475376504</v>
      </c>
      <c r="I90" s="3">
        <f>'Inflação Implícita'!I90-'Metas de Inflação'!I90</f>
        <v>0.76735144475376504</v>
      </c>
      <c r="J90" s="3">
        <f>'Inflação Implícita'!J90-'Metas de Inflação'!J90</f>
        <v>0.95166858457999393</v>
      </c>
      <c r="K90" s="3">
        <f>'Inflação Implícita'!K90-'Metas de Inflação'!K90</f>
        <v>1.0281825153374431</v>
      </c>
      <c r="L90" s="3">
        <f>'Inflação Implícita'!L90-'Metas de Inflação'!L90</f>
        <v>1.0984666986104381</v>
      </c>
      <c r="M90" s="3">
        <f>'Inflação Implícita'!M90-'Metas de Inflação'!M90</f>
        <v>1.134882606612357</v>
      </c>
      <c r="N90" s="3">
        <f>'Inflação Implícita'!N90-'Metas de Inflação'!N90</f>
        <v>1.134882606612357</v>
      </c>
      <c r="O90" s="3">
        <f>'Inflação Implícita'!O90-'Metas de Inflação'!O90</f>
        <v>1.134882606612357</v>
      </c>
      <c r="P90" s="3">
        <f>'Inflação Implícita'!P90-'Metas de Inflação'!P90</f>
        <v>1.134882606612357</v>
      </c>
      <c r="Q90" s="3">
        <f>'Inflação Implícita'!Q90-'Metas de Inflação'!Q90</f>
        <v>1.134882606612357</v>
      </c>
    </row>
    <row r="91" spans="1:17" ht="18.75" customHeight="1" x14ac:dyDescent="0.25">
      <c r="A91" s="2">
        <v>41121</v>
      </c>
      <c r="B91" s="3">
        <f>'Inflação Implícita'!B91-'Metas de Inflação'!B91</f>
        <v>0.70000000000000018</v>
      </c>
      <c r="C91" s="3">
        <f>'Inflação Implícita'!C91-'Metas de Inflação'!C91</f>
        <v>1.0120274914089329</v>
      </c>
      <c r="D91" s="3">
        <f>'Inflação Implícita'!D91-'Metas de Inflação'!D91</f>
        <v>1.0796252927400536</v>
      </c>
      <c r="E91" s="3">
        <f>'Inflação Implícita'!E91-'Metas de Inflação'!E91</f>
        <v>0.98509274545982972</v>
      </c>
      <c r="F91" s="3">
        <f>'Inflação Implícita'!F91-'Metas de Inflação'!F91</f>
        <v>0.91952966224714672</v>
      </c>
      <c r="G91" s="3">
        <f>'Inflação Implícita'!G91-'Metas de Inflação'!G91</f>
        <v>0.92161692263112283</v>
      </c>
      <c r="H91" s="3">
        <f>'Inflação Implícita'!H91-'Metas de Inflação'!H91</f>
        <v>0.88817629472467807</v>
      </c>
      <c r="I91" s="3">
        <f>'Inflação Implícita'!I91-'Metas de Inflação'!I91</f>
        <v>0.88817629472467807</v>
      </c>
      <c r="J91" s="3">
        <f>'Inflação Implícita'!J91-'Metas de Inflação'!J91</f>
        <v>0.92637151106835081</v>
      </c>
      <c r="K91" s="3">
        <f>'Inflação Implícita'!K91-'Metas de Inflação'!K91</f>
        <v>0.89844275689704833</v>
      </c>
      <c r="L91" s="3">
        <f>'Inflação Implícita'!L91-'Metas de Inflação'!L91</f>
        <v>0.86681390435951311</v>
      </c>
      <c r="M91" s="3">
        <f>'Inflação Implícita'!M91-'Metas de Inflação'!M91</f>
        <v>0.88646183389339672</v>
      </c>
      <c r="N91" s="3">
        <f>'Inflação Implícita'!N91-'Metas de Inflação'!N91</f>
        <v>0.88646183389339672</v>
      </c>
      <c r="O91" s="3">
        <f>'Inflação Implícita'!O91-'Metas de Inflação'!O91</f>
        <v>0.88646183389339672</v>
      </c>
      <c r="P91" s="3">
        <f>'Inflação Implícita'!P91-'Metas de Inflação'!P91</f>
        <v>0.88646183389339672</v>
      </c>
      <c r="Q91" s="3">
        <f>'Inflação Implícita'!Q91-'Metas de Inflação'!Q91</f>
        <v>0.88646183389339672</v>
      </c>
    </row>
    <row r="92" spans="1:17" ht="18.75" customHeight="1" x14ac:dyDescent="0.25">
      <c r="A92" s="2">
        <v>41152</v>
      </c>
      <c r="B92" s="3">
        <f>'Inflação Implícita'!B92-'Metas de Inflação'!B92</f>
        <v>0.74000000000000021</v>
      </c>
      <c r="C92" s="3">
        <f>'Inflação Implícita'!C92-'Metas de Inflação'!C92</f>
        <v>1.2703659976387378</v>
      </c>
      <c r="D92" s="3">
        <f>'Inflação Implícita'!D92-'Metas de Inflação'!D92</f>
        <v>0.8649279875437772</v>
      </c>
      <c r="E92" s="3">
        <f>'Inflação Implícita'!E92-'Metas de Inflação'!E92</f>
        <v>0.92155816435434534</v>
      </c>
      <c r="F92" s="3">
        <f>'Inflação Implícita'!F92-'Metas de Inflação'!F92</f>
        <v>0.93509824799148777</v>
      </c>
      <c r="G92" s="3">
        <f>'Inflação Implícita'!G92-'Metas de Inflação'!G92</f>
        <v>0.95911463367485528</v>
      </c>
      <c r="H92" s="3">
        <f>'Inflação Implícita'!H92-'Metas de Inflação'!H92</f>
        <v>1.0112484310128496</v>
      </c>
      <c r="I92" s="3">
        <f>'Inflação Implícita'!I92-'Metas de Inflação'!I92</f>
        <v>1.0112484310128496</v>
      </c>
      <c r="J92" s="3">
        <f>'Inflação Implícita'!J92-'Metas de Inflação'!J92</f>
        <v>1.0696812096696524</v>
      </c>
      <c r="K92" s="3">
        <f>'Inflação Implícita'!K92-'Metas de Inflação'!K92</f>
        <v>1.085403427691138</v>
      </c>
      <c r="L92" s="3">
        <f>'Inflação Implícita'!L92-'Metas de Inflação'!L92</f>
        <v>1.1276472853292292</v>
      </c>
      <c r="M92" s="3">
        <f>'Inflação Implícita'!M92-'Metas de Inflação'!M92</f>
        <v>1.1106245789625753</v>
      </c>
      <c r="N92" s="3">
        <f>'Inflação Implícita'!N92-'Metas de Inflação'!N92</f>
        <v>1.0801423898402813</v>
      </c>
      <c r="O92" s="3">
        <f>'Inflação Implícita'!O92-'Metas de Inflação'!O92</f>
        <v>1.0801423898402813</v>
      </c>
      <c r="P92" s="3">
        <f>'Inflação Implícita'!P92-'Metas de Inflação'!P92</f>
        <v>1.0801423898402813</v>
      </c>
      <c r="Q92" s="3">
        <f>'Inflação Implícita'!Q92-'Metas de Inflação'!Q92</f>
        <v>1.0801423898402813</v>
      </c>
    </row>
    <row r="93" spans="1:17" ht="18.75" customHeight="1" x14ac:dyDescent="0.25">
      <c r="A93" s="2">
        <v>41182</v>
      </c>
      <c r="B93" s="3">
        <f>'Inflação Implícita'!B93-'Metas de Inflação'!B93</f>
        <v>0.78000000000000025</v>
      </c>
      <c r="C93" s="3">
        <f>'Inflação Implícita'!C93-'Metas de Inflação'!C93</f>
        <v>1.474563738538885</v>
      </c>
      <c r="D93" s="3">
        <f>'Inflação Implícita'!D93-'Metas de Inflação'!D93</f>
        <v>1.2570129997067898</v>
      </c>
      <c r="E93" s="3">
        <f>'Inflação Implícita'!E93-'Metas de Inflação'!E93</f>
        <v>1.3451047247929822</v>
      </c>
      <c r="F93" s="3">
        <f>'Inflação Implícita'!F93-'Metas de Inflação'!F93</f>
        <v>1.3149694204446156</v>
      </c>
      <c r="G93" s="3">
        <f>'Inflação Implícita'!G93-'Metas de Inflação'!G93</f>
        <v>1.2718380786364598</v>
      </c>
      <c r="H93" s="3">
        <f>'Inflação Implícita'!H93-'Metas de Inflação'!H93</f>
        <v>1.2555834864159383</v>
      </c>
      <c r="I93" s="3">
        <f>'Inflação Implícita'!I93-'Metas de Inflação'!I93</f>
        <v>1.2555834864159383</v>
      </c>
      <c r="J93" s="3">
        <f>'Inflação Implícita'!J93-'Metas de Inflação'!J93</f>
        <v>1.3725868725868713</v>
      </c>
      <c r="K93" s="3">
        <f>'Inflação Implícita'!K93-'Metas de Inflação'!K93</f>
        <v>1.3518947063928461</v>
      </c>
      <c r="L93" s="3">
        <f>'Inflação Implícita'!L93-'Metas de Inflação'!L93</f>
        <v>1.3383118134515133</v>
      </c>
      <c r="M93" s="3">
        <f>'Inflação Implícita'!M93-'Metas de Inflação'!M93</f>
        <v>1.3081294548256723</v>
      </c>
      <c r="N93" s="3">
        <f>'Inflação Implícita'!N93-'Metas de Inflação'!N93</f>
        <v>1.2877503852080237</v>
      </c>
      <c r="O93" s="3">
        <f>'Inflação Implícita'!O93-'Metas de Inflação'!O93</f>
        <v>1.2877503852080237</v>
      </c>
      <c r="P93" s="3">
        <f>'Inflação Implícita'!P93-'Metas de Inflação'!P93</f>
        <v>1.2877503852080237</v>
      </c>
      <c r="Q93" s="3">
        <f>'Inflação Implícita'!Q93-'Metas de Inflação'!Q93</f>
        <v>1.2877503852080237</v>
      </c>
    </row>
    <row r="94" spans="1:17" ht="18.75" customHeight="1" x14ac:dyDescent="0.25">
      <c r="A94" s="2">
        <v>41213</v>
      </c>
      <c r="B94" s="3">
        <f>'Inflação Implícita'!B94-'Metas de Inflação'!B94</f>
        <v>0.95000000000000018</v>
      </c>
      <c r="C94" s="3">
        <f>'Inflação Implícita'!C94-'Metas de Inflação'!C94</f>
        <v>1.2588009072083723</v>
      </c>
      <c r="D94" s="3">
        <f>'Inflação Implícita'!D94-'Metas de Inflação'!D94</f>
        <v>1.1674840608141208</v>
      </c>
      <c r="E94" s="3">
        <f>'Inflação Implícita'!E94-'Metas de Inflação'!E94</f>
        <v>1.2580203442879396</v>
      </c>
      <c r="F94" s="3">
        <f>'Inflação Implícita'!F94-'Metas de Inflação'!F94</f>
        <v>1.2179062286772497</v>
      </c>
      <c r="G94" s="3">
        <f>'Inflação Implícita'!G94-'Metas de Inflação'!G94</f>
        <v>1.1564870647733967</v>
      </c>
      <c r="H94" s="3">
        <f>'Inflação Implícita'!H94-'Metas de Inflação'!H94</f>
        <v>1.120508836667315</v>
      </c>
      <c r="I94" s="3">
        <f>'Inflação Implícita'!I94-'Metas de Inflação'!I94</f>
        <v>1.120508836667315</v>
      </c>
      <c r="J94" s="3">
        <f>'Inflação Implícita'!J94-'Metas de Inflação'!J94</f>
        <v>1.2257751937984436</v>
      </c>
      <c r="K94" s="3">
        <f>'Inflação Implícita'!K94-'Metas de Inflação'!K94</f>
        <v>1.1819281773303754</v>
      </c>
      <c r="L94" s="3">
        <f>'Inflação Implícita'!L94-'Metas de Inflação'!L94</f>
        <v>1.165925137827621</v>
      </c>
      <c r="M94" s="3">
        <f>'Inflação Implícita'!M94-'Metas de Inflação'!M94</f>
        <v>1.1060313164508102</v>
      </c>
      <c r="N94" s="3">
        <f>'Inflação Implícita'!N94-'Metas de Inflação'!N94</f>
        <v>1.0550188387595512</v>
      </c>
      <c r="O94" s="3">
        <f>'Inflação Implícita'!O94-'Metas de Inflação'!O94</f>
        <v>1.0550188387595512</v>
      </c>
      <c r="P94" s="3">
        <f>'Inflação Implícita'!P94-'Metas de Inflação'!P94</f>
        <v>1.0550188387595512</v>
      </c>
      <c r="Q94" s="3">
        <f>'Inflação Implícita'!Q94-'Metas de Inflação'!Q94</f>
        <v>1.0550188387595512</v>
      </c>
    </row>
    <row r="95" spans="1:17" ht="18.75" customHeight="1" x14ac:dyDescent="0.25">
      <c r="A95" s="2">
        <v>41243</v>
      </c>
      <c r="B95" s="3">
        <f>'Inflação Implícita'!B95-'Metas de Inflação'!B95</f>
        <v>1.0300000000000002</v>
      </c>
      <c r="C95" s="3">
        <f>'Inflação Implícita'!C95-'Metas de Inflação'!C95</f>
        <v>1.1148994875837577</v>
      </c>
      <c r="D95" s="3">
        <f>'Inflação Implícita'!D95-'Metas de Inflação'!D95</f>
        <v>1.4876057446389908</v>
      </c>
      <c r="E95" s="3">
        <f>'Inflação Implícita'!E95-'Metas de Inflação'!E95</f>
        <v>1.4943237424153528</v>
      </c>
      <c r="F95" s="3">
        <f>'Inflação Implícita'!F95-'Metas de Inflação'!F95</f>
        <v>1.3900906167787204</v>
      </c>
      <c r="G95" s="3">
        <f>'Inflação Implícita'!G95-'Metas de Inflação'!G95</f>
        <v>1.3681703286019848</v>
      </c>
      <c r="H95" s="3">
        <f>'Inflação Implícita'!H95-'Metas de Inflação'!H95</f>
        <v>1.3051998447807618</v>
      </c>
      <c r="I95" s="3">
        <f>'Inflação Implícita'!I95-'Metas de Inflação'!I95</f>
        <v>1.3051998447807618</v>
      </c>
      <c r="J95" s="3">
        <f>'Inflação Implícita'!J95-'Metas de Inflação'!J95</f>
        <v>1.3497870692992615</v>
      </c>
      <c r="K95" s="3">
        <f>'Inflação Implícita'!K95-'Metas de Inflação'!K95</f>
        <v>1.3592012377913116</v>
      </c>
      <c r="L95" s="3">
        <f>'Inflação Implícita'!L95-'Metas de Inflação'!L95</f>
        <v>1.368199826070164</v>
      </c>
      <c r="M95" s="3">
        <f>'Inflação Implícita'!M95-'Metas de Inflação'!M95</f>
        <v>1.3232737807822232</v>
      </c>
      <c r="N95" s="3">
        <f>'Inflação Implícita'!N95-'Metas de Inflação'!N95</f>
        <v>1.2824114296746831</v>
      </c>
      <c r="O95" s="3">
        <f>'Inflação Implícita'!O95-'Metas de Inflação'!O95</f>
        <v>1.2824114296746831</v>
      </c>
      <c r="P95" s="3">
        <f>'Inflação Implícita'!P95-'Metas de Inflação'!P95</f>
        <v>1.2824114296746831</v>
      </c>
      <c r="Q95" s="3">
        <f>'Inflação Implícita'!Q95-'Metas de Inflação'!Q95</f>
        <v>1.2824114296746831</v>
      </c>
    </row>
    <row r="96" spans="1:17" ht="18.75" customHeight="1" x14ac:dyDescent="0.25">
      <c r="A96" s="2">
        <v>41274</v>
      </c>
      <c r="B96" s="3">
        <f>'Inflação Implícita'!B96-'Metas de Inflação'!B96</f>
        <v>1.3399999999999999</v>
      </c>
      <c r="C96" s="3">
        <f>'Inflação Implícita'!C96-'Metas de Inflação'!C96</f>
        <v>1.7666137671097077</v>
      </c>
      <c r="D96" s="3">
        <f>'Inflação Implícita'!D96-'Metas de Inflação'!D96</f>
        <v>1.555741579673013</v>
      </c>
      <c r="E96" s="3">
        <f>'Inflação Implícita'!E96-'Metas de Inflação'!E96</f>
        <v>1.5376433682972186</v>
      </c>
      <c r="F96" s="3">
        <f>'Inflação Implícita'!F96-'Metas de Inflação'!F96</f>
        <v>1.4058501806817043</v>
      </c>
      <c r="G96" s="3">
        <f>'Inflação Implícita'!G96-'Metas de Inflação'!G96</f>
        <v>1.3456742010911888</v>
      </c>
      <c r="H96" s="3">
        <f>'Inflação Implícita'!H96-'Metas de Inflação'!H96</f>
        <v>1.2651176356212419</v>
      </c>
      <c r="I96" s="3">
        <f>'Inflação Implícita'!I96-'Metas de Inflação'!I96</f>
        <v>1.2651176356212419</v>
      </c>
      <c r="J96" s="3">
        <f>'Inflação Implícita'!J96-'Metas de Inflação'!J96</f>
        <v>1.2956968404729414</v>
      </c>
      <c r="K96" s="3">
        <f>'Inflação Implícita'!K96-'Metas de Inflação'!K96</f>
        <v>1.2411172427147106</v>
      </c>
      <c r="L96" s="3">
        <f>'Inflação Implícita'!L96-'Metas de Inflação'!L96</f>
        <v>1.2554652737473289</v>
      </c>
      <c r="M96" s="3">
        <f>'Inflação Implícita'!M96-'Metas de Inflação'!M96</f>
        <v>1.2043411002610345</v>
      </c>
      <c r="N96" s="3">
        <f>'Inflação Implícita'!N96-'Metas de Inflação'!N96</f>
        <v>1.1532663316583021</v>
      </c>
      <c r="O96" s="3">
        <f>'Inflação Implícita'!O96-'Metas de Inflação'!O96</f>
        <v>1.1532663316583021</v>
      </c>
      <c r="P96" s="3">
        <f>'Inflação Implícita'!P96-'Metas de Inflação'!P96</f>
        <v>1.1532663316583021</v>
      </c>
      <c r="Q96" s="3">
        <f>'Inflação Implícita'!Q96-'Metas de Inflação'!Q96</f>
        <v>1.1532663316583021</v>
      </c>
    </row>
    <row r="97" spans="1:17" ht="18.75" customHeight="1" x14ac:dyDescent="0.25">
      <c r="A97" s="2">
        <v>41305</v>
      </c>
      <c r="B97" s="3">
        <f>'Inflação Implícita'!B97-'Metas de Inflação'!B97</f>
        <v>1.6500000000000004</v>
      </c>
      <c r="C97" s="3">
        <f>'Inflação Implícita'!C97-'Metas de Inflação'!C97</f>
        <v>1.41784338896022</v>
      </c>
      <c r="D97" s="3">
        <f>'Inflação Implícita'!D97-'Metas de Inflação'!D97</f>
        <v>1.3676470588235219</v>
      </c>
      <c r="E97" s="3">
        <f>'Inflação Implícita'!E97-'Metas de Inflação'!E97</f>
        <v>1.4410386567746887</v>
      </c>
      <c r="F97" s="3">
        <f>'Inflação Implícita'!F97-'Metas de Inflação'!F97</f>
        <v>1.3929961089494221</v>
      </c>
      <c r="G97" s="3">
        <f>'Inflação Implícita'!G97-'Metas de Inflação'!G97</f>
        <v>1.4780390632591551</v>
      </c>
      <c r="H97" s="3">
        <f>'Inflação Implícita'!H97-'Metas de Inflação'!H97</f>
        <v>1.4734212823746136</v>
      </c>
      <c r="I97" s="3">
        <f>'Inflação Implícita'!I97-'Metas de Inflação'!I97</f>
        <v>1.4734212823746136</v>
      </c>
      <c r="J97" s="3">
        <f>'Inflação Implícita'!J97-'Metas de Inflação'!J97</f>
        <v>1.5226393188854477</v>
      </c>
      <c r="K97" s="3">
        <f>'Inflação Implícita'!K97-'Metas de Inflação'!K97</f>
        <v>1.5444659255679101</v>
      </c>
      <c r="L97" s="3">
        <f>'Inflação Implícita'!L97-'Metas de Inflação'!L97</f>
        <v>1.5278207109737192</v>
      </c>
      <c r="M97" s="3">
        <f>'Inflação Implícita'!M97-'Metas de Inflação'!M97</f>
        <v>1.4868675164155949</v>
      </c>
      <c r="N97" s="3">
        <f>'Inflação Implícita'!N97-'Metas de Inflação'!N97</f>
        <v>1.4664027804595232</v>
      </c>
      <c r="O97" s="3">
        <f>'Inflação Implícita'!O97-'Metas de Inflação'!O97</f>
        <v>1.4664027804595232</v>
      </c>
      <c r="P97" s="3">
        <f>'Inflação Implícita'!P97-'Metas de Inflação'!P97</f>
        <v>1.4664027804595232</v>
      </c>
      <c r="Q97" s="3">
        <f>'Inflação Implícita'!Q97-'Metas de Inflação'!Q97</f>
        <v>1.4664027804595232</v>
      </c>
    </row>
    <row r="98" spans="1:17" ht="18.75" customHeight="1" x14ac:dyDescent="0.25">
      <c r="A98" s="2">
        <v>41333</v>
      </c>
      <c r="B98" s="3">
        <f>'Inflação Implícita'!B98-'Metas de Inflação'!B98</f>
        <v>1.8099999999999996</v>
      </c>
      <c r="C98" s="3">
        <f>'Inflação Implícita'!C98-'Metas de Inflação'!C98</f>
        <v>0.99486049926579678</v>
      </c>
      <c r="D98" s="3">
        <f>'Inflação Implícita'!D98-'Metas de Inflação'!D98</f>
        <v>1.1719617970957925</v>
      </c>
      <c r="E98" s="3">
        <f>'Inflação Implícita'!E98-'Metas de Inflação'!E98</f>
        <v>1.1954285159662277</v>
      </c>
      <c r="F98" s="3">
        <f>'Inflação Implícita'!F98-'Metas de Inflação'!F98</f>
        <v>1.1096380878652763</v>
      </c>
      <c r="G98" s="3">
        <f>'Inflação Implícita'!G98-'Metas de Inflação'!G98</f>
        <v>1.0870132379939985</v>
      </c>
      <c r="H98" s="3">
        <f>'Inflação Implícita'!H98-'Metas de Inflação'!H98</f>
        <v>1.1082255261633573</v>
      </c>
      <c r="I98" s="3">
        <f>'Inflação Implícita'!I98-'Metas de Inflação'!I98</f>
        <v>1.1082255261633573</v>
      </c>
      <c r="J98" s="3">
        <f>'Inflação Implícita'!J98-'Metas de Inflação'!J98</f>
        <v>1.1824754193175009</v>
      </c>
      <c r="K98" s="3">
        <f>'Inflação Implícita'!K98-'Metas de Inflação'!K98</f>
        <v>1.1852547433304368</v>
      </c>
      <c r="L98" s="3">
        <f>'Inflação Implícita'!L98-'Metas de Inflação'!L98</f>
        <v>1.1892568348094086</v>
      </c>
      <c r="M98" s="3">
        <f>'Inflação Implícita'!M98-'Metas de Inflação'!M98</f>
        <v>1.1790836461642291</v>
      </c>
      <c r="N98" s="3">
        <f>'Inflação Implícita'!N98-'Metas de Inflação'!N98</f>
        <v>1.1689124157844217</v>
      </c>
      <c r="O98" s="3">
        <f>'Inflação Implícita'!O98-'Metas de Inflação'!O98</f>
        <v>1.1689124157844217</v>
      </c>
      <c r="P98" s="3">
        <f>'Inflação Implícita'!P98-'Metas de Inflação'!P98</f>
        <v>1.1689124157844217</v>
      </c>
      <c r="Q98" s="3">
        <f>'Inflação Implícita'!Q98-'Metas de Inflação'!Q98</f>
        <v>1.1689124157844217</v>
      </c>
    </row>
    <row r="99" spans="1:17" ht="18.75" customHeight="1" x14ac:dyDescent="0.25">
      <c r="A99" s="2">
        <v>41364</v>
      </c>
      <c r="B99" s="3">
        <f>'Inflação Implícita'!B99-'Metas de Inflação'!B99</f>
        <v>2.09</v>
      </c>
      <c r="C99" s="3">
        <f>'Inflação Implícita'!C99-'Metas de Inflação'!C99</f>
        <v>0.6012855473315355</v>
      </c>
      <c r="D99" s="3">
        <f>'Inflação Implícita'!D99-'Metas de Inflação'!D99</f>
        <v>1.1184364060676728</v>
      </c>
      <c r="E99" s="3">
        <f>'Inflação Implícita'!E99-'Metas de Inflação'!E99</f>
        <v>1.2302064153503141</v>
      </c>
      <c r="F99" s="3">
        <f>'Inflação Implícita'!F99-'Metas de Inflação'!F99</f>
        <v>1.2907965970610986</v>
      </c>
      <c r="G99" s="3">
        <f>'Inflação Implícita'!G99-'Metas de Inflação'!G99</f>
        <v>1.2780993728895336</v>
      </c>
      <c r="H99" s="3">
        <f>'Inflação Implícita'!H99-'Metas de Inflação'!H99</f>
        <v>1.3257013400173419</v>
      </c>
      <c r="I99" s="3">
        <f>'Inflação Implícita'!I99-'Metas de Inflação'!I99</f>
        <v>1.3257013400173419</v>
      </c>
      <c r="J99" s="3">
        <f>'Inflação Implícita'!J99-'Metas de Inflação'!J99</f>
        <v>1.481119352663522</v>
      </c>
      <c r="K99" s="3">
        <f>'Inflação Implícita'!K99-'Metas de Inflação'!K99</f>
        <v>1.5337024554645957</v>
      </c>
      <c r="L99" s="3">
        <f>'Inflação Implícita'!L99-'Metas de Inflação'!L99</f>
        <v>1.504618937644346</v>
      </c>
      <c r="M99" s="3">
        <f>'Inflação Implícita'!M99-'Metas de Inflação'!M99</f>
        <v>1.4230769230769198</v>
      </c>
      <c r="N99" s="3">
        <f>'Inflação Implícita'!N99-'Metas de Inflação'!N99</f>
        <v>1.3823529411764719</v>
      </c>
      <c r="O99" s="3">
        <f>'Inflação Implícita'!O99-'Metas de Inflação'!O99</f>
        <v>1.3823529411764719</v>
      </c>
      <c r="P99" s="3">
        <f>'Inflação Implícita'!P99-'Metas de Inflação'!P99</f>
        <v>1.3823529411764719</v>
      </c>
      <c r="Q99" s="3">
        <f>'Inflação Implícita'!Q99-'Metas de Inflação'!Q99</f>
        <v>1.3823529411764719</v>
      </c>
    </row>
    <row r="100" spans="1:17" ht="18.75" customHeight="1" x14ac:dyDescent="0.25">
      <c r="A100" s="2">
        <v>41394</v>
      </c>
      <c r="B100" s="3">
        <f>'Inflação Implícita'!B100-'Metas de Inflação'!B100</f>
        <v>1.9900000000000002</v>
      </c>
      <c r="C100" s="3">
        <f>'Inflação Implícita'!C100-'Metas de Inflação'!C100</f>
        <v>0.69575379820802485</v>
      </c>
      <c r="D100" s="3">
        <f>'Inflação Implícita'!D100-'Metas de Inflação'!D100</f>
        <v>0.98321167883210059</v>
      </c>
      <c r="E100" s="3">
        <f>'Inflação Implícita'!E100-'Metas de Inflação'!E100</f>
        <v>0.97166149068323282</v>
      </c>
      <c r="F100" s="3">
        <f>'Inflação Implícita'!F100-'Metas de Inflação'!F100</f>
        <v>0.86049549985482265</v>
      </c>
      <c r="G100" s="3">
        <f>'Inflação Implícita'!G100-'Metas de Inflação'!G100</f>
        <v>0.89197680038665528</v>
      </c>
      <c r="H100" s="3">
        <f>'Inflação Implícita'!H100-'Metas de Inflação'!H100</f>
        <v>0.92233806351966052</v>
      </c>
      <c r="I100" s="3">
        <f>'Inflação Implícita'!I100-'Metas de Inflação'!I100</f>
        <v>0.92233806351966052</v>
      </c>
      <c r="J100" s="3">
        <f>'Inflação Implícita'!J100-'Metas de Inflação'!J100</f>
        <v>1.0140186915887845</v>
      </c>
      <c r="K100" s="3">
        <f>'Inflação Implícita'!K100-'Metas de Inflação'!K100</f>
        <v>1.0497785480454587</v>
      </c>
      <c r="L100" s="3">
        <f>'Inflação Implícita'!L100-'Metas de Inflação'!L100</f>
        <v>1.0213543670642462</v>
      </c>
      <c r="M100" s="3">
        <f>'Inflação Implícita'!M100-'Metas de Inflação'!M100</f>
        <v>0.91995002882951216</v>
      </c>
      <c r="N100" s="3">
        <f>'Inflação Implícita'!N100-'Metas de Inflação'!N100</f>
        <v>0.87944284341980161</v>
      </c>
      <c r="O100" s="3">
        <f>'Inflação Implícita'!O100-'Metas de Inflação'!O100</f>
        <v>0.87944284341980161</v>
      </c>
      <c r="P100" s="3">
        <f>'Inflação Implícita'!P100-'Metas de Inflação'!P100</f>
        <v>0.87944284341980161</v>
      </c>
      <c r="Q100" s="3">
        <f>'Inflação Implícita'!Q100-'Metas de Inflação'!Q100</f>
        <v>0.87944284341980161</v>
      </c>
    </row>
    <row r="101" spans="1:17" ht="18.75" customHeight="1" x14ac:dyDescent="0.25">
      <c r="A101" s="2">
        <v>41425</v>
      </c>
      <c r="B101" s="3">
        <f>'Inflação Implícita'!B101-'Metas de Inflação'!B101</f>
        <v>2</v>
      </c>
      <c r="C101" s="3">
        <f>'Inflação Implícita'!C101-'Metas de Inflação'!C101</f>
        <v>0.82616070563145527</v>
      </c>
      <c r="D101" s="3">
        <f>'Inflação Implícita'!D101-'Metas de Inflação'!D101</f>
        <v>0.75655864197531741</v>
      </c>
      <c r="E101" s="3">
        <f>'Inflação Implícita'!E101-'Metas de Inflação'!E101</f>
        <v>0.83275629928833261</v>
      </c>
      <c r="F101" s="3">
        <f>'Inflação Implícita'!F101-'Metas de Inflação'!F101</f>
        <v>0.89059500959693239</v>
      </c>
      <c r="G101" s="3">
        <f>'Inflação Implícita'!G101-'Metas de Inflação'!G101</f>
        <v>0.94095092024541316</v>
      </c>
      <c r="H101" s="3">
        <f>'Inflação Implícita'!H101-'Metas de Inflação'!H101</f>
        <v>0.97614485533625128</v>
      </c>
      <c r="I101" s="3">
        <f>'Inflação Implícita'!I101-'Metas de Inflação'!I101</f>
        <v>0.97614485533625128</v>
      </c>
      <c r="J101" s="3">
        <f>'Inflação Implícita'!J101-'Metas de Inflação'!J101</f>
        <v>1.1626160176059814</v>
      </c>
      <c r="K101" s="3">
        <f>'Inflação Implícita'!K101-'Metas de Inflação'!K101</f>
        <v>1.1432804435098349</v>
      </c>
      <c r="L101" s="3">
        <f>'Inflação Implícita'!L101-'Metas de Inflação'!L101</f>
        <v>1.1553305311425328</v>
      </c>
      <c r="M101" s="3">
        <f>'Inflação Implícita'!M101-'Metas de Inflação'!M101</f>
        <v>1.114973262032108</v>
      </c>
      <c r="N101" s="3">
        <f>'Inflação Implícita'!N101-'Metas de Inflação'!N101</f>
        <v>1.104888761577409</v>
      </c>
      <c r="O101" s="3">
        <f>'Inflação Implícita'!O101-'Metas de Inflação'!O101</f>
        <v>1.104888761577409</v>
      </c>
      <c r="P101" s="3">
        <f>'Inflação Implícita'!P101-'Metas de Inflação'!P101</f>
        <v>1.104888761577409</v>
      </c>
      <c r="Q101" s="3">
        <f>'Inflação Implícita'!Q101-'Metas de Inflação'!Q101</f>
        <v>1.104888761577409</v>
      </c>
    </row>
    <row r="102" spans="1:17" ht="18.75" customHeight="1" x14ac:dyDescent="0.25">
      <c r="A102" s="2">
        <v>41455</v>
      </c>
      <c r="B102" s="3">
        <f>'Inflação Implícita'!B102-'Metas de Inflação'!B102</f>
        <v>2.2000000000000002</v>
      </c>
      <c r="C102" s="3">
        <f>'Inflação Implícita'!C102-'Metas de Inflação'!C102</f>
        <v>0.72939309416177167</v>
      </c>
      <c r="D102" s="3">
        <f>'Inflação Implícita'!D102-'Metas de Inflação'!D102</f>
        <v>1.4064271303679527</v>
      </c>
      <c r="E102" s="3">
        <f>'Inflação Implícita'!E102-'Metas de Inflação'!E102</f>
        <v>1.4344230953063626</v>
      </c>
      <c r="F102" s="3">
        <f>'Inflação Implícita'!F102-'Metas de Inflação'!F102</f>
        <v>1.4509729111026255</v>
      </c>
      <c r="G102" s="3">
        <f>'Inflação Implícita'!G102-'Metas de Inflação'!G102</f>
        <v>1.4030753118156865</v>
      </c>
      <c r="H102" s="3">
        <f>'Inflação Implícita'!H102-'Metas de Inflação'!H102</f>
        <v>1.2803138373751617</v>
      </c>
      <c r="I102" s="3">
        <f>'Inflação Implícita'!I102-'Metas de Inflação'!I102</f>
        <v>1.2803138373751617</v>
      </c>
      <c r="J102" s="3">
        <f>'Inflação Implícita'!J102-'Metas de Inflação'!J102</f>
        <v>1.2433266837655594</v>
      </c>
      <c r="K102" s="3">
        <f>'Inflação Implícita'!K102-'Metas de Inflação'!K102</f>
        <v>1.2559354226020876</v>
      </c>
      <c r="L102" s="3">
        <f>'Inflação Implícita'!L102-'Metas de Inflação'!L102</f>
        <v>1.2940729483282549</v>
      </c>
      <c r="M102" s="3">
        <f>'Inflação Implícita'!M102-'Metas de Inflação'!M102</f>
        <v>1.2237778832462949</v>
      </c>
      <c r="N102" s="3">
        <f>'Inflação Implícita'!N102-'Metas de Inflação'!N102</f>
        <v>1.2037107336053827</v>
      </c>
      <c r="O102" s="3">
        <f>'Inflação Implícita'!O102-'Metas de Inflação'!O102</f>
        <v>1.2037107336053827</v>
      </c>
      <c r="P102" s="3">
        <f>'Inflação Implícita'!P102-'Metas de Inflação'!P102</f>
        <v>1.2037107336053827</v>
      </c>
      <c r="Q102" s="3">
        <f>'Inflação Implícita'!Q102-'Metas de Inflação'!Q102</f>
        <v>1.2037107336053827</v>
      </c>
    </row>
    <row r="103" spans="1:17" ht="18.75" customHeight="1" x14ac:dyDescent="0.25">
      <c r="A103" s="2">
        <v>41486</v>
      </c>
      <c r="B103" s="3">
        <f>'Inflação Implícita'!B103-'Metas de Inflação'!B103</f>
        <v>1.7699999999999996</v>
      </c>
      <c r="C103" s="3">
        <f>'Inflação Implícita'!C103-'Metas de Inflação'!C103</f>
        <v>1.0209037366032554</v>
      </c>
      <c r="D103" s="3">
        <f>'Inflação Implícita'!D103-'Metas de Inflação'!D103</f>
        <v>1.2616530514175812</v>
      </c>
      <c r="E103" s="3">
        <f>'Inflação Implícita'!E103-'Metas de Inflação'!E103</f>
        <v>1.4167065581618106</v>
      </c>
      <c r="F103" s="3">
        <f>'Inflação Implícita'!F103-'Metas de Inflação'!F103</f>
        <v>1.3306282222646555</v>
      </c>
      <c r="G103" s="3">
        <f>'Inflação Implícita'!G103-'Metas de Inflação'!G103</f>
        <v>1.284407167365635</v>
      </c>
      <c r="H103" s="3">
        <f>'Inflação Implícita'!H103-'Metas de Inflação'!H103</f>
        <v>1.2039504997620227</v>
      </c>
      <c r="I103" s="3">
        <f>'Inflação Implícita'!I103-'Metas de Inflação'!I103</f>
        <v>1.2039504997620227</v>
      </c>
      <c r="J103" s="3">
        <f>'Inflação Implícita'!J103-'Metas de Inflação'!J103</f>
        <v>1.1077164306756577</v>
      </c>
      <c r="K103" s="3">
        <f>'Inflação Implícita'!K103-'Metas de Inflação'!K103</f>
        <v>1.0773979107312632</v>
      </c>
      <c r="L103" s="3">
        <f>'Inflação Implícita'!L103-'Metas de Inflação'!L103</f>
        <v>1.042900531511008</v>
      </c>
      <c r="M103" s="3">
        <f>'Inflação Implícita'!M103-'Metas de Inflação'!M103</f>
        <v>1.0128570073061933</v>
      </c>
      <c r="N103" s="3">
        <f>'Inflação Implícita'!N103-'Metas de Inflação'!N103</f>
        <v>1.0128570073061933</v>
      </c>
      <c r="O103" s="3">
        <f>'Inflação Implícita'!O103-'Metas de Inflação'!O103</f>
        <v>1.0128570073061933</v>
      </c>
      <c r="P103" s="3">
        <f>'Inflação Implícita'!P103-'Metas de Inflação'!P103</f>
        <v>1.0128570073061933</v>
      </c>
      <c r="Q103" s="3">
        <f>'Inflação Implícita'!Q103-'Metas de Inflação'!Q103</f>
        <v>1.0128570073061933</v>
      </c>
    </row>
    <row r="104" spans="1:17" ht="18.75" customHeight="1" x14ac:dyDescent="0.25">
      <c r="A104" s="2">
        <v>41517</v>
      </c>
      <c r="B104" s="3">
        <f>'Inflação Implícita'!B104-'Metas de Inflação'!B104</f>
        <v>1.5899999999999999</v>
      </c>
      <c r="C104" s="3">
        <f>'Inflação Implícita'!C104-'Metas de Inflação'!C104</f>
        <v>1.727469879518055</v>
      </c>
      <c r="D104" s="3">
        <f>'Inflação Implícita'!D104-'Metas de Inflação'!D104</f>
        <v>2.1804222648752409</v>
      </c>
      <c r="E104" s="3">
        <f>'Inflação Implícita'!E104-'Metas de Inflação'!E104</f>
        <v>1.8029207496908102</v>
      </c>
      <c r="F104" s="3">
        <f>'Inflação Implícita'!F104-'Metas de Inflação'!F104</f>
        <v>1.7479825310927772</v>
      </c>
      <c r="G104" s="3">
        <f>'Inflação Implícita'!G104-'Metas de Inflação'!G104</f>
        <v>1.7381494122108583</v>
      </c>
      <c r="H104" s="3">
        <f>'Inflação Implícita'!H104-'Metas de Inflação'!H104</f>
        <v>1.6978771796815879</v>
      </c>
      <c r="I104" s="3">
        <f>'Inflação Implícita'!I104-'Metas de Inflação'!I104</f>
        <v>1.6978771796815879</v>
      </c>
      <c r="J104" s="3">
        <f>'Inflação Implícita'!J104-'Metas de Inflação'!J104</f>
        <v>1.7238424391629632</v>
      </c>
      <c r="K104" s="3">
        <f>'Inflação Implícita'!K104-'Metas de Inflação'!K104</f>
        <v>1.7508282063417075</v>
      </c>
      <c r="L104" s="3">
        <f>'Inflação Implícita'!L104-'Metas de Inflação'!L104</f>
        <v>1.7446778313937079</v>
      </c>
      <c r="M104" s="3">
        <f>'Inflação Implícita'!M104-'Metas de Inflação'!M104</f>
        <v>1.7044831173744486</v>
      </c>
      <c r="N104" s="3">
        <f>'Inflação Implícita'!N104-'Metas de Inflação'!N104</f>
        <v>1.7044831173744486</v>
      </c>
      <c r="O104" s="3">
        <f>'Inflação Implícita'!O104-'Metas de Inflação'!O104</f>
        <v>1.7044831173744486</v>
      </c>
      <c r="P104" s="3">
        <f>'Inflação Implícita'!P104-'Metas de Inflação'!P104</f>
        <v>1.7044831173744486</v>
      </c>
      <c r="Q104" s="3">
        <f>'Inflação Implícita'!Q104-'Metas de Inflação'!Q104</f>
        <v>1.7044831173744486</v>
      </c>
    </row>
    <row r="105" spans="1:17" ht="18.75" customHeight="1" x14ac:dyDescent="0.25">
      <c r="A105" s="2">
        <v>41547</v>
      </c>
      <c r="B105" s="3">
        <f>'Inflação Implícita'!B105-'Metas de Inflação'!B105</f>
        <v>1.3600000000000003</v>
      </c>
      <c r="C105" s="3">
        <f>'Inflação Implícita'!C105-'Metas de Inflação'!C105</f>
        <v>1.8375519273500158</v>
      </c>
      <c r="D105" s="3">
        <f>'Inflação Implícita'!D105-'Metas de Inflação'!D105</f>
        <v>2.0798577743609421</v>
      </c>
      <c r="E105" s="3">
        <f>'Inflação Implícita'!E105-'Metas de Inflação'!E105</f>
        <v>1.7105463907695446</v>
      </c>
      <c r="F105" s="3">
        <f>'Inflação Implícita'!F105-'Metas de Inflação'!F105</f>
        <v>1.5871219326612103</v>
      </c>
      <c r="G105" s="3">
        <f>'Inflação Implícita'!G105-'Metas de Inflação'!G105</f>
        <v>1.5654959658281715</v>
      </c>
      <c r="H105" s="3">
        <f>'Inflação Implícita'!H105-'Metas de Inflação'!H105</f>
        <v>1.4734471313418691</v>
      </c>
      <c r="I105" s="3">
        <f>'Inflação Implícita'!I105-'Metas de Inflação'!I105</f>
        <v>1.4734471313418691</v>
      </c>
      <c r="J105" s="3">
        <f>'Inflação Implícita'!J105-'Metas de Inflação'!J105</f>
        <v>1.4539598332701615</v>
      </c>
      <c r="K105" s="3">
        <f>'Inflação Implícita'!K105-'Metas de Inflação'!K105</f>
        <v>1.4772727272727311</v>
      </c>
      <c r="L105" s="3">
        <f>'Inflação Implícita'!L105-'Metas de Inflação'!L105</f>
        <v>1.444155229531467</v>
      </c>
      <c r="M105" s="3">
        <f>'Inflação Implícita'!M105-'Metas de Inflação'!M105</f>
        <v>1.4040590405904148</v>
      </c>
      <c r="N105" s="3">
        <f>'Inflação Implícita'!N105-'Metas de Inflação'!N105</f>
        <v>1.4040590405904148</v>
      </c>
      <c r="O105" s="3">
        <f>'Inflação Implícita'!O105-'Metas de Inflação'!O105</f>
        <v>1.4040590405904148</v>
      </c>
      <c r="P105" s="3">
        <f>'Inflação Implícita'!P105-'Metas de Inflação'!P105</f>
        <v>1.4040590405904148</v>
      </c>
      <c r="Q105" s="3">
        <f>'Inflação Implícita'!Q105-'Metas de Inflação'!Q105</f>
        <v>1.4040590405904148</v>
      </c>
    </row>
    <row r="106" spans="1:17" ht="18.75" customHeight="1" x14ac:dyDescent="0.25">
      <c r="A106" s="2">
        <v>41578</v>
      </c>
      <c r="B106" s="3">
        <f>'Inflação Implícita'!B106-'Metas de Inflação'!B106</f>
        <v>1.3399999999999999</v>
      </c>
      <c r="C106" s="3">
        <f>'Inflação Implícita'!C106-'Metas de Inflação'!C106</f>
        <v>1.8449138677701855</v>
      </c>
      <c r="D106" s="3">
        <f>'Inflação Implícita'!D106-'Metas de Inflação'!D106</f>
        <v>1.9903707962058022</v>
      </c>
      <c r="E106" s="3">
        <f>'Inflação Implícita'!E106-'Metas de Inflação'!E106</f>
        <v>1.531021029593675</v>
      </c>
      <c r="F106" s="3">
        <f>'Inflação Implícita'!F106-'Metas de Inflação'!F106</f>
        <v>1.4832874370904898</v>
      </c>
      <c r="G106" s="3">
        <f>'Inflação Implícita'!G106-'Metas de Inflação'!G106</f>
        <v>1.3628528130327595</v>
      </c>
      <c r="H106" s="3">
        <f>'Inflação Implícita'!H106-'Metas de Inflação'!H106</f>
        <v>1.2590087959898062</v>
      </c>
      <c r="I106" s="3">
        <f>'Inflação Implícita'!I106-'Metas de Inflação'!I106</f>
        <v>1.2590087959898062</v>
      </c>
      <c r="J106" s="3">
        <f>'Inflação Implícita'!J106-'Metas de Inflação'!J106</f>
        <v>1.1976854038734093</v>
      </c>
      <c r="K106" s="3">
        <f>'Inflação Implícita'!K106-'Metas de Inflação'!K106</f>
        <v>1.2415454373701102</v>
      </c>
      <c r="L106" s="3">
        <f>'Inflação Implícita'!L106-'Metas de Inflação'!L106</f>
        <v>1.2229200113325218</v>
      </c>
      <c r="M106" s="3">
        <f>'Inflação Implícita'!M106-'Metas de Inflação'!M106</f>
        <v>1.2129367327667602</v>
      </c>
      <c r="N106" s="3">
        <f>'Inflação Implícita'!N106-'Metas de Inflação'!N106</f>
        <v>1.2129367327667602</v>
      </c>
      <c r="O106" s="3">
        <f>'Inflação Implícita'!O106-'Metas de Inflação'!O106</f>
        <v>1.2129367327667602</v>
      </c>
      <c r="P106" s="3">
        <f>'Inflação Implícita'!P106-'Metas de Inflação'!P106</f>
        <v>1.2129367327667602</v>
      </c>
      <c r="Q106" s="3">
        <f>'Inflação Implícita'!Q106-'Metas de Inflação'!Q106</f>
        <v>1.2129367327667602</v>
      </c>
    </row>
    <row r="107" spans="1:17" ht="18.75" customHeight="1" x14ac:dyDescent="0.25">
      <c r="A107" s="2">
        <v>41608</v>
      </c>
      <c r="B107" s="3">
        <f>'Inflação Implícita'!B107-'Metas de Inflação'!B107</f>
        <v>1.2699999999999996</v>
      </c>
      <c r="C107" s="3">
        <f>'Inflação Implícita'!C107-'Metas de Inflação'!C107</f>
        <v>1.7570852147180389</v>
      </c>
      <c r="D107" s="3">
        <f>'Inflação Implícita'!D107-'Metas de Inflação'!D107</f>
        <v>1.9592070148684844</v>
      </c>
      <c r="E107" s="3">
        <f>'Inflação Implícita'!E107-'Metas de Inflação'!E107</f>
        <v>1.8506210296766952</v>
      </c>
      <c r="F107" s="3">
        <f>'Inflação Implícita'!F107-'Metas de Inflação'!F107</f>
        <v>1.9145764316138276</v>
      </c>
      <c r="G107" s="3">
        <f>'Inflação Implícita'!G107-'Metas de Inflação'!G107</f>
        <v>1.8864752550056636</v>
      </c>
      <c r="H107" s="3">
        <f>'Inflação Implícita'!H107-'Metas de Inflação'!H107</f>
        <v>1.7690929662455153</v>
      </c>
      <c r="I107" s="3">
        <f>'Inflação Implícita'!I107-'Metas de Inflação'!I107</f>
        <v>1.7690929662455153</v>
      </c>
      <c r="J107" s="3">
        <f>'Inflação Implícita'!J107-'Metas de Inflação'!J107</f>
        <v>1.6916854778028663</v>
      </c>
      <c r="K107" s="3">
        <f>'Inflação Implícita'!K107-'Metas de Inflação'!K107</f>
        <v>1.6654135338345739</v>
      </c>
      <c r="L107" s="3">
        <f>'Inflação Implícita'!L107-'Metas de Inflação'!L107</f>
        <v>1.7165210036650542</v>
      </c>
      <c r="M107" s="3">
        <f>'Inflação Implícita'!M107-'Metas de Inflação'!M107</f>
        <v>1.7312030075188041</v>
      </c>
      <c r="N107" s="3">
        <f>'Inflação Implícita'!N107-'Metas de Inflação'!N107</f>
        <v>1.7312030075188041</v>
      </c>
      <c r="O107" s="3">
        <f>'Inflação Implícita'!O107-'Metas de Inflação'!O107</f>
        <v>1.7312030075188041</v>
      </c>
      <c r="P107" s="3">
        <f>'Inflação Implícita'!P107-'Metas de Inflação'!P107</f>
        <v>1.7312030075188041</v>
      </c>
      <c r="Q107" s="3">
        <f>'Inflação Implícita'!Q107-'Metas de Inflação'!Q107</f>
        <v>1.7312030075188041</v>
      </c>
    </row>
    <row r="108" spans="1:17" ht="18.75" customHeight="1" x14ac:dyDescent="0.25">
      <c r="A108" s="2">
        <v>41639</v>
      </c>
      <c r="B108" s="3">
        <f>'Inflação Implícita'!B108-'Metas de Inflação'!B108</f>
        <v>1.4100000000000001</v>
      </c>
      <c r="C108" s="3">
        <f>'Inflação Implícita'!C108-'Metas de Inflação'!C108</f>
        <v>1.719020172910672</v>
      </c>
      <c r="D108" s="3">
        <f>'Inflação Implícita'!D108-'Metas de Inflação'!D108</f>
        <v>2.2840398048033768</v>
      </c>
      <c r="E108" s="3">
        <f>'Inflação Implícita'!E108-'Metas de Inflação'!E108</f>
        <v>2.1489361702127825</v>
      </c>
      <c r="F108" s="3">
        <f>'Inflação Implícita'!F108-'Metas de Inflação'!F108</f>
        <v>1.9958396369137583</v>
      </c>
      <c r="G108" s="3">
        <f>'Inflação Implícita'!G108-'Metas de Inflação'!G108</f>
        <v>1.993629070316187</v>
      </c>
      <c r="H108" s="3">
        <f>'Inflação Implícita'!H108-'Metas de Inflação'!H108</f>
        <v>1.9285041002922094</v>
      </c>
      <c r="I108" s="3">
        <f>'Inflação Implícita'!I108-'Metas de Inflação'!I108</f>
        <v>1.9285041002922094</v>
      </c>
      <c r="J108" s="3">
        <f>'Inflação Implícita'!J108-'Metas de Inflação'!J108</f>
        <v>1.9965634121080917</v>
      </c>
      <c r="K108" s="3">
        <f>'Inflação Implícita'!K108-'Metas de Inflação'!K108</f>
        <v>2.0512048192771122</v>
      </c>
      <c r="L108" s="3">
        <f>'Inflação Implícita'!L108-'Metas de Inflação'!L108</f>
        <v>2.039945422038218</v>
      </c>
      <c r="M108" s="3">
        <f>'Inflação Implícita'!M108-'Metas de Inflação'!M108</f>
        <v>2.0098777046096012</v>
      </c>
      <c r="N108" s="3">
        <f>'Inflação Implícita'!N108-'Metas de Inflação'!N108</f>
        <v>2.0098777046096012</v>
      </c>
      <c r="O108" s="3">
        <f>'Inflação Implícita'!O108-'Metas de Inflação'!O108</f>
        <v>2.0098777046096012</v>
      </c>
      <c r="P108" s="3">
        <f>'Inflação Implícita'!P108-'Metas de Inflação'!P108</f>
        <v>2.0098777046096012</v>
      </c>
      <c r="Q108" s="3">
        <f>'Inflação Implícita'!Q108-'Metas de Inflação'!Q108</f>
        <v>2.0098777046096012</v>
      </c>
    </row>
    <row r="109" spans="1:17" ht="18.75" customHeight="1" x14ac:dyDescent="0.25">
      <c r="A109" s="2">
        <v>41670</v>
      </c>
      <c r="B109" s="3">
        <f>'Inflação Implícita'!B109-'Metas de Inflação'!B109</f>
        <v>1.0899999999999999</v>
      </c>
      <c r="C109" s="3">
        <f>'Inflação Implícita'!C109-'Metas de Inflação'!C109</f>
        <v>1.7260026610910346</v>
      </c>
      <c r="D109" s="3">
        <f>'Inflação Implícita'!D109-'Metas de Inflação'!D109</f>
        <v>1.819267440762788</v>
      </c>
      <c r="E109" s="3">
        <f>'Inflação Implícita'!E109-'Metas de Inflação'!E109</f>
        <v>1.7242691982329124</v>
      </c>
      <c r="F109" s="3">
        <f>'Inflação Implícita'!F109-'Metas de Inflação'!F109</f>
        <v>1.7081261142910682</v>
      </c>
      <c r="G109" s="3">
        <f>'Inflação Implícita'!G109-'Metas de Inflação'!G109</f>
        <v>1.6801649793775892</v>
      </c>
      <c r="H109" s="3">
        <f>'Inflação Implícita'!H109-'Metas de Inflação'!H109</f>
        <v>1.7118088097469659</v>
      </c>
      <c r="I109" s="3">
        <f>'Inflação Implícita'!I109-'Metas de Inflação'!I109</f>
        <v>1.7118088097469659</v>
      </c>
      <c r="J109" s="3">
        <f>'Inflação Implícita'!J109-'Metas de Inflação'!J109</f>
        <v>1.8350196739741405</v>
      </c>
      <c r="K109" s="3">
        <f>'Inflação Implícita'!K109-'Metas de Inflação'!K109</f>
        <v>1.8731734732109357</v>
      </c>
      <c r="L109" s="3">
        <f>'Inflação Implícita'!L109-'Metas de Inflação'!L109</f>
        <v>1.9044943820224631</v>
      </c>
      <c r="M109" s="3">
        <f>'Inflação Implícita'!M109-'Metas de Inflação'!M109</f>
        <v>1.882779597566679</v>
      </c>
      <c r="N109" s="3">
        <f>'Inflação Implícita'!N109-'Metas de Inflação'!N109</f>
        <v>1.8529191616766623</v>
      </c>
      <c r="O109" s="3">
        <f>'Inflação Implícita'!O109-'Metas de Inflação'!O109</f>
        <v>1.8230754840520209</v>
      </c>
      <c r="P109" s="3">
        <f>'Inflação Implícita'!P109-'Metas de Inflação'!P109</f>
        <v>1.7932485505891256</v>
      </c>
      <c r="Q109" s="3">
        <f>'Inflação Implícita'!Q109-'Metas de Inflação'!Q109</f>
        <v>1.7733732236350148</v>
      </c>
    </row>
    <row r="110" spans="1:17" ht="18.75" customHeight="1" x14ac:dyDescent="0.25">
      <c r="A110" s="2">
        <v>41698</v>
      </c>
      <c r="B110" s="3">
        <f>'Inflação Implícita'!B110-'Metas de Inflação'!B110</f>
        <v>1.1799999999999997</v>
      </c>
      <c r="C110" s="3">
        <f>'Inflação Implícita'!C110-'Metas de Inflação'!C110</f>
        <v>1.5915593705293425</v>
      </c>
      <c r="D110" s="3">
        <f>'Inflação Implícita'!D110-'Metas de Inflação'!D110</f>
        <v>2.1536520331396787</v>
      </c>
      <c r="E110" s="3">
        <f>'Inflação Implícita'!E110-'Metas de Inflação'!E110</f>
        <v>1.9082638362395805</v>
      </c>
      <c r="F110" s="3">
        <f>'Inflação Implícita'!F110-'Metas de Inflação'!F110</f>
        <v>1.7948960302457557</v>
      </c>
      <c r="G110" s="3">
        <f>'Inflação Implícita'!G110-'Metas de Inflação'!G110</f>
        <v>1.7340726757904585</v>
      </c>
      <c r="H110" s="3">
        <f>'Inflação Implícita'!H110-'Metas de Inflação'!H110</f>
        <v>1.6961338991041837</v>
      </c>
      <c r="I110" s="3">
        <f>'Inflação Implícita'!I110-'Metas de Inflação'!I110</f>
        <v>1.6961338991041837</v>
      </c>
      <c r="J110" s="3">
        <f>'Inflação Implícita'!J110-'Metas de Inflação'!J110</f>
        <v>1.6134631668077866</v>
      </c>
      <c r="K110" s="3">
        <f>'Inflação Implícita'!K110-'Metas de Inflação'!K110</f>
        <v>1.602284478706399</v>
      </c>
      <c r="L110" s="3">
        <f>'Inflação Implícita'!L110-'Metas de Inflação'!L110</f>
        <v>1.640829181160079</v>
      </c>
      <c r="M110" s="3">
        <f>'Inflação Implícita'!M110-'Metas de Inflação'!M110</f>
        <v>1.633183056259961</v>
      </c>
      <c r="N110" s="3">
        <f>'Inflação Implícita'!N110-'Metas de Inflação'!N110</f>
        <v>1.5734065521449443</v>
      </c>
      <c r="O110" s="3">
        <f>'Inflação Implícita'!O110-'Metas de Inflação'!O110</f>
        <v>1.5335929436051261</v>
      </c>
      <c r="P110" s="3">
        <f>'Inflação Implícita'!P110-'Metas de Inflação'!P110</f>
        <v>1.4938092111434083</v>
      </c>
      <c r="Q110" s="3">
        <f>'Inflação Implícita'!Q110-'Metas de Inflação'!Q110</f>
        <v>1.4639909977494243</v>
      </c>
    </row>
    <row r="111" spans="1:17" ht="18.75" customHeight="1" x14ac:dyDescent="0.25">
      <c r="A111" s="2">
        <v>41729</v>
      </c>
      <c r="B111" s="3">
        <f>'Inflação Implícita'!B111-'Metas de Inflação'!B111</f>
        <v>1.6500000000000004</v>
      </c>
      <c r="C111" s="3">
        <f>'Inflação Implícita'!C111-'Metas de Inflação'!C111</f>
        <v>2.2535704016102871</v>
      </c>
      <c r="D111" s="3">
        <f>'Inflação Implícita'!D111-'Metas de Inflação'!D111</f>
        <v>2.0508402164625723</v>
      </c>
      <c r="E111" s="3">
        <f>'Inflação Implícita'!E111-'Metas de Inflação'!E111</f>
        <v>1.9376951461822429</v>
      </c>
      <c r="F111" s="3">
        <f>'Inflação Implícita'!F111-'Metas de Inflação'!F111</f>
        <v>1.8213510708557408</v>
      </c>
      <c r="G111" s="3">
        <f>'Inflação Implícita'!G111-'Metas de Inflação'!G111</f>
        <v>1.6523253624552909</v>
      </c>
      <c r="H111" s="3">
        <f>'Inflação Implícita'!H111-'Metas de Inflação'!H111</f>
        <v>1.6760000000000037</v>
      </c>
      <c r="I111" s="3">
        <f>'Inflação Implícita'!I111-'Metas de Inflação'!I111</f>
        <v>1.6760000000000037</v>
      </c>
      <c r="J111" s="3">
        <f>'Inflação Implícita'!J111-'Metas de Inflação'!J111</f>
        <v>1.5826679192109046</v>
      </c>
      <c r="K111" s="3">
        <f>'Inflação Implícita'!K111-'Metas de Inflação'!K111</f>
        <v>1.5503097428196151</v>
      </c>
      <c r="L111" s="3">
        <f>'Inflação Implícita'!L111-'Metas de Inflação'!L111</f>
        <v>1.5910370717972784</v>
      </c>
      <c r="M111" s="3">
        <f>'Inflação Implícita'!M111-'Metas de Inflação'!M111</f>
        <v>1.5765191297824428</v>
      </c>
      <c r="N111" s="3">
        <f>'Inflação Implícita'!N111-'Metas de Inflação'!N111</f>
        <v>1.5864672231079497</v>
      </c>
      <c r="O111" s="3">
        <f>'Inflação Implícita'!O111-'Metas de Inflação'!O111</f>
        <v>1.5964171825173441</v>
      </c>
      <c r="P111" s="3">
        <f>'Inflação Implícita'!P111-'Metas de Inflação'!P111</f>
        <v>1.5964171825173441</v>
      </c>
      <c r="Q111" s="3">
        <f>'Inflação Implícita'!Q111-'Metas de Inflação'!Q111</f>
        <v>1.6063690085357836</v>
      </c>
    </row>
    <row r="112" spans="1:17" ht="18.75" customHeight="1" x14ac:dyDescent="0.25">
      <c r="A112" s="2">
        <v>41759</v>
      </c>
      <c r="B112" s="3">
        <f>'Inflação Implícita'!B112-'Metas de Inflação'!B112</f>
        <v>1.7800000000000002</v>
      </c>
      <c r="C112" s="3">
        <f>'Inflação Implícita'!C112-'Metas de Inflação'!C112</f>
        <v>2.130590939565173</v>
      </c>
      <c r="D112" s="3">
        <f>'Inflação Implícita'!D112-'Metas de Inflação'!D112</f>
        <v>1.826820940819422</v>
      </c>
      <c r="E112" s="3">
        <f>'Inflação Implícita'!E112-'Metas de Inflação'!E112</f>
        <v>1.651011151011132</v>
      </c>
      <c r="F112" s="3">
        <f>'Inflação Implícita'!F112-'Metas de Inflação'!F112</f>
        <v>1.5575200377180671</v>
      </c>
      <c r="G112" s="3">
        <f>'Inflação Implícita'!G112-'Metas de Inflação'!G112</f>
        <v>1.504710315591133</v>
      </c>
      <c r="H112" s="3">
        <f>'Inflação Implícita'!H112-'Metas de Inflação'!H112</f>
        <v>1.493595780749672</v>
      </c>
      <c r="I112" s="3">
        <f>'Inflação Implícita'!I112-'Metas de Inflação'!I112</f>
        <v>1.493595780749672</v>
      </c>
      <c r="J112" s="3">
        <f>'Inflação Implícita'!J112-'Metas de Inflação'!J112</f>
        <v>1.6035781544255929</v>
      </c>
      <c r="K112" s="3">
        <f>'Inflação Implícita'!K112-'Metas de Inflação'!K112</f>
        <v>1.603321727674782</v>
      </c>
      <c r="L112" s="3">
        <f>'Inflação Implícita'!L112-'Metas de Inflação'!L112</f>
        <v>1.6305492851768228</v>
      </c>
      <c r="M112" s="3">
        <f>'Inflação Implícita'!M112-'Metas de Inflação'!M112</f>
        <v>1.6001973869724502</v>
      </c>
      <c r="N112" s="3">
        <f>'Inflação Implícita'!N112-'Metas de Inflação'!N112</f>
        <v>1.5603213379686105</v>
      </c>
      <c r="O112" s="3">
        <f>'Inflação Implícita'!O112-'Metas de Inflação'!O112</f>
        <v>1.5304339658087569</v>
      </c>
      <c r="P112" s="3">
        <f>'Inflação Implícita'!P112-'Metas de Inflação'!P112</f>
        <v>1.5005634331862234</v>
      </c>
      <c r="Q112" s="3">
        <f>'Inflação Implícita'!Q112-'Metas de Inflação'!Q112</f>
        <v>1.480659093042906</v>
      </c>
    </row>
    <row r="113" spans="1:17" ht="18.75" customHeight="1" x14ac:dyDescent="0.25">
      <c r="A113" s="2">
        <v>41790</v>
      </c>
      <c r="B113" s="3">
        <f>'Inflação Implícita'!B113-'Metas de Inflação'!B113</f>
        <v>1.87</v>
      </c>
      <c r="C113" s="3">
        <f>'Inflação Implícita'!C113-'Metas de Inflação'!C113</f>
        <v>1.8297923246243837</v>
      </c>
      <c r="D113" s="3">
        <f>'Inflação Implícita'!D113-'Metas de Inflação'!D113</f>
        <v>1.288525367472741</v>
      </c>
      <c r="E113" s="3">
        <f>'Inflação Implícita'!E113-'Metas de Inflação'!E113</f>
        <v>1.4910807476990291</v>
      </c>
      <c r="F113" s="3">
        <f>'Inflação Implícita'!F113-'Metas de Inflação'!F113</f>
        <v>1.4674057229486488</v>
      </c>
      <c r="G113" s="3">
        <f>'Inflação Implícita'!G113-'Metas de Inflação'!G113</f>
        <v>1.3976057537617033</v>
      </c>
      <c r="H113" s="3">
        <f>'Inflação Implícita'!H113-'Metas de Inflação'!H113</f>
        <v>1.3113599848785613</v>
      </c>
      <c r="I113" s="3">
        <f>'Inflação Implícita'!I113-'Metas de Inflação'!I113</f>
        <v>1.3113599848785613</v>
      </c>
      <c r="J113" s="3">
        <f>'Inflação Implícita'!J113-'Metas de Inflação'!J113</f>
        <v>1.3666288844809733</v>
      </c>
      <c r="K113" s="3">
        <f>'Inflação Implícita'!K113-'Metas de Inflação'!K113</f>
        <v>1.3697498820198257</v>
      </c>
      <c r="L113" s="3">
        <f>'Inflação Implícita'!L113-'Metas de Inflação'!L113</f>
        <v>1.3532213942080968</v>
      </c>
      <c r="M113" s="3">
        <f>'Inflação Implícita'!M113-'Metas de Inflação'!M113</f>
        <v>1.3468502451904936</v>
      </c>
      <c r="N113" s="3">
        <f>'Inflação Implícita'!N113-'Metas de Inflação'!N113</f>
        <v>1.3568329718004408</v>
      </c>
      <c r="O113" s="3">
        <f>'Inflação Implícita'!O113-'Metas de Inflação'!O113</f>
        <v>1.3568329718004408</v>
      </c>
      <c r="P113" s="3">
        <f>'Inflação Implícita'!P113-'Metas de Inflação'!P113</f>
        <v>1.3668175815883794</v>
      </c>
      <c r="Q113" s="3">
        <f>'Inflação Implícita'!Q113-'Metas de Inflação'!Q113</f>
        <v>1.3768040750872608</v>
      </c>
    </row>
    <row r="114" spans="1:17" ht="18.75" customHeight="1" x14ac:dyDescent="0.25">
      <c r="A114" s="2">
        <v>41820</v>
      </c>
      <c r="B114" s="3">
        <f>'Inflação Implícita'!B114-'Metas de Inflação'!B114</f>
        <v>2.0199999999999996</v>
      </c>
      <c r="C114" s="3">
        <f>'Inflação Implícita'!C114-'Metas de Inflação'!C114</f>
        <v>1.2244995233555862</v>
      </c>
      <c r="D114" s="3">
        <f>'Inflação Implícita'!D114-'Metas de Inflação'!D114</f>
        <v>1.5317913573196158</v>
      </c>
      <c r="E114" s="3">
        <f>'Inflação Implícita'!E114-'Metas de Inflação'!E114</f>
        <v>1.639150270886784</v>
      </c>
      <c r="F114" s="3">
        <f>'Inflação Implícita'!F114-'Metas de Inflação'!F114</f>
        <v>1.4469696969696839</v>
      </c>
      <c r="G114" s="3">
        <f>'Inflação Implícita'!G114-'Metas de Inflação'!G114</f>
        <v>1.3494847310201159</v>
      </c>
      <c r="H114" s="3">
        <f>'Inflação Implícita'!H114-'Metas de Inflação'!H114</f>
        <v>1.3968058968059012</v>
      </c>
      <c r="I114" s="3">
        <f>'Inflação Implícita'!I114-'Metas de Inflação'!I114</f>
        <v>1.3968058968059012</v>
      </c>
      <c r="J114" s="3">
        <f>'Inflação Implícita'!J114-'Metas de Inflação'!J114</f>
        <v>1.4036827195467545</v>
      </c>
      <c r="K114" s="3">
        <f>'Inflação Implícita'!K114-'Metas de Inflação'!K114</f>
        <v>1.480355119002656</v>
      </c>
      <c r="L114" s="3">
        <f>'Inflação Implícita'!L114-'Metas de Inflação'!L114</f>
        <v>1.3766386871639931</v>
      </c>
      <c r="M114" s="3">
        <f>'Inflação Implícita'!M114-'Metas de Inflação'!M114</f>
        <v>1.3546243047044477</v>
      </c>
      <c r="N114" s="3">
        <f>'Inflação Implícita'!N114-'Metas de Inflação'!N114</f>
        <v>1.3246936852026421</v>
      </c>
      <c r="O114" s="3">
        <f>'Inflação Implícita'!O114-'Metas de Inflação'!O114</f>
        <v>1.3047493403694084</v>
      </c>
      <c r="P114" s="3">
        <f>'Inflação Implícita'!P114-'Metas de Inflação'!P114</f>
        <v>1.2848125117769156</v>
      </c>
      <c r="Q114" s="3">
        <f>'Inflação Implícita'!Q114-'Metas de Inflação'!Q114</f>
        <v>1.2748469147432813</v>
      </c>
    </row>
    <row r="115" spans="1:17" ht="18.75" customHeight="1" x14ac:dyDescent="0.25">
      <c r="A115" s="2">
        <v>41851</v>
      </c>
      <c r="B115" s="3">
        <f>'Inflação Implícita'!B115-'Metas de Inflação'!B115</f>
        <v>2</v>
      </c>
      <c r="C115" s="3">
        <f>'Inflação Implícita'!C115-'Metas de Inflação'!C115</f>
        <v>1.1583833190517074</v>
      </c>
      <c r="D115" s="3">
        <f>'Inflação Implícita'!D115-'Metas de Inflação'!D115</f>
        <v>1.4550989345509953</v>
      </c>
      <c r="E115" s="3">
        <f>'Inflação Implícita'!E115-'Metas de Inflação'!E115</f>
        <v>1.5323040380047654</v>
      </c>
      <c r="F115" s="3">
        <f>'Inflação Implícita'!F115-'Metas de Inflação'!F115</f>
        <v>1.3823529411764497</v>
      </c>
      <c r="G115" s="3">
        <f>'Inflação Implícita'!G115-'Metas de Inflação'!G115</f>
        <v>1.2563144451802106</v>
      </c>
      <c r="H115" s="3">
        <f>'Inflação Implícita'!H115-'Metas de Inflação'!H115</f>
        <v>1.2099640763849546</v>
      </c>
      <c r="I115" s="3">
        <f>'Inflação Implícita'!I115-'Metas de Inflação'!I115</f>
        <v>1.2099640763849546</v>
      </c>
      <c r="J115" s="3">
        <f>'Inflação Implícita'!J115-'Metas de Inflação'!J115</f>
        <v>1.2249456881080629</v>
      </c>
      <c r="K115" s="3">
        <f>'Inflação Implícita'!K115-'Metas de Inflação'!K115</f>
        <v>1.3939207714852726</v>
      </c>
      <c r="L115" s="3">
        <f>'Inflação Implícita'!L115-'Metas de Inflação'!L115</f>
        <v>1.3030403172504963</v>
      </c>
      <c r="M115" s="3">
        <f>'Inflação Implícita'!M115-'Metas de Inflação'!M115</f>
        <v>1.2957334340192679</v>
      </c>
      <c r="N115" s="3">
        <f>'Inflação Implícita'!N115-'Metas de Inflação'!N115</f>
        <v>1.2857479943369317</v>
      </c>
      <c r="O115" s="3">
        <f>'Inflação Implícita'!O115-'Metas de Inflação'!O115</f>
        <v>1.2757644394110796</v>
      </c>
      <c r="P115" s="3">
        <f>'Inflação Implícita'!P115-'Metas de Inflação'!P115</f>
        <v>1.2757644394110796</v>
      </c>
      <c r="Q115" s="3">
        <f>'Inflação Implícita'!Q115-'Metas de Inflação'!Q115</f>
        <v>1.2657827687081165</v>
      </c>
    </row>
    <row r="116" spans="1:17" ht="18.75" customHeight="1" x14ac:dyDescent="0.25">
      <c r="A116" s="2">
        <v>41882</v>
      </c>
      <c r="B116" s="3">
        <f>'Inflação Implícita'!B116-'Metas de Inflação'!B116</f>
        <v>2.0099999999999998</v>
      </c>
      <c r="C116" s="3">
        <f>'Inflação Implícita'!C116-'Metas de Inflação'!C116</f>
        <v>1.7020839307905584</v>
      </c>
      <c r="D116" s="3">
        <f>'Inflação Implícita'!D116-'Metas de Inflação'!D116</f>
        <v>1.8677215795009179</v>
      </c>
      <c r="E116" s="3">
        <f>'Inflação Implícita'!E116-'Metas de Inflação'!E116</f>
        <v>1.6033759298111834</v>
      </c>
      <c r="F116" s="3">
        <f>'Inflação Implícita'!F116-'Metas de Inflação'!F116</f>
        <v>1.0837129840546673</v>
      </c>
      <c r="G116" s="3">
        <f>'Inflação Implícita'!G116-'Metas de Inflação'!G116</f>
        <v>0.95238998482548975</v>
      </c>
      <c r="H116" s="3">
        <f>'Inflação Implícita'!H116-'Metas de Inflação'!H116</f>
        <v>0.91480989854934425</v>
      </c>
      <c r="I116" s="3">
        <f>'Inflação Implícita'!I116-'Metas de Inflação'!I116</f>
        <v>0.91480989854934425</v>
      </c>
      <c r="J116" s="3">
        <f>'Inflação Implícita'!J116-'Metas de Inflação'!J116</f>
        <v>0.86499810390596021</v>
      </c>
      <c r="K116" s="3">
        <f>'Inflação Implícita'!K116-'Metas de Inflação'!K116</f>
        <v>0.91022479370198983</v>
      </c>
      <c r="L116" s="3">
        <f>'Inflação Implícita'!L116-'Metas de Inflação'!L116</f>
        <v>0.84502369668248267</v>
      </c>
      <c r="M116" s="3">
        <f>'Inflação Implícita'!M116-'Metas de Inflação'!M116</f>
        <v>0.84597156398104456</v>
      </c>
      <c r="N116" s="3">
        <f>'Inflação Implícita'!N116-'Metas de Inflação'!N116</f>
        <v>0.84597156398104456</v>
      </c>
      <c r="O116" s="3">
        <f>'Inflação Implícita'!O116-'Metas de Inflação'!O116</f>
        <v>0.85595791070244687</v>
      </c>
      <c r="P116" s="3">
        <f>'Inflação Implícita'!P116-'Metas de Inflação'!P116</f>
        <v>0.85595791070244687</v>
      </c>
      <c r="Q116" s="3">
        <f>'Inflação Implícita'!Q116-'Metas de Inflação'!Q116</f>
        <v>0.85595791070244687</v>
      </c>
    </row>
    <row r="117" spans="1:17" ht="18.75" customHeight="1" x14ac:dyDescent="0.25">
      <c r="A117" s="2">
        <v>41912</v>
      </c>
      <c r="B117" s="3">
        <f>'Inflação Implícita'!B117-'Metas de Inflação'!B117</f>
        <v>2.25</v>
      </c>
      <c r="C117" s="3">
        <f>'Inflação Implícita'!C117-'Metas de Inflação'!C117</f>
        <v>2.6790200402723103</v>
      </c>
      <c r="D117" s="3">
        <f>'Inflação Implícita'!D117-'Metas de Inflação'!D117</f>
        <v>2.18884874988116</v>
      </c>
      <c r="E117" s="3">
        <f>'Inflação Implícita'!E117-'Metas de Inflação'!E117</f>
        <v>2.1274211925560378</v>
      </c>
      <c r="F117" s="3">
        <f>'Inflação Implícita'!F117-'Metas de Inflação'!F117</f>
        <v>1.8138962514199148</v>
      </c>
      <c r="G117" s="3">
        <f>'Inflação Implícita'!G117-'Metas de Inflação'!G117</f>
        <v>1.6336357622152837</v>
      </c>
      <c r="H117" s="3">
        <f>'Inflação Implícita'!H117-'Metas de Inflação'!H117</f>
        <v>1.5651865847898057</v>
      </c>
      <c r="I117" s="3">
        <f>'Inflação Implícita'!I117-'Metas de Inflação'!I117</f>
        <v>1.5651865847898057</v>
      </c>
      <c r="J117" s="3">
        <f>'Inflação Implícita'!J117-'Metas de Inflação'!J117</f>
        <v>1.4816791009538184</v>
      </c>
      <c r="K117" s="3">
        <f>'Inflação Implícita'!K117-'Metas de Inflação'!K117</f>
        <v>1.5202153788021961</v>
      </c>
      <c r="L117" s="3">
        <f>'Inflação Implícita'!L117-'Metas de Inflação'!L117</f>
        <v>1.4915014164305891</v>
      </c>
      <c r="M117" s="3">
        <f>'Inflação Implícita'!M117-'Metas de Inflação'!M117</f>
        <v>1.4562016235605197</v>
      </c>
      <c r="N117" s="3">
        <f>'Inflação Implícita'!N117-'Metas de Inflação'!N117</f>
        <v>1.4262055298669347</v>
      </c>
      <c r="O117" s="3">
        <f>'Inflação Implícita'!O117-'Metas de Inflação'!O117</f>
        <v>1.39622641509433</v>
      </c>
      <c r="P117" s="3">
        <f>'Inflação Implícita'!P117-'Metas de Inflação'!P117</f>
        <v>1.3762497641954292</v>
      </c>
      <c r="Q117" s="3">
        <f>'Inflação Implícita'!Q117-'Metas de Inflação'!Q117</f>
        <v>1.3562806488117625</v>
      </c>
    </row>
    <row r="118" spans="1:17" ht="18.75" customHeight="1" x14ac:dyDescent="0.25">
      <c r="A118" s="2">
        <v>41943</v>
      </c>
      <c r="B118" s="3">
        <f>'Inflação Implícita'!B118-'Metas de Inflação'!B118</f>
        <v>2.09</v>
      </c>
      <c r="C118" s="3">
        <f>'Inflação Implícita'!C118-'Metas de Inflação'!C118</f>
        <v>2.4574752097635306</v>
      </c>
      <c r="D118" s="3">
        <f>'Inflação Implícita'!D118-'Metas de Inflação'!D118</f>
        <v>2.3810656517602542</v>
      </c>
      <c r="E118" s="3">
        <f>'Inflação Implícita'!E118-'Metas de Inflação'!E118</f>
        <v>2.1131941148552364</v>
      </c>
      <c r="F118" s="3">
        <f>'Inflação Implícita'!F118-'Metas de Inflação'!F118</f>
        <v>1.7188772129130099</v>
      </c>
      <c r="G118" s="3">
        <f>'Inflação Implícita'!G118-'Metas de Inflação'!G118</f>
        <v>1.5185360317760672</v>
      </c>
      <c r="H118" s="3">
        <f>'Inflação Implícita'!H118-'Metas de Inflação'!H118</f>
        <v>1.4133888048411354</v>
      </c>
      <c r="I118" s="3">
        <f>'Inflação Implícita'!I118-'Metas de Inflação'!I118</f>
        <v>1.4133888048411354</v>
      </c>
      <c r="J118" s="3">
        <f>'Inflação Implícita'!J118-'Metas de Inflação'!J118</f>
        <v>1.3083719172257409</v>
      </c>
      <c r="K118" s="3">
        <f>'Inflação Implícita'!K118-'Metas de Inflação'!K118</f>
        <v>1.292308419162806</v>
      </c>
      <c r="L118" s="3">
        <f>'Inflação Implícita'!L118-'Metas de Inflação'!L118</f>
        <v>1.2781347444014086</v>
      </c>
      <c r="M118" s="3">
        <f>'Inflação Implícita'!M118-'Metas de Inflação'!M118</f>
        <v>1.253424657534234</v>
      </c>
      <c r="N118" s="3">
        <f>'Inflação Implícita'!N118-'Metas de Inflação'!N118</f>
        <v>1.2334466798904193</v>
      </c>
      <c r="O118" s="3">
        <f>'Inflação Implícita'!O118-'Metas de Inflação'!O118</f>
        <v>1.2234605213449141</v>
      </c>
      <c r="P118" s="3">
        <f>'Inflação Implícita'!P118-'Metas de Inflação'!P118</f>
        <v>1.2134762489375879</v>
      </c>
      <c r="Q118" s="3">
        <f>'Inflação Implícita'!Q118-'Metas de Inflação'!Q118</f>
        <v>1.2034938621340903</v>
      </c>
    </row>
    <row r="119" spans="1:17" ht="18.75" customHeight="1" x14ac:dyDescent="0.25">
      <c r="A119" s="2">
        <v>41973</v>
      </c>
      <c r="B119" s="3">
        <f>'Inflação Implícita'!B119-'Metas de Inflação'!B119</f>
        <v>2.0599999999999996</v>
      </c>
      <c r="C119" s="3">
        <f>'Inflação Implícita'!C119-'Metas de Inflação'!C119</f>
        <v>2.9383718708197932</v>
      </c>
      <c r="D119" s="3">
        <f>'Inflação Implícita'!D119-'Metas de Inflação'!D119</f>
        <v>2.3519752498809927</v>
      </c>
      <c r="E119" s="3">
        <f>'Inflação Implícita'!E119-'Metas de Inflação'!E119</f>
        <v>1.8216862894037273</v>
      </c>
      <c r="F119" s="3">
        <f>'Inflação Implícita'!F119-'Metas de Inflação'!F119</f>
        <v>1.5346787947697544</v>
      </c>
      <c r="G119" s="3">
        <f>'Inflação Implícita'!G119-'Metas de Inflação'!G119</f>
        <v>1.3859200303202686</v>
      </c>
      <c r="H119" s="3">
        <f>'Inflação Implícita'!H119-'Metas de Inflação'!H119</f>
        <v>1.308621506395073</v>
      </c>
      <c r="I119" s="3">
        <f>'Inflação Implícita'!I119-'Metas de Inflação'!I119</f>
        <v>1.308621506395073</v>
      </c>
      <c r="J119" s="3">
        <f>'Inflação Implícita'!J119-'Metas de Inflação'!J119</f>
        <v>1.154068390641287</v>
      </c>
      <c r="K119" s="3">
        <f>'Inflação Implícita'!K119-'Metas de Inflação'!K119</f>
        <v>1.1155303030303028</v>
      </c>
      <c r="L119" s="3">
        <f>'Inflação Implícita'!L119-'Metas de Inflação'!L119</f>
        <v>1.1155303030303028</v>
      </c>
      <c r="M119" s="3">
        <f>'Inflação Implícita'!M119-'Metas de Inflação'!M119</f>
        <v>1.1155303030303028</v>
      </c>
      <c r="N119" s="3">
        <f>'Inflação Implícita'!N119-'Metas de Inflação'!N119</f>
        <v>1.1155303030303028</v>
      </c>
      <c r="O119" s="3">
        <f>'Inflação Implícita'!O119-'Metas de Inflação'!O119</f>
        <v>1.1155303030303028</v>
      </c>
      <c r="P119" s="3">
        <f>'Inflação Implícita'!P119-'Metas de Inflação'!P119</f>
        <v>1.1155303030303028</v>
      </c>
      <c r="Q119" s="3">
        <f>'Inflação Implícita'!Q119-'Metas de Inflação'!Q119</f>
        <v>1.1155303030303028</v>
      </c>
    </row>
    <row r="120" spans="1:17" ht="18.75" customHeight="1" x14ac:dyDescent="0.25">
      <c r="A120" s="2">
        <v>42004</v>
      </c>
      <c r="B120" s="3">
        <f>'Inflação Implícita'!B120-'Metas de Inflação'!B120</f>
        <v>1.9100000000000001</v>
      </c>
      <c r="C120" s="3">
        <f>'Inflação Implícita'!C120-'Metas de Inflação'!C120</f>
        <v>3.2040427154843716</v>
      </c>
      <c r="D120" s="3">
        <f>'Inflação Implícita'!D120-'Metas de Inflação'!D120</f>
        <v>2.3016270929902589</v>
      </c>
      <c r="E120" s="3">
        <f>'Inflação Implícita'!E120-'Metas de Inflação'!E120</f>
        <v>1.9281668869171193</v>
      </c>
      <c r="F120" s="3">
        <f>'Inflação Implícita'!F120-'Metas de Inflação'!F120</f>
        <v>1.6262959472196066</v>
      </c>
      <c r="G120" s="3">
        <f>'Inflação Implícita'!G120-'Metas de Inflação'!G120</f>
        <v>1.4555220505088657</v>
      </c>
      <c r="H120" s="3">
        <f>'Inflação Implícita'!H120-'Metas de Inflação'!H120</f>
        <v>1.3235959291368378</v>
      </c>
      <c r="I120" s="3">
        <f>'Inflação Implícita'!I120-'Metas de Inflação'!I120</f>
        <v>1.3235959291368378</v>
      </c>
      <c r="J120" s="3">
        <f>'Inflação Implícita'!J120-'Metas de Inflação'!J120</f>
        <v>1.2975113122171962</v>
      </c>
      <c r="K120" s="3">
        <f>'Inflação Implícita'!K120-'Metas de Inflação'!K120</f>
        <v>1.2299029309207494</v>
      </c>
      <c r="L120" s="3">
        <f>'Inflação Implícita'!L120-'Metas de Inflação'!L120</f>
        <v>1.1246466930469197</v>
      </c>
      <c r="M120" s="3">
        <f>'Inflação Implícita'!M120-'Metas de Inflação'!M120</f>
        <v>1.1146961846443633</v>
      </c>
      <c r="N120" s="3">
        <f>'Inflação Implícita'!N120-'Metas de Inflação'!N120</f>
        <v>1.1047475508665956</v>
      </c>
      <c r="O120" s="3">
        <f>'Inflação Implícita'!O120-'Metas de Inflação'!O120</f>
        <v>1.0948007911839293</v>
      </c>
      <c r="P120" s="3">
        <f>'Inflação Implícita'!P120-'Metas de Inflação'!P120</f>
        <v>1.0948007911839293</v>
      </c>
      <c r="Q120" s="3">
        <f>'Inflação Implícita'!Q120-'Metas de Inflação'!Q120</f>
        <v>1.0848559050668545</v>
      </c>
    </row>
    <row r="121" spans="1:17" ht="18.75" customHeight="1" x14ac:dyDescent="0.25">
      <c r="A121" s="2">
        <v>42035</v>
      </c>
      <c r="B121" s="3">
        <f>'Inflação Implícita'!B121-'Metas de Inflação'!B121</f>
        <v>2.6399999999999997</v>
      </c>
      <c r="C121" s="3">
        <f>'Inflação Implícita'!C121-'Metas de Inflação'!C121</f>
        <v>3.020503528514233</v>
      </c>
      <c r="D121" s="3">
        <f>'Inflação Implícita'!D121-'Metas de Inflação'!D121</f>
        <v>2.0895734597156475</v>
      </c>
      <c r="E121" s="3">
        <f>'Inflação Implícita'!E121-'Metas de Inflação'!E121</f>
        <v>1.9147544092546971</v>
      </c>
      <c r="F121" s="3">
        <f>'Inflação Implícita'!F121-'Metas de Inflação'!F121</f>
        <v>1.7189808675885416</v>
      </c>
      <c r="G121" s="3">
        <f>'Inflação Implícita'!G121-'Metas de Inflação'!G121</f>
        <v>1.5776515151515165</v>
      </c>
      <c r="H121" s="3">
        <f>'Inflação Implícita'!H121-'Metas de Inflação'!H121</f>
        <v>1.445459710254708</v>
      </c>
      <c r="I121" s="3">
        <f>'Inflação Implícita'!I121-'Metas de Inflação'!I121</f>
        <v>1.445459710254708</v>
      </c>
      <c r="J121" s="3">
        <f>'Inflação Implícita'!J121-'Metas de Inflação'!J121</f>
        <v>1.3580217699952586</v>
      </c>
      <c r="K121" s="3">
        <f>'Inflação Implícita'!K121-'Metas de Inflação'!K121</f>
        <v>1.2638823195535149</v>
      </c>
      <c r="L121" s="3">
        <f>'Inflação Implícita'!L121-'Metas de Inflação'!L121</f>
        <v>1.2021276595744519</v>
      </c>
      <c r="M121" s="3">
        <f>'Inflação Implícita'!M121-'Metas de Inflação'!M121</f>
        <v>1.2021276595744519</v>
      </c>
      <c r="N121" s="3">
        <f>'Inflação Implícita'!N121-'Metas de Inflação'!N121</f>
        <v>1.2021276595744519</v>
      </c>
      <c r="O121" s="3">
        <f>'Inflação Implícita'!O121-'Metas de Inflação'!O121</f>
        <v>1.2021276595744519</v>
      </c>
      <c r="P121" s="3">
        <f>'Inflação Implícita'!P121-'Metas de Inflação'!P121</f>
        <v>1.2021276595744519</v>
      </c>
      <c r="Q121" s="3">
        <f>'Inflação Implícita'!Q121-'Metas de Inflação'!Q121</f>
        <v>1.2021276595744519</v>
      </c>
    </row>
    <row r="122" spans="1:17" ht="18.75" customHeight="1" x14ac:dyDescent="0.25">
      <c r="A122" s="2">
        <v>42063</v>
      </c>
      <c r="B122" s="3">
        <f>'Inflação Implícita'!B122-'Metas de Inflação'!B122</f>
        <v>3.2</v>
      </c>
      <c r="C122" s="3">
        <f>'Inflação Implícita'!C122-'Metas de Inflação'!C122</f>
        <v>3.0130765572990921</v>
      </c>
      <c r="D122" s="3">
        <f>'Inflação Implícita'!D122-'Metas de Inflação'!D122</f>
        <v>2.5359821513339194</v>
      </c>
      <c r="E122" s="3">
        <f>'Inflação Implícita'!E122-'Metas de Inflação'!E122</f>
        <v>1.993137718883113</v>
      </c>
      <c r="F122" s="3">
        <f>'Inflação Implícita'!F122-'Metas de Inflação'!F122</f>
        <v>1.8080268507138104</v>
      </c>
      <c r="G122" s="3">
        <f>'Inflação Implícita'!G122-'Metas de Inflação'!G122</f>
        <v>1.6754419132242999</v>
      </c>
      <c r="H122" s="3">
        <f>'Inflação Implícita'!H122-'Metas de Inflação'!H122</f>
        <v>1.5599187222379669</v>
      </c>
      <c r="I122" s="3">
        <f>'Inflação Implícita'!I122-'Metas de Inflação'!I122</f>
        <v>1.5599187222379669</v>
      </c>
      <c r="J122" s="3">
        <f>'Inflação Implícita'!J122-'Metas de Inflação'!J122</f>
        <v>1.489794954171801</v>
      </c>
      <c r="K122" s="3">
        <f>'Inflação Implícita'!K122-'Metas de Inflação'!K122</f>
        <v>1.4421932558798574</v>
      </c>
      <c r="L122" s="3">
        <f>'Inflação Implícita'!L122-'Metas de Inflação'!L122</f>
        <v>1.4406875708349016</v>
      </c>
      <c r="M122" s="3">
        <f>'Inflação Implícita'!M122-'Metas de Inflação'!M122</f>
        <v>1.4406875708349016</v>
      </c>
      <c r="N122" s="3">
        <f>'Inflação Implícita'!N122-'Metas de Inflação'!N122</f>
        <v>1.4406875708349016</v>
      </c>
      <c r="O122" s="3">
        <f>'Inflação Implícita'!O122-'Metas de Inflação'!O122</f>
        <v>1.4406875708349016</v>
      </c>
      <c r="P122" s="3">
        <f>'Inflação Implícita'!P122-'Metas de Inflação'!P122</f>
        <v>1.4406875708349016</v>
      </c>
      <c r="Q122" s="3">
        <f>'Inflação Implícita'!Q122-'Metas de Inflação'!Q122</f>
        <v>1.4406875708349016</v>
      </c>
    </row>
    <row r="123" spans="1:17" ht="18.75" customHeight="1" x14ac:dyDescent="0.25">
      <c r="A123" s="2">
        <v>42094</v>
      </c>
      <c r="B123" s="3">
        <f>'Inflação Implícita'!B123-'Metas de Inflação'!B123</f>
        <v>3.6300000000000008</v>
      </c>
      <c r="C123" s="3">
        <f>'Inflação Implícita'!C123-'Metas de Inflação'!C123</f>
        <v>2.7461029759093076</v>
      </c>
      <c r="D123" s="3">
        <f>'Inflação Implícita'!D123-'Metas de Inflação'!D123</f>
        <v>2.2640131888836441</v>
      </c>
      <c r="E123" s="3">
        <f>'Inflação Implícita'!E123-'Metas de Inflação'!E123</f>
        <v>2.2144473783477876</v>
      </c>
      <c r="F123" s="3">
        <f>'Inflação Implícita'!F123-'Metas de Inflação'!F123</f>
        <v>2.0918944392083123</v>
      </c>
      <c r="G123" s="3">
        <f>'Inflação Implícita'!G123-'Metas de Inflação'!G123</f>
        <v>1.9468726450640279</v>
      </c>
      <c r="H123" s="3">
        <f>'Inflação Implícita'!H123-'Metas de Inflação'!H123</f>
        <v>1.8737402279363087</v>
      </c>
      <c r="I123" s="3">
        <f>'Inflação Implícita'!I123-'Metas de Inflação'!I123</f>
        <v>1.8737402279363087</v>
      </c>
      <c r="J123" s="3">
        <f>'Inflação Implícita'!J123-'Metas de Inflação'!J123</f>
        <v>1.8395799981165846</v>
      </c>
      <c r="K123" s="3">
        <f>'Inflação Implícita'!K123-'Metas de Inflação'!K123</f>
        <v>1.7842352941176571</v>
      </c>
      <c r="L123" s="3">
        <f>'Inflação Implícita'!L123-'Metas de Inflação'!L123</f>
        <v>1.7970632530120474</v>
      </c>
      <c r="M123" s="3">
        <f>'Inflação Implícita'!M123-'Metas de Inflação'!M123</f>
        <v>1.8571294029007186</v>
      </c>
      <c r="N123" s="3">
        <f>'Inflação Implícita'!N123-'Metas de Inflação'!N123</f>
        <v>1.9072364081786626</v>
      </c>
      <c r="O123" s="3">
        <f>'Inflação Implícita'!O123-'Metas de Inflação'!O123</f>
        <v>1.9573906485671184</v>
      </c>
      <c r="P123" s="3">
        <f>'Inflação Implícita'!P123-'Metas de Inflação'!P123</f>
        <v>1.9975480950584696</v>
      </c>
      <c r="Q123" s="3">
        <f>'Inflação Implícita'!Q123-'Metas de Inflação'!Q123</f>
        <v>2.0276860673521231</v>
      </c>
    </row>
    <row r="124" spans="1:17" ht="18.75" customHeight="1" x14ac:dyDescent="0.25">
      <c r="A124" s="2">
        <v>42124</v>
      </c>
      <c r="B124" s="3">
        <f>'Inflação Implícita'!B124-'Metas de Inflação'!B124</f>
        <v>3.67</v>
      </c>
      <c r="C124" s="3">
        <f>'Inflação Implícita'!C124-'Metas de Inflação'!C124</f>
        <v>2.1185160866710335</v>
      </c>
      <c r="D124" s="3">
        <f>'Inflação Implícita'!D124-'Metas de Inflação'!D124</f>
        <v>1.7361761949390804</v>
      </c>
      <c r="E124" s="3">
        <f>'Inflação Implícita'!E124-'Metas de Inflação'!E124</f>
        <v>1.5744770659412639</v>
      </c>
      <c r="F124" s="3">
        <f>'Inflação Implícita'!F124-'Metas de Inflação'!F124</f>
        <v>1.5011264432554334</v>
      </c>
      <c r="G124" s="3">
        <f>'Inflação Implícita'!G124-'Metas de Inflação'!G124</f>
        <v>1.5648801128349916</v>
      </c>
      <c r="H124" s="3">
        <f>'Inflação Implícita'!H124-'Metas de Inflação'!H124</f>
        <v>1.5954263128176089</v>
      </c>
      <c r="I124" s="3">
        <f>'Inflação Implícita'!I124-'Metas de Inflação'!I124</f>
        <v>1.5954263128176089</v>
      </c>
      <c r="J124" s="3">
        <f>'Inflação Implícita'!J124-'Metas de Inflação'!J124</f>
        <v>1.6327683615819195</v>
      </c>
      <c r="K124" s="3">
        <f>'Inflação Implícita'!K124-'Metas de Inflação'!K124</f>
        <v>1.5986631519487799</v>
      </c>
      <c r="L124" s="3">
        <f>'Inflação Implícita'!L124-'Metas de Inflação'!L124</f>
        <v>1.6510926902788254</v>
      </c>
      <c r="M124" s="3">
        <f>'Inflação Implícita'!M124-'Metas de Inflação'!M124</f>
        <v>1.7311463046757165</v>
      </c>
      <c r="N124" s="3">
        <f>'Inflação Implícita'!N124-'Metas de Inflação'!N124</f>
        <v>1.8012923309121671</v>
      </c>
      <c r="O124" s="3">
        <f>'Inflação Implícita'!O124-'Metas de Inflação'!O124</f>
        <v>1.8614912694667236</v>
      </c>
      <c r="P124" s="3">
        <f>'Inflação Implícita'!P124-'Metas de Inflação'!P124</f>
        <v>1.911709159584511</v>
      </c>
      <c r="Q124" s="3">
        <f>'Inflação Implícita'!Q124-'Metas de Inflação'!Q124</f>
        <v>1.951917627054593</v>
      </c>
    </row>
    <row r="125" spans="1:17" ht="18.75" customHeight="1" x14ac:dyDescent="0.25">
      <c r="A125" s="2">
        <v>42155</v>
      </c>
      <c r="B125" s="3">
        <f>'Inflação Implícita'!B125-'Metas de Inflação'!B125</f>
        <v>3.9700000000000006</v>
      </c>
      <c r="C125" s="3">
        <f>'Inflação Implícita'!C125-'Metas de Inflação'!C125</f>
        <v>2.242680180180205</v>
      </c>
      <c r="D125" s="3">
        <f>'Inflação Implícita'!D125-'Metas de Inflação'!D125</f>
        <v>1.9291764705882271</v>
      </c>
      <c r="E125" s="3">
        <f>'Inflação Implícita'!E125-'Metas de Inflação'!E125</f>
        <v>1.6041039156626509</v>
      </c>
      <c r="F125" s="3">
        <f>'Inflação Implícita'!F125-'Metas de Inflação'!F125</f>
        <v>1.3769288671433939</v>
      </c>
      <c r="G125" s="3">
        <f>'Inflação Implícita'!G125-'Metas de Inflação'!G125</f>
        <v>1.2469426152398917</v>
      </c>
      <c r="H125" s="3">
        <f>'Inflação Implícita'!H125-'Metas de Inflação'!H125</f>
        <v>1.2578610431180399</v>
      </c>
      <c r="I125" s="3">
        <f>'Inflação Implícita'!I125-'Metas de Inflação'!I125</f>
        <v>1.2578610431180399</v>
      </c>
      <c r="J125" s="3">
        <f>'Inflação Implícita'!J125-'Metas de Inflação'!J125</f>
        <v>1.2891265429190764</v>
      </c>
      <c r="K125" s="3">
        <f>'Inflação Implícita'!K125-'Metas de Inflação'!K125</f>
        <v>1.2262622456669021</v>
      </c>
      <c r="L125" s="3">
        <f>'Inflação Implícita'!L125-'Metas de Inflação'!L125</f>
        <v>1.2681432610744654</v>
      </c>
      <c r="M125" s="3">
        <f>'Inflação Implícita'!M125-'Metas de Inflação'!M125</f>
        <v>1.3479532163742798</v>
      </c>
      <c r="N125" s="3">
        <f>'Inflação Implícita'!N125-'Metas de Inflação'!N125</f>
        <v>1.4078897697244281</v>
      </c>
      <c r="O125" s="3">
        <f>'Inflação Implícita'!O125-'Metas de Inflação'!O125</f>
        <v>1.4678942398489365</v>
      </c>
      <c r="P125" s="3">
        <f>'Inflação Implícita'!P125-'Metas de Inflação'!P125</f>
        <v>1.5179499291450167</v>
      </c>
      <c r="Q125" s="3">
        <f>'Inflação Implícita'!Q125-'Metas de Inflação'!Q125</f>
        <v>1.5580285417257462</v>
      </c>
    </row>
    <row r="126" spans="1:17" ht="18.75" customHeight="1" x14ac:dyDescent="0.25">
      <c r="A126" s="2">
        <v>42185</v>
      </c>
      <c r="B126" s="3">
        <f>'Inflação Implícita'!B126-'Metas de Inflação'!B126</f>
        <v>4.3900000000000006</v>
      </c>
      <c r="C126" s="3">
        <f>'Inflação Implícita'!C126-'Metas de Inflação'!C126</f>
        <v>2.5654923639089429</v>
      </c>
      <c r="D126" s="3">
        <f>'Inflação Implícita'!D126-'Metas de Inflação'!D126</f>
        <v>2.156651957562687</v>
      </c>
      <c r="E126" s="3">
        <f>'Inflação Implícita'!E126-'Metas de Inflação'!E126</f>
        <v>1.6391157420445097</v>
      </c>
      <c r="F126" s="3">
        <f>'Inflação Implícita'!F126-'Metas de Inflação'!F126</f>
        <v>1.3729711980485932</v>
      </c>
      <c r="G126" s="3">
        <f>'Inflação Implícita'!G126-'Metas de Inflação'!G126</f>
        <v>1.3313773354614629</v>
      </c>
      <c r="H126" s="3">
        <f>'Inflação Implícita'!H126-'Metas de Inflação'!H126</f>
        <v>1.3588611163315152</v>
      </c>
      <c r="I126" s="3">
        <f>'Inflação Implícita'!I126-'Metas de Inflação'!I126</f>
        <v>1.3588611163315152</v>
      </c>
      <c r="J126" s="3">
        <f>'Inflação Implícita'!J126-'Metas de Inflação'!J126</f>
        <v>1.3313751292414562</v>
      </c>
      <c r="K126" s="3">
        <f>'Inflação Implícita'!K126-'Metas de Inflação'!K126</f>
        <v>1.4215354219587901</v>
      </c>
      <c r="L126" s="3">
        <f>'Inflação Implícita'!L126-'Metas de Inflação'!L126</f>
        <v>1.4975520195838294</v>
      </c>
      <c r="M126" s="3">
        <f>'Inflação Implícita'!M126-'Metas de Inflação'!M126</f>
        <v>1.5674580742415607</v>
      </c>
      <c r="N126" s="3">
        <f>'Inflação Implícita'!N126-'Metas de Inflação'!N126</f>
        <v>1.6274509803921573</v>
      </c>
      <c r="O126" s="3">
        <f>'Inflação Implícita'!O126-'Metas de Inflação'!O126</f>
        <v>1.6674839683138361</v>
      </c>
      <c r="P126" s="3">
        <f>'Inflação Implícita'!P126-'Metas de Inflação'!P126</f>
        <v>1.7175676950655623</v>
      </c>
      <c r="Q126" s="3">
        <f>'Inflação Implícita'!Q126-'Metas de Inflação'!Q126</f>
        <v>1.7476406191015244</v>
      </c>
    </row>
    <row r="127" spans="1:17" ht="18.75" customHeight="1" x14ac:dyDescent="0.25">
      <c r="A127" s="2">
        <v>42216</v>
      </c>
      <c r="B127" s="3">
        <f>'Inflação Implícita'!B127-'Metas de Inflação'!B127</f>
        <v>5.0600000000000005</v>
      </c>
      <c r="C127" s="3">
        <f>'Inflação Implícita'!C127-'Metas de Inflação'!C127</f>
        <v>2.3577594295364808</v>
      </c>
      <c r="D127" s="3">
        <f>'Inflação Implícita'!D127-'Metas de Inflação'!D127</f>
        <v>1.9013547840813034</v>
      </c>
      <c r="E127" s="3">
        <f>'Inflação Implícita'!E127-'Metas de Inflação'!E127</f>
        <v>1.6580432737535329</v>
      </c>
      <c r="F127" s="3">
        <f>'Inflação Implícita'!F127-'Metas de Inflação'!F127</f>
        <v>1.5812335464460077</v>
      </c>
      <c r="G127" s="3">
        <f>'Inflação Implícita'!G127-'Metas de Inflação'!G127</f>
        <v>1.4932343544446542</v>
      </c>
      <c r="H127" s="3">
        <f>'Inflação Implícita'!H127-'Metas de Inflação'!H127</f>
        <v>1.4883502442690695</v>
      </c>
      <c r="I127" s="3">
        <f>'Inflação Implícita'!I127-'Metas de Inflação'!I127</f>
        <v>1.4883502442690695</v>
      </c>
      <c r="J127" s="3">
        <f>'Inflação Implícita'!J127-'Metas de Inflação'!J127</f>
        <v>1.4981220657277179</v>
      </c>
      <c r="K127" s="3">
        <f>'Inflação Implícita'!K127-'Metas de Inflação'!K127</f>
        <v>1.513329578522475</v>
      </c>
      <c r="L127" s="3">
        <f>'Inflação Implícita'!L127-'Metas de Inflação'!L127</f>
        <v>1.556338028169006</v>
      </c>
      <c r="M127" s="3">
        <f>'Inflação Implícita'!M127-'Metas de Inflação'!M127</f>
        <v>1.5762584522915164</v>
      </c>
      <c r="N127" s="3">
        <f>'Inflação Implícita'!N127-'Metas de Inflação'!N127</f>
        <v>1.6061531235321764</v>
      </c>
      <c r="O127" s="3">
        <f>'Inflação Implícita'!O127-'Metas de Inflação'!O127</f>
        <v>1.6260922672178753</v>
      </c>
      <c r="P127" s="3">
        <f>'Inflação Implícita'!P127-'Metas de Inflação'!P127</f>
        <v>1.63606464950196</v>
      </c>
      <c r="Q127" s="3">
        <f>'Inflação Implícita'!Q127-'Metas de Inflação'!Q127</f>
        <v>1.6560150375939759</v>
      </c>
    </row>
    <row r="128" spans="1:17" ht="18.75" customHeight="1" x14ac:dyDescent="0.25">
      <c r="A128" s="2">
        <v>42247</v>
      </c>
      <c r="B128" s="3">
        <f>'Inflação Implícita'!B128-'Metas de Inflação'!B128</f>
        <v>5.0299999999999994</v>
      </c>
      <c r="C128" s="3">
        <f>'Inflação Implícita'!C128-'Metas de Inflação'!C128</f>
        <v>1.8326206191317347</v>
      </c>
      <c r="D128" s="3">
        <f>'Inflação Implícita'!D128-'Metas de Inflação'!D128</f>
        <v>2.1286781877627154</v>
      </c>
      <c r="E128" s="3">
        <f>'Inflação Implícita'!E128-'Metas de Inflação'!E128</f>
        <v>2.0356976201586647</v>
      </c>
      <c r="F128" s="3">
        <f>'Inflação Implícita'!F128-'Metas de Inflação'!F128</f>
        <v>2.0201977796436328</v>
      </c>
      <c r="G128" s="3">
        <f>'Inflação Implícita'!G128-'Metas de Inflação'!G128</f>
        <v>2.0048996733551245</v>
      </c>
      <c r="H128" s="3">
        <f>'Inflação Implícita'!H128-'Metas de Inflação'!H128</f>
        <v>2.059932785660938</v>
      </c>
      <c r="I128" s="3">
        <f>'Inflação Implícita'!I128-'Metas de Inflação'!I128</f>
        <v>2.059932785660938</v>
      </c>
      <c r="J128" s="3">
        <f>'Inflação Implícita'!J128-'Metas de Inflação'!J128</f>
        <v>2.1302521008403392</v>
      </c>
      <c r="K128" s="3">
        <f>'Inflação Implícita'!K128-'Metas de Inflação'!K128</f>
        <v>2.1442577030812355</v>
      </c>
      <c r="L128" s="3">
        <f>'Inflação Implícita'!L128-'Metas de Inflação'!L128</f>
        <v>2.2171150971599536</v>
      </c>
      <c r="M128" s="3">
        <f>'Inflação Implícita'!M128-'Metas de Inflação'!M128</f>
        <v>2.2810075708010009</v>
      </c>
      <c r="N128" s="3">
        <f>'Inflação Implícita'!N128-'Metas de Inflação'!N128</f>
        <v>2.3312295465170481</v>
      </c>
      <c r="O128" s="3">
        <f>'Inflação Implícita'!O128-'Metas de Inflação'!O128</f>
        <v>2.3814891029838288</v>
      </c>
      <c r="P128" s="3">
        <f>'Inflação Implícita'!P128-'Metas de Inflação'!P128</f>
        <v>2.4142964071856383</v>
      </c>
      <c r="Q128" s="3">
        <f>'Inflação Implícita'!Q128-'Metas de Inflação'!Q128</f>
        <v>2.4343065693430628</v>
      </c>
    </row>
    <row r="129" spans="1:17" ht="18.75" customHeight="1" x14ac:dyDescent="0.25">
      <c r="A129" s="2">
        <v>42277</v>
      </c>
      <c r="B129" s="3">
        <f>'Inflação Implícita'!B129-'Metas de Inflação'!B129</f>
        <v>4.99</v>
      </c>
      <c r="C129" s="3">
        <f>'Inflação Implícita'!C129-'Metas de Inflação'!C129</f>
        <v>3.4000933706816046</v>
      </c>
      <c r="D129" s="3">
        <f>'Inflação Implícita'!D129-'Metas de Inflação'!D129</f>
        <v>3.7834704562453343</v>
      </c>
      <c r="E129" s="3">
        <f>'Inflação Implícita'!E129-'Metas de Inflação'!E129</f>
        <v>3.3570098678085953</v>
      </c>
      <c r="F129" s="3">
        <f>'Inflação Implícita'!F129-'Metas de Inflação'!F129</f>
        <v>3.2839851024208428</v>
      </c>
      <c r="G129" s="3">
        <f>'Inflação Implícita'!G129-'Metas de Inflação'!G129</f>
        <v>3.1527001862197297</v>
      </c>
      <c r="H129" s="3">
        <f>'Inflação Implícita'!H129-'Metas de Inflação'!H129</f>
        <v>3.1175402662694403</v>
      </c>
      <c r="I129" s="3">
        <f>'Inflação Implícita'!I129-'Metas de Inflação'!I129</f>
        <v>3.1175402662694403</v>
      </c>
      <c r="J129" s="3">
        <f>'Inflação Implícita'!J129-'Metas de Inflação'!J129</f>
        <v>3.1271186440677763</v>
      </c>
      <c r="K129" s="3">
        <f>'Inflação Implícita'!K129-'Metas de Inflação'!K129</f>
        <v>3.1772570576725929</v>
      </c>
      <c r="L129" s="3">
        <f>'Inflação Implícita'!L129-'Metas de Inflação'!L129</f>
        <v>3.1893692350694209</v>
      </c>
      <c r="M129" s="3">
        <f>'Inflação Implícita'!M129-'Metas de Inflação'!M129</f>
        <v>3.2133805441669923</v>
      </c>
      <c r="N129" s="3">
        <f>'Inflação Implícita'!N129-'Metas de Inflação'!N129</f>
        <v>3.2226984718598679</v>
      </c>
      <c r="O129" s="3">
        <f>'Inflação Implícita'!O129-'Metas de Inflação'!O129</f>
        <v>3.2310846067834449</v>
      </c>
      <c r="P129" s="3">
        <f>'Inflação Implícita'!P129-'Metas de Inflação'!P129</f>
        <v>3.2439194856024685</v>
      </c>
      <c r="Q129" s="3">
        <f>'Inflação Implícita'!Q129-'Metas de Inflação'!Q129</f>
        <v>3.2439194856024685</v>
      </c>
    </row>
    <row r="130" spans="1:17" ht="18.75" customHeight="1" x14ac:dyDescent="0.25">
      <c r="A130" s="2">
        <v>42308</v>
      </c>
      <c r="B130" s="3">
        <f>'Inflação Implícita'!B130-'Metas de Inflação'!B130</f>
        <v>5.43</v>
      </c>
      <c r="C130" s="3">
        <f>'Inflação Implícita'!C130-'Metas de Inflação'!C130</f>
        <v>4.1843096628366858</v>
      </c>
      <c r="D130" s="3">
        <f>'Inflação Implícita'!D130-'Metas de Inflação'!D130</f>
        <v>4.6417804992934393</v>
      </c>
      <c r="E130" s="3">
        <f>'Inflação Implícita'!E130-'Metas de Inflação'!E130</f>
        <v>4.1288283225625086</v>
      </c>
      <c r="F130" s="3">
        <f>'Inflação Implícita'!F130-'Metas de Inflação'!F130</f>
        <v>3.8920396150612078</v>
      </c>
      <c r="G130" s="3">
        <f>'Inflação Implícita'!G130-'Metas de Inflação'!G130</f>
        <v>3.700055985816924</v>
      </c>
      <c r="H130" s="3">
        <f>'Inflação Implícita'!H130-'Metas de Inflação'!H130</f>
        <v>3.5686055182699548</v>
      </c>
      <c r="I130" s="3">
        <f>'Inflação Implícita'!I130-'Metas de Inflação'!I130</f>
        <v>3.5686055182699548</v>
      </c>
      <c r="J130" s="3">
        <f>'Inflação Implícita'!J130-'Metas de Inflação'!J130</f>
        <v>3.4780199310794275</v>
      </c>
      <c r="K130" s="3">
        <f>'Inflação Implícita'!K130-'Metas de Inflação'!K130</f>
        <v>3.4951578359251263</v>
      </c>
      <c r="L130" s="3">
        <f>'Inflação Implícita'!L130-'Metas de Inflação'!L130</f>
        <v>3.5916884084979444</v>
      </c>
      <c r="M130" s="3">
        <f>'Inflação Implícita'!M130-'Metas de Inflação'!M130</f>
        <v>3.6670706694014541</v>
      </c>
      <c r="N130" s="3">
        <f>'Inflação Implícita'!N130-'Metas de Inflação'!N130</f>
        <v>3.7268445107732227</v>
      </c>
      <c r="O130" s="3">
        <f>'Inflação Implícita'!O130-'Metas de Inflação'!O130</f>
        <v>3.7756368386675216</v>
      </c>
      <c r="P130" s="3">
        <f>'Inflação Implícita'!P130-'Metas de Inflação'!P130</f>
        <v>3.806888183684924</v>
      </c>
      <c r="Q130" s="3">
        <f>'Inflação Implícita'!Q130-'Metas de Inflação'!Q130</f>
        <v>3.8372234151806612</v>
      </c>
    </row>
    <row r="131" spans="1:17" ht="18.75" customHeight="1" x14ac:dyDescent="0.25">
      <c r="A131" s="2">
        <v>42338</v>
      </c>
      <c r="B131" s="3">
        <f>'Inflação Implícita'!B131-'Metas de Inflação'!B131</f>
        <v>5.98</v>
      </c>
      <c r="C131" s="3">
        <f>'Inflação Implícita'!C131-'Metas de Inflação'!C131</f>
        <v>3.8798464131859873</v>
      </c>
      <c r="D131" s="3">
        <f>'Inflação Implícita'!D131-'Metas de Inflação'!D131</f>
        <v>4.3734770384254915</v>
      </c>
      <c r="E131" s="3">
        <f>'Inflação Implícita'!E131-'Metas de Inflação'!E131</f>
        <v>3.9898263953705477</v>
      </c>
      <c r="F131" s="3">
        <f>'Inflação Implícita'!F131-'Metas de Inflação'!F131</f>
        <v>3.6350093109869626</v>
      </c>
      <c r="G131" s="3">
        <f>'Inflação Implícita'!G131-'Metas de Inflação'!G131</f>
        <v>3.4274080967892013</v>
      </c>
      <c r="H131" s="3">
        <f>'Inflação Implícita'!H131-'Metas de Inflação'!H131</f>
        <v>3.3818054909260082</v>
      </c>
      <c r="I131" s="3">
        <f>'Inflação Implícita'!I131-'Metas de Inflação'!I131</f>
        <v>3.3818054909260082</v>
      </c>
      <c r="J131" s="3">
        <f>'Inflação Implícita'!J131-'Metas de Inflação'!J131</f>
        <v>3.3494323469197713</v>
      </c>
      <c r="K131" s="3">
        <f>'Inflação Implícita'!K131-'Metas de Inflação'!K131</f>
        <v>3.444491012387056</v>
      </c>
      <c r="L131" s="3">
        <f>'Inflação Implícita'!L131-'Metas de Inflação'!L131</f>
        <v>3.5518269947800203</v>
      </c>
      <c r="M131" s="3">
        <f>'Inflação Implícita'!M131-'Metas de Inflação'!M131</f>
        <v>3.6335696296987123</v>
      </c>
      <c r="N131" s="3">
        <f>'Inflação Implícita'!N131-'Metas de Inflação'!N131</f>
        <v>3.703453103126467</v>
      </c>
      <c r="O131" s="3">
        <f>'Inflação Implícita'!O131-'Metas de Inflação'!O131</f>
        <v>3.7724810906714019</v>
      </c>
      <c r="P131" s="3">
        <f>'Inflação Implícita'!P131-'Metas de Inflação'!P131</f>
        <v>3.8138720224194209</v>
      </c>
      <c r="Q131" s="3">
        <f>'Inflação Implícita'!Q131-'Metas de Inflação'!Q131</f>
        <v>3.8543594056630255</v>
      </c>
    </row>
    <row r="132" spans="1:17" ht="18.75" customHeight="1" x14ac:dyDescent="0.25">
      <c r="A132" s="2">
        <v>42369</v>
      </c>
      <c r="B132" s="3">
        <f>'Inflação Implícita'!B132-'Metas de Inflação'!B132</f>
        <v>6.17</v>
      </c>
      <c r="C132" s="3">
        <f>'Inflação Implícita'!C132-'Metas de Inflação'!C132</f>
        <v>4.0710269865067588</v>
      </c>
      <c r="D132" s="3">
        <f>'Inflação Implícita'!D132-'Metas de Inflação'!D132</f>
        <v>4.8357102645899701</v>
      </c>
      <c r="E132" s="3">
        <f>'Inflação Implícita'!E132-'Metas de Inflação'!E132</f>
        <v>4.615557217651471</v>
      </c>
      <c r="F132" s="3">
        <f>'Inflação Implícita'!F132-'Metas de Inflação'!F132</f>
        <v>4.4957963568426003</v>
      </c>
      <c r="G132" s="3">
        <f>'Inflação Implícita'!G132-'Metas de Inflação'!G132</f>
        <v>4.3990568680548989</v>
      </c>
      <c r="H132" s="3">
        <f>'Inflação Implícita'!H132-'Metas de Inflação'!H132</f>
        <v>4.2439343038447035</v>
      </c>
      <c r="I132" s="3">
        <f>'Inflação Implícita'!I132-'Metas de Inflação'!I132</f>
        <v>4.2439343038447035</v>
      </c>
      <c r="J132" s="3">
        <f>'Inflação Implícita'!J132-'Metas de Inflação'!J132</f>
        <v>4.0858115036822937</v>
      </c>
      <c r="K132" s="3">
        <f>'Inflação Implícita'!K132-'Metas de Inflação'!K132</f>
        <v>4.1899766899766853</v>
      </c>
      <c r="L132" s="3">
        <f>'Inflação Implícita'!L132-'Metas de Inflação'!L132</f>
        <v>4.163620255525494</v>
      </c>
      <c r="M132" s="3">
        <f>'Inflação Implícita'!M132-'Metas de Inflação'!M132</f>
        <v>4.1915975006994337</v>
      </c>
      <c r="N132" s="3">
        <f>'Inflação Implícita'!N132-'Metas de Inflação'!N132</f>
        <v>4.2017347509792842</v>
      </c>
      <c r="O132" s="3">
        <f>'Inflação Implícita'!O132-'Metas de Inflação'!O132</f>
        <v>4.2118738923607886</v>
      </c>
      <c r="P132" s="3">
        <f>'Inflação Implícita'!P132-'Metas de Inflação'!P132</f>
        <v>4.2118738923607886</v>
      </c>
      <c r="Q132" s="3">
        <f>'Inflação Implícita'!Q132-'Metas de Inflação'!Q132</f>
        <v>4.2220149253731236</v>
      </c>
    </row>
    <row r="133" spans="1:17" ht="18.75" customHeight="1" x14ac:dyDescent="0.25">
      <c r="A133" s="2">
        <v>42400</v>
      </c>
      <c r="B133" s="3">
        <f>'Inflação Implícita'!B133-'Metas de Inflação'!B133</f>
        <v>6.2100000000000009</v>
      </c>
      <c r="C133" s="3">
        <f>'Inflação Implícita'!C133-'Metas de Inflação'!C133</f>
        <v>4.5661589719181368</v>
      </c>
      <c r="D133" s="3">
        <f>'Inflação Implícita'!D133-'Metas de Inflação'!D133</f>
        <v>4.5600151457780989</v>
      </c>
      <c r="E133" s="3">
        <f>'Inflação Implícita'!E133-'Metas de Inflação'!E133</f>
        <v>4.4735379979282381</v>
      </c>
      <c r="F133" s="3">
        <f>'Inflação Implícita'!F133-'Metas de Inflação'!F133</f>
        <v>4.2968090098545115</v>
      </c>
      <c r="G133" s="3">
        <f>'Inflação Implícita'!G133-'Metas de Inflação'!G133</f>
        <v>3.9583723105706277</v>
      </c>
      <c r="H133" s="3">
        <f>'Inflação Implícita'!H133-'Metas de Inflação'!H133</f>
        <v>3.7647251003453714</v>
      </c>
      <c r="I133" s="3">
        <f>'Inflação Implícita'!I133-'Metas de Inflação'!I133</f>
        <v>3.7647251003453714</v>
      </c>
      <c r="J133" s="3">
        <f>'Inflação Implícita'!J133-'Metas de Inflação'!J133</f>
        <v>3.8437470857036224</v>
      </c>
      <c r="K133" s="3">
        <f>'Inflação Implícita'!K133-'Metas de Inflação'!K133</f>
        <v>3.8612975391498914</v>
      </c>
      <c r="L133" s="3">
        <f>'Inflação Implícita'!L133-'Metas de Inflação'!L133</f>
        <v>3.836438152011926</v>
      </c>
      <c r="M133" s="3">
        <f>'Inflação Implícita'!M133-'Metas de Inflação'!M133</f>
        <v>3.9466381076550476</v>
      </c>
      <c r="N133" s="3">
        <f>'Inflação Implícita'!N133-'Metas de Inflação'!N133</f>
        <v>3.9870504937581526</v>
      </c>
      <c r="O133" s="3">
        <f>'Inflação Implícita'!O133-'Metas de Inflação'!O133</f>
        <v>4.027493010251618</v>
      </c>
      <c r="P133" s="3">
        <f>'Inflação Implícita'!P133-'Metas de Inflação'!P133</f>
        <v>4.0679656908446589</v>
      </c>
      <c r="Q133" s="3">
        <f>'Inflação Implícita'!Q133-'Metas de Inflação'!Q133</f>
        <v>4.0780885780885718</v>
      </c>
    </row>
    <row r="134" spans="1:17" ht="18.75" customHeight="1" x14ac:dyDescent="0.25">
      <c r="A134" s="2">
        <v>42429</v>
      </c>
      <c r="B134" s="3">
        <f>'Inflação Implícita'!B134-'Metas de Inflação'!B134</f>
        <v>5.8599999999999994</v>
      </c>
      <c r="C134" s="3">
        <f>'Inflação Implícita'!C134-'Metas de Inflação'!C134</f>
        <v>3.4731518245414801</v>
      </c>
      <c r="D134" s="3">
        <f>'Inflação Implícita'!D134-'Metas de Inflação'!D134</f>
        <v>3.7221383410399085</v>
      </c>
      <c r="E134" s="3">
        <f>'Inflação Implícita'!E134-'Metas de Inflação'!E134</f>
        <v>4.0392729327556935</v>
      </c>
      <c r="F134" s="3">
        <f>'Inflação Implícita'!F134-'Metas de Inflação'!F134</f>
        <v>4.1355087455332047</v>
      </c>
      <c r="G134" s="3">
        <f>'Inflação Implícita'!G134-'Metas de Inflação'!G134</f>
        <v>3.9372948128693448</v>
      </c>
      <c r="H134" s="3">
        <f>'Inflação Implícita'!H134-'Metas de Inflação'!H134</f>
        <v>3.7924775449101809</v>
      </c>
      <c r="I134" s="3">
        <f>'Inflação Implícita'!I134-'Metas de Inflação'!I134</f>
        <v>3.7924775449101809</v>
      </c>
      <c r="J134" s="3">
        <f>'Inflação Implícita'!J134-'Metas de Inflação'!J134</f>
        <v>3.8912556053811649</v>
      </c>
      <c r="K134" s="3">
        <f>'Inflação Implícita'!K134-'Metas de Inflação'!K134</f>
        <v>4.0089686098654749</v>
      </c>
      <c r="L134" s="3">
        <f>'Inflação Implícita'!L134-'Metas de Inflação'!L134</f>
        <v>4.0446228528752943</v>
      </c>
      <c r="M134" s="3">
        <f>'Inflação Implícita'!M134-'Metas de Inflação'!M134</f>
        <v>4.0852930197834798</v>
      </c>
      <c r="N134" s="3">
        <f>'Inflação Implícita'!N134-'Metas de Inflação'!N134</f>
        <v>4.0751609592236591</v>
      </c>
      <c r="O134" s="3">
        <f>'Inflação Implícita'!O134-'Metas de Inflação'!O134</f>
        <v>4.0650307893263555</v>
      </c>
      <c r="P134" s="3">
        <f>'Inflação Implícita'!P134-'Metas de Inflação'!P134</f>
        <v>4.0447761194029859</v>
      </c>
      <c r="Q134" s="3">
        <f>'Inflação Implícita'!Q134-'Metas de Inflação'!Q134</f>
        <v>4.0447761194029859</v>
      </c>
    </row>
    <row r="135" spans="1:17" ht="18.75" customHeight="1" x14ac:dyDescent="0.25">
      <c r="A135" s="2">
        <v>42460</v>
      </c>
      <c r="B135" s="3">
        <f>'Inflação Implícita'!B135-'Metas de Inflação'!B135</f>
        <v>4.8900000000000006</v>
      </c>
      <c r="C135" s="3">
        <f>'Inflação Implícita'!C135-'Metas de Inflação'!C135</f>
        <v>2.429437188762555</v>
      </c>
      <c r="D135" s="3">
        <f>'Inflação Implícita'!D135-'Metas de Inflação'!D135</f>
        <v>2.3156214795343617</v>
      </c>
      <c r="E135" s="3">
        <f>'Inflação Implícita'!E135-'Metas de Inflação'!E135</f>
        <v>2.4308046192845696</v>
      </c>
      <c r="F135" s="3">
        <f>'Inflação Implícita'!F135-'Metas de Inflação'!F135</f>
        <v>2.5063873755401129</v>
      </c>
      <c r="G135" s="3">
        <f>'Inflação Implícita'!G135-'Metas de Inflação'!G135</f>
        <v>2.3849690373428363</v>
      </c>
      <c r="H135" s="3">
        <f>'Inflação Implícita'!H135-'Metas de Inflação'!H135</f>
        <v>2.3745311327832015</v>
      </c>
      <c r="I135" s="3">
        <f>'Inflação Implícita'!I135-'Metas de Inflação'!I135</f>
        <v>2.3745311327832015</v>
      </c>
      <c r="J135" s="3">
        <f>'Inflação Implícita'!J135-'Metas de Inflação'!J135</f>
        <v>2.5496108037137795</v>
      </c>
      <c r="K135" s="3">
        <f>'Inflação Implícita'!K135-'Metas de Inflação'!K135</f>
        <v>2.6046707934721454</v>
      </c>
      <c r="L135" s="3">
        <f>'Inflação Implícita'!L135-'Metas de Inflação'!L135</f>
        <v>2.6346839242168336</v>
      </c>
      <c r="M135" s="3">
        <f>'Inflação Implícita'!M135-'Metas de Inflação'!M135</f>
        <v>2.6864152359508493</v>
      </c>
      <c r="N135" s="3">
        <f>'Inflação Implícita'!N135-'Metas de Inflação'!N135</f>
        <v>2.7266541529798278</v>
      </c>
      <c r="O135" s="3">
        <f>'Inflação Implícita'!O135-'Metas de Inflação'!O135</f>
        <v>2.7669232935874684</v>
      </c>
      <c r="P135" s="3">
        <f>'Inflação Implícita'!P135-'Metas de Inflação'!P135</f>
        <v>2.8072226918380778</v>
      </c>
      <c r="Q135" s="3">
        <f>'Inflação Implícita'!Q135-'Metas de Inflação'!Q135</f>
        <v>2.8173022731542359</v>
      </c>
    </row>
    <row r="136" spans="1:17" ht="18.75" customHeight="1" x14ac:dyDescent="0.25">
      <c r="A136" s="2">
        <v>42490</v>
      </c>
      <c r="B136" s="3">
        <f>'Inflação Implícita'!B136-'Metas de Inflação'!B136</f>
        <v>4.7799999999999994</v>
      </c>
      <c r="C136" s="3">
        <f>'Inflação Implícita'!C136-'Metas de Inflação'!C136</f>
        <v>2.0411764705882502</v>
      </c>
      <c r="D136" s="3">
        <f>'Inflação Implícita'!D136-'Metas de Inflação'!D136</f>
        <v>1.7393887945670468</v>
      </c>
      <c r="E136" s="3">
        <f>'Inflação Implícita'!E136-'Metas de Inflação'!E136</f>
        <v>1.7250967802851553</v>
      </c>
      <c r="F136" s="3">
        <f>'Inflação Implícita'!F136-'Metas de Inflação'!F136</f>
        <v>1.6281494762668753</v>
      </c>
      <c r="G136" s="3">
        <f>'Inflação Implícita'!G136-'Metas de Inflação'!G136</f>
        <v>1.4841628959276028</v>
      </c>
      <c r="H136" s="3">
        <f>'Inflação Implícita'!H136-'Metas de Inflação'!H136</f>
        <v>1.5550631717895431</v>
      </c>
      <c r="I136" s="3">
        <f>'Inflação Implícita'!I136-'Metas de Inflação'!I136</f>
        <v>1.5550631717895431</v>
      </c>
      <c r="J136" s="3">
        <f>'Inflação Implícita'!J136-'Metas de Inflação'!J136</f>
        <v>1.6687883074021732</v>
      </c>
      <c r="K136" s="3">
        <f>'Inflação Implícita'!K136-'Metas de Inflação'!K136</f>
        <v>1.6999057048562012</v>
      </c>
      <c r="L136" s="3">
        <f>'Inflação Implícita'!L136-'Metas de Inflação'!L136</f>
        <v>1.7187647336162222</v>
      </c>
      <c r="M136" s="3">
        <f>'Inflação Implícita'!M136-'Metas de Inflação'!M136</f>
        <v>1.7228927022440095</v>
      </c>
      <c r="N136" s="3">
        <f>'Inflação Implícita'!N136-'Metas de Inflação'!N136</f>
        <v>1.7128782879230737</v>
      </c>
      <c r="O136" s="3">
        <f>'Inflação Implícita'!O136-'Metas de Inflação'!O136</f>
        <v>1.7128782879230737</v>
      </c>
      <c r="P136" s="3">
        <f>'Inflação Implícita'!P136-'Metas de Inflação'!P136</f>
        <v>1.7028657616892913</v>
      </c>
      <c r="Q136" s="3">
        <f>'Inflação Implícita'!Q136-'Metas de Inflação'!Q136</f>
        <v>1.7028657616892913</v>
      </c>
    </row>
    <row r="137" spans="1:17" ht="18.75" customHeight="1" x14ac:dyDescent="0.25">
      <c r="A137" s="2">
        <v>42521</v>
      </c>
      <c r="B137" s="3">
        <f>'Inflação Implícita'!B137-'Metas de Inflação'!B137</f>
        <v>4.82</v>
      </c>
      <c r="C137" s="3">
        <f>'Inflação Implícita'!C137-'Metas de Inflação'!C137</f>
        <v>1.9872494589253815</v>
      </c>
      <c r="D137" s="3">
        <f>'Inflação Implícita'!D137-'Metas de Inflação'!D137</f>
        <v>1.6149792999623642</v>
      </c>
      <c r="E137" s="3">
        <f>'Inflação Implícita'!E137-'Metas de Inflação'!E137</f>
        <v>1.8235294117647056</v>
      </c>
      <c r="F137" s="3">
        <f>'Inflação Implícita'!F137-'Metas de Inflação'!F137</f>
        <v>1.8465887674331034</v>
      </c>
      <c r="G137" s="3">
        <f>'Inflação Implícita'!G137-'Metas de Inflação'!G137</f>
        <v>1.7906111686599431</v>
      </c>
      <c r="H137" s="3">
        <f>'Inflação Implícita'!H137-'Metas de Inflação'!H137</f>
        <v>1.8427495291901836</v>
      </c>
      <c r="I137" s="3">
        <f>'Inflação Implícita'!I137-'Metas de Inflação'!I137</f>
        <v>1.8427495291901836</v>
      </c>
      <c r="J137" s="3">
        <f>'Inflação Implícita'!J137-'Metas de Inflação'!J137</f>
        <v>2.1031865749033747</v>
      </c>
      <c r="K137" s="3">
        <f>'Inflação Implícita'!K137-'Metas de Inflação'!K137</f>
        <v>2.11577608142494</v>
      </c>
      <c r="L137" s="3">
        <f>'Inflação Implícita'!L137-'Metas de Inflação'!L137</f>
        <v>2.0690337163307522</v>
      </c>
      <c r="M137" s="3">
        <f>'Inflação Implícita'!M137-'Metas de Inflação'!M137</f>
        <v>2.0831606705594181</v>
      </c>
      <c r="N137" s="3">
        <f>'Inflação Implícita'!N137-'Metas de Inflação'!N137</f>
        <v>2.1132830899670036</v>
      </c>
      <c r="O137" s="3">
        <f>'Inflação Implícita'!O137-'Metas de Inflação'!O137</f>
        <v>2.1434225405201719</v>
      </c>
      <c r="P137" s="3">
        <f>'Inflação Implícita'!P137-'Metas de Inflação'!P137</f>
        <v>2.1635249764373183</v>
      </c>
      <c r="Q137" s="3">
        <f>'Inflação Implícita'!Q137-'Metas de Inflação'!Q137</f>
        <v>2.1635249764373183</v>
      </c>
    </row>
    <row r="138" spans="1:17" ht="18.75" customHeight="1" x14ac:dyDescent="0.25">
      <c r="A138" s="2">
        <v>42551</v>
      </c>
      <c r="B138" s="3">
        <f>'Inflação Implícita'!B138-'Metas de Inflação'!B138</f>
        <v>4.34</v>
      </c>
      <c r="C138" s="3">
        <f>'Inflação Implícita'!C138-'Metas de Inflação'!C138</f>
        <v>1.862612612612617</v>
      </c>
      <c r="D138" s="3">
        <f>'Inflação Implícita'!D138-'Metas de Inflação'!D138</f>
        <v>1.3165758316106153</v>
      </c>
      <c r="E138" s="3">
        <f>'Inflação Implícita'!E138-'Metas de Inflação'!E138</f>
        <v>1.1229431123648421</v>
      </c>
      <c r="F138" s="3">
        <f>'Inflação Implícita'!F138-'Metas de Inflação'!F138</f>
        <v>1.0101081335214186</v>
      </c>
      <c r="G138" s="3">
        <f>'Inflação Implícita'!G138-'Metas de Inflação'!G138</f>
        <v>0.87485907553552078</v>
      </c>
      <c r="H138" s="3">
        <f>'Inflação Implícita'!H138-'Metas de Inflação'!H138</f>
        <v>0.95770676691728074</v>
      </c>
      <c r="I138" s="3">
        <f>'Inflação Implícita'!I138-'Metas de Inflação'!I138</f>
        <v>0.95770676691728074</v>
      </c>
      <c r="J138" s="3">
        <f>'Inflação Implícita'!J138-'Metas de Inflação'!J138</f>
        <v>1.1519285042333056</v>
      </c>
      <c r="K138" s="3">
        <f>'Inflação Implícita'!K138-'Metas de Inflação'!K138</f>
        <v>1.1632173095014116</v>
      </c>
      <c r="L138" s="3">
        <f>'Inflação Implícita'!L138-'Metas de Inflação'!L138</f>
        <v>1.2017873941674457</v>
      </c>
      <c r="M138" s="3">
        <f>'Inflação Implícita'!M138-'Metas de Inflação'!M138</f>
        <v>1.2887801204819178</v>
      </c>
      <c r="N138" s="3">
        <f>'Inflação Implícita'!N138-'Metas de Inflação'!N138</f>
        <v>1.338591204444854</v>
      </c>
      <c r="O138" s="3">
        <f>'Inflação Implícita'!O138-'Metas de Inflação'!O138</f>
        <v>1.3884492180139469</v>
      </c>
      <c r="P138" s="3">
        <f>'Inflação Implícita'!P138-'Metas de Inflação'!P138</f>
        <v>1.4283694627709771</v>
      </c>
      <c r="Q138" s="3">
        <f>'Inflação Implícita'!Q138-'Metas de Inflação'!Q138</f>
        <v>1.4283694627709771</v>
      </c>
    </row>
    <row r="139" spans="1:17" ht="18.75" customHeight="1" x14ac:dyDescent="0.25">
      <c r="A139" s="2">
        <v>42582</v>
      </c>
      <c r="B139" s="3">
        <f>'Inflação Implícita'!B139-'Metas de Inflação'!B139</f>
        <v>4.24</v>
      </c>
      <c r="C139" s="3">
        <f>'Inflação Implícita'!C139-'Metas de Inflação'!C139</f>
        <v>1.8046743007321382</v>
      </c>
      <c r="D139" s="3">
        <f>'Inflação Implícita'!D139-'Metas de Inflação'!D139</f>
        <v>1.2686882933709382</v>
      </c>
      <c r="E139" s="3">
        <f>'Inflação Implícita'!E139-'Metas de Inflação'!E139</f>
        <v>1.0694653614457801</v>
      </c>
      <c r="F139" s="3">
        <f>'Inflação Implícita'!F139-'Metas de Inflação'!F139</f>
        <v>1.0453004332265854</v>
      </c>
      <c r="G139" s="3">
        <f>'Inflação Implícita'!G139-'Metas de Inflação'!G139</f>
        <v>1.057021677662588</v>
      </c>
      <c r="H139" s="3">
        <f>'Inflação Implícita'!H139-'Metas de Inflação'!H139</f>
        <v>1.0187034768680032</v>
      </c>
      <c r="I139" s="3">
        <f>'Inflação Implícita'!I139-'Metas de Inflação'!I139</f>
        <v>1.0187034768680032</v>
      </c>
      <c r="J139" s="3">
        <f>'Inflação Implícita'!J139-'Metas de Inflação'!J139</f>
        <v>1.1587758181646741</v>
      </c>
      <c r="K139" s="3">
        <f>'Inflação Implícita'!K139-'Metas de Inflação'!K139</f>
        <v>1.1430322458985493</v>
      </c>
      <c r="L139" s="3">
        <f>'Inflação Implícita'!L139-'Metas de Inflação'!L139</f>
        <v>1.1277097078228255</v>
      </c>
      <c r="M139" s="3">
        <f>'Inflação Implícita'!M139-'Metas de Inflação'!M139</f>
        <v>1.2091663523198832</v>
      </c>
      <c r="N139" s="3">
        <f>'Inflação Implícita'!N139-'Metas de Inflação'!N139</f>
        <v>1.2765616153991228</v>
      </c>
      <c r="O139" s="3">
        <f>'Inflação Implícita'!O139-'Metas de Inflação'!O139</f>
        <v>1.3193316971871134</v>
      </c>
      <c r="P139" s="3">
        <f>'Inflação Implícita'!P139-'Metas de Inflação'!P139</f>
        <v>1.3593012275731882</v>
      </c>
      <c r="Q139" s="3">
        <f>'Inflação Implícita'!Q139-'Metas de Inflação'!Q139</f>
        <v>1.3593012275731882</v>
      </c>
    </row>
    <row r="140" spans="1:17" ht="18.75" customHeight="1" x14ac:dyDescent="0.25">
      <c r="A140" s="2">
        <v>42613</v>
      </c>
      <c r="B140" s="3">
        <f>'Inflação Implícita'!B140-'Metas de Inflação'!B140</f>
        <v>4.4700000000000006</v>
      </c>
      <c r="C140" s="3">
        <f>'Inflação Implícita'!C140-'Metas de Inflação'!C140</f>
        <v>1.9088813623106589</v>
      </c>
      <c r="D140" s="3">
        <f>'Inflação Implícita'!D140-'Metas de Inflação'!D140</f>
        <v>1.1227089012125253</v>
      </c>
      <c r="E140" s="3">
        <f>'Inflação Implícita'!E140-'Metas de Inflação'!E140</f>
        <v>1.0592167200150699</v>
      </c>
      <c r="F140" s="3">
        <f>'Inflação Implícita'!F140-'Metas de Inflação'!F140</f>
        <v>1.0854922279792607</v>
      </c>
      <c r="G140" s="3">
        <f>'Inflação Implícita'!G140-'Metas de Inflação'!G140</f>
        <v>1.0770136599152087</v>
      </c>
      <c r="H140" s="3">
        <f>'Inflação Implícita'!H140-'Metas de Inflação'!H140</f>
        <v>1.1199359336725374</v>
      </c>
      <c r="I140" s="3">
        <f>'Inflação Implícita'!I140-'Metas de Inflação'!I140</f>
        <v>1.1199359336725374</v>
      </c>
      <c r="J140" s="3">
        <f>'Inflação Implícita'!J140-'Metas de Inflação'!J140</f>
        <v>1.3784102709336317</v>
      </c>
      <c r="K140" s="3">
        <f>'Inflação Implícita'!K140-'Metas de Inflação'!K140</f>
        <v>1.4241079856522605</v>
      </c>
      <c r="L140" s="3">
        <f>'Inflação Implícita'!L140-'Metas de Inflação'!L140</f>
        <v>1.4575271354412207</v>
      </c>
      <c r="M140" s="3">
        <f>'Inflação Implícita'!M140-'Metas de Inflação'!M140</f>
        <v>1.5525073189158451</v>
      </c>
      <c r="N140" s="3">
        <f>'Inflação Implícita'!N140-'Metas de Inflação'!N140</f>
        <v>1.626807143532087</v>
      </c>
      <c r="O140" s="3">
        <f>'Inflação Implícita'!O140-'Metas de Inflação'!O140</f>
        <v>1.6697702996502457</v>
      </c>
      <c r="P140" s="3">
        <f>'Inflação Implícita'!P140-'Metas de Inflação'!P140</f>
        <v>1.7099290780141647</v>
      </c>
      <c r="Q140" s="3">
        <f>'Inflação Implícita'!Q140-'Metas de Inflação'!Q140</f>
        <v>1.7099290780141647</v>
      </c>
    </row>
    <row r="141" spans="1:17" ht="18.75" customHeight="1" x14ac:dyDescent="0.25">
      <c r="A141" s="2">
        <v>42643</v>
      </c>
      <c r="B141" s="3">
        <f>'Inflação Implícita'!B141-'Metas de Inflação'!B141</f>
        <v>3.9800000000000004</v>
      </c>
      <c r="C141" s="3">
        <f>'Inflação Implícita'!C141-'Metas de Inflação'!C141</f>
        <v>0.70998971097186292</v>
      </c>
      <c r="D141" s="3">
        <f>'Inflação Implícita'!D141-'Metas de Inflação'!D141</f>
        <v>0.85596416784536178</v>
      </c>
      <c r="E141" s="3">
        <f>'Inflação Implícita'!E141-'Metas de Inflação'!E141</f>
        <v>0.83371094118757494</v>
      </c>
      <c r="F141" s="3">
        <f>'Inflação Implícita'!F141-'Metas de Inflação'!F141</f>
        <v>0.79722589167767044</v>
      </c>
      <c r="G141" s="3">
        <f>'Inflação Implícita'!G141-'Metas de Inflação'!G141</f>
        <v>0.74945770065077255</v>
      </c>
      <c r="H141" s="3">
        <f>'Inflação Implícita'!H141-'Metas de Inflação'!H141</f>
        <v>0.82258064516129004</v>
      </c>
      <c r="I141" s="3">
        <f>'Inflação Implícita'!I141-'Metas de Inflação'!I141</f>
        <v>0.82258064516129004</v>
      </c>
      <c r="J141" s="3">
        <f>'Inflação Implícita'!J141-'Metas de Inflação'!J141</f>
        <v>0.97016616314199844</v>
      </c>
      <c r="K141" s="3">
        <f>'Inflação Implícita'!K141-'Metas de Inflação'!K141</f>
        <v>0.97814594543567512</v>
      </c>
      <c r="L141" s="3">
        <f>'Inflação Implícita'!L141-'Metas de Inflação'!L141</f>
        <v>1.0149627112244026</v>
      </c>
      <c r="M141" s="3">
        <f>'Inflação Implícita'!M141-'Metas de Inflação'!M141</f>
        <v>1.0618508026439972</v>
      </c>
      <c r="N141" s="3">
        <f>'Inflação Implícita'!N141-'Metas de Inflação'!N141</f>
        <v>1.085568568190391</v>
      </c>
      <c r="O141" s="3">
        <f>'Inflação Implícita'!O141-'Metas de Inflação'!O141</f>
        <v>1.0983753660149072</v>
      </c>
      <c r="P141" s="3">
        <f>'Inflação Implícita'!P141-'Metas de Inflação'!P141</f>
        <v>1.1183278223901567</v>
      </c>
      <c r="Q141" s="3">
        <f>'Inflação Implícita'!Q141-'Metas de Inflação'!Q141</f>
        <v>1.1183278223901567</v>
      </c>
    </row>
    <row r="142" spans="1:17" ht="18.75" customHeight="1" x14ac:dyDescent="0.25">
      <c r="A142" s="2">
        <v>42674</v>
      </c>
      <c r="B142" s="3">
        <f>'Inflação Implícita'!B142-'Metas de Inflação'!B142</f>
        <v>3.37</v>
      </c>
      <c r="C142" s="3">
        <f>'Inflação Implícita'!C142-'Metas de Inflação'!C142</f>
        <v>0.22561259666450795</v>
      </c>
      <c r="D142" s="3">
        <f>'Inflação Implícita'!D142-'Metas de Inflação'!D142</f>
        <v>0.66581872997927682</v>
      </c>
      <c r="E142" s="3">
        <f>'Inflação Implícita'!E142-'Metas de Inflação'!E142</f>
        <v>0.60144380485042515</v>
      </c>
      <c r="F142" s="3">
        <f>'Inflação Implícita'!F142-'Metas de Inflação'!F142</f>
        <v>0.54575903387112223</v>
      </c>
      <c r="G142" s="3">
        <f>'Inflação Implícita'!G142-'Metas de Inflação'!G142</f>
        <v>0.51367795490992307</v>
      </c>
      <c r="H142" s="3">
        <f>'Inflação Implícita'!H142-'Metas de Inflação'!H142</f>
        <v>0.58444192848382936</v>
      </c>
      <c r="I142" s="3">
        <f>'Inflação Implícita'!I142-'Metas de Inflação'!I142</f>
        <v>0.58444192848382936</v>
      </c>
      <c r="J142" s="3">
        <f>'Inflação Implícita'!J142-'Metas de Inflação'!J142</f>
        <v>0.71431268882175392</v>
      </c>
      <c r="K142" s="3">
        <f>'Inflação Implícita'!K142-'Metas de Inflação'!K142</f>
        <v>0.74785194976866709</v>
      </c>
      <c r="L142" s="3">
        <f>'Inflação Implícita'!L142-'Metas de Inflação'!L142</f>
        <v>0.81444759206800565</v>
      </c>
      <c r="M142" s="3">
        <f>'Inflação Implícita'!M142-'Metas de Inflação'!M142</f>
        <v>0.91099773242630366</v>
      </c>
      <c r="N142" s="3">
        <f>'Inflação Implícita'!N142-'Metas de Inflação'!N142</f>
        <v>0.96597353497164651</v>
      </c>
      <c r="O142" s="3">
        <f>'Inflação Implícita'!O142-'Metas de Inflação'!O142</f>
        <v>1.0100690176798528</v>
      </c>
      <c r="P142" s="3">
        <f>'Inflação Implícita'!P142-'Metas de Inflação'!P142</f>
        <v>1.0432624113475049</v>
      </c>
      <c r="Q142" s="3">
        <f>'Inflação Implícita'!Q142-'Metas de Inflação'!Q142</f>
        <v>1.0536643026004695</v>
      </c>
    </row>
    <row r="143" spans="1:17" ht="18.75" customHeight="1" x14ac:dyDescent="0.25">
      <c r="A143" s="2">
        <v>42704</v>
      </c>
      <c r="B143" s="3">
        <f>'Inflação Implícita'!B143-'Metas de Inflação'!B143</f>
        <v>2.4900000000000002</v>
      </c>
      <c r="C143" s="3">
        <f>'Inflação Implícita'!C143-'Metas de Inflação'!C143</f>
        <v>0.15565509518477416</v>
      </c>
      <c r="D143" s="3">
        <f>'Inflação Implícita'!D143-'Metas de Inflação'!D143</f>
        <v>0.6054812582407072</v>
      </c>
      <c r="E143" s="3">
        <f>'Inflação Implícita'!E143-'Metas de Inflação'!E143</f>
        <v>0.66344795101268961</v>
      </c>
      <c r="F143" s="3">
        <f>'Inflação Implícita'!F143-'Metas de Inflação'!F143</f>
        <v>0.74248987663620269</v>
      </c>
      <c r="G143" s="3">
        <f>'Inflação Implícita'!G143-'Metas de Inflação'!G143</f>
        <v>0.78426204819278933</v>
      </c>
      <c r="H143" s="3">
        <f>'Inflação Implícita'!H143-'Metas de Inflação'!H143</f>
        <v>0.89591375576686794</v>
      </c>
      <c r="I143" s="3">
        <f>'Inflação Implícita'!I143-'Metas de Inflação'!I143</f>
        <v>0.89591375576686794</v>
      </c>
      <c r="J143" s="3">
        <f>'Inflação Implícita'!J143-'Metas de Inflação'!J143</f>
        <v>1.06833176248821</v>
      </c>
      <c r="K143" s="3">
        <f>'Inflação Implícita'!K143-'Metas de Inflação'!K143</f>
        <v>1.0786993402450635</v>
      </c>
      <c r="L143" s="3">
        <f>'Inflação Implícita'!L143-'Metas de Inflação'!L143</f>
        <v>1.1211121583412016</v>
      </c>
      <c r="M143" s="3">
        <f>'Inflação Implícita'!M143-'Metas de Inflação'!M143</f>
        <v>1.1627073906485803</v>
      </c>
      <c r="N143" s="3">
        <f>'Inflação Implícita'!N143-'Metas de Inflação'!N143</f>
        <v>1.1877533704157601</v>
      </c>
      <c r="O143" s="3">
        <f>'Inflação Implícita'!O143-'Metas de Inflação'!O143</f>
        <v>1.2118612106354938</v>
      </c>
      <c r="P143" s="3">
        <f>'Inflação Implícita'!P143-'Metas de Inflação'!P143</f>
        <v>1.2350306459217348</v>
      </c>
      <c r="Q143" s="3">
        <f>'Inflação Implícita'!Q143-'Metas de Inflação'!Q143</f>
        <v>1.2454031117397442</v>
      </c>
    </row>
    <row r="144" spans="1:17" ht="18.75" customHeight="1" x14ac:dyDescent="0.25">
      <c r="A144" s="2">
        <v>42735</v>
      </c>
      <c r="B144" s="3">
        <f>'Inflação Implícita'!B144-'Metas de Inflação'!B144</f>
        <v>1.79</v>
      </c>
      <c r="C144" s="3">
        <f>'Inflação Implícita'!C144-'Metas de Inflação'!C144</f>
        <v>0.40970654627540526</v>
      </c>
      <c r="D144" s="3">
        <f>'Inflação Implícita'!D144-'Metas de Inflação'!D144</f>
        <v>0.39279304807783699</v>
      </c>
      <c r="E144" s="3">
        <f>'Inflação Implícita'!E144-'Metas de Inflação'!E144</f>
        <v>0.51463783171216537</v>
      </c>
      <c r="F144" s="3">
        <f>'Inflação Implícita'!F144-'Metas de Inflação'!F144</f>
        <v>0.60714622864156809</v>
      </c>
      <c r="G144" s="3">
        <f>'Inflação Implícita'!G144-'Metas de Inflação'!G144</f>
        <v>0.72888154789993287</v>
      </c>
      <c r="H144" s="3">
        <f>'Inflação Implícita'!H144-'Metas de Inflação'!H144</f>
        <v>0.84214252005662527</v>
      </c>
      <c r="I144" s="3">
        <f>'Inflação Implícita'!I144-'Metas de Inflação'!I144</f>
        <v>0.84214252005662527</v>
      </c>
      <c r="J144" s="3">
        <f>'Inflação Implícita'!J144-'Metas de Inflação'!J144</f>
        <v>0.93857992635257137</v>
      </c>
      <c r="K144" s="3">
        <f>'Inflação Implícita'!K144-'Metas de Inflação'!K144</f>
        <v>0.89928261279971622</v>
      </c>
      <c r="L144" s="3">
        <f>'Inflação Implícita'!L144-'Metas de Inflação'!L144</f>
        <v>0.90923251203626609</v>
      </c>
      <c r="M144" s="3">
        <f>'Inflação Implícita'!M144-'Metas de Inflação'!M144</f>
        <v>0.9490509018793265</v>
      </c>
      <c r="N144" s="3">
        <f>'Inflação Implícita'!N144-'Metas de Inflação'!N144</f>
        <v>0.9888993859234736</v>
      </c>
      <c r="O144" s="3">
        <f>'Inflação Implícita'!O144-'Metas de Inflação'!O144</f>
        <v>1.0329805329805248</v>
      </c>
      <c r="P144" s="3">
        <f>'Inflação Implícita'!P144-'Metas de Inflação'!P144</f>
        <v>1.0652173913043557</v>
      </c>
      <c r="Q144" s="3">
        <f>'Inflação Implícita'!Q144-'Metas de Inflação'!Q144</f>
        <v>1.0746691871455534</v>
      </c>
    </row>
    <row r="145" spans="1:17" ht="18.75" customHeight="1" x14ac:dyDescent="0.25">
      <c r="A145" s="2">
        <v>42766</v>
      </c>
      <c r="B145" s="3">
        <f>'Inflação Implícita'!B145-'Metas de Inflação'!B145</f>
        <v>0.84999999999999964</v>
      </c>
      <c r="C145" s="3">
        <f>'Inflação Implícita'!C145-'Metas de Inflação'!C145</f>
        <v>0.22880437283917932</v>
      </c>
      <c r="D145" s="3">
        <f>'Inflação Implícita'!D145-'Metas de Inflação'!D145</f>
        <v>-0.11665038122308946</v>
      </c>
      <c r="E145" s="3">
        <f>'Inflação Implícita'!E145-'Metas de Inflação'!E145</f>
        <v>-4.6430360101686219E-2</v>
      </c>
      <c r="F145" s="3">
        <f>'Inflação Implícita'!F145-'Metas de Inflação'!F145</f>
        <v>7.069690718354682E-2</v>
      </c>
      <c r="G145" s="3">
        <f>'Inflação Implícita'!G145-'Metas de Inflação'!G145</f>
        <v>0.1798152781922786</v>
      </c>
      <c r="H145" s="3">
        <f>'Inflação Implícita'!H145-'Metas de Inflação'!H145</f>
        <v>0.27545610747656113</v>
      </c>
      <c r="I145" s="3">
        <f>'Inflação Implícita'!I145-'Metas de Inflação'!I145</f>
        <v>0.27545610747656113</v>
      </c>
      <c r="J145" s="3">
        <f>'Inflação Implícita'!J145-'Metas de Inflação'!J145</f>
        <v>0.42748552566231179</v>
      </c>
      <c r="K145" s="3">
        <f>'Inflação Implícita'!K145-'Metas de Inflação'!K145</f>
        <v>0.48901861526674928</v>
      </c>
      <c r="L145" s="3">
        <f>'Inflação Implícita'!L145-'Metas de Inflação'!L145</f>
        <v>0.54588040044362529</v>
      </c>
      <c r="M145" s="3">
        <f>'Inflação Implícita'!M145-'Metas de Inflação'!M145</f>
        <v>0.58959653982559157</v>
      </c>
      <c r="N145" s="3">
        <f>'Inflação Implícita'!N145-'Metas de Inflação'!N145</f>
        <v>0.62603376503801833</v>
      </c>
      <c r="O145" s="3">
        <f>'Inflação Implícita'!O145-'Metas de Inflação'!O145</f>
        <v>0.65786290577577855</v>
      </c>
      <c r="P145" s="3">
        <f>'Inflação Implícita'!P145-'Metas de Inflação'!P145</f>
        <v>0.68549092363473907</v>
      </c>
      <c r="Q145" s="3">
        <f>'Inflação Implícita'!Q145-'Metas de Inflação'!Q145</f>
        <v>0.70928571101870741</v>
      </c>
    </row>
    <row r="146" spans="1:17" ht="18.75" customHeight="1" x14ac:dyDescent="0.25">
      <c r="A146" s="2">
        <v>42794</v>
      </c>
      <c r="B146" s="3">
        <f>'Inflação Implícita'!B146-'Metas de Inflação'!B146</f>
        <v>0.25999999999999979</v>
      </c>
      <c r="C146" s="3">
        <f>'Inflação Implícita'!C146-'Metas de Inflação'!C146</f>
        <v>-0.25183033300751489</v>
      </c>
      <c r="D146" s="3">
        <f>'Inflação Implícita'!D146-'Metas de Inflação'!D146</f>
        <v>-0.27020369036464142</v>
      </c>
      <c r="E146" s="3">
        <f>'Inflação Implícita'!E146-'Metas de Inflação'!E146</f>
        <v>-0.14608872563700182</v>
      </c>
      <c r="F146" s="3">
        <f>'Inflação Implícita'!F146-'Metas de Inflação'!F146</f>
        <v>-5.0742062781490738E-2</v>
      </c>
      <c r="G146" s="3">
        <f>'Inflação Implícita'!G146-'Metas de Inflação'!G146</f>
        <v>3.2144012397432142E-2</v>
      </c>
      <c r="H146" s="3">
        <f>'Inflação Implícita'!H146-'Metas de Inflação'!H146</f>
        <v>0.10683117762419325</v>
      </c>
      <c r="I146" s="3">
        <f>'Inflação Implícita'!I146-'Metas de Inflação'!I146</f>
        <v>0.10683117762419325</v>
      </c>
      <c r="J146" s="3">
        <f>'Inflação Implícita'!J146-'Metas de Inflação'!J146</f>
        <v>0.23007558551106211</v>
      </c>
      <c r="K146" s="3">
        <f>'Inflação Implícita'!K146-'Metas de Inflação'!K146</f>
        <v>0.27996351059790658</v>
      </c>
      <c r="L146" s="3">
        <f>'Inflação Implícita'!L146-'Metas de Inflação'!L146</f>
        <v>0.32138210235305564</v>
      </c>
      <c r="M146" s="3">
        <f>'Inflação Implícita'!M146-'Metas de Inflação'!M146</f>
        <v>0.35741924601101882</v>
      </c>
      <c r="N146" s="3">
        <f>'Inflação Implícita'!N146-'Metas de Inflação'!N146</f>
        <v>0.38730174767681991</v>
      </c>
      <c r="O146" s="3">
        <f>'Inflação Implícita'!O146-'Metas de Inflação'!O146</f>
        <v>0.41328985264485318</v>
      </c>
      <c r="P146" s="3">
        <f>'Inflação Implícita'!P146-'Metas de Inflação'!P146</f>
        <v>0.43576497875436448</v>
      </c>
      <c r="Q146" s="3">
        <f>'Inflação Implícita'!Q146-'Metas de Inflação'!Q146</f>
        <v>0.45506798383236191</v>
      </c>
    </row>
    <row r="147" spans="1:17" ht="18.75" customHeight="1" x14ac:dyDescent="0.25">
      <c r="A147" s="2">
        <v>42825</v>
      </c>
      <c r="B147" s="3">
        <f>'Inflação Implícita'!B147-'Metas de Inflação'!B147</f>
        <v>7.0000000000000284E-2</v>
      </c>
      <c r="C147" s="3">
        <f>'Inflação Implícita'!C147-'Metas de Inflação'!C147</f>
        <v>-0.5319931355085199</v>
      </c>
      <c r="D147" s="3">
        <f>'Inflação Implícita'!D147-'Metas de Inflação'!D147</f>
        <v>-0.13084193081188289</v>
      </c>
      <c r="E147" s="3">
        <f>'Inflação Implícita'!E147-'Metas de Inflação'!E147</f>
        <v>-4.0096709253252705E-2</v>
      </c>
      <c r="F147" s="3">
        <f>'Inflação Implícita'!F147-'Metas de Inflação'!F147</f>
        <v>-1.5897300891494659E-2</v>
      </c>
      <c r="G147" s="3">
        <f>'Inflação Implícita'!G147-'Metas de Inflação'!G147</f>
        <v>6.1495863660150363E-3</v>
      </c>
      <c r="H147" s="3">
        <f>'Inflação Implícita'!H147-'Metas de Inflação'!H147</f>
        <v>3.2710103231174514E-2</v>
      </c>
      <c r="I147" s="3">
        <f>'Inflação Implícita'!I147-'Metas de Inflação'!I147</f>
        <v>3.2710103231174514E-2</v>
      </c>
      <c r="J147" s="3">
        <f>'Inflação Implícita'!J147-'Metas de Inflação'!J147</f>
        <v>8.3251226846685178E-2</v>
      </c>
      <c r="K147" s="3">
        <f>'Inflação Implícita'!K147-'Metas de Inflação'!K147</f>
        <v>0.10667156720959703</v>
      </c>
      <c r="L147" s="3">
        <f>'Inflação Implícita'!L147-'Metas de Inflação'!L147</f>
        <v>0.12655023377942509</v>
      </c>
      <c r="M147" s="3">
        <f>'Inflação Implícita'!M147-'Metas de Inflação'!M147</f>
        <v>0.14404456663938259</v>
      </c>
      <c r="N147" s="3">
        <f>'Inflação Implícita'!N147-'Metas de Inflação'!N147</f>
        <v>0.15863789797353878</v>
      </c>
      <c r="O147" s="3">
        <f>'Inflação Implícita'!O147-'Metas de Inflação'!O147</f>
        <v>0.17270864359632387</v>
      </c>
      <c r="P147" s="3">
        <f>'Inflação Implícita'!P147-'Metas de Inflação'!P147</f>
        <v>0.18238103142926132</v>
      </c>
      <c r="Q147" s="3">
        <f>'Inflação Implícita'!Q147-'Metas de Inflação'!Q147</f>
        <v>0.19184685408157165</v>
      </c>
    </row>
    <row r="148" spans="1:17" ht="18.75" customHeight="1" x14ac:dyDescent="0.25">
      <c r="A148" s="2">
        <v>42855</v>
      </c>
      <c r="B148" s="3">
        <f>'Inflação Implícita'!B148-'Metas de Inflação'!B148</f>
        <v>-0.41999999999999993</v>
      </c>
      <c r="C148" s="3">
        <f>'Inflação Implícita'!C148-'Metas de Inflação'!C148</f>
        <v>-0.63341629440557146</v>
      </c>
      <c r="D148" s="3">
        <f>'Inflação Implícita'!D148-'Metas de Inflação'!D148</f>
        <v>1.0732181562748799E-2</v>
      </c>
      <c r="E148" s="3">
        <f>'Inflação Implícita'!E148-'Metas de Inflação'!E148</f>
        <v>0.11354945434389041</v>
      </c>
      <c r="F148" s="3">
        <f>'Inflação Implícita'!F148-'Metas de Inflação'!F148</f>
        <v>0.10861512798287354</v>
      </c>
      <c r="G148" s="3">
        <f>'Inflação Implícita'!G148-'Metas de Inflação'!G148</f>
        <v>0.10833006970646775</v>
      </c>
      <c r="H148" s="3">
        <f>'Inflação Implícita'!H148-'Metas de Inflação'!H148</f>
        <v>0.12560173288024679</v>
      </c>
      <c r="I148" s="3">
        <f>'Inflação Implícita'!I148-'Metas de Inflação'!I148</f>
        <v>0.12560173288024679</v>
      </c>
      <c r="J148" s="3">
        <f>'Inflação Implícita'!J148-'Metas de Inflação'!J148</f>
        <v>0.18510749106645363</v>
      </c>
      <c r="K148" s="3">
        <f>'Inflação Implícita'!K148-'Metas de Inflação'!K148</f>
        <v>0.21100434669202706</v>
      </c>
      <c r="L148" s="3">
        <f>'Inflação Implícita'!L148-'Metas de Inflação'!L148</f>
        <v>0.23761334232383202</v>
      </c>
      <c r="M148" s="3">
        <f>'Inflação Implícita'!M148-'Metas de Inflação'!M148</f>
        <v>0.26573235578594545</v>
      </c>
      <c r="N148" s="3">
        <f>'Inflação Implícita'!N148-'Metas de Inflação'!N148</f>
        <v>0.28598911996692689</v>
      </c>
      <c r="O148" s="3">
        <f>'Inflação Implícita'!O148-'Metas de Inflação'!O148</f>
        <v>0.30357869220746636</v>
      </c>
      <c r="P148" s="3">
        <f>'Inflação Implícita'!P148-'Metas de Inflação'!P148</f>
        <v>0.31900398802679319</v>
      </c>
      <c r="Q148" s="3">
        <f>'Inflação Implícita'!Q148-'Metas de Inflação'!Q148</f>
        <v>0.33263339258517277</v>
      </c>
    </row>
    <row r="149" spans="1:17" ht="18.75" customHeight="1" x14ac:dyDescent="0.25">
      <c r="A149" s="2">
        <v>42886</v>
      </c>
      <c r="B149" s="3">
        <f>'Inflação Implícita'!B149-'Metas de Inflação'!B149</f>
        <v>-0.89999999999999991</v>
      </c>
      <c r="C149" s="3">
        <f>'Inflação Implícita'!C149-'Metas de Inflação'!C149</f>
        <v>-0.7125604449261429</v>
      </c>
      <c r="D149" s="3">
        <f>'Inflação Implícita'!D149-'Metas de Inflação'!D149</f>
        <v>-0.11607092948800624</v>
      </c>
      <c r="E149" s="3">
        <f>'Inflação Implícita'!E149-'Metas de Inflação'!E149</f>
        <v>6.9463259810335742E-2</v>
      </c>
      <c r="F149" s="3">
        <f>'Inflação Implícita'!F149-'Metas de Inflação'!F149</f>
        <v>0.1883062054873692</v>
      </c>
      <c r="G149" s="3">
        <f>'Inflação Implícita'!G149-'Metas de Inflação'!G149</f>
        <v>0.27935280515870975</v>
      </c>
      <c r="H149" s="3">
        <f>'Inflação Implícita'!H149-'Metas de Inflação'!H149</f>
        <v>0.34667390906425855</v>
      </c>
      <c r="I149" s="3">
        <f>'Inflação Implícita'!I149-'Metas de Inflação'!I149</f>
        <v>0.34667390906425855</v>
      </c>
      <c r="J149" s="3">
        <f>'Inflação Implícita'!J149-'Metas de Inflação'!J149</f>
        <v>0.43071954840553772</v>
      </c>
      <c r="K149" s="3">
        <f>'Inflação Implícita'!K149-'Metas de Inflação'!K149</f>
        <v>0.45669096447679536</v>
      </c>
      <c r="L149" s="3">
        <f>'Inflação Implícita'!L149-'Metas de Inflação'!L149</f>
        <v>0.47616332165384812</v>
      </c>
      <c r="M149" s="3">
        <f>'Inflação Implícita'!M149-'Metas de Inflação'!M149</f>
        <v>0.49132221774736262</v>
      </c>
      <c r="N149" s="3">
        <f>'Inflação Implícita'!N149-'Metas de Inflação'!N149</f>
        <v>0.50353436152409792</v>
      </c>
      <c r="O149" s="3">
        <f>'Inflação Implícita'!O149-'Metas de Inflação'!O149</f>
        <v>0.51362584222115881</v>
      </c>
      <c r="P149" s="3">
        <f>'Inflação Implícita'!P149-'Metas de Inflação'!P149</f>
        <v>0.52220294285633528</v>
      </c>
      <c r="Q149" s="3">
        <f>'Inflação Implícita'!Q149-'Metas de Inflação'!Q149</f>
        <v>0.52963490727259543</v>
      </c>
    </row>
    <row r="150" spans="1:17" ht="18.75" customHeight="1" x14ac:dyDescent="0.25">
      <c r="A150" s="2">
        <v>42916</v>
      </c>
      <c r="B150" s="3">
        <f>'Inflação Implícita'!B150-'Metas de Inflação'!B150</f>
        <v>-1.5</v>
      </c>
      <c r="C150" s="3">
        <f>'Inflação Implícita'!C150-'Metas de Inflação'!C150</f>
        <v>-0.88780225259133694</v>
      </c>
      <c r="D150" s="3">
        <f>'Inflação Implícita'!D150-'Metas de Inflação'!D150</f>
        <v>-0.20356981417895703</v>
      </c>
      <c r="E150" s="3">
        <f>'Inflação Implícita'!E150-'Metas de Inflação'!E150</f>
        <v>-0.1313416383996806</v>
      </c>
      <c r="F150" s="3">
        <f>'Inflação Implícita'!F150-'Metas de Inflação'!F150</f>
        <v>-4.6169789056301092E-2</v>
      </c>
      <c r="G150" s="3">
        <f>'Inflação Implícita'!G150-'Metas de Inflação'!G150</f>
        <v>4.5217896459963214E-2</v>
      </c>
      <c r="H150" s="3">
        <f>'Inflação Implícita'!H150-'Metas de Inflação'!H150</f>
        <v>0.12004554869825945</v>
      </c>
      <c r="I150" s="3">
        <f>'Inflação Implícita'!I150-'Metas de Inflação'!I150</f>
        <v>0.12004554869825945</v>
      </c>
      <c r="J150" s="3">
        <f>'Inflação Implícita'!J150-'Metas de Inflação'!J150</f>
        <v>0.21678880092778474</v>
      </c>
      <c r="K150" s="3">
        <f>'Inflação Implícita'!K150-'Metas de Inflação'!K150</f>
        <v>0.24745843911337229</v>
      </c>
      <c r="L150" s="3">
        <f>'Inflação Implícita'!L150-'Metas de Inflação'!L150</f>
        <v>0.27067469429341973</v>
      </c>
      <c r="M150" s="3">
        <f>'Inflação Implícita'!M150-'Metas de Inflação'!M150</f>
        <v>0.28903322657795449</v>
      </c>
      <c r="N150" s="3">
        <f>'Inflação Implícita'!N150-'Metas de Inflação'!N150</f>
        <v>0.30374889785724069</v>
      </c>
      <c r="O150" s="3">
        <f>'Inflação Implícita'!O150-'Metas de Inflação'!O150</f>
        <v>0.31598986717592936</v>
      </c>
      <c r="P150" s="3">
        <f>'Inflação Implícita'!P150-'Metas de Inflação'!P150</f>
        <v>0.32524194885378677</v>
      </c>
      <c r="Q150" s="3">
        <f>'Inflação Implícita'!Q150-'Metas de Inflação'!Q150</f>
        <v>0.33453558958675256</v>
      </c>
    </row>
    <row r="151" spans="1:17" ht="18.75" customHeight="1" x14ac:dyDescent="0.25">
      <c r="A151" s="2">
        <v>42947</v>
      </c>
      <c r="B151" s="3">
        <f>'Inflação Implícita'!B151-'Metas de Inflação'!B151</f>
        <v>-1.79</v>
      </c>
      <c r="C151" s="3">
        <f>'Inflação Implícita'!C151-'Metas de Inflação'!C151</f>
        <v>-5.9520099562744733E-2</v>
      </c>
      <c r="D151" s="3">
        <f>'Inflação Implícita'!D151-'Metas de Inflação'!D151</f>
        <v>0.42536336710414613</v>
      </c>
      <c r="E151" s="3">
        <f>'Inflação Implícita'!E151-'Metas de Inflação'!E151</f>
        <v>0.61904606751755153</v>
      </c>
      <c r="F151" s="3">
        <f>'Inflação Implícita'!F151-'Metas de Inflação'!F151</f>
        <v>0.625770014685604</v>
      </c>
      <c r="G151" s="3">
        <f>'Inflação Implícita'!G151-'Metas de Inflação'!G151</f>
        <v>0.65836835269795024</v>
      </c>
      <c r="H151" s="3">
        <f>'Inflação Implícita'!H151-'Metas de Inflação'!H151</f>
        <v>0.69064531896261627</v>
      </c>
      <c r="I151" s="3">
        <f>'Inflação Implícita'!I151-'Metas de Inflação'!I151</f>
        <v>0.69064531896261627</v>
      </c>
      <c r="J151" s="3">
        <f>'Inflação Implícita'!J151-'Metas de Inflação'!J151</f>
        <v>0.73390746605810708</v>
      </c>
      <c r="K151" s="3">
        <f>'Inflação Implícita'!K151-'Metas de Inflação'!K151</f>
        <v>0.74794122778292582</v>
      </c>
      <c r="L151" s="3">
        <f>'Inflação Implícita'!L151-'Metas de Inflação'!L151</f>
        <v>0.75841967202692562</v>
      </c>
      <c r="M151" s="3">
        <f>'Inflação Implícita'!M151-'Metas de Inflação'!M151</f>
        <v>0.76659210755656648</v>
      </c>
      <c r="N151" s="3">
        <f>'Inflação Implícita'!N151-'Metas de Inflação'!N151</f>
        <v>0.77380408719745297</v>
      </c>
      <c r="O151" s="3">
        <f>'Inflação Implícita'!O151-'Metas de Inflação'!O151</f>
        <v>0.77903171534910243</v>
      </c>
      <c r="P151" s="3">
        <f>'Inflação Implícita'!P151-'Metas de Inflação'!P151</f>
        <v>0.78347633405447059</v>
      </c>
      <c r="Q151" s="3">
        <f>'Inflação Implícita'!Q151-'Metas de Inflação'!Q151</f>
        <v>0.78731463484012298</v>
      </c>
    </row>
    <row r="152" spans="1:17" ht="18.75" customHeight="1" x14ac:dyDescent="0.25">
      <c r="A152" s="2">
        <v>42978</v>
      </c>
      <c r="B152" s="3">
        <f>'Inflação Implícita'!B152-'Metas de Inflação'!B152</f>
        <v>-2.04</v>
      </c>
      <c r="C152" s="3">
        <f>'Inflação Implícita'!C152-'Metas de Inflação'!C152</f>
        <v>-0.36230729033962117</v>
      </c>
      <c r="D152" s="3">
        <f>'Inflação Implícita'!D152-'Metas de Inflação'!D152</f>
        <v>0.32666397383855728</v>
      </c>
      <c r="E152" s="3">
        <f>'Inflação Implícita'!E152-'Metas de Inflação'!E152</f>
        <v>0.68777321678686132</v>
      </c>
      <c r="F152" s="3">
        <f>'Inflação Implícita'!F152-'Metas de Inflação'!F152</f>
        <v>0.76026578720250004</v>
      </c>
      <c r="G152" s="3">
        <f>'Inflação Implícita'!G152-'Metas de Inflação'!G152</f>
        <v>0.80676611461279268</v>
      </c>
      <c r="H152" s="3">
        <f>'Inflação Implícita'!H152-'Metas de Inflação'!H152</f>
        <v>0.83366422129656303</v>
      </c>
      <c r="I152" s="3">
        <f>'Inflação Implícita'!I152-'Metas de Inflação'!I152</f>
        <v>0.83366422129656303</v>
      </c>
      <c r="J152" s="3">
        <f>'Inflação Implícita'!J152-'Metas de Inflação'!J152</f>
        <v>0.85821489155175978</v>
      </c>
      <c r="K152" s="3">
        <f>'Inflação Implícita'!K152-'Metas de Inflação'!K152</f>
        <v>0.86449689026267063</v>
      </c>
      <c r="L152" s="3">
        <f>'Inflação Implícita'!L152-'Metas de Inflação'!L152</f>
        <v>0.86885650844237627</v>
      </c>
      <c r="M152" s="3">
        <f>'Inflação Implícita'!M152-'Metas de Inflação'!M152</f>
        <v>0.87215058274155233</v>
      </c>
      <c r="N152" s="3">
        <f>'Inflação Implícita'!N152-'Metas de Inflação'!N152</f>
        <v>0.87474939467256174</v>
      </c>
      <c r="O152" s="3">
        <f>'Inflação Implícita'!O152-'Metas de Inflação'!O152</f>
        <v>0.87688569824247242</v>
      </c>
      <c r="P152" s="3">
        <f>'Inflação Implícita'!P152-'Metas de Inflação'!P152</f>
        <v>0.87870120242690497</v>
      </c>
      <c r="Q152" s="3">
        <f>'Inflação Implícita'!Q152-'Metas de Inflação'!Q152</f>
        <v>0.88027048719867906</v>
      </c>
    </row>
    <row r="153" spans="1:17" ht="18.75" customHeight="1" x14ac:dyDescent="0.25">
      <c r="A153" s="2">
        <v>43008</v>
      </c>
      <c r="B153" s="3">
        <f>'Inflação Implícita'!B153-'Metas de Inflação'!B153</f>
        <v>-1.96</v>
      </c>
      <c r="C153" s="3">
        <f>'Inflação Implícita'!C153-'Metas de Inflação'!C153</f>
        <v>-0.49534066635382334</v>
      </c>
      <c r="D153" s="3">
        <f>'Inflação Implícita'!D153-'Metas de Inflação'!D153</f>
        <v>0.2058859841076659</v>
      </c>
      <c r="E153" s="3">
        <f>'Inflação Implícita'!E153-'Metas de Inflação'!E153</f>
        <v>0.56449963733531749</v>
      </c>
      <c r="F153" s="3">
        <f>'Inflação Implícita'!F153-'Metas de Inflação'!F153</f>
        <v>0.62382269007639568</v>
      </c>
      <c r="G153" s="3">
        <f>'Inflação Implícita'!G153-'Metas de Inflação'!G153</f>
        <v>0.66882669824604246</v>
      </c>
      <c r="H153" s="3">
        <f>'Inflação Implícita'!H153-'Metas de Inflação'!H153</f>
        <v>0.7034476776787848</v>
      </c>
      <c r="I153" s="3">
        <f>'Inflação Implícita'!I153-'Metas de Inflação'!I153</f>
        <v>0.7034476776787848</v>
      </c>
      <c r="J153" s="3">
        <f>'Inflação Implícita'!J153-'Metas de Inflação'!J153</f>
        <v>0.74896301023119971</v>
      </c>
      <c r="K153" s="3">
        <f>'Inflação Implícita'!K153-'Metas de Inflação'!K153</f>
        <v>0.7660750877773328</v>
      </c>
      <c r="L153" s="3">
        <f>'Inflação Implícita'!L153-'Metas de Inflação'!L153</f>
        <v>0.77972640596531217</v>
      </c>
      <c r="M153" s="3">
        <f>'Inflação Implícita'!M153-'Metas de Inflação'!M153</f>
        <v>0.7909546670707126</v>
      </c>
      <c r="N153" s="3">
        <f>'Inflação Implícita'!N153-'Metas de Inflação'!N153</f>
        <v>0.80026775553816787</v>
      </c>
      <c r="O153" s="3">
        <f>'Inflação Implícita'!O153-'Metas de Inflação'!O153</f>
        <v>0.80814107421734249</v>
      </c>
      <c r="P153" s="3">
        <f>'Inflação Implícita'!P153-'Metas de Inflação'!P153</f>
        <v>0.81493093343798861</v>
      </c>
      <c r="Q153" s="3">
        <f>'Inflação Implícita'!Q153-'Metas de Inflação'!Q153</f>
        <v>0.82084660854271707</v>
      </c>
    </row>
    <row r="154" spans="1:17" ht="18.75" customHeight="1" x14ac:dyDescent="0.25">
      <c r="A154" s="2">
        <v>43039</v>
      </c>
      <c r="B154" s="3">
        <f>'Inflação Implícita'!B154-'Metas de Inflação'!B154</f>
        <v>-1.7999999999999998</v>
      </c>
      <c r="C154" s="3">
        <f>'Inflação Implícita'!C154-'Metas de Inflação'!C154</f>
        <v>-3.1990205440939334E-3</v>
      </c>
      <c r="D154" s="3">
        <f>'Inflação Implícita'!D154-'Metas de Inflação'!D154</f>
        <v>0.52558559663098237</v>
      </c>
      <c r="E154" s="3">
        <f>'Inflação Implícita'!E154-'Metas de Inflação'!E154</f>
        <v>0.83998471260902452</v>
      </c>
      <c r="F154" s="3">
        <f>'Inflação Implícita'!F154-'Metas de Inflação'!F154</f>
        <v>0.85509999068352016</v>
      </c>
      <c r="G154" s="3">
        <f>'Inflação Implícita'!G154-'Metas de Inflação'!G154</f>
        <v>0.84364629870157604</v>
      </c>
      <c r="H154" s="3">
        <f>'Inflação Implícita'!H154-'Metas de Inflação'!H154</f>
        <v>0.82028595815531258</v>
      </c>
      <c r="I154" s="3">
        <f>'Inflação Implícita'!I154-'Metas de Inflação'!I154</f>
        <v>0.82028595815531258</v>
      </c>
      <c r="J154" s="3">
        <f>'Inflação Implícita'!J154-'Metas de Inflação'!J154</f>
        <v>0.7699010433237099</v>
      </c>
      <c r="K154" s="3">
        <f>'Inflação Implícita'!K154-'Metas de Inflação'!K154</f>
        <v>0.74744603575716351</v>
      </c>
      <c r="L154" s="3">
        <f>'Inflação Implícita'!L154-'Metas de Inflação'!L154</f>
        <v>0.72464127220002528</v>
      </c>
      <c r="M154" s="3">
        <f>'Inflação Implícita'!M154-'Metas de Inflação'!M154</f>
        <v>0.70808560485209693</v>
      </c>
      <c r="N154" s="3">
        <f>'Inflação Implícita'!N154-'Metas de Inflação'!N154</f>
        <v>0.69404188609692241</v>
      </c>
      <c r="O154" s="3">
        <f>'Inflação Implícita'!O154-'Metas de Inflação'!O154</f>
        <v>0.68183717075667527</v>
      </c>
      <c r="P154" s="3">
        <f>'Inflação Implícita'!P154-'Metas de Inflação'!P154</f>
        <v>0.67133714758285468</v>
      </c>
      <c r="Q154" s="3">
        <f>'Inflação Implícita'!Q154-'Metas de Inflação'!Q154</f>
        <v>0.66226443516268851</v>
      </c>
    </row>
    <row r="155" spans="1:17" ht="18.75" customHeight="1" x14ac:dyDescent="0.25">
      <c r="A155" s="2">
        <v>43069</v>
      </c>
      <c r="B155" s="3">
        <f>'Inflação Implícita'!B155-'Metas de Inflação'!B155</f>
        <v>-1.7000000000000002</v>
      </c>
      <c r="C155" s="3">
        <f>'Inflação Implícita'!C155-'Metas de Inflação'!C155</f>
        <v>-6.8328296288340695E-2</v>
      </c>
      <c r="D155" s="3">
        <f>'Inflação Implícita'!D155-'Metas de Inflação'!D155</f>
        <v>0.38243967747091201</v>
      </c>
      <c r="E155" s="3">
        <f>'Inflação Implícita'!E155-'Metas de Inflação'!E155</f>
        <v>0.75241776076222866</v>
      </c>
      <c r="F155" s="3">
        <f>'Inflação Implícita'!F155-'Metas de Inflação'!F155</f>
        <v>0.92496268430058226</v>
      </c>
      <c r="G155" s="3">
        <f>'Inflação Implícita'!G155-'Metas de Inflação'!G155</f>
        <v>1.0336721051822186</v>
      </c>
      <c r="H155" s="3">
        <f>'Inflação Implícita'!H155-'Metas de Inflação'!H155</f>
        <v>1.0875906403627935</v>
      </c>
      <c r="I155" s="3">
        <f>'Inflação Implícita'!I155-'Metas de Inflação'!I155</f>
        <v>1.0875906403627935</v>
      </c>
      <c r="J155" s="3">
        <f>'Inflação Implícita'!J155-'Metas de Inflação'!J155</f>
        <v>1.1217577128638059</v>
      </c>
      <c r="K155" s="3">
        <f>'Inflação Implícita'!K155-'Metas de Inflação'!K155</f>
        <v>1.1249275760242519</v>
      </c>
      <c r="L155" s="3">
        <f>'Inflação Implícita'!L155-'Metas de Inflação'!L155</f>
        <v>1.125262531637409</v>
      </c>
      <c r="M155" s="3">
        <f>'Inflação Implícita'!M155-'Metas de Inflação'!M155</f>
        <v>1.1244095711936222</v>
      </c>
      <c r="N155" s="3">
        <f>'Inflação Implícita'!N155-'Metas de Inflação'!N155</f>
        <v>1.1233200112598132</v>
      </c>
      <c r="O155" s="3">
        <f>'Inflação Implícita'!O155-'Metas de Inflação'!O155</f>
        <v>1.121793830139576</v>
      </c>
      <c r="P155" s="3">
        <f>'Inflação Implícita'!P155-'Metas de Inflação'!P155</f>
        <v>1.1205008052150225</v>
      </c>
      <c r="Q155" s="3">
        <f>'Inflação Implícita'!Q155-'Metas de Inflação'!Q155</f>
        <v>1.1193233695280727</v>
      </c>
    </row>
    <row r="156" spans="1:17" ht="18.75" customHeight="1" x14ac:dyDescent="0.25">
      <c r="A156" s="2">
        <v>43100</v>
      </c>
      <c r="B156" s="3">
        <f>'Inflação Implícita'!B156-'Metas de Inflação'!B156</f>
        <v>-1.5499999999999998</v>
      </c>
      <c r="C156" s="3">
        <f>'Inflação Implícita'!C156-'Metas de Inflação'!C156</f>
        <v>-0.27170499999999986</v>
      </c>
      <c r="D156" s="3">
        <f>'Inflação Implícita'!D156-'Metas de Inflação'!D156</f>
        <v>0.35872300000000035</v>
      </c>
      <c r="E156" s="3">
        <f>'Inflação Implícita'!E156-'Metas de Inflação'!E156</f>
        <v>0.65460399999999996</v>
      </c>
      <c r="F156" s="3">
        <f>'Inflação Implícita'!F156-'Metas de Inflação'!F156</f>
        <v>0.73156800000000022</v>
      </c>
      <c r="G156" s="3">
        <f>'Inflação Implícita'!G156-'Metas de Inflação'!G156</f>
        <v>0.80664099999999994</v>
      </c>
      <c r="H156" s="3">
        <f>'Inflação Implícita'!H156-'Metas de Inflação'!H156</f>
        <v>0.86466200000000004</v>
      </c>
      <c r="I156" s="3">
        <f>'Inflação Implícita'!I156-'Metas de Inflação'!I156</f>
        <v>0.86466200000000004</v>
      </c>
      <c r="J156" s="3">
        <f>'Inflação Implícita'!J156-'Metas de Inflação'!J156</f>
        <v>0.93982800000000033</v>
      </c>
      <c r="K156" s="3">
        <f>'Inflação Implícita'!K156-'Metas de Inflação'!K156</f>
        <v>0.96347499999999986</v>
      </c>
      <c r="L156" s="3">
        <f>'Inflação Implícita'!L156-'Metas de Inflação'!L156</f>
        <v>0.9819469999999999</v>
      </c>
      <c r="M156" s="3">
        <f>'Inflação Implícita'!M156-'Metas de Inflação'!M156</f>
        <v>0.99662800000000029</v>
      </c>
      <c r="N156" s="3">
        <f>'Inflação Implícita'!N156-'Metas de Inflação'!N156</f>
        <v>1.0087349999999997</v>
      </c>
      <c r="O156" s="3">
        <f>'Inflação Implícita'!O156-'Metas de Inflação'!O156</f>
        <v>1.0189919999999999</v>
      </c>
      <c r="P156" s="3">
        <f>'Inflação Implícita'!P156-'Metas de Inflação'!P156</f>
        <v>1.0266859999999998</v>
      </c>
      <c r="Q156" s="3">
        <f>'Inflação Implícita'!Q156-'Metas de Inflação'!Q156</f>
        <v>1.034262</v>
      </c>
    </row>
    <row r="157" spans="1:17" ht="18.75" customHeight="1" x14ac:dyDescent="0.25">
      <c r="A157" s="2">
        <v>43131</v>
      </c>
      <c r="B157" s="3">
        <f>'Inflação Implícita'!B157-'Metas de Inflação'!B157</f>
        <v>-1.6400000000000001</v>
      </c>
      <c r="C157" s="3">
        <f>'Inflação Implícita'!C157-'Metas de Inflação'!C157</f>
        <v>0.19751100000000044</v>
      </c>
      <c r="D157" s="3">
        <f>'Inflação Implícita'!D157-'Metas de Inflação'!D157</f>
        <v>0.49794200000000011</v>
      </c>
      <c r="E157" s="3">
        <f>'Inflação Implícita'!E157-'Metas de Inflação'!E157</f>
        <v>0.55456299999999992</v>
      </c>
      <c r="F157" s="3">
        <f>'Inflação Implícita'!F157-'Metas de Inflação'!F157</f>
        <v>0.63505199999999995</v>
      </c>
      <c r="G157" s="3">
        <f>'Inflação Implícita'!G157-'Metas de Inflação'!G157</f>
        <v>0.7011630000000002</v>
      </c>
      <c r="H157" s="3">
        <f>'Inflação Implícita'!H157-'Metas de Inflação'!H157</f>
        <v>0.75281500000000001</v>
      </c>
      <c r="I157" s="3">
        <f>'Inflação Implícita'!I157-'Metas de Inflação'!I157</f>
        <v>0.75281500000000001</v>
      </c>
      <c r="J157" s="3">
        <f>'Inflação Implícita'!J157-'Metas de Inflação'!J157</f>
        <v>0.84225499999999975</v>
      </c>
      <c r="K157" s="3">
        <f>'Inflação Implícita'!K157-'Metas de Inflação'!K157</f>
        <v>0.87998900000000013</v>
      </c>
      <c r="L157" s="3">
        <f>'Inflação Implícita'!L157-'Metas de Inflação'!L157</f>
        <v>0.91461099999999984</v>
      </c>
      <c r="M157" s="3">
        <f>'Inflação Implícita'!M157-'Metas de Inflação'!M157</f>
        <v>0.94964099999999974</v>
      </c>
      <c r="N157" s="3">
        <f>'Inflação Implícita'!N157-'Metas de Inflação'!N157</f>
        <v>0.97841100000000036</v>
      </c>
      <c r="O157" s="3">
        <f>'Inflação Implícita'!O157-'Metas de Inflação'!O157</f>
        <v>1.0047699999999997</v>
      </c>
      <c r="P157" s="3">
        <f>'Inflação Implícita'!P157-'Metas de Inflação'!P157</f>
        <v>1.0285250000000001</v>
      </c>
      <c r="Q157" s="3">
        <f>'Inflação Implícita'!Q157-'Metas de Inflação'!Q157</f>
        <v>1.0505240000000002</v>
      </c>
    </row>
    <row r="158" spans="1:17" ht="18.75" customHeight="1" x14ac:dyDescent="0.25">
      <c r="A158" s="2">
        <v>43159</v>
      </c>
      <c r="B158" s="3">
        <f>'Inflação Implícita'!B158-'Metas de Inflação'!B158</f>
        <v>-1.6600000000000001</v>
      </c>
      <c r="C158" s="3">
        <f>'Inflação Implícita'!C158-'Metas de Inflação'!C158</f>
        <v>-0.19704299999999986</v>
      </c>
      <c r="D158" s="3">
        <f>'Inflação Implícita'!D158-'Metas de Inflação'!D158</f>
        <v>0.19192500000000035</v>
      </c>
      <c r="E158" s="3">
        <f>'Inflação Implícita'!E158-'Metas de Inflação'!E158</f>
        <v>0.30192700000000006</v>
      </c>
      <c r="F158" s="3">
        <f>'Inflação Implícita'!F158-'Metas de Inflação'!F158</f>
        <v>0.43162300000000009</v>
      </c>
      <c r="G158" s="3">
        <f>'Inflação Implícita'!G158-'Metas de Inflação'!G158</f>
        <v>0.53300699999999956</v>
      </c>
      <c r="H158" s="3">
        <f>'Inflação Implícita'!H158-'Metas de Inflação'!H158</f>
        <v>0.60302399999999956</v>
      </c>
      <c r="I158" s="3">
        <f>'Inflação Implícita'!I158-'Metas de Inflação'!I158</f>
        <v>0.60302399999999956</v>
      </c>
      <c r="J158" s="3">
        <f>'Inflação Implícita'!J158-'Metas de Inflação'!J158</f>
        <v>0.69723299999999977</v>
      </c>
      <c r="K158" s="3">
        <f>'Inflação Implícita'!K158-'Metas de Inflação'!K158</f>
        <v>0.72731999999999974</v>
      </c>
      <c r="L158" s="3">
        <f>'Inflação Implícita'!L158-'Metas de Inflação'!L158</f>
        <v>0.75191300000000005</v>
      </c>
      <c r="M158" s="3">
        <f>'Inflação Implícita'!M158-'Metas de Inflação'!M158</f>
        <v>0.77146399999999993</v>
      </c>
      <c r="N158" s="3">
        <f>'Inflação Implícita'!N158-'Metas de Inflação'!N158</f>
        <v>0.78798100000000026</v>
      </c>
      <c r="O158" s="3">
        <f>'Inflação Implícita'!O158-'Metas de Inflação'!O158</f>
        <v>0.80196899999999971</v>
      </c>
      <c r="P158" s="3">
        <f>'Inflação Implícita'!P158-'Metas de Inflação'!P158</f>
        <v>0.81379800000000024</v>
      </c>
      <c r="Q158" s="3">
        <f>'Inflação Implícita'!Q158-'Metas de Inflação'!Q158</f>
        <v>0.82419799999999999</v>
      </c>
    </row>
    <row r="159" spans="1:17" ht="18.75" customHeight="1" x14ac:dyDescent="0.25">
      <c r="A159" s="2">
        <v>43190</v>
      </c>
      <c r="B159" s="3">
        <f>'Inflação Implícita'!B159-'Metas de Inflação'!B159</f>
        <v>-1.8199999999999998</v>
      </c>
      <c r="C159" s="3">
        <f>'Inflação Implícita'!C159-'Metas de Inflação'!C159</f>
        <v>-8.308099999999996E-2</v>
      </c>
      <c r="D159" s="3">
        <f>'Inflação Implícita'!D159-'Metas de Inflação'!D159</f>
        <v>0.23650600000000033</v>
      </c>
      <c r="E159" s="3">
        <f>'Inflação Implícita'!E159-'Metas de Inflação'!E159</f>
        <v>0.37056199999999961</v>
      </c>
      <c r="F159" s="3">
        <f>'Inflação Implícita'!F159-'Metas de Inflação'!F159</f>
        <v>0.51388999999999996</v>
      </c>
      <c r="G159" s="3">
        <f>'Inflação Implícita'!G159-'Metas de Inflação'!G159</f>
        <v>0.61674499999999988</v>
      </c>
      <c r="H159" s="3">
        <f>'Inflação Implícita'!H159-'Metas de Inflação'!H159</f>
        <v>0.67682199999999959</v>
      </c>
      <c r="I159" s="3">
        <f>'Inflação Implícita'!I159-'Metas de Inflação'!I159</f>
        <v>0.67682199999999959</v>
      </c>
      <c r="J159" s="3">
        <f>'Inflação Implícita'!J159-'Metas de Inflação'!J159</f>
        <v>0.75003200000000003</v>
      </c>
      <c r="K159" s="3">
        <f>'Inflação Implícita'!K159-'Metas de Inflação'!K159</f>
        <v>0.76959300000000042</v>
      </c>
      <c r="L159" s="3">
        <f>'Inflação Implícita'!L159-'Metas de Inflação'!L159</f>
        <v>0.78400200000000009</v>
      </c>
      <c r="M159" s="3">
        <f>'Inflação Implícita'!M159-'Metas de Inflação'!M159</f>
        <v>0.79454099999999972</v>
      </c>
      <c r="N159" s="3">
        <f>'Inflação Implícita'!N159-'Metas de Inflação'!N159</f>
        <v>0.80375300000000038</v>
      </c>
      <c r="O159" s="3">
        <f>'Inflação Implícita'!O159-'Metas de Inflação'!O159</f>
        <v>0.80967599999999962</v>
      </c>
      <c r="P159" s="3">
        <f>'Inflação Implícita'!P159-'Metas de Inflação'!P159</f>
        <v>0.81522299999999959</v>
      </c>
      <c r="Q159" s="3">
        <f>'Inflação Implícita'!Q159-'Metas de Inflação'!Q159</f>
        <v>0.819998</v>
      </c>
    </row>
    <row r="160" spans="1:17" ht="18.75" customHeight="1" x14ac:dyDescent="0.25">
      <c r="A160" s="2">
        <v>43220</v>
      </c>
      <c r="B160" s="3">
        <f>'Inflação Implícita'!B160-'Metas de Inflação'!B160</f>
        <v>-1.7400000000000002</v>
      </c>
      <c r="C160" s="3">
        <f>'Inflação Implícita'!C160-'Metas de Inflação'!C160</f>
        <v>1.331400000000027E-2</v>
      </c>
      <c r="D160" s="3">
        <f>'Inflação Implícita'!D160-'Metas de Inflação'!D160</f>
        <v>0.43019599999999958</v>
      </c>
      <c r="E160" s="3">
        <f>'Inflação Implícita'!E160-'Metas de Inflação'!E160</f>
        <v>0.48665299999999956</v>
      </c>
      <c r="F160" s="3">
        <f>'Inflação Implícita'!F160-'Metas de Inflação'!F160</f>
        <v>0.553979</v>
      </c>
      <c r="G160" s="3">
        <f>'Inflação Implícita'!G160-'Metas de Inflação'!G160</f>
        <v>0.62635799999999975</v>
      </c>
      <c r="H160" s="3">
        <f>'Inflação Implícita'!H160-'Metas de Inflação'!H160</f>
        <v>0.68944100000000041</v>
      </c>
      <c r="I160" s="3">
        <f>'Inflação Implícita'!I160-'Metas de Inflação'!I160</f>
        <v>0.68944100000000041</v>
      </c>
      <c r="J160" s="3">
        <f>'Inflação Implícita'!J160-'Metas de Inflação'!J160</f>
        <v>0.78242700000000021</v>
      </c>
      <c r="K160" s="3">
        <f>'Inflação Implícita'!K160-'Metas de Inflação'!K160</f>
        <v>0.81647599999999976</v>
      </c>
      <c r="L160" s="3">
        <f>'Inflação Implícita'!L160-'Metas de Inflação'!L160</f>
        <v>0.8445039999999997</v>
      </c>
      <c r="M160" s="3">
        <f>'Inflação Implícita'!M160-'Metas de Inflação'!M160</f>
        <v>0.87159099999999956</v>
      </c>
      <c r="N160" s="3">
        <f>'Inflação Implícita'!N160-'Metas de Inflação'!N160</f>
        <v>0.89049599999999973</v>
      </c>
      <c r="O160" s="3">
        <f>'Inflação Implícita'!O160-'Metas de Inflação'!O160</f>
        <v>0.90665700000000005</v>
      </c>
      <c r="P160" s="3">
        <f>'Inflação Implícita'!P160-'Metas de Inflação'!P160</f>
        <v>0.91739800000000038</v>
      </c>
      <c r="Q160" s="3">
        <f>'Inflação Implícita'!Q160-'Metas de Inflação'!Q160</f>
        <v>0.93261600000000033</v>
      </c>
    </row>
    <row r="161" spans="1:17" ht="18.75" customHeight="1" x14ac:dyDescent="0.25">
      <c r="A161" s="2">
        <v>43251</v>
      </c>
      <c r="B161" s="3">
        <f>'Inflação Implícita'!B161-'Metas de Inflação'!B161</f>
        <v>-1.6400000000000001</v>
      </c>
      <c r="C161" s="3">
        <f>'Inflação Implícita'!C161-'Metas de Inflação'!C161</f>
        <v>0.5335700000000001</v>
      </c>
      <c r="D161" s="3">
        <f>'Inflação Implícita'!D161-'Metas de Inflação'!D161</f>
        <v>0.48662000000000027</v>
      </c>
      <c r="E161" s="3">
        <f>'Inflação Implícita'!E161-'Metas de Inflação'!E161</f>
        <v>0.62479800000000019</v>
      </c>
      <c r="F161" s="3">
        <f>'Inflação Implícita'!F161-'Metas de Inflação'!F161</f>
        <v>0.90516400000000008</v>
      </c>
      <c r="G161" s="3">
        <f>'Inflação Implícita'!G161-'Metas de Inflação'!G161</f>
        <v>1.1869230000000002</v>
      </c>
      <c r="H161" s="3">
        <f>'Inflação Implícita'!H161-'Metas de Inflação'!H161</f>
        <v>1.4260820000000001</v>
      </c>
      <c r="I161" s="3">
        <f>'Inflação Implícita'!I161-'Metas de Inflação'!I161</f>
        <v>1.4260820000000001</v>
      </c>
      <c r="J161" s="3">
        <f>'Inflação Implícita'!J161-'Metas de Inflação'!J161</f>
        <v>1.7608430000000004</v>
      </c>
      <c r="K161" s="3">
        <f>'Inflação Implícita'!K161-'Metas de Inflação'!K161</f>
        <v>1.8711010000000003</v>
      </c>
      <c r="L161" s="3">
        <f>'Inflação Implícita'!L161-'Metas de Inflação'!L161</f>
        <v>1.9557640000000003</v>
      </c>
      <c r="M161" s="3">
        <f>'Inflação Implícita'!M161-'Metas de Inflação'!M161</f>
        <v>2.0220520000000004</v>
      </c>
      <c r="N161" s="3">
        <f>'Inflação Implícita'!N161-'Metas de Inflação'!N161</f>
        <v>2.074916</v>
      </c>
      <c r="O161" s="3">
        <f>'Inflação Implícita'!O161-'Metas de Inflação'!O161</f>
        <v>2.1182090000000002</v>
      </c>
      <c r="P161" s="3">
        <f>'Inflação Implícita'!P161-'Metas de Inflação'!P161</f>
        <v>2.1544179999999997</v>
      </c>
      <c r="Q161" s="3">
        <f>'Inflação Implícita'!Q161-'Metas de Inflação'!Q161</f>
        <v>2.1844109999999999</v>
      </c>
    </row>
    <row r="162" spans="1:17" ht="18.75" customHeight="1" x14ac:dyDescent="0.25">
      <c r="A162" s="2">
        <v>43281</v>
      </c>
      <c r="B162" s="3">
        <f>'Inflação Implícita'!B162-'Metas de Inflação'!B162</f>
        <v>-0.11000000000000032</v>
      </c>
      <c r="C162" s="3">
        <f>'Inflação Implícita'!C162-'Metas de Inflação'!C162</f>
        <v>0.4582670000000002</v>
      </c>
      <c r="D162" s="3">
        <f>'Inflação Implícita'!D162-'Metas de Inflação'!D162</f>
        <v>0.37989799999999985</v>
      </c>
      <c r="E162" s="3">
        <f>'Inflação Implícita'!E162-'Metas de Inflação'!E162</f>
        <v>0.60698499999999989</v>
      </c>
      <c r="F162" s="3">
        <f>'Inflação Implícita'!F162-'Metas de Inflação'!F162</f>
        <v>0.92284800000000011</v>
      </c>
      <c r="G162" s="3">
        <f>'Inflação Implícita'!G162-'Metas de Inflação'!G162</f>
        <v>1.2017540000000002</v>
      </c>
      <c r="H162" s="3">
        <f>'Inflação Implícita'!H162-'Metas de Inflação'!H162</f>
        <v>1.4224119999999996</v>
      </c>
      <c r="I162" s="3">
        <f>'Inflação Implícita'!I162-'Metas de Inflação'!I162</f>
        <v>1.4224119999999996</v>
      </c>
      <c r="J162" s="3">
        <f>'Inflação Implícita'!J162-'Metas de Inflação'!J162</f>
        <v>1.730029</v>
      </c>
      <c r="K162" s="3">
        <f>'Inflação Implícita'!K162-'Metas de Inflação'!K162</f>
        <v>1.8347980000000002</v>
      </c>
      <c r="L162" s="3">
        <f>'Inflação Implícita'!L162-'Metas de Inflação'!L162</f>
        <v>1.9188939999999999</v>
      </c>
      <c r="M162" s="3">
        <f>'Inflação Implícita'!M162-'Metas de Inflação'!M162</f>
        <v>1.9866200000000003</v>
      </c>
      <c r="N162" s="3">
        <f>'Inflação Implícita'!N162-'Metas de Inflação'!N162</f>
        <v>2.042853</v>
      </c>
      <c r="O162" s="3">
        <f>'Inflação Implícita'!O162-'Metas de Inflação'!O162</f>
        <v>2.0851360000000003</v>
      </c>
      <c r="P162" s="3">
        <f>'Inflação Implícita'!P162-'Metas de Inflação'!P162</f>
        <v>2.1273099999999996</v>
      </c>
      <c r="Q162" s="3">
        <f>'Inflação Implícita'!Q162-'Metas de Inflação'!Q162</f>
        <v>2.1630900000000004</v>
      </c>
    </row>
    <row r="163" spans="1:17" ht="18.75" customHeight="1" x14ac:dyDescent="0.25">
      <c r="A163" s="2">
        <v>43312</v>
      </c>
      <c r="B163" s="3">
        <f>'Inflação Implícita'!B163-'Metas de Inflação'!B163</f>
        <v>-1.9999999999999574E-2</v>
      </c>
      <c r="C163" s="3">
        <f>'Inflação Implícita'!C163-'Metas de Inflação'!C163</f>
        <v>-0.35645199999999999</v>
      </c>
      <c r="D163" s="3">
        <f>'Inflação Implícita'!D163-'Metas de Inflação'!D163</f>
        <v>0.23472000000000026</v>
      </c>
      <c r="E163" s="3">
        <f>'Inflação Implícita'!E163-'Metas de Inflação'!E163</f>
        <v>0.74061500000000002</v>
      </c>
      <c r="F163" s="3">
        <f>'Inflação Implícita'!F163-'Metas de Inflação'!F163</f>
        <v>1.0374780000000001</v>
      </c>
      <c r="G163" s="3">
        <f>'Inflação Implícita'!G163-'Metas de Inflação'!G163</f>
        <v>1.3016310000000004</v>
      </c>
      <c r="H163" s="3">
        <f>'Inflação Implícita'!H163-'Metas de Inflação'!H163</f>
        <v>1.4957739999999999</v>
      </c>
      <c r="I163" s="3">
        <f>'Inflação Implícita'!I163-'Metas de Inflação'!I163</f>
        <v>1.4957739999999999</v>
      </c>
      <c r="J163" s="3">
        <f>'Inflação Implícita'!J163-'Metas de Inflação'!J163</f>
        <v>1.7312659999999997</v>
      </c>
      <c r="K163" s="3">
        <f>'Inflação Implícita'!K163-'Metas de Inflação'!K163</f>
        <v>1.7858770000000002</v>
      </c>
      <c r="L163" s="3">
        <f>'Inflação Implícita'!L163-'Metas de Inflação'!L163</f>
        <v>1.815804</v>
      </c>
      <c r="M163" s="3">
        <f>'Inflação Implícita'!M163-'Metas de Inflação'!M163</f>
        <v>1.83033</v>
      </c>
      <c r="N163" s="3">
        <f>'Inflação Implícita'!N163-'Metas de Inflação'!N163</f>
        <v>1.8339109999999996</v>
      </c>
      <c r="O163" s="3">
        <f>'Inflação Implícita'!O163-'Metas de Inflação'!O163</f>
        <v>1.8318440000000002</v>
      </c>
      <c r="P163" s="3">
        <f>'Inflação Implícita'!P163-'Metas de Inflação'!P163</f>
        <v>1.8282090000000002</v>
      </c>
      <c r="Q163" s="3">
        <f>'Inflação Implícita'!Q163-'Metas de Inflação'!Q163</f>
        <v>1.820284</v>
      </c>
    </row>
    <row r="164" spans="1:17" ht="18.75" customHeight="1" x14ac:dyDescent="0.25">
      <c r="A164" s="2">
        <v>43343</v>
      </c>
      <c r="B164" s="3">
        <f>'Inflação Implícita'!B164-'Metas de Inflação'!B164</f>
        <v>-0.30999999999999961</v>
      </c>
      <c r="C164" s="3">
        <f>'Inflação Implícita'!C164-'Metas de Inflação'!C164</f>
        <v>0.46698899999999988</v>
      </c>
      <c r="D164" s="3">
        <f>'Inflação Implícita'!D164-'Metas de Inflação'!D164</f>
        <v>0.79160499999999967</v>
      </c>
      <c r="E164" s="3">
        <f>'Inflação Implícita'!E164-'Metas de Inflação'!E164</f>
        <v>1.2537929999999999</v>
      </c>
      <c r="F164" s="3">
        <f>'Inflação Implícita'!F164-'Metas de Inflação'!F164</f>
        <v>1.6646260000000002</v>
      </c>
      <c r="G164" s="3">
        <f>'Inflação Implícita'!G164-'Metas de Inflação'!G164</f>
        <v>2.0373010000000003</v>
      </c>
      <c r="H164" s="3">
        <f>'Inflação Implícita'!H164-'Metas de Inflação'!H164</f>
        <v>2.3011970000000002</v>
      </c>
      <c r="I164" s="3">
        <f>'Inflação Implícita'!I164-'Metas de Inflação'!I164</f>
        <v>2.3011970000000002</v>
      </c>
      <c r="J164" s="3">
        <f>'Inflação Implícita'!J164-'Metas de Inflação'!J164</f>
        <v>2.6147289999999996</v>
      </c>
      <c r="K164" s="3">
        <f>'Inflação Implícita'!K164-'Metas de Inflação'!K164</f>
        <v>2.6877870000000001</v>
      </c>
      <c r="L164" s="3">
        <f>'Inflação Implícita'!L164-'Metas de Inflação'!L164</f>
        <v>2.7290089999999996</v>
      </c>
      <c r="M164" s="3">
        <f>'Inflação Implícita'!M164-'Metas de Inflação'!M164</f>
        <v>2.7491880000000002</v>
      </c>
      <c r="N164" s="3">
        <f>'Inflação Implícita'!N164-'Metas de Inflação'!N164</f>
        <v>2.7561460000000002</v>
      </c>
      <c r="O164" s="3">
        <f>'Inflação Implícita'!O164-'Metas de Inflação'!O164</f>
        <v>2.7549400000000004</v>
      </c>
      <c r="P164" s="3">
        <f>'Inflação Implícita'!P164-'Metas de Inflação'!P164</f>
        <v>2.7488279999999996</v>
      </c>
      <c r="Q164" s="3">
        <f>'Inflação Implícita'!Q164-'Metas de Inflação'!Q164</f>
        <v>2.7401520000000001</v>
      </c>
    </row>
    <row r="165" spans="1:17" ht="18.75" customHeight="1" x14ac:dyDescent="0.25">
      <c r="A165" s="2">
        <v>43373</v>
      </c>
      <c r="B165" s="3">
        <f>'Inflação Implícita'!B165-'Metas de Inflação'!B165</f>
        <v>3.0000000000000249E-2</v>
      </c>
      <c r="C165" s="3">
        <f>'Inflação Implícita'!C165-'Metas de Inflação'!C165</f>
        <v>0.91161099999999973</v>
      </c>
      <c r="D165" s="3">
        <f>'Inflação Implícita'!D165-'Metas de Inflação'!D165</f>
        <v>0.9867720000000002</v>
      </c>
      <c r="E165" s="3">
        <f>'Inflação Implícita'!E165-'Metas de Inflação'!E165</f>
        <v>1.1705620000000003</v>
      </c>
      <c r="F165" s="3">
        <f>'Inflação Implícita'!F165-'Metas de Inflação'!F165</f>
        <v>1.3334520000000003</v>
      </c>
      <c r="G165" s="3">
        <f>'Inflação Implícita'!G165-'Metas de Inflação'!G165</f>
        <v>1.5479820000000002</v>
      </c>
      <c r="H165" s="3">
        <f>'Inflação Implícita'!H165-'Metas de Inflação'!H165</f>
        <v>1.7166769999999998</v>
      </c>
      <c r="I165" s="3">
        <f>'Inflação Implícita'!I165-'Metas de Inflação'!I165</f>
        <v>1.7166769999999998</v>
      </c>
      <c r="J165" s="3">
        <f>'Inflação Implícita'!J165-'Metas de Inflação'!J165</f>
        <v>1.9509759999999998</v>
      </c>
      <c r="K165" s="3">
        <f>'Inflação Implícita'!K165-'Metas de Inflação'!K165</f>
        <v>2.0133599999999996</v>
      </c>
      <c r="L165" s="3">
        <f>'Inflação Implícita'!L165-'Metas de Inflação'!L165</f>
        <v>2.0528550000000001</v>
      </c>
      <c r="M165" s="3">
        <f>'Inflação Implícita'!M165-'Metas de Inflação'!M165</f>
        <v>2.0770980000000003</v>
      </c>
      <c r="N165" s="3">
        <f>'Inflação Implícita'!N165-'Metas de Inflação'!N165</f>
        <v>2.0917589999999997</v>
      </c>
      <c r="O165" s="3">
        <f>'Inflação Implícita'!O165-'Metas de Inflação'!O165</f>
        <v>2.1004889999999996</v>
      </c>
      <c r="P165" s="3">
        <f>'Inflação Implícita'!P165-'Metas de Inflação'!P165</f>
        <v>2.1055190000000001</v>
      </c>
      <c r="Q165" s="3">
        <f>'Inflação Implícita'!Q165-'Metas de Inflação'!Q165</f>
        <v>2.1082419999999997</v>
      </c>
    </row>
    <row r="166" spans="1:17" ht="18.75" customHeight="1" x14ac:dyDescent="0.25">
      <c r="A166" s="2">
        <v>43404</v>
      </c>
      <c r="B166" s="3">
        <f>'Inflação Implícita'!B166-'Metas de Inflação'!B166</f>
        <v>5.9999999999999609E-2</v>
      </c>
      <c r="C166" s="3">
        <f>'Inflação Implícita'!C166-'Metas de Inflação'!C166</f>
        <v>0.1368159999999996</v>
      </c>
      <c r="D166" s="3">
        <f>'Inflação Implícita'!D166-'Metas de Inflação'!D166</f>
        <v>0.22679799999999961</v>
      </c>
      <c r="E166" s="3">
        <f>'Inflação Implícita'!E166-'Metas de Inflação'!E166</f>
        <v>0.57754599999999989</v>
      </c>
      <c r="F166" s="3">
        <f>'Inflação Implícita'!F166-'Metas de Inflação'!F166</f>
        <v>0.77660100000000032</v>
      </c>
      <c r="G166" s="3">
        <f>'Inflação Implícita'!G166-'Metas de Inflação'!G166</f>
        <v>0.9644149999999998</v>
      </c>
      <c r="H166" s="3">
        <f>'Inflação Implícita'!H166-'Metas de Inflação'!H166</f>
        <v>1.1169789999999997</v>
      </c>
      <c r="I166" s="3">
        <f>'Inflação Implícita'!I166-'Metas de Inflação'!I166</f>
        <v>1.1169789999999997</v>
      </c>
      <c r="J166" s="3">
        <f>'Inflação Implícita'!J166-'Metas de Inflação'!J166</f>
        <v>1.3501560000000001</v>
      </c>
      <c r="K166" s="3">
        <f>'Inflação Implícita'!K166-'Metas de Inflação'!K166</f>
        <v>1.4345119999999998</v>
      </c>
      <c r="L166" s="3">
        <f>'Inflação Implícita'!L166-'Metas de Inflação'!L166</f>
        <v>1.5045159999999997</v>
      </c>
      <c r="M166" s="3">
        <f>'Inflação Implícita'!M166-'Metas de Inflação'!M166</f>
        <v>1.5728429999999998</v>
      </c>
      <c r="N166" s="3">
        <f>'Inflação Implícita'!N166-'Metas de Inflação'!N166</f>
        <v>1.6111089999999999</v>
      </c>
      <c r="O166" s="3">
        <f>'Inflação Implícita'!O166-'Metas de Inflação'!O166</f>
        <v>1.6528029999999996</v>
      </c>
      <c r="P166" s="3">
        <f>'Inflação Implícita'!P166-'Metas de Inflação'!P166</f>
        <v>1.6968069999999997</v>
      </c>
      <c r="Q166" s="3">
        <f>'Inflação Implícita'!Q166-'Metas de Inflação'!Q166</f>
        <v>1.7273019999999999</v>
      </c>
    </row>
    <row r="167" spans="1:17" ht="18.75" customHeight="1" x14ac:dyDescent="0.25">
      <c r="A167" s="2">
        <v>43434</v>
      </c>
      <c r="B167" s="3">
        <f>'Inflação Implícita'!B167-'Metas de Inflação'!B167</f>
        <v>-0.45000000000000018</v>
      </c>
      <c r="C167" s="3">
        <f>'Inflação Implícita'!C167-'Metas de Inflação'!C167</f>
        <v>-0.51020900000000013</v>
      </c>
      <c r="D167" s="3">
        <f>'Inflação Implícita'!D167-'Metas de Inflação'!D167</f>
        <v>-6.9811000000000067E-2</v>
      </c>
      <c r="E167" s="3">
        <f>'Inflação Implícita'!E167-'Metas de Inflação'!E167</f>
        <v>0.33340700000000023</v>
      </c>
      <c r="F167" s="3">
        <f>'Inflação Implícita'!F167-'Metas de Inflação'!F167</f>
        <v>0.54002700000000026</v>
      </c>
      <c r="G167" s="3">
        <f>'Inflação Implícita'!G167-'Metas de Inflação'!G167</f>
        <v>0.72437299999999993</v>
      </c>
      <c r="H167" s="3">
        <f>'Inflação Implícita'!H167-'Metas de Inflação'!H167</f>
        <v>0.87170799999999993</v>
      </c>
      <c r="I167" s="3">
        <f>'Inflação Implícita'!I167-'Metas de Inflação'!I167</f>
        <v>0.87170799999999993</v>
      </c>
      <c r="J167" s="3">
        <f>'Inflação Implícita'!J167-'Metas de Inflação'!J167</f>
        <v>1.0700019999999997</v>
      </c>
      <c r="K167" s="3">
        <f>'Inflação Implícita'!K167-'Metas de Inflação'!K167</f>
        <v>1.1382810000000001</v>
      </c>
      <c r="L167" s="3">
        <f>'Inflação Implícita'!L167-'Metas de Inflação'!L167</f>
        <v>1.193702</v>
      </c>
      <c r="M167" s="3">
        <f>'Inflação Implícita'!M167-'Metas de Inflação'!M167</f>
        <v>1.2388079999999997</v>
      </c>
      <c r="N167" s="3">
        <f>'Inflação Implícita'!N167-'Metas de Inflação'!N167</f>
        <v>1.2768750000000004</v>
      </c>
      <c r="O167" s="3">
        <f>'Inflação Implícita'!O167-'Metas de Inflação'!O167</f>
        <v>1.3089339999999998</v>
      </c>
      <c r="P167" s="3">
        <f>'Inflação Implícita'!P167-'Metas de Inflação'!P167</f>
        <v>1.3361929999999997</v>
      </c>
      <c r="Q167" s="3">
        <f>'Inflação Implícita'!Q167-'Metas de Inflação'!Q167</f>
        <v>1.3600019999999997</v>
      </c>
    </row>
    <row r="168" spans="1:17" ht="18.75" customHeight="1" x14ac:dyDescent="0.25">
      <c r="A168" s="2">
        <v>43465</v>
      </c>
      <c r="B168" s="3">
        <f>'Inflação Implícita'!B168-'Metas de Inflação'!B168</f>
        <v>-0.75</v>
      </c>
      <c r="C168" s="3">
        <f>'Inflação Implícita'!C168-'Metas de Inflação'!C168</f>
        <v>-0.35775300000000021</v>
      </c>
      <c r="D168" s="3">
        <f>'Inflação Implícita'!D168-'Metas de Inflação'!D168</f>
        <v>-4.1545000000000165E-2</v>
      </c>
      <c r="E168" s="3">
        <f>'Inflação Implícita'!E168-'Metas de Inflação'!E168</f>
        <v>0.35568899999999992</v>
      </c>
      <c r="F168" s="3">
        <f>'Inflação Implícita'!F168-'Metas de Inflação'!F168</f>
        <v>0.52504699999999982</v>
      </c>
      <c r="G168" s="3">
        <f>'Inflação Implícita'!G168-'Metas de Inflação'!G168</f>
        <v>0.6296109999999997</v>
      </c>
      <c r="H168" s="3">
        <f>'Inflação Implícita'!H168-'Metas de Inflação'!H168</f>
        <v>0.68450900000000026</v>
      </c>
      <c r="I168" s="3">
        <f>'Inflação Implícita'!I168-'Metas de Inflação'!I168</f>
        <v>0.68450900000000026</v>
      </c>
      <c r="J168" s="3">
        <f>'Inflação Implícita'!J168-'Metas de Inflação'!J168</f>
        <v>0.70547900000000041</v>
      </c>
      <c r="K168" s="3">
        <f>'Inflação Implícita'!K168-'Metas de Inflação'!K168</f>
        <v>0.696739</v>
      </c>
      <c r="L168" s="3">
        <f>'Inflação Implícita'!L168-'Metas de Inflação'!L168</f>
        <v>0.68401200000000006</v>
      </c>
      <c r="M168" s="3">
        <f>'Inflação Implícita'!M168-'Metas de Inflação'!M168</f>
        <v>0.67006500000000013</v>
      </c>
      <c r="N168" s="3">
        <f>'Inflação Implícita'!N168-'Metas de Inflação'!N168</f>
        <v>0.6562260000000002</v>
      </c>
      <c r="O168" s="3">
        <f>'Inflação Implícita'!O168-'Metas de Inflação'!O168</f>
        <v>0.64489199999999958</v>
      </c>
      <c r="P168" s="3">
        <f>'Inflação Implícita'!P168-'Metas de Inflação'!P168</f>
        <v>0.63313600000000037</v>
      </c>
      <c r="Q168" s="3">
        <f>'Inflação Implícita'!Q168-'Metas de Inflação'!Q168</f>
        <v>0.62245699999999982</v>
      </c>
    </row>
    <row r="169" spans="1:17" ht="18.75" customHeight="1" x14ac:dyDescent="0.25">
      <c r="A169" s="2">
        <v>43496</v>
      </c>
      <c r="B169" s="3">
        <f>'Inflação Implícita'!B169-'Metas de Inflação'!B169</f>
        <v>-0.4700000000000002</v>
      </c>
      <c r="C169" s="3">
        <f>'Inflação Implícita'!C169-'Metas de Inflação'!C169</f>
        <v>2.1329999999999849E-2</v>
      </c>
      <c r="D169" s="3">
        <f>'Inflação Implícita'!D169-'Metas de Inflação'!D169</f>
        <v>0.20915699999999982</v>
      </c>
      <c r="E169" s="3">
        <f>'Inflação Implícita'!E169-'Metas de Inflação'!E169</f>
        <v>0.30554799999999993</v>
      </c>
      <c r="F169" s="3">
        <f>'Inflação Implícita'!F169-'Metas de Inflação'!F169</f>
        <v>0.45032599999999956</v>
      </c>
      <c r="G169" s="3">
        <f>'Inflação Implícita'!G169-'Metas de Inflação'!G169</f>
        <v>0.57079099999999983</v>
      </c>
      <c r="H169" s="3">
        <f>'Inflação Implícita'!H169-'Metas de Inflação'!H169</f>
        <v>0.66342700000000043</v>
      </c>
      <c r="I169" s="3">
        <f>'Inflação Implícita'!I169-'Metas de Inflação'!I169</f>
        <v>0.66342700000000043</v>
      </c>
      <c r="J169" s="3">
        <f>'Inflação Implícita'!J169-'Metas de Inflação'!J169</f>
        <v>0.77509500000000031</v>
      </c>
      <c r="K169" s="3">
        <f>'Inflação Implícita'!K169-'Metas de Inflação'!K169</f>
        <v>0.80848500000000012</v>
      </c>
      <c r="L169" s="3">
        <f>'Inflação Implícita'!L169-'Metas de Inflação'!L169</f>
        <v>0.83328700000000033</v>
      </c>
      <c r="M169" s="3">
        <f>'Inflação Implícita'!M169-'Metas de Inflação'!M169</f>
        <v>0.85257700000000014</v>
      </c>
      <c r="N169" s="3">
        <f>'Inflação Implícita'!N169-'Metas de Inflação'!N169</f>
        <v>0.86814699999999956</v>
      </c>
      <c r="O169" s="3">
        <f>'Inflação Implícita'!O169-'Metas de Inflação'!O169</f>
        <v>0.88220299999999963</v>
      </c>
      <c r="P169" s="3">
        <f>'Inflação Implícita'!P169-'Metas de Inflação'!P169</f>
        <v>0.89025599999999994</v>
      </c>
      <c r="Q169" s="3">
        <f>'Inflação Implícita'!Q169-'Metas de Inflação'!Q169</f>
        <v>0.89942200000000039</v>
      </c>
    </row>
    <row r="170" spans="1:17" ht="18.75" customHeight="1" x14ac:dyDescent="0.25">
      <c r="A170" s="2">
        <v>43524</v>
      </c>
      <c r="B170" s="3">
        <f>'Inflação Implícita'!B170-'Metas de Inflação'!B170</f>
        <v>-0.35999999999999988</v>
      </c>
      <c r="C170" s="3">
        <f>'Inflação Implícita'!C170-'Metas de Inflação'!C170</f>
        <v>0.33361800000000041</v>
      </c>
      <c r="D170" s="3">
        <f>'Inflação Implícita'!D170-'Metas de Inflação'!D170</f>
        <v>0.31016599999999972</v>
      </c>
      <c r="E170" s="3">
        <f>'Inflação Implícita'!E170-'Metas de Inflação'!E170</f>
        <v>0.38791400000000031</v>
      </c>
      <c r="F170" s="3">
        <f>'Inflação Implícita'!F170-'Metas de Inflação'!F170</f>
        <v>0.53478099999999973</v>
      </c>
      <c r="G170" s="3">
        <f>'Inflação Implícita'!G170-'Metas de Inflação'!G170</f>
        <v>0.65527800000000003</v>
      </c>
      <c r="H170" s="3">
        <f>'Inflação Implícita'!H170-'Metas de Inflação'!H170</f>
        <v>0.74886699999999973</v>
      </c>
      <c r="I170" s="3">
        <f>'Inflação Implícita'!I170-'Metas de Inflação'!I170</f>
        <v>0.74886699999999973</v>
      </c>
      <c r="J170" s="3">
        <f>'Inflação Implícita'!J170-'Metas de Inflação'!J170</f>
        <v>0.85401500000000041</v>
      </c>
      <c r="K170" s="3">
        <f>'Inflação Implícita'!K170-'Metas de Inflação'!K170</f>
        <v>0.88451799999999992</v>
      </c>
      <c r="L170" s="3">
        <f>'Inflação Implícita'!L170-'Metas de Inflação'!L170</f>
        <v>0.9061180000000002</v>
      </c>
      <c r="M170" s="3">
        <f>'Inflação Implícita'!M170-'Metas de Inflação'!M170</f>
        <v>0.92267499999999991</v>
      </c>
      <c r="N170" s="3">
        <f>'Inflação Implícita'!N170-'Metas de Inflação'!N170</f>
        <v>0.93564199999999964</v>
      </c>
      <c r="O170" s="3">
        <f>'Inflação Implícita'!O170-'Metas de Inflação'!O170</f>
        <v>0.94597200000000026</v>
      </c>
      <c r="P170" s="3">
        <f>'Inflação Implícita'!P170-'Metas de Inflação'!P170</f>
        <v>0.95465999999999962</v>
      </c>
      <c r="Q170" s="3">
        <f>'Inflação Implícita'!Q170-'Metas de Inflação'!Q170</f>
        <v>0.96194500000000005</v>
      </c>
    </row>
    <row r="171" spans="1:17" ht="18.75" customHeight="1" x14ac:dyDescent="0.25">
      <c r="A171" s="2">
        <v>43555</v>
      </c>
      <c r="B171" s="3">
        <f>'Inflação Implícita'!B171-'Metas de Inflação'!B171</f>
        <v>0.33000000000000007</v>
      </c>
      <c r="C171" s="3">
        <f>'Inflação Implícita'!C171-'Metas de Inflação'!C171</f>
        <v>0.26974400000000021</v>
      </c>
      <c r="D171" s="3">
        <f>'Inflação Implícita'!D171-'Metas de Inflação'!D171</f>
        <v>0.2518419999999999</v>
      </c>
      <c r="E171" s="3">
        <f>'Inflação Implícita'!E171-'Metas de Inflação'!E171</f>
        <v>0.36088699999999996</v>
      </c>
      <c r="F171" s="3">
        <f>'Inflação Implícita'!F171-'Metas de Inflação'!F171</f>
        <v>0.51242900000000002</v>
      </c>
      <c r="G171" s="3">
        <f>'Inflação Implícita'!G171-'Metas de Inflação'!G171</f>
        <v>0.63092099999999984</v>
      </c>
      <c r="H171" s="3">
        <f>'Inflação Implícita'!H171-'Metas de Inflação'!H171</f>
        <v>0.72317699999999974</v>
      </c>
      <c r="I171" s="3">
        <f>'Inflação Implícita'!I171-'Metas de Inflação'!I171</f>
        <v>0.72317699999999974</v>
      </c>
      <c r="J171" s="3">
        <f>'Inflação Implícita'!J171-'Metas de Inflação'!J171</f>
        <v>0.83952899999999975</v>
      </c>
      <c r="K171" s="3">
        <f>'Inflação Implícita'!K171-'Metas de Inflação'!K171</f>
        <v>0.87753899999999962</v>
      </c>
      <c r="L171" s="3">
        <f>'Inflação Implícita'!L171-'Metas de Inflação'!L171</f>
        <v>0.90545000000000009</v>
      </c>
      <c r="M171" s="3">
        <f>'Inflação Implícita'!M171-'Metas de Inflação'!M171</f>
        <v>0.92893500000000007</v>
      </c>
      <c r="N171" s="3">
        <f>'Inflação Implícita'!N171-'Metas de Inflação'!N171</f>
        <v>0.94289799999999957</v>
      </c>
      <c r="O171" s="3">
        <f>'Inflação Implícita'!O171-'Metas de Inflação'!O171</f>
        <v>0.95456900000000022</v>
      </c>
      <c r="P171" s="3">
        <f>'Inflação Implícita'!P171-'Metas de Inflação'!P171</f>
        <v>0.9630270000000003</v>
      </c>
      <c r="Q171" s="3">
        <f>'Inflação Implícita'!Q171-'Metas de Inflação'!Q171</f>
        <v>0.9686849999999998</v>
      </c>
    </row>
    <row r="172" spans="1:17" ht="18.75" customHeight="1" x14ac:dyDescent="0.25">
      <c r="A172" s="2">
        <v>43585</v>
      </c>
      <c r="B172" s="3">
        <f>'Inflação Implícita'!B172-'Metas de Inflação'!B172</f>
        <v>0.69000000000000039</v>
      </c>
      <c r="C172" s="3">
        <f>'Inflação Implícita'!C172-'Metas de Inflação'!C172</f>
        <v>0.35051900000000025</v>
      </c>
      <c r="D172" s="3">
        <f>'Inflação Implícita'!D172-'Metas de Inflação'!D172</f>
        <v>0.26860499999999998</v>
      </c>
      <c r="E172" s="3">
        <f>'Inflação Implícita'!E172-'Metas de Inflação'!E172</f>
        <v>0.39117599999999975</v>
      </c>
      <c r="F172" s="3">
        <f>'Inflação Implícita'!F172-'Metas de Inflação'!F172</f>
        <v>0.54632699999999979</v>
      </c>
      <c r="G172" s="3">
        <f>'Inflação Implícita'!G172-'Metas de Inflação'!G172</f>
        <v>0.66772700000000018</v>
      </c>
      <c r="H172" s="3">
        <f>'Inflação Implícita'!H172-'Metas de Inflação'!H172</f>
        <v>0.76367000000000029</v>
      </c>
      <c r="I172" s="3">
        <f>'Inflação Implícita'!I172-'Metas de Inflação'!I172</f>
        <v>0.76367000000000029</v>
      </c>
      <c r="J172" s="3">
        <f>'Inflação Implícita'!J172-'Metas de Inflação'!J172</f>
        <v>0.87840000000000007</v>
      </c>
      <c r="K172" s="3">
        <f>'Inflação Implícita'!K172-'Metas de Inflação'!K172</f>
        <v>0.9192619999999998</v>
      </c>
      <c r="L172" s="3">
        <f>'Inflação Implícita'!L172-'Metas de Inflação'!L172</f>
        <v>0.95142599999999966</v>
      </c>
      <c r="M172" s="3">
        <f>'Inflação Implícita'!M172-'Metas de Inflação'!M172</f>
        <v>0.98178699999999974</v>
      </c>
      <c r="N172" s="3">
        <f>'Inflação Implícita'!N172-'Metas de Inflação'!N172</f>
        <v>1.0022589999999996</v>
      </c>
      <c r="O172" s="3">
        <f>'Inflação Implícita'!O172-'Metas de Inflação'!O172</f>
        <v>1.015612</v>
      </c>
      <c r="P172" s="3">
        <f>'Inflação Implícita'!P172-'Metas de Inflação'!P172</f>
        <v>1.0298530000000001</v>
      </c>
      <c r="Q172" s="3">
        <f>'Inflação Implícita'!Q172-'Metas de Inflação'!Q172</f>
        <v>1.0443420000000003</v>
      </c>
    </row>
    <row r="173" spans="1:17" ht="18.75" customHeight="1" x14ac:dyDescent="0.25">
      <c r="A173" s="2">
        <v>43616</v>
      </c>
      <c r="B173" s="3">
        <f>'Inflação Implícita'!B173-'Metas de Inflação'!B173</f>
        <v>0.41000000000000014</v>
      </c>
      <c r="C173" s="3">
        <f>'Inflação Implícita'!C173-'Metas de Inflação'!C173</f>
        <v>-0.87385100000000016</v>
      </c>
      <c r="D173" s="3">
        <f>'Inflação Implícita'!D173-'Metas de Inflação'!D173</f>
        <v>-1.306699999999994E-2</v>
      </c>
      <c r="E173" s="3">
        <f>'Inflação Implícita'!E173-'Metas de Inflação'!E173</f>
        <v>0.14973100000000006</v>
      </c>
      <c r="F173" s="3">
        <f>'Inflação Implícita'!F173-'Metas de Inflação'!F173</f>
        <v>0.3355750000000004</v>
      </c>
      <c r="G173" s="3">
        <f>'Inflação Implícita'!G173-'Metas de Inflação'!G173</f>
        <v>0.5038210000000003</v>
      </c>
      <c r="H173" s="3">
        <f>'Inflação Implícita'!H173-'Metas de Inflação'!H173</f>
        <v>0.63936200000000021</v>
      </c>
      <c r="I173" s="3">
        <f>'Inflação Implícita'!I173-'Metas de Inflação'!I173</f>
        <v>0.63936200000000021</v>
      </c>
      <c r="J173" s="3">
        <f>'Inflação Implícita'!J173-'Metas de Inflação'!J173</f>
        <v>0.82643799999999956</v>
      </c>
      <c r="K173" s="3">
        <f>'Inflação Implícita'!K173-'Metas de Inflação'!K173</f>
        <v>0.88956500000000016</v>
      </c>
      <c r="L173" s="3">
        <f>'Inflação Implícita'!L173-'Metas de Inflação'!L173</f>
        <v>0.93895999999999979</v>
      </c>
      <c r="M173" s="3">
        <f>'Inflação Implícita'!M173-'Metas de Inflação'!M173</f>
        <v>0.97765099999999983</v>
      </c>
      <c r="N173" s="3">
        <f>'Inflação Implícita'!N173-'Metas de Inflação'!N173</f>
        <v>1.0081110000000004</v>
      </c>
      <c r="O173" s="3">
        <f>'Inflação Implícita'!O173-'Metas de Inflação'!O173</f>
        <v>1.0319900000000004</v>
      </c>
      <c r="P173" s="3">
        <f>'Inflação Implícita'!P173-'Metas de Inflação'!P173</f>
        <v>1.0500280000000002</v>
      </c>
      <c r="Q173" s="3">
        <f>'Inflação Implícita'!Q173-'Metas de Inflação'!Q173</f>
        <v>1.0636479999999997</v>
      </c>
    </row>
    <row r="174" spans="1:17" ht="18.75" customHeight="1" x14ac:dyDescent="0.25">
      <c r="A174" s="2">
        <v>43646</v>
      </c>
      <c r="B174" s="3">
        <f>'Inflação Implícita'!B174-'Metas de Inflação'!B174</f>
        <v>-0.87999999999999989</v>
      </c>
      <c r="C174" s="3">
        <f>'Inflação Implícita'!C174-'Metas de Inflação'!C174</f>
        <v>-0.83894899999999994</v>
      </c>
      <c r="D174" s="3">
        <f>'Inflação Implícita'!D174-'Metas de Inflação'!D174</f>
        <v>-0.15698200000000018</v>
      </c>
      <c r="E174" s="3">
        <f>'Inflação Implícita'!E174-'Metas de Inflação'!E174</f>
        <v>-5.0540999999999947E-2</v>
      </c>
      <c r="F174" s="3">
        <f>'Inflação Implícita'!F174-'Metas de Inflação'!F174</f>
        <v>3.0247999999999831E-2</v>
      </c>
      <c r="G174" s="3">
        <f>'Inflação Implícita'!G174-'Metas de Inflação'!G174</f>
        <v>0.1033050000000002</v>
      </c>
      <c r="H174" s="3">
        <f>'Inflação Implícita'!H174-'Metas de Inflação'!H174</f>
        <v>0.1701950000000001</v>
      </c>
      <c r="I174" s="3">
        <f>'Inflação Implícita'!I174-'Metas de Inflação'!I174</f>
        <v>0.1701950000000001</v>
      </c>
      <c r="J174" s="3">
        <f>'Inflação Implícita'!J174-'Metas de Inflação'!J174</f>
        <v>0.27365700000000004</v>
      </c>
      <c r="K174" s="3">
        <f>'Inflação Implícita'!K174-'Metas de Inflação'!K174</f>
        <v>0.31071399999999993</v>
      </c>
      <c r="L174" s="3">
        <f>'Inflação Implícita'!L174-'Metas de Inflação'!L174</f>
        <v>0.33934200000000025</v>
      </c>
      <c r="M174" s="3">
        <f>'Inflação Implícita'!M174-'Metas de Inflação'!M174</f>
        <v>0.3614139999999999</v>
      </c>
      <c r="N174" s="3">
        <f>'Inflação Implícita'!N174-'Metas de Inflação'!N174</f>
        <v>0.37647600000000025</v>
      </c>
      <c r="O174" s="3">
        <f>'Inflação Implícita'!O174-'Metas de Inflação'!O174</f>
        <v>0.38976800000000011</v>
      </c>
      <c r="P174" s="3">
        <f>'Inflação Implícita'!P174-'Metas de Inflação'!P174</f>
        <v>0.39939999999999998</v>
      </c>
      <c r="Q174" s="3">
        <f>'Inflação Implícita'!Q174-'Metas de Inflação'!Q174</f>
        <v>0.40635499999999958</v>
      </c>
    </row>
    <row r="175" spans="1:17" ht="18.75" customHeight="1" x14ac:dyDescent="0.25">
      <c r="A175" s="2">
        <v>43677</v>
      </c>
      <c r="B175" s="3">
        <f>'Inflação Implícita'!B175-'Metas de Inflação'!B175</f>
        <v>-1.0299999999999998</v>
      </c>
      <c r="C175" s="3">
        <f>'Inflação Implícita'!C175-'Metas de Inflação'!C175</f>
        <v>-0.6846359999999998</v>
      </c>
      <c r="D175" s="3">
        <f>'Inflação Implícita'!D175-'Metas de Inflação'!D175</f>
        <v>-0.12624099999999983</v>
      </c>
      <c r="E175" s="3">
        <f>'Inflação Implícita'!E175-'Metas de Inflação'!E175</f>
        <v>0.18803700000000001</v>
      </c>
      <c r="F175" s="3">
        <f>'Inflação Implícita'!F175-'Metas de Inflação'!F175</f>
        <v>0.24517699999999998</v>
      </c>
      <c r="G175" s="3">
        <f>'Inflação Implícita'!G175-'Metas de Inflação'!G175</f>
        <v>0.29661999999999988</v>
      </c>
      <c r="H175" s="3">
        <f>'Inflação Implícita'!H175-'Metas de Inflação'!H175</f>
        <v>0.3387920000000002</v>
      </c>
      <c r="I175" s="3">
        <f>'Inflação Implícita'!I175-'Metas de Inflação'!I175</f>
        <v>0.3387920000000002</v>
      </c>
      <c r="J175" s="3">
        <f>'Inflação Implícita'!J175-'Metas de Inflação'!J175</f>
        <v>0.39197099999999985</v>
      </c>
      <c r="K175" s="3">
        <f>'Inflação Implícita'!K175-'Metas de Inflação'!K175</f>
        <v>0.40740599999999993</v>
      </c>
      <c r="L175" s="3">
        <f>'Inflação Implícita'!L175-'Metas de Inflação'!L175</f>
        <v>0.41898200000000019</v>
      </c>
      <c r="M175" s="3">
        <f>'Inflação Implícita'!M175-'Metas de Inflação'!M175</f>
        <v>0.425929</v>
      </c>
      <c r="N175" s="3">
        <f>'Inflação Implícita'!N175-'Metas de Inflação'!N175</f>
        <v>0.43118699999999999</v>
      </c>
      <c r="O175" s="3">
        <f>'Inflação Implícita'!O175-'Metas de Inflação'!O175</f>
        <v>0.43545999999999996</v>
      </c>
      <c r="P175" s="3">
        <f>'Inflação Implícita'!P175-'Metas de Inflação'!P175</f>
        <v>0.43864500000000017</v>
      </c>
      <c r="Q175" s="3">
        <f>'Inflação Implícita'!Q175-'Metas de Inflação'!Q175</f>
        <v>0.44108400000000003</v>
      </c>
    </row>
    <row r="176" spans="1:17" ht="18.75" customHeight="1" x14ac:dyDescent="0.25">
      <c r="A176" s="2">
        <v>43708</v>
      </c>
      <c r="B176" s="3">
        <f>'Inflação Implícita'!B176-'Metas de Inflação'!B176</f>
        <v>-0.81999999999999984</v>
      </c>
      <c r="C176" s="3">
        <f>'Inflação Implícita'!C176-'Metas de Inflação'!C176</f>
        <v>-0.77514299999999992</v>
      </c>
      <c r="D176" s="3">
        <f>'Inflação Implícita'!D176-'Metas de Inflação'!D176</f>
        <v>-9.6277999999999864E-2</v>
      </c>
      <c r="E176" s="3">
        <f>'Inflação Implícita'!E176-'Metas de Inflação'!E176</f>
        <v>0.24659500000000012</v>
      </c>
      <c r="F176" s="3">
        <f>'Inflação Implícita'!F176-'Metas de Inflação'!F176</f>
        <v>0.31917200000000001</v>
      </c>
      <c r="G176" s="3">
        <f>'Inflação Implícita'!G176-'Metas de Inflação'!G176</f>
        <v>0.37928700000000015</v>
      </c>
      <c r="H176" s="3">
        <f>'Inflação Implícita'!H176-'Metas de Inflação'!H176</f>
        <v>0.4322379999999999</v>
      </c>
      <c r="I176" s="3">
        <f>'Inflação Implícita'!I176-'Metas de Inflação'!I176</f>
        <v>0.4322379999999999</v>
      </c>
      <c r="J176" s="3">
        <f>'Inflação Implícita'!J176-'Metas de Inflação'!J176</f>
        <v>0.50898299999999974</v>
      </c>
      <c r="K176" s="3">
        <f>'Inflação Implícita'!K176-'Metas de Inflação'!K176</f>
        <v>0.53598799999999969</v>
      </c>
      <c r="L176" s="3">
        <f>'Inflação Implícita'!L176-'Metas de Inflação'!L176</f>
        <v>0.55729999999999968</v>
      </c>
      <c r="M176" s="3">
        <f>'Inflação Implícita'!M176-'Metas de Inflação'!M176</f>
        <v>0.57418100000000027</v>
      </c>
      <c r="N176" s="3">
        <f>'Inflação Implícita'!N176-'Metas de Inflação'!N176</f>
        <v>0.58767399999999981</v>
      </c>
      <c r="O176" s="3">
        <f>'Inflação Implícita'!O176-'Metas de Inflação'!O176</f>
        <v>0.59847900000000021</v>
      </c>
      <c r="P176" s="3">
        <f>'Inflação Implícita'!P176-'Metas de Inflação'!P176</f>
        <v>0.6070190000000002</v>
      </c>
      <c r="Q176" s="3">
        <f>'Inflação Implícita'!Q176-'Metas de Inflação'!Q176</f>
        <v>0.61391300000000015</v>
      </c>
    </row>
    <row r="177" spans="1:17" ht="18.75" customHeight="1" x14ac:dyDescent="0.25">
      <c r="A177" s="2">
        <v>43738</v>
      </c>
      <c r="B177" s="3">
        <f>'Inflação Implícita'!B177-'Metas de Inflação'!B177</f>
        <v>-1.3599999999999999</v>
      </c>
      <c r="C177" s="3">
        <f>'Inflação Implícita'!C177-'Metas de Inflação'!C177</f>
        <v>-0.60586099999999998</v>
      </c>
      <c r="D177" s="3">
        <f>'Inflação Implícita'!D177-'Metas de Inflação'!D177</f>
        <v>4.8640999999999934E-2</v>
      </c>
      <c r="E177" s="3">
        <f>'Inflação Implícita'!E177-'Metas de Inflação'!E177</f>
        <v>0.34335300000000002</v>
      </c>
      <c r="F177" s="3">
        <f>'Inflação Implícita'!F177-'Metas de Inflação'!F177</f>
        <v>0.38337000000000021</v>
      </c>
      <c r="G177" s="3">
        <f>'Inflação Implícita'!G177-'Metas de Inflação'!G177</f>
        <v>0.41698700000000022</v>
      </c>
      <c r="H177" s="3">
        <f>'Inflação Implícita'!H177-'Metas de Inflação'!H177</f>
        <v>0.44659599999999999</v>
      </c>
      <c r="I177" s="3">
        <f>'Inflação Implícita'!I177-'Metas de Inflação'!I177</f>
        <v>0.44659599999999999</v>
      </c>
      <c r="J177" s="3">
        <f>'Inflação Implícita'!J177-'Metas de Inflação'!J177</f>
        <v>0.49175499999999994</v>
      </c>
      <c r="K177" s="3">
        <f>'Inflação Implícita'!K177-'Metas de Inflação'!K177</f>
        <v>0.5106440000000001</v>
      </c>
      <c r="L177" s="3">
        <f>'Inflação Implícita'!L177-'Metas de Inflação'!L177</f>
        <v>0.52826299999999993</v>
      </c>
      <c r="M177" s="3">
        <f>'Inflação Implícita'!M177-'Metas de Inflação'!M177</f>
        <v>0.5447519999999999</v>
      </c>
      <c r="N177" s="3">
        <f>'Inflação Implícita'!N177-'Metas de Inflação'!N177</f>
        <v>0.56034900000000043</v>
      </c>
      <c r="O177" s="3">
        <f>'Inflação Implícita'!O177-'Metas de Inflação'!O177</f>
        <v>0.57507700000000028</v>
      </c>
      <c r="P177" s="3">
        <f>'Inflação Implícita'!P177-'Metas de Inflação'!P177</f>
        <v>0.58867799999999981</v>
      </c>
      <c r="Q177" s="3">
        <f>'Inflação Implícita'!Q177-'Metas de Inflação'!Q177</f>
        <v>0.60135200000000033</v>
      </c>
    </row>
    <row r="178" spans="1:17" ht="18.75" customHeight="1" x14ac:dyDescent="0.25">
      <c r="A178" s="2">
        <v>43769</v>
      </c>
      <c r="B178" s="3">
        <f>'Inflação Implícita'!B178-'Metas de Inflação'!B178</f>
        <v>-1.71</v>
      </c>
      <c r="C178" s="3">
        <f>'Inflação Implícita'!C178-'Metas de Inflação'!C178</f>
        <v>-0.2316069999999999</v>
      </c>
      <c r="D178" s="3">
        <f>'Inflação Implícita'!D178-'Metas de Inflação'!D178</f>
        <v>7.0460000000000189E-2</v>
      </c>
      <c r="E178" s="3">
        <f>'Inflação Implícita'!E178-'Metas de Inflação'!E178</f>
        <v>0.31584499999999993</v>
      </c>
      <c r="F178" s="3">
        <f>'Inflação Implícita'!F178-'Metas de Inflação'!F178</f>
        <v>0.34318999999999988</v>
      </c>
      <c r="G178" s="3">
        <f>'Inflação Implícita'!G178-'Metas de Inflação'!G178</f>
        <v>0.37116300000000013</v>
      </c>
      <c r="H178" s="3">
        <f>'Inflação Implícita'!H178-'Metas de Inflação'!H178</f>
        <v>0.38985300000000001</v>
      </c>
      <c r="I178" s="3">
        <f>'Inflação Implícita'!I178-'Metas de Inflação'!I178</f>
        <v>0.38985300000000001</v>
      </c>
      <c r="J178" s="3">
        <f>'Inflação Implícita'!J178-'Metas de Inflação'!J178</f>
        <v>0.40763499999999997</v>
      </c>
      <c r="K178" s="3">
        <f>'Inflação Implícita'!K178-'Metas de Inflação'!K178</f>
        <v>0.41129000000000016</v>
      </c>
      <c r="L178" s="3">
        <f>'Inflação Implícita'!L178-'Metas de Inflação'!L178</f>
        <v>0.41359099999999982</v>
      </c>
      <c r="M178" s="3">
        <f>'Inflação Implícita'!M178-'Metas de Inflação'!M178</f>
        <v>0.41525699999999999</v>
      </c>
      <c r="N178" s="3">
        <f>'Inflação Implícita'!N178-'Metas de Inflação'!N178</f>
        <v>0.41676299999999999</v>
      </c>
      <c r="O178" s="3">
        <f>'Inflação Implícita'!O178-'Metas de Inflação'!O178</f>
        <v>0.4187240000000001</v>
      </c>
      <c r="P178" s="3">
        <f>'Inflação Implícita'!P178-'Metas de Inflação'!P178</f>
        <v>0.42060699999999995</v>
      </c>
      <c r="Q178" s="3">
        <f>'Inflação Implícita'!Q178-'Metas de Inflação'!Q178</f>
        <v>0.42282999999999982</v>
      </c>
    </row>
    <row r="179" spans="1:17" ht="18.75" customHeight="1" x14ac:dyDescent="0.25">
      <c r="A179" s="2">
        <v>43799</v>
      </c>
      <c r="B179" s="3">
        <f>'Inflação Implícita'!B179-'Metas de Inflação'!B179</f>
        <v>-0.98</v>
      </c>
      <c r="C179" s="3">
        <f>'Inflação Implícita'!C179-'Metas de Inflação'!C179</f>
        <v>0.43516099999999991</v>
      </c>
      <c r="D179" s="3">
        <f>'Inflação Implícita'!D179-'Metas de Inflação'!D179</f>
        <v>0.26056499999999971</v>
      </c>
      <c r="E179" s="3">
        <f>'Inflação Implícita'!E179-'Metas de Inflação'!E179</f>
        <v>0.42248300000000016</v>
      </c>
      <c r="F179" s="3">
        <f>'Inflação Implícita'!F179-'Metas de Inflação'!F179</f>
        <v>0.4300130000000002</v>
      </c>
      <c r="G179" s="3">
        <f>'Inflação Implícita'!G179-'Metas de Inflação'!G179</f>
        <v>0.44542899999999985</v>
      </c>
      <c r="H179" s="3">
        <f>'Inflação Implícita'!H179-'Metas de Inflação'!H179</f>
        <v>0.45194899999999993</v>
      </c>
      <c r="I179" s="3">
        <f>'Inflação Implícita'!I179-'Metas de Inflação'!I179</f>
        <v>0.45194899999999993</v>
      </c>
      <c r="J179" s="3">
        <f>'Inflação Implícita'!J179-'Metas de Inflação'!J179</f>
        <v>0.44047599999999987</v>
      </c>
      <c r="K179" s="3">
        <f>'Inflação Implícita'!K179-'Metas de Inflação'!K179</f>
        <v>0.42686700000000011</v>
      </c>
      <c r="L179" s="3">
        <f>'Inflação Implícita'!L179-'Metas de Inflação'!L179</f>
        <v>0.4106510000000001</v>
      </c>
      <c r="M179" s="3">
        <f>'Inflação Implícita'!M179-'Metas de Inflação'!M179</f>
        <v>0.3928020000000001</v>
      </c>
      <c r="N179" s="3">
        <f>'Inflação Implícita'!N179-'Metas de Inflação'!N179</f>
        <v>0.37453599999999998</v>
      </c>
      <c r="O179" s="3">
        <f>'Inflação Implícita'!O179-'Metas de Inflação'!O179</f>
        <v>0.35660200000000009</v>
      </c>
      <c r="P179" s="3">
        <f>'Inflação Implícita'!P179-'Metas de Inflação'!P179</f>
        <v>0.33917699999999984</v>
      </c>
      <c r="Q179" s="3">
        <f>'Inflação Implícita'!Q179-'Metas de Inflação'!Q179</f>
        <v>0.32278800000000007</v>
      </c>
    </row>
    <row r="180" spans="1:17" ht="18.75" customHeight="1" x14ac:dyDescent="0.25">
      <c r="A180" s="2">
        <v>43830</v>
      </c>
      <c r="B180" s="3">
        <f>'Inflação Implícita'!B180-'Metas de Inflação'!B180</f>
        <v>5.9999999999999609E-2</v>
      </c>
      <c r="C180" s="3">
        <f>'Inflação Implícita'!C180-'Metas de Inflação'!C180</f>
        <v>0.26915400000000034</v>
      </c>
      <c r="D180" s="3">
        <f>'Inflação Implícita'!D180-'Metas de Inflação'!D180</f>
        <v>0.28130599999999983</v>
      </c>
      <c r="E180" s="3">
        <f>'Inflação Implícita'!E180-'Metas de Inflação'!E180</f>
        <v>0.50097799999999992</v>
      </c>
      <c r="F180" s="3">
        <f>'Inflação Implícita'!F180-'Metas de Inflação'!F180</f>
        <v>0.47432799999999986</v>
      </c>
      <c r="G180" s="3">
        <f>'Inflação Implícita'!G180-'Metas de Inflação'!G180</f>
        <v>0.43584500000000004</v>
      </c>
      <c r="H180" s="3">
        <f>'Inflação Implícita'!H180-'Metas de Inflação'!H180</f>
        <v>0.39653500000000008</v>
      </c>
      <c r="I180" s="3">
        <f>'Inflação Implícita'!I180-'Metas de Inflação'!I180</f>
        <v>0.39653500000000008</v>
      </c>
      <c r="J180" s="3">
        <f>'Inflação Implícita'!J180-'Metas de Inflação'!J180</f>
        <v>0.33302399999999999</v>
      </c>
      <c r="K180" s="3">
        <f>'Inflação Implícita'!K180-'Metas de Inflação'!K180</f>
        <v>0.30926400000000021</v>
      </c>
      <c r="L180" s="3">
        <f>'Inflação Implícita'!L180-'Metas de Inflação'!L180</f>
        <v>0.28959000000000001</v>
      </c>
      <c r="M180" s="3">
        <f>'Inflação Implícita'!M180-'Metas de Inflação'!M180</f>
        <v>0.27306900000000001</v>
      </c>
      <c r="N180" s="3">
        <f>'Inflação Implícita'!N180-'Metas de Inflação'!N180</f>
        <v>0.26084800000000019</v>
      </c>
      <c r="O180" s="3">
        <f>'Inflação Implícita'!O180-'Metas de Inflação'!O180</f>
        <v>0.24900300000000009</v>
      </c>
      <c r="P180" s="3">
        <f>'Inflação Implícita'!P180-'Metas de Inflação'!P180</f>
        <v>0.23877000000000015</v>
      </c>
      <c r="Q180" s="3">
        <f>'Inflação Implícita'!Q180-'Metas de Inflação'!Q180</f>
        <v>0.22994599999999998</v>
      </c>
    </row>
    <row r="181" spans="1:17" ht="18.75" customHeight="1" x14ac:dyDescent="0.25">
      <c r="A181" s="2">
        <v>43861</v>
      </c>
      <c r="B181" s="3">
        <f>'Inflação Implícita'!B181-'Metas de Inflação'!B181</f>
        <v>0.19000000000000039</v>
      </c>
      <c r="C181" s="3">
        <f>'Inflação Implícita'!C181-'Metas de Inflação'!C181</f>
        <v>-0.440245</v>
      </c>
      <c r="D181" s="3">
        <f>'Inflação Implícita'!D181-'Metas de Inflação'!D181</f>
        <v>7.5858000000000203E-2</v>
      </c>
      <c r="E181" s="3">
        <f>'Inflação Implícita'!E181-'Metas de Inflação'!E181</f>
        <v>0.14317299999999999</v>
      </c>
      <c r="F181" s="3">
        <f>'Inflação Implícita'!F181-'Metas de Inflação'!F181</f>
        <v>0.19286300000000001</v>
      </c>
      <c r="G181" s="3">
        <f>'Inflação Implícita'!G181-'Metas de Inflação'!G181</f>
        <v>0.2298840000000002</v>
      </c>
      <c r="H181" s="3">
        <f>'Inflação Implícita'!H181-'Metas de Inflação'!H181</f>
        <v>0.25444800000000001</v>
      </c>
      <c r="I181" s="3">
        <f>'Inflação Implícita'!I181-'Metas de Inflação'!I181</f>
        <v>0.25444800000000001</v>
      </c>
      <c r="J181" s="3">
        <f>'Inflação Implícita'!J181-'Metas de Inflação'!J181</f>
        <v>0.27746599999999999</v>
      </c>
      <c r="K181" s="3">
        <f>'Inflação Implícita'!K181-'Metas de Inflação'!K181</f>
        <v>0.28058400000000017</v>
      </c>
      <c r="L181" s="3">
        <f>'Inflação Implícita'!L181-'Metas de Inflação'!L181</f>
        <v>0.27968899999999985</v>
      </c>
      <c r="M181" s="3">
        <f>'Inflação Implícita'!M181-'Metas de Inflação'!M181</f>
        <v>0.27694099999999988</v>
      </c>
      <c r="N181" s="3">
        <f>'Inflação Implícita'!N181-'Metas de Inflação'!N181</f>
        <v>0.27178499999999994</v>
      </c>
      <c r="O181" s="3">
        <f>'Inflação Implícita'!O181-'Metas de Inflação'!O181</f>
        <v>0.2670180000000002</v>
      </c>
      <c r="P181" s="3">
        <f>'Inflação Implícita'!P181-'Metas de Inflação'!P181</f>
        <v>0.26215000000000011</v>
      </c>
      <c r="Q181" s="3">
        <f>'Inflação Implícita'!Q181-'Metas de Inflação'!Q181</f>
        <v>0.25559399999999988</v>
      </c>
    </row>
    <row r="182" spans="1:17" ht="18.75" customHeight="1" x14ac:dyDescent="0.25">
      <c r="A182" s="2">
        <v>43890</v>
      </c>
      <c r="B182" s="3">
        <f>'Inflação Implícita'!B182-'Metas de Inflação'!B182</f>
        <v>9.9999999999997868E-3</v>
      </c>
      <c r="C182" s="3">
        <f>'Inflação Implícita'!C182-'Metas de Inflação'!C182</f>
        <v>-0.4094549999999999</v>
      </c>
      <c r="D182" s="3">
        <f>'Inflação Implícita'!D182-'Metas de Inflação'!D182</f>
        <v>-1.7082999999999959E-2</v>
      </c>
      <c r="E182" s="3">
        <f>'Inflação Implícita'!E182-'Metas de Inflação'!E182</f>
        <v>9.4240000000000101E-2</v>
      </c>
      <c r="F182" s="3">
        <f>'Inflação Implícita'!F182-'Metas de Inflação'!F182</f>
        <v>0.21720700000000015</v>
      </c>
      <c r="G182" s="3">
        <f>'Inflação Implícita'!G182-'Metas de Inflação'!G182</f>
        <v>0.31926200000000016</v>
      </c>
      <c r="H182" s="3">
        <f>'Inflação Implícita'!H182-'Metas de Inflação'!H182</f>
        <v>0.38488699999999998</v>
      </c>
      <c r="I182" s="3">
        <f>'Inflação Implícita'!I182-'Metas de Inflação'!I182</f>
        <v>0.38488699999999998</v>
      </c>
      <c r="J182" s="3">
        <f>'Inflação Implícita'!J182-'Metas de Inflação'!J182</f>
        <v>0.44740499999999983</v>
      </c>
      <c r="K182" s="3">
        <f>'Inflação Implícita'!K182-'Metas de Inflação'!K182</f>
        <v>0.45978200000000014</v>
      </c>
      <c r="L182" s="3">
        <f>'Inflação Implícita'!L182-'Metas de Inflação'!L182</f>
        <v>0.46600600000000014</v>
      </c>
      <c r="M182" s="3">
        <f>'Inflação Implícita'!M182-'Metas de Inflação'!M182</f>
        <v>0.46848199999999984</v>
      </c>
      <c r="N182" s="3">
        <f>'Inflação Implícita'!N182-'Metas de Inflação'!N182</f>
        <v>0.46889599999999998</v>
      </c>
      <c r="O182" s="3">
        <f>'Inflação Implícita'!O182-'Metas de Inflação'!O182</f>
        <v>0.46835400000000016</v>
      </c>
      <c r="P182" s="3">
        <f>'Inflação Implícita'!P182-'Metas de Inflação'!P182</f>
        <v>0.46758200000000016</v>
      </c>
      <c r="Q182" s="3">
        <f>'Inflação Implícita'!Q182-'Metas de Inflação'!Q182</f>
        <v>0.46706700000000012</v>
      </c>
    </row>
    <row r="183" spans="1:17" ht="18.75" customHeight="1" x14ac:dyDescent="0.25">
      <c r="A183" s="2">
        <v>43921</v>
      </c>
      <c r="B183" s="3">
        <f>'Inflação Implícita'!B183-'Metas de Inflação'!B183</f>
        <v>-0.70000000000000018</v>
      </c>
      <c r="C183" s="3">
        <f>'Inflação Implícita'!C183-'Metas de Inflação'!C183</f>
        <v>-2.451292</v>
      </c>
      <c r="D183" s="3">
        <f>'Inflação Implícita'!D183-'Metas de Inflação'!D183</f>
        <v>-1.2073710000000002</v>
      </c>
      <c r="E183" s="3">
        <f>'Inflação Implícita'!E183-'Metas de Inflação'!E183</f>
        <v>-0.55576800000000004</v>
      </c>
      <c r="F183" s="3">
        <f>'Inflação Implícita'!F183-'Metas de Inflação'!F183</f>
        <v>-9.2811000000000199E-2</v>
      </c>
      <c r="G183" s="3">
        <f>'Inflação Implícita'!G183-'Metas de Inflação'!G183</f>
        <v>0.18261700000000003</v>
      </c>
      <c r="H183" s="3">
        <f>'Inflação Implícita'!H183-'Metas de Inflação'!H183</f>
        <v>0.35153699999999999</v>
      </c>
      <c r="I183" s="3">
        <f>'Inflação Implícita'!I183-'Metas de Inflação'!I183</f>
        <v>0.35153699999999999</v>
      </c>
      <c r="J183" s="3">
        <f>'Inflação Implícita'!J183-'Metas de Inflação'!J183</f>
        <v>0.48565300000000011</v>
      </c>
      <c r="K183" s="3">
        <f>'Inflação Implícita'!K183-'Metas de Inflação'!K183</f>
        <v>0.504054</v>
      </c>
      <c r="L183" s="3">
        <f>'Inflação Implícita'!L183-'Metas de Inflação'!L183</f>
        <v>0.50760100000000019</v>
      </c>
      <c r="M183" s="3">
        <f>'Inflação Implícita'!M183-'Metas de Inflação'!M183</f>
        <v>0.50280400000000025</v>
      </c>
      <c r="N183" s="3">
        <f>'Inflação Implícita'!N183-'Metas de Inflação'!N183</f>
        <v>0.49300299999999986</v>
      </c>
      <c r="O183" s="3">
        <f>'Inflação Implícita'!O183-'Metas de Inflação'!O183</f>
        <v>0.48040100000000008</v>
      </c>
      <c r="P183" s="3">
        <f>'Inflação Implícita'!P183-'Metas de Inflação'!P183</f>
        <v>0.46663200000000016</v>
      </c>
      <c r="Q183" s="3">
        <f>'Inflação Implícita'!Q183-'Metas de Inflação'!Q183</f>
        <v>0.45272200000000007</v>
      </c>
    </row>
    <row r="184" spans="1:17" ht="18.75" customHeight="1" x14ac:dyDescent="0.25">
      <c r="A184" s="2">
        <v>43951</v>
      </c>
      <c r="B184" s="3">
        <f>'Inflação Implícita'!B184-'Metas de Inflação'!B184</f>
        <v>-1.6</v>
      </c>
      <c r="C184" s="3">
        <f>'Inflação Implícita'!C184-'Metas de Inflação'!C184</f>
        <v>-2.7703600000000002</v>
      </c>
      <c r="D184" s="3">
        <f>'Inflação Implícita'!D184-'Metas de Inflação'!D184</f>
        <v>-1.3869340000000001</v>
      </c>
      <c r="E184" s="3">
        <f>'Inflação Implícita'!E184-'Metas de Inflação'!E184</f>
        <v>-0.76209199999999999</v>
      </c>
      <c r="F184" s="3">
        <f>'Inflação Implícita'!F184-'Metas de Inflação'!F184</f>
        <v>-0.26329100000000016</v>
      </c>
      <c r="G184" s="3">
        <f>'Inflação Implícita'!G184-'Metas de Inflação'!G184</f>
        <v>0.10600500000000013</v>
      </c>
      <c r="H184" s="3">
        <f>'Inflação Implícita'!H184-'Metas de Inflação'!H184</f>
        <v>0.31292900000000001</v>
      </c>
      <c r="I184" s="3">
        <f>'Inflação Implícita'!I184-'Metas de Inflação'!I184</f>
        <v>0.31292900000000001</v>
      </c>
      <c r="J184" s="3">
        <f>'Inflação Implícita'!J184-'Metas de Inflação'!J184</f>
        <v>0.52533799999999964</v>
      </c>
      <c r="K184" s="3">
        <f>'Inflação Implícita'!K184-'Metas de Inflação'!K184</f>
        <v>0.56378799999999973</v>
      </c>
      <c r="L184" s="3">
        <f>'Inflação Implícita'!L184-'Metas de Inflação'!L184</f>
        <v>0.58044399999999996</v>
      </c>
      <c r="M184" s="3">
        <f>'Inflação Implícita'!M184-'Metas de Inflação'!M184</f>
        <v>0.58028600000000008</v>
      </c>
      <c r="N184" s="3">
        <f>'Inflação Implícita'!N184-'Metas de Inflação'!N184</f>
        <v>0.57500800000000041</v>
      </c>
      <c r="O184" s="3">
        <f>'Inflação Implícita'!O184-'Metas de Inflação'!O184</f>
        <v>0.56553400000000043</v>
      </c>
      <c r="P184" s="3">
        <f>'Inflação Implícita'!P184-'Metas de Inflação'!P184</f>
        <v>0.553064</v>
      </c>
      <c r="Q184" s="3">
        <f>'Inflação Implícita'!Q184-'Metas de Inflação'!Q184</f>
        <v>0.5442499999999999</v>
      </c>
    </row>
    <row r="185" spans="1:17" ht="18.75" customHeight="1" x14ac:dyDescent="0.25">
      <c r="A185" s="2">
        <v>43982</v>
      </c>
      <c r="B185" s="3">
        <f>'Inflação Implícita'!B185-'Metas de Inflação'!B185</f>
        <v>-2.12</v>
      </c>
      <c r="C185" s="3">
        <f>'Inflação Implícita'!C185-'Metas de Inflação'!C185</f>
        <v>-1.7338179999999999</v>
      </c>
      <c r="D185" s="3">
        <f>'Inflação Implícita'!D185-'Metas de Inflação'!D185</f>
        <v>-0.78366699999999989</v>
      </c>
      <c r="E185" s="3">
        <f>'Inflação Implícita'!E185-'Metas de Inflação'!E185</f>
        <v>-0.18271499999999996</v>
      </c>
      <c r="F185" s="3">
        <f>'Inflação Implícita'!F185-'Metas de Inflação'!F185</f>
        <v>0.15193600000000007</v>
      </c>
      <c r="G185" s="3">
        <f>'Inflação Implícita'!G185-'Metas de Inflação'!G185</f>
        <v>0.299207</v>
      </c>
      <c r="H185" s="3">
        <f>'Inflação Implícita'!H185-'Metas de Inflação'!H185</f>
        <v>0.34505199999999991</v>
      </c>
      <c r="I185" s="3">
        <f>'Inflação Implícita'!I185-'Metas de Inflação'!I185</f>
        <v>0.34505199999999991</v>
      </c>
      <c r="J185" s="3">
        <f>'Inflação Implícita'!J185-'Metas de Inflação'!J185</f>
        <v>0.31755699999999987</v>
      </c>
      <c r="K185" s="3">
        <f>'Inflação Implícita'!K185-'Metas de Inflação'!K185</f>
        <v>0.28579199999999982</v>
      </c>
      <c r="L185" s="3">
        <f>'Inflação Implícita'!L185-'Metas de Inflação'!L185</f>
        <v>0.25294799999999995</v>
      </c>
      <c r="M185" s="3">
        <f>'Inflação Implícita'!M185-'Metas de Inflação'!M185</f>
        <v>0.22173700000000007</v>
      </c>
      <c r="N185" s="3">
        <f>'Inflação Implícita'!N185-'Metas de Inflação'!N185</f>
        <v>0.19338800000000012</v>
      </c>
      <c r="O185" s="3">
        <f>'Inflação Implícita'!O185-'Metas de Inflação'!O185</f>
        <v>0.16909900000000011</v>
      </c>
      <c r="P185" s="3">
        <f>'Inflação Implícita'!P185-'Metas de Inflação'!P185</f>
        <v>0.1485120000000002</v>
      </c>
      <c r="Q185" s="3">
        <f>'Inflação Implícita'!Q185-'Metas de Inflação'!Q185</f>
        <v>0.13139099999999981</v>
      </c>
    </row>
    <row r="186" spans="1:17" ht="18.75" customHeight="1" x14ac:dyDescent="0.25">
      <c r="A186" s="2">
        <v>44012</v>
      </c>
      <c r="B186" s="3">
        <f>'Inflação Implícita'!B186-'Metas de Inflação'!B186</f>
        <v>-1.87</v>
      </c>
      <c r="C186" s="3">
        <f>'Inflação Implícita'!C186-'Metas de Inflação'!C186</f>
        <v>-1.0667469999999999</v>
      </c>
      <c r="D186" s="3">
        <f>'Inflação Implícita'!D186-'Metas de Inflação'!D186</f>
        <v>-0.4249010000000002</v>
      </c>
      <c r="E186" s="3">
        <f>'Inflação Implícita'!E186-'Metas de Inflação'!E186</f>
        <v>3.2040999999999986E-2</v>
      </c>
      <c r="F186" s="3">
        <f>'Inflação Implícita'!F186-'Metas de Inflação'!F186</f>
        <v>0.23805699999999996</v>
      </c>
      <c r="G186" s="3">
        <f>'Inflação Implícita'!G186-'Metas de Inflação'!G186</f>
        <v>0.30425499999999994</v>
      </c>
      <c r="H186" s="3">
        <f>'Inflação Implícita'!H186-'Metas de Inflação'!H186</f>
        <v>0.30792300000000017</v>
      </c>
      <c r="I186" s="3">
        <f>'Inflação Implícita'!I186-'Metas de Inflação'!I186</f>
        <v>0.30792300000000017</v>
      </c>
      <c r="J186" s="3">
        <f>'Inflação Implícita'!J186-'Metas de Inflação'!J186</f>
        <v>0.2633049999999999</v>
      </c>
      <c r="K186" s="3">
        <f>'Inflação Implícita'!K186-'Metas de Inflação'!K186</f>
        <v>0.23860800000000015</v>
      </c>
      <c r="L186" s="3">
        <f>'Inflação Implícita'!L186-'Metas de Inflação'!L186</f>
        <v>0.21639700000000017</v>
      </c>
      <c r="M186" s="3">
        <f>'Inflação Implícita'!M186-'Metas de Inflação'!M186</f>
        <v>0.19918300000000011</v>
      </c>
      <c r="N186" s="3">
        <f>'Inflação Implícita'!N186-'Metas de Inflação'!N186</f>
        <v>0.18188300000000002</v>
      </c>
      <c r="O186" s="3">
        <f>'Inflação Implícita'!O186-'Metas de Inflação'!O186</f>
        <v>0.16726699999999983</v>
      </c>
      <c r="P186" s="3">
        <f>'Inflação Implícita'!P186-'Metas de Inflação'!P186</f>
        <v>0.15469899999999992</v>
      </c>
      <c r="Q186" s="3">
        <f>'Inflação Implícita'!Q186-'Metas de Inflação'!Q186</f>
        <v>0.14377199999999979</v>
      </c>
    </row>
    <row r="187" spans="1:17" ht="18.75" customHeight="1" x14ac:dyDescent="0.25">
      <c r="A187" s="2">
        <v>44043</v>
      </c>
      <c r="B187" s="3">
        <f>'Inflação Implícita'!B187-'Metas de Inflação'!B187</f>
        <v>-1.69</v>
      </c>
      <c r="C187" s="3">
        <f>'Inflação Implícita'!C187-'Metas de Inflação'!C187</f>
        <v>-0.94265599999999994</v>
      </c>
      <c r="D187" s="3">
        <f>'Inflação Implícita'!D187-'Metas de Inflação'!D187</f>
        <v>-0.37658399999999981</v>
      </c>
      <c r="E187" s="3">
        <f>'Inflação Implícita'!E187-'Metas de Inflação'!E187</f>
        <v>0.20136399999999988</v>
      </c>
      <c r="F187" s="3">
        <f>'Inflação Implícita'!F187-'Metas de Inflação'!F187</f>
        <v>0.42524700000000015</v>
      </c>
      <c r="G187" s="3">
        <f>'Inflação Implícita'!G187-'Metas de Inflação'!G187</f>
        <v>0.55375500000000022</v>
      </c>
      <c r="H187" s="3">
        <f>'Inflação Implícita'!H187-'Metas de Inflação'!H187</f>
        <v>0.61549699999999996</v>
      </c>
      <c r="I187" s="3">
        <f>'Inflação Implícita'!I187-'Metas de Inflação'!I187</f>
        <v>0.61549699999999996</v>
      </c>
      <c r="J187" s="3">
        <f>'Inflação Implícita'!J187-'Metas de Inflação'!J187</f>
        <v>0.63857600000000003</v>
      </c>
      <c r="K187" s="3">
        <f>'Inflação Implícita'!K187-'Metas de Inflação'!K187</f>
        <v>0.62755500000000008</v>
      </c>
      <c r="L187" s="3">
        <f>'Inflação Implícita'!L187-'Metas de Inflação'!L187</f>
        <v>0.61228099999999985</v>
      </c>
      <c r="M187" s="3">
        <f>'Inflação Implícita'!M187-'Metas de Inflação'!M187</f>
        <v>0.59637099999999998</v>
      </c>
      <c r="N187" s="3">
        <f>'Inflação Implícita'!N187-'Metas de Inflação'!N187</f>
        <v>0.5840749999999999</v>
      </c>
      <c r="O187" s="3">
        <f>'Inflação Implícita'!O187-'Metas de Inflação'!O187</f>
        <v>0.56965900000000014</v>
      </c>
      <c r="P187" s="3">
        <f>'Inflação Implícita'!P187-'Metas de Inflação'!P187</f>
        <v>0.55346099999999998</v>
      </c>
      <c r="Q187" s="3">
        <f>'Inflação Implícita'!Q187-'Metas de Inflação'!Q187</f>
        <v>0.54181699999999999</v>
      </c>
    </row>
    <row r="188" spans="1:17" ht="18.75" customHeight="1" x14ac:dyDescent="0.25">
      <c r="A188" s="2">
        <v>44074</v>
      </c>
      <c r="B188" s="3">
        <f>'Inflação Implícita'!B188-'Metas de Inflação'!B188</f>
        <v>-1.56</v>
      </c>
      <c r="C188" s="3">
        <f>'Inflação Implícita'!C188-'Metas de Inflação'!C188</f>
        <v>-6.2694000000000027E-2</v>
      </c>
      <c r="D188" s="3">
        <f>'Inflação Implícita'!D188-'Metas de Inflação'!D188</f>
        <v>0.38888200000000017</v>
      </c>
      <c r="E188" s="3">
        <f>'Inflação Implícita'!E188-'Metas de Inflação'!E188</f>
        <v>0.76372600000000013</v>
      </c>
      <c r="F188" s="3">
        <f>'Inflação Implícita'!F188-'Metas de Inflação'!F188</f>
        <v>0.86622999999999983</v>
      </c>
      <c r="G188" s="3">
        <f>'Inflação Implícita'!G188-'Metas de Inflação'!G188</f>
        <v>0.93083000000000027</v>
      </c>
      <c r="H188" s="3">
        <f>'Inflação Implícita'!H188-'Metas de Inflação'!H188</f>
        <v>0.95105799999999974</v>
      </c>
      <c r="I188" s="3">
        <f>'Inflação Implícita'!I188-'Metas de Inflação'!I188</f>
        <v>0.95105799999999974</v>
      </c>
      <c r="J188" s="3">
        <f>'Inflação Implícita'!J188-'Metas de Inflação'!J188</f>
        <v>0.91172300000000028</v>
      </c>
      <c r="K188" s="3">
        <f>'Inflação Implícita'!K188-'Metas de Inflação'!K188</f>
        <v>0.87475799999999992</v>
      </c>
      <c r="L188" s="3">
        <f>'Inflação Implícita'!L188-'Metas de Inflação'!L188</f>
        <v>0.83500999999999959</v>
      </c>
      <c r="M188" s="3">
        <f>'Inflação Implícita'!M188-'Metas de Inflação'!M188</f>
        <v>0.7954030000000003</v>
      </c>
      <c r="N188" s="3">
        <f>'Inflação Implícita'!N188-'Metas de Inflação'!N188</f>
        <v>0.75766299999999998</v>
      </c>
      <c r="O188" s="3">
        <f>'Inflação Implícita'!O188-'Metas de Inflação'!O188</f>
        <v>0.72326699999999988</v>
      </c>
      <c r="P188" s="3">
        <f>'Inflação Implícita'!P188-'Metas de Inflação'!P188</f>
        <v>0.69195699999999993</v>
      </c>
      <c r="Q188" s="3">
        <f>'Inflação Implícita'!Q188-'Metas de Inflação'!Q188</f>
        <v>0.66376500000000016</v>
      </c>
    </row>
    <row r="189" spans="1:17" ht="18.75" customHeight="1" x14ac:dyDescent="0.25">
      <c r="A189" s="2">
        <v>44104</v>
      </c>
      <c r="B189" s="3">
        <f>'Inflação Implícita'!B189-'Metas de Inflação'!B189</f>
        <v>-0.85999999999999988</v>
      </c>
      <c r="C189" s="3">
        <f>'Inflação Implícita'!C189-'Metas de Inflação'!C189</f>
        <v>0.64553800000000017</v>
      </c>
      <c r="D189" s="3">
        <f>'Inflação Implícita'!D189-'Metas de Inflação'!D189</f>
        <v>0.61480400000000035</v>
      </c>
      <c r="E189" s="3">
        <f>'Inflação Implícita'!E189-'Metas de Inflação'!E189</f>
        <v>0.95391600000000043</v>
      </c>
      <c r="F189" s="3">
        <f>'Inflação Implícita'!F189-'Metas de Inflação'!F189</f>
        <v>1.0767259999999998</v>
      </c>
      <c r="G189" s="3">
        <f>'Inflação Implícita'!G189-'Metas de Inflação'!G189</f>
        <v>1.130598</v>
      </c>
      <c r="H189" s="3">
        <f>'Inflação Implícita'!H189-'Metas de Inflação'!H189</f>
        <v>1.1331329999999999</v>
      </c>
      <c r="I189" s="3">
        <f>'Inflação Implícita'!I189-'Metas de Inflação'!I189</f>
        <v>1.1331329999999999</v>
      </c>
      <c r="J189" s="3">
        <f>'Inflação Implícita'!J189-'Metas de Inflação'!J189</f>
        <v>1.0587949999999999</v>
      </c>
      <c r="K189" s="3">
        <f>'Inflação Implícita'!K189-'Metas de Inflação'!K189</f>
        <v>1.0104939999999996</v>
      </c>
      <c r="L189" s="3">
        <f>'Inflação Implícita'!L189-'Metas de Inflação'!L189</f>
        <v>0.96247900000000008</v>
      </c>
      <c r="M189" s="3">
        <f>'Inflação Implícita'!M189-'Metas de Inflação'!M189</f>
        <v>0.91761499999999963</v>
      </c>
      <c r="N189" s="3">
        <f>'Inflação Implícita'!N189-'Metas de Inflação'!N189</f>
        <v>0.87684799999999985</v>
      </c>
      <c r="O189" s="3">
        <f>'Inflação Implícita'!O189-'Metas de Inflação'!O189</f>
        <v>0.84099500000000038</v>
      </c>
      <c r="P189" s="3">
        <f>'Inflação Implícita'!P189-'Metas de Inflação'!P189</f>
        <v>0.80923199999999973</v>
      </c>
      <c r="Q189" s="3">
        <f>'Inflação Implícita'!Q189-'Metas de Inflação'!Q189</f>
        <v>0.78122399999999992</v>
      </c>
    </row>
    <row r="190" spans="1:17" ht="18.75" customHeight="1" x14ac:dyDescent="0.25">
      <c r="A190" s="2">
        <v>44135</v>
      </c>
      <c r="B190" s="3">
        <f>'Inflação Implícita'!B190-'Metas de Inflação'!B190</f>
        <v>-8.0000000000000071E-2</v>
      </c>
      <c r="C190" s="3">
        <f>'Inflação Implícita'!C190-'Metas de Inflação'!C190</f>
        <v>1.1592250000000002</v>
      </c>
      <c r="D190" s="3">
        <f>'Inflação Implícita'!D190-'Metas de Inflação'!D190</f>
        <v>0.76734599999999986</v>
      </c>
      <c r="E190" s="3">
        <f>'Inflação Implícita'!E190-'Metas de Inflação'!E190</f>
        <v>1.0074519999999998</v>
      </c>
      <c r="F190" s="3">
        <f>'Inflação Implícita'!F190-'Metas de Inflação'!F190</f>
        <v>1.0443379999999998</v>
      </c>
      <c r="G190" s="3">
        <f>'Inflação Implícita'!G190-'Metas de Inflação'!G190</f>
        <v>1.0499689999999999</v>
      </c>
      <c r="H190" s="3">
        <f>'Inflação Implícita'!H190-'Metas de Inflação'!H190</f>
        <v>1.0391060000000003</v>
      </c>
      <c r="I190" s="3">
        <f>'Inflação Implícita'!I190-'Metas de Inflação'!I190</f>
        <v>1.0391060000000003</v>
      </c>
      <c r="J190" s="3">
        <f>'Inflação Implícita'!J190-'Metas de Inflação'!J190</f>
        <v>1.0142519999999999</v>
      </c>
      <c r="K190" s="3">
        <f>'Inflação Implícita'!K190-'Metas de Inflação'!K190</f>
        <v>1.0082810000000002</v>
      </c>
      <c r="L190" s="3">
        <f>'Inflação Implícita'!L190-'Metas de Inflação'!L190</f>
        <v>1.0071659999999998</v>
      </c>
      <c r="M190" s="3">
        <f>'Inflação Implícita'!M190-'Metas de Inflação'!M190</f>
        <v>1.010103</v>
      </c>
      <c r="N190" s="3">
        <f>'Inflação Implícita'!N190-'Metas de Inflação'!N190</f>
        <v>1.016178</v>
      </c>
      <c r="O190" s="3">
        <f>'Inflação Implícita'!O190-'Metas de Inflação'!O190</f>
        <v>1.0242620000000002</v>
      </c>
      <c r="P190" s="3">
        <f>'Inflação Implícita'!P190-'Metas de Inflação'!P190</f>
        <v>1.0361130000000003</v>
      </c>
      <c r="Q190" s="3">
        <f>'Inflação Implícita'!Q190-'Metas de Inflação'!Q190</f>
        <v>1.0464669999999998</v>
      </c>
    </row>
    <row r="191" spans="1:17" ht="18.75" customHeight="1" x14ac:dyDescent="0.25">
      <c r="A191" s="2">
        <v>44165</v>
      </c>
      <c r="B191" s="3">
        <f>'Inflação Implícita'!B191-'Metas de Inflação'!B191</f>
        <v>0.30999999999999961</v>
      </c>
      <c r="C191" s="3">
        <f>'Inflação Implícita'!C191-'Metas de Inflação'!C191</f>
        <v>1.5199629999999997</v>
      </c>
      <c r="D191" s="3">
        <f>'Inflação Implícita'!D191-'Metas de Inflação'!D191</f>
        <v>0.93062700000000032</v>
      </c>
      <c r="E191" s="3">
        <f>'Inflação Implícita'!E191-'Metas de Inflação'!E191</f>
        <v>1.1843050000000002</v>
      </c>
      <c r="F191" s="3">
        <f>'Inflação Implícita'!F191-'Metas de Inflação'!F191</f>
        <v>1.2099190000000002</v>
      </c>
      <c r="G191" s="3">
        <f>'Inflação Implícita'!G191-'Metas de Inflação'!G191</f>
        <v>1.1994309999999997</v>
      </c>
      <c r="H191" s="3">
        <f>'Inflação Implícita'!H191-'Metas de Inflação'!H191</f>
        <v>1.1848460000000003</v>
      </c>
      <c r="I191" s="3">
        <f>'Inflação Implícita'!I191-'Metas de Inflação'!I191</f>
        <v>1.1848460000000003</v>
      </c>
      <c r="J191" s="3">
        <f>'Inflação Implícita'!J191-'Metas de Inflação'!J191</f>
        <v>1.2037319999999996</v>
      </c>
      <c r="K191" s="3">
        <f>'Inflação Implícita'!K191-'Metas de Inflação'!K191</f>
        <v>1.2423599999999997</v>
      </c>
      <c r="L191" s="3">
        <f>'Inflação Implícita'!L191-'Metas de Inflação'!L191</f>
        <v>1.2978730000000001</v>
      </c>
      <c r="M191" s="3">
        <f>'Inflação Implícita'!M191-'Metas de Inflação'!M191</f>
        <v>1.3657260000000004</v>
      </c>
      <c r="N191" s="3">
        <f>'Inflação Implícita'!N191-'Metas de Inflação'!N191</f>
        <v>1.4417710000000001</v>
      </c>
      <c r="O191" s="3">
        <f>'Inflação Implícita'!O191-'Metas de Inflação'!O191</f>
        <v>1.524038</v>
      </c>
      <c r="P191" s="3">
        <f>'Inflação Implícita'!P191-'Metas de Inflação'!P191</f>
        <v>1.6089820000000001</v>
      </c>
      <c r="Q191" s="3">
        <f>'Inflação Implícita'!Q191-'Metas de Inflação'!Q191</f>
        <v>1.6945430000000004</v>
      </c>
    </row>
    <row r="192" spans="1:17" ht="18.75" customHeight="1" x14ac:dyDescent="0.25">
      <c r="A192" s="2">
        <v>44196</v>
      </c>
      <c r="B192" s="3">
        <f>'Inflação Implícita'!B192-'Metas de Inflação'!B192</f>
        <v>0.51999999999999957</v>
      </c>
      <c r="C192" s="3">
        <f>'Inflação Implícita'!C192-'Metas de Inflação'!C192</f>
        <v>0.87061399999999978</v>
      </c>
      <c r="D192" s="3">
        <f>'Inflação Implícita'!D192-'Metas de Inflação'!D192</f>
        <v>0.34858099999999981</v>
      </c>
      <c r="E192" s="3">
        <f>'Inflação Implícita'!E192-'Metas de Inflação'!E192</f>
        <v>0.56327199999999999</v>
      </c>
      <c r="F192" s="3">
        <f>'Inflação Implícita'!F192-'Metas de Inflação'!F192</f>
        <v>0.60119599999999984</v>
      </c>
      <c r="G192" s="3">
        <f>'Inflação Implícita'!G192-'Metas de Inflação'!G192</f>
        <v>0.64221899999999987</v>
      </c>
      <c r="H192" s="3">
        <f>'Inflação Implícita'!H192-'Metas de Inflação'!H192</f>
        <v>0.68302400000000008</v>
      </c>
      <c r="I192" s="3">
        <f>'Inflação Implícita'!I192-'Metas de Inflação'!I192</f>
        <v>0.68302400000000008</v>
      </c>
      <c r="J192" s="3">
        <f>'Inflação Implícita'!J192-'Metas de Inflação'!J192</f>
        <v>0.76435500000000012</v>
      </c>
      <c r="K192" s="3">
        <f>'Inflação Implícita'!K192-'Metas de Inflação'!K192</f>
        <v>0.80327199999999976</v>
      </c>
      <c r="L192" s="3">
        <f>'Inflação Implícita'!L192-'Metas de Inflação'!L192</f>
        <v>0.84053299999999975</v>
      </c>
      <c r="M192" s="3">
        <f>'Inflação Implícita'!M192-'Metas de Inflação'!M192</f>
        <v>0.87102500000000038</v>
      </c>
      <c r="N192" s="3">
        <f>'Inflação Implícita'!N192-'Metas de Inflação'!N192</f>
        <v>0.90720199999999984</v>
      </c>
      <c r="O192" s="3">
        <f>'Inflação Implícita'!O192-'Metas de Inflação'!O192</f>
        <v>0.93266500000000008</v>
      </c>
      <c r="P192" s="3">
        <f>'Inflação Implícita'!P192-'Metas de Inflação'!P192</f>
        <v>0.96273799999999987</v>
      </c>
      <c r="Q192" s="3">
        <f>'Inflação Implícita'!Q192-'Metas de Inflação'!Q192</f>
        <v>0.98399000000000036</v>
      </c>
    </row>
    <row r="193" spans="1:17" ht="18.75" customHeight="1" x14ac:dyDescent="0.25">
      <c r="A193" s="2">
        <v>44227</v>
      </c>
      <c r="B193" s="3">
        <f>'Inflação Implícita'!B193-'Metas de Inflação'!B193</f>
        <v>0.80999999999999961</v>
      </c>
      <c r="C193" s="3">
        <f>'Inflação Implícita'!C193-'Metas de Inflação'!C193</f>
        <v>1.1131650000000004</v>
      </c>
      <c r="D193" s="3">
        <f>'Inflação Implícita'!D193-'Metas de Inflação'!D193</f>
        <v>0.84696700000000025</v>
      </c>
      <c r="E193" s="3">
        <f>'Inflação Implícita'!E193-'Metas de Inflação'!E193</f>
        <v>0.84696999999999978</v>
      </c>
      <c r="F193" s="3">
        <f>'Inflação Implícita'!F193-'Metas de Inflação'!F193</f>
        <v>0.88390799999999992</v>
      </c>
      <c r="G193" s="3">
        <f>'Inflação Implícita'!G193-'Metas de Inflação'!G193</f>
        <v>0.92460699999999996</v>
      </c>
      <c r="H193" s="3">
        <f>'Inflação Implícita'!H193-'Metas de Inflação'!H193</f>
        <v>0.9752029999999996</v>
      </c>
      <c r="I193" s="3">
        <f>'Inflação Implícita'!I193-'Metas de Inflação'!I193</f>
        <v>0.9752029999999996</v>
      </c>
      <c r="J193" s="3">
        <f>'Inflação Implícita'!J193-'Metas de Inflação'!J193</f>
        <v>1.1067729999999996</v>
      </c>
      <c r="K193" s="3">
        <f>'Inflação Implícita'!K193-'Metas de Inflação'!K193</f>
        <v>1.1815059999999997</v>
      </c>
      <c r="L193" s="3">
        <f>'Inflação Implícita'!L193-'Metas de Inflação'!L193</f>
        <v>1.2590149999999998</v>
      </c>
      <c r="M193" s="3">
        <f>'Inflação Implícita'!M193-'Metas de Inflação'!M193</f>
        <v>1.3300159999999996</v>
      </c>
      <c r="N193" s="3">
        <f>'Inflação Implícita'!N193-'Metas de Inflação'!N193</f>
        <v>1.4106189999999996</v>
      </c>
      <c r="O193" s="3">
        <f>'Inflação Implícita'!O193-'Metas de Inflação'!O193</f>
        <v>1.4736599999999997</v>
      </c>
      <c r="P193" s="3">
        <f>'Inflação Implícita'!P193-'Metas de Inflação'!P193</f>
        <v>1.5561439999999997</v>
      </c>
      <c r="Q193" s="3">
        <f>'Inflação Implícita'!Q193-'Metas de Inflação'!Q193</f>
        <v>1.6189660000000003</v>
      </c>
    </row>
    <row r="194" spans="1:17" ht="18.75" customHeight="1" x14ac:dyDescent="0.25">
      <c r="A194" s="2">
        <v>44255</v>
      </c>
      <c r="B194" s="3">
        <f>'Inflação Implícita'!B194-'Metas de Inflação'!B194</f>
        <v>1.4500000000000002</v>
      </c>
      <c r="C194" s="3">
        <f>'Inflação Implícita'!C194-'Metas de Inflação'!C194</f>
        <v>1.5309030000000003</v>
      </c>
      <c r="D194" s="3">
        <f>'Inflação Implícita'!D194-'Metas de Inflação'!D194</f>
        <v>1.1692</v>
      </c>
      <c r="E194" s="3">
        <f>'Inflação Implícita'!E194-'Metas de Inflação'!E194</f>
        <v>1.2331300000000001</v>
      </c>
      <c r="F194" s="3">
        <f>'Inflação Implícita'!F194-'Metas de Inflação'!F194</f>
        <v>1.3315039999999998</v>
      </c>
      <c r="G194" s="3">
        <f>'Inflação Implícita'!G194-'Metas de Inflação'!G194</f>
        <v>1.4102040000000002</v>
      </c>
      <c r="H194" s="3">
        <f>'Inflação Implícita'!H194-'Metas de Inflação'!H194</f>
        <v>1.4776210000000001</v>
      </c>
      <c r="I194" s="3">
        <f>'Inflação Implícita'!I194-'Metas de Inflação'!I194</f>
        <v>1.4776210000000001</v>
      </c>
      <c r="J194" s="3">
        <f>'Inflação Implícita'!J194-'Metas de Inflação'!J194</f>
        <v>1.6015090000000001</v>
      </c>
      <c r="K194" s="3">
        <f>'Inflação Implícita'!K194-'Metas de Inflação'!K194</f>
        <v>1.6588010000000004</v>
      </c>
      <c r="L194" s="3">
        <f>'Inflação Implícita'!L194-'Metas de Inflação'!L194</f>
        <v>1.7128899999999998</v>
      </c>
      <c r="M194" s="3">
        <f>'Inflação Implícita'!M194-'Metas de Inflação'!M194</f>
        <v>1.7627649999999999</v>
      </c>
      <c r="N194" s="3">
        <f>'Inflação Implícita'!N194-'Metas de Inflação'!N194</f>
        <v>1.809717</v>
      </c>
      <c r="O194" s="3">
        <f>'Inflação Implícita'!O194-'Metas de Inflação'!O194</f>
        <v>1.8526199999999999</v>
      </c>
      <c r="P194" s="3">
        <f>'Inflação Implícita'!P194-'Metas de Inflação'!P194</f>
        <v>1.8912380000000004</v>
      </c>
      <c r="Q194" s="3">
        <f>'Inflação Implícita'!Q194-'Metas de Inflação'!Q194</f>
        <v>1.9273239999999996</v>
      </c>
    </row>
    <row r="195" spans="1:17" ht="18.75" customHeight="1" x14ac:dyDescent="0.25">
      <c r="A195" s="2">
        <v>44286</v>
      </c>
      <c r="B195" s="3">
        <f>'Inflação Implícita'!B195-'Metas de Inflação'!B195</f>
        <v>2.3499999999999996</v>
      </c>
      <c r="C195" s="3">
        <f>'Inflação Implícita'!C195-'Metas de Inflação'!C195</f>
        <v>1.8056080000000003</v>
      </c>
      <c r="D195" s="3">
        <f>'Inflação Implícita'!D195-'Metas de Inflação'!D195</f>
        <v>1.3608840000000004</v>
      </c>
      <c r="E195" s="3">
        <f>'Inflação Implícita'!E195-'Metas de Inflação'!E195</f>
        <v>1.5402329999999997</v>
      </c>
      <c r="F195" s="3">
        <f>'Inflação Implícita'!F195-'Metas de Inflação'!F195</f>
        <v>1.7285259999999996</v>
      </c>
      <c r="G195" s="3">
        <f>'Inflação Implícita'!G195-'Metas de Inflação'!G195</f>
        <v>1.8604520000000004</v>
      </c>
      <c r="H195" s="3">
        <f>'Inflação Implícita'!H195-'Metas de Inflação'!H195</f>
        <v>1.964874</v>
      </c>
      <c r="I195" s="3">
        <f>'Inflação Implícita'!I195-'Metas de Inflação'!I195</f>
        <v>1.964874</v>
      </c>
      <c r="J195" s="3">
        <f>'Inflação Implícita'!J195-'Metas de Inflação'!J195</f>
        <v>2.102538</v>
      </c>
      <c r="K195" s="3">
        <f>'Inflação Implícita'!K195-'Metas de Inflação'!K195</f>
        <v>2.1510389999999999</v>
      </c>
      <c r="L195" s="3">
        <f>'Inflação Implícita'!L195-'Metas de Inflação'!L195</f>
        <v>2.179214</v>
      </c>
      <c r="M195" s="3">
        <f>'Inflação Implícita'!M195-'Metas de Inflação'!M195</f>
        <v>2.2018820000000003</v>
      </c>
      <c r="N195" s="3">
        <f>'Inflação Implícita'!N195-'Metas de Inflação'!N195</f>
        <v>2.2175089999999997</v>
      </c>
      <c r="O195" s="3">
        <f>'Inflação Implícita'!O195-'Metas de Inflação'!O195</f>
        <v>2.2273490000000002</v>
      </c>
      <c r="P195" s="3">
        <f>'Inflação Implícita'!P195-'Metas de Inflação'!P195</f>
        <v>2.2328140000000003</v>
      </c>
      <c r="Q195" s="3">
        <f>'Inflação Implícita'!Q195-'Metas de Inflação'!Q195</f>
        <v>2.2351590000000003</v>
      </c>
    </row>
    <row r="196" spans="1:17" ht="18.75" customHeight="1" x14ac:dyDescent="0.25">
      <c r="A196" s="2">
        <v>44316</v>
      </c>
      <c r="B196" s="3">
        <f>'Inflação Implícita'!B196-'Metas de Inflação'!B196</f>
        <v>3.01</v>
      </c>
      <c r="C196" s="3">
        <f>'Inflação Implícita'!C196-'Metas de Inflação'!C196</f>
        <v>0.59795800000000021</v>
      </c>
      <c r="D196" s="3">
        <f>'Inflação Implícita'!D196-'Metas de Inflação'!D196</f>
        <v>1.5460430000000001</v>
      </c>
      <c r="E196" s="3">
        <f>'Inflação Implícita'!E196-'Metas de Inflação'!E196</f>
        <v>1.6893310000000001</v>
      </c>
      <c r="F196" s="3">
        <f>'Inflação Implícita'!F196-'Metas de Inflação'!F196</f>
        <v>1.7139920000000002</v>
      </c>
      <c r="G196" s="3">
        <f>'Inflação Implícita'!G196-'Metas de Inflação'!G196</f>
        <v>1.7356439999999997</v>
      </c>
      <c r="H196" s="3">
        <f>'Inflação Implícita'!H196-'Metas de Inflação'!H196</f>
        <v>1.774654</v>
      </c>
      <c r="I196" s="3">
        <f>'Inflação Implícita'!I196-'Metas de Inflação'!I196</f>
        <v>1.774654</v>
      </c>
      <c r="J196" s="3">
        <f>'Inflação Implícita'!J196-'Metas de Inflação'!J196</f>
        <v>1.8794839999999997</v>
      </c>
      <c r="K196" s="3">
        <f>'Inflação Implícita'!K196-'Metas de Inflação'!K196</f>
        <v>1.9345020000000002</v>
      </c>
      <c r="L196" s="3">
        <f>'Inflação Implícita'!L196-'Metas de Inflação'!L196</f>
        <v>1.9803480000000002</v>
      </c>
      <c r="M196" s="3">
        <f>'Inflação Implícita'!M196-'Metas de Inflação'!M196</f>
        <v>2.0225629999999999</v>
      </c>
      <c r="N196" s="3">
        <f>'Inflação Implícita'!N196-'Metas de Inflação'!N196</f>
        <v>2.0585889999999996</v>
      </c>
      <c r="O196" s="3">
        <f>'Inflação Implícita'!O196-'Metas de Inflação'!O196</f>
        <v>2.0877179999999997</v>
      </c>
      <c r="P196" s="3">
        <f>'Inflação Implícita'!P196-'Metas de Inflação'!P196</f>
        <v>2.116015</v>
      </c>
      <c r="Q196" s="3">
        <f>'Inflação Implícita'!Q196-'Metas de Inflação'!Q196</f>
        <v>2.133451</v>
      </c>
    </row>
    <row r="197" spans="1:17" ht="18.75" customHeight="1" x14ac:dyDescent="0.25">
      <c r="A197" s="2">
        <v>44347</v>
      </c>
      <c r="B197" s="3">
        <f>'Inflação Implícita'!B197-'Metas de Inflação'!B197</f>
        <v>4.3100000000000005</v>
      </c>
      <c r="C197" s="3">
        <f>'Inflação Implícita'!C197-'Metas de Inflação'!C197</f>
        <v>1.2823690000000001</v>
      </c>
      <c r="D197" s="3">
        <f>'Inflação Implícita'!D197-'Metas de Inflação'!D197</f>
        <v>1.9883259999999998</v>
      </c>
      <c r="E197" s="3">
        <f>'Inflação Implícita'!E197-'Metas de Inflação'!E197</f>
        <v>1.8224460000000002</v>
      </c>
      <c r="F197" s="3">
        <f>'Inflação Implícita'!F197-'Metas de Inflação'!F197</f>
        <v>1.663335</v>
      </c>
      <c r="G197" s="3">
        <f>'Inflação Implícita'!G197-'Metas de Inflação'!G197</f>
        <v>1.6074780000000004</v>
      </c>
      <c r="H197" s="3">
        <f>'Inflação Implícita'!H197-'Metas de Inflação'!H197</f>
        <v>1.6280320000000001</v>
      </c>
      <c r="I197" s="3">
        <f>'Inflação Implícita'!I197-'Metas de Inflação'!I197</f>
        <v>1.6280320000000001</v>
      </c>
      <c r="J197" s="3">
        <f>'Inflação Implícita'!J197-'Metas de Inflação'!J197</f>
        <v>1.7715569999999996</v>
      </c>
      <c r="K197" s="3">
        <f>'Inflação Implícita'!K197-'Metas de Inflação'!K197</f>
        <v>1.8583369999999997</v>
      </c>
      <c r="L197" s="3">
        <f>'Inflação Implícita'!L197-'Metas de Inflação'!L197</f>
        <v>1.9438719999999998</v>
      </c>
      <c r="M197" s="3">
        <f>'Inflação Implícita'!M197-'Metas de Inflação'!M197</f>
        <v>2.0244869999999997</v>
      </c>
      <c r="N197" s="3">
        <f>'Inflação Implícita'!N197-'Metas de Inflação'!N197</f>
        <v>2.0962709999999998</v>
      </c>
      <c r="O197" s="3">
        <f>'Inflação Implícita'!O197-'Metas de Inflação'!O197</f>
        <v>2.1597879999999998</v>
      </c>
      <c r="P197" s="3">
        <f>'Inflação Implícita'!P197-'Metas de Inflação'!P197</f>
        <v>2.2154689999999997</v>
      </c>
      <c r="Q197" s="3">
        <f>'Inflação Implícita'!Q197-'Metas de Inflação'!Q197</f>
        <v>2.2637650000000002</v>
      </c>
    </row>
    <row r="198" spans="1:17" ht="18.75" customHeight="1" x14ac:dyDescent="0.25">
      <c r="A198" s="2">
        <v>44377</v>
      </c>
      <c r="B198" s="3">
        <f>'Inflação Implícita'!B198-'Metas de Inflação'!B198</f>
        <v>4.5999999999999996</v>
      </c>
      <c r="C198" s="3">
        <f>'Inflação Implícita'!C198-'Metas de Inflação'!C198</f>
        <v>1.4227400000000001</v>
      </c>
      <c r="D198" s="3">
        <f>'Inflação Implícita'!D198-'Metas de Inflação'!D198</f>
        <v>1.602913</v>
      </c>
      <c r="E198" s="3">
        <f>'Inflação Implícita'!E198-'Metas de Inflação'!E198</f>
        <v>1.3905079999999996</v>
      </c>
      <c r="F198" s="3">
        <f>'Inflação Implícita'!F198-'Metas de Inflação'!F198</f>
        <v>1.3419350000000003</v>
      </c>
      <c r="G198" s="3">
        <f>'Inflação Implícita'!G198-'Metas de Inflação'!G198</f>
        <v>1.3838030000000003</v>
      </c>
      <c r="H198" s="3">
        <f>'Inflação Implícita'!H198-'Metas de Inflação'!H198</f>
        <v>1.4672999999999998</v>
      </c>
      <c r="I198" s="3">
        <f>'Inflação Implícita'!I198-'Metas de Inflação'!I198</f>
        <v>1.4672999999999998</v>
      </c>
      <c r="J198" s="3">
        <f>'Inflação Implícita'!J198-'Metas de Inflação'!J198</f>
        <v>1.6676089999999997</v>
      </c>
      <c r="K198" s="3">
        <f>'Inflação Implícita'!K198-'Metas de Inflação'!K198</f>
        <v>1.7629010000000003</v>
      </c>
      <c r="L198" s="3">
        <f>'Inflação Implícita'!L198-'Metas de Inflação'!L198</f>
        <v>1.8400420000000004</v>
      </c>
      <c r="M198" s="3">
        <f>'Inflação Implícita'!M198-'Metas de Inflação'!M198</f>
        <v>1.9199909999999996</v>
      </c>
      <c r="N198" s="3">
        <f>'Inflação Implícita'!N198-'Metas de Inflação'!N198</f>
        <v>1.9887030000000001</v>
      </c>
      <c r="O198" s="3">
        <f>'Inflação Implícita'!O198-'Metas de Inflação'!O198</f>
        <v>2.0478779999999999</v>
      </c>
      <c r="P198" s="3">
        <f>'Inflação Implícita'!P198-'Metas de Inflação'!P198</f>
        <v>2.0986929999999999</v>
      </c>
      <c r="Q198" s="3">
        <f>'Inflação Implícita'!Q198-'Metas de Inflação'!Q198</f>
        <v>2.1421330000000003</v>
      </c>
    </row>
    <row r="199" spans="1:17" ht="18.75" customHeight="1" x14ac:dyDescent="0.25">
      <c r="A199" s="2">
        <v>44408</v>
      </c>
      <c r="B199" s="3">
        <f>'Inflação Implícita'!B199-'Metas de Inflação'!B199</f>
        <v>5.24</v>
      </c>
      <c r="C199" s="3">
        <f>'Inflação Implícita'!C199-'Metas de Inflação'!C199</f>
        <v>2.0147659999999998</v>
      </c>
      <c r="D199" s="3">
        <f>'Inflação Implícita'!D199-'Metas de Inflação'!D199</f>
        <v>1.6894799999999996</v>
      </c>
      <c r="E199" s="3">
        <f>'Inflação Implícita'!E199-'Metas de Inflação'!E199</f>
        <v>1.829739</v>
      </c>
      <c r="F199" s="3">
        <f>'Inflação Implícita'!F199-'Metas de Inflação'!F199</f>
        <v>1.8157439999999996</v>
      </c>
      <c r="G199" s="3">
        <f>'Inflação Implícita'!G199-'Metas de Inflação'!G199</f>
        <v>1.8526939999999996</v>
      </c>
      <c r="H199" s="3">
        <f>'Inflação Implícita'!H199-'Metas de Inflação'!H199</f>
        <v>1.9193680000000004</v>
      </c>
      <c r="I199" s="3">
        <f>'Inflação Implícita'!I199-'Metas de Inflação'!I199</f>
        <v>1.9193680000000004</v>
      </c>
      <c r="J199" s="3">
        <f>'Inflação Implícita'!J199-'Metas de Inflação'!J199</f>
        <v>2.1009529999999996</v>
      </c>
      <c r="K199" s="3">
        <f>'Inflação Implícita'!K199-'Metas de Inflação'!K199</f>
        <v>2.1828260000000004</v>
      </c>
      <c r="L199" s="3">
        <f>'Inflação Implícita'!L199-'Metas de Inflação'!L199</f>
        <v>2.2652530000000004</v>
      </c>
      <c r="M199" s="3">
        <f>'Inflação Implícita'!M199-'Metas de Inflação'!M199</f>
        <v>2.3465850000000001</v>
      </c>
      <c r="N199" s="3">
        <f>'Inflação Implícita'!N199-'Metas de Inflação'!N199</f>
        <v>2.4218190000000002</v>
      </c>
      <c r="O199" s="3">
        <f>'Inflação Implícita'!O199-'Metas de Inflação'!O199</f>
        <v>2.4892630000000002</v>
      </c>
      <c r="P199" s="3">
        <f>'Inflação Implícita'!P199-'Metas de Inflação'!P199</f>
        <v>2.5649240000000004</v>
      </c>
      <c r="Q199" s="3">
        <f>'Inflação Implícita'!Q199-'Metas de Inflação'!Q199</f>
        <v>2.6192209999999996</v>
      </c>
    </row>
    <row r="200" spans="1:17" ht="18.75" customHeight="1" x14ac:dyDescent="0.25">
      <c r="A200" s="2">
        <v>44439</v>
      </c>
      <c r="B200" s="3">
        <f>'Inflação Implícita'!B200-'Metas de Inflação'!B200</f>
        <v>5.93</v>
      </c>
      <c r="C200" s="3">
        <f>'Inflação Implícita'!C200-'Metas de Inflação'!C200</f>
        <v>1.8839639999999997</v>
      </c>
      <c r="D200" s="3">
        <f>'Inflação Implícita'!D200-'Metas de Inflação'!D200</f>
        <v>1.8695659999999998</v>
      </c>
      <c r="E200" s="3">
        <f>'Inflação Implícita'!E200-'Metas de Inflação'!E200</f>
        <v>2.1760210000000004</v>
      </c>
      <c r="F200" s="3">
        <f>'Inflação Implícita'!F200-'Metas de Inflação'!F200</f>
        <v>2.2924509999999998</v>
      </c>
      <c r="G200" s="3">
        <f>'Inflação Implícita'!G200-'Metas de Inflação'!G200</f>
        <v>2.4196669999999996</v>
      </c>
      <c r="H200" s="3">
        <f>'Inflação Implícita'!H200-'Metas de Inflação'!H200</f>
        <v>2.5371579999999998</v>
      </c>
      <c r="I200" s="3">
        <f>'Inflação Implícita'!I200-'Metas de Inflação'!I200</f>
        <v>2.6401779999999997</v>
      </c>
      <c r="J200" s="3">
        <f>'Inflação Implícita'!J200-'Metas de Inflação'!J200</f>
        <v>2.7266830000000004</v>
      </c>
      <c r="K200" s="3">
        <f>'Inflação Implícita'!K200-'Metas de Inflação'!K200</f>
        <v>2.7982760000000004</v>
      </c>
      <c r="L200" s="3">
        <f>'Inflação Implícita'!L200-'Metas de Inflação'!L200</f>
        <v>2.8573950000000004</v>
      </c>
      <c r="M200" s="3">
        <f>'Inflação Implícita'!M200-'Metas de Inflação'!M200</f>
        <v>2.905939</v>
      </c>
      <c r="N200" s="3">
        <f>'Inflação Implícita'!N200-'Metas de Inflação'!N200</f>
        <v>2.945017</v>
      </c>
      <c r="O200" s="3">
        <f>'Inflação Implícita'!O200-'Metas de Inflação'!O200</f>
        <v>2.9769459999999999</v>
      </c>
      <c r="P200" s="3">
        <f>'Inflação Implícita'!P200-'Metas de Inflação'!P200</f>
        <v>3.0030219999999996</v>
      </c>
      <c r="Q200" s="3">
        <f>'Inflação Implícita'!Q200-'Metas de Inflação'!Q200</f>
        <v>3.0244980000000004</v>
      </c>
    </row>
    <row r="201" spans="1:17" ht="18.75" customHeight="1" x14ac:dyDescent="0.25">
      <c r="A201" s="2">
        <v>44469</v>
      </c>
      <c r="B201" s="3">
        <f>'Inflação Implícita'!B201-'Metas de Inflação'!B201</f>
        <v>6.5</v>
      </c>
      <c r="C201" s="3">
        <f>'Inflação Implícita'!C201-'Metas de Inflação'!C201</f>
        <v>2.2926520000000004</v>
      </c>
      <c r="D201" s="3">
        <f>'Inflação Implícita'!D201-'Metas de Inflação'!D201</f>
        <v>2.3386519999999997</v>
      </c>
      <c r="E201" s="3">
        <f>'Inflação Implícita'!E201-'Metas de Inflação'!E201</f>
        <v>2.612933</v>
      </c>
      <c r="F201" s="3">
        <f>'Inflação Implícita'!F201-'Metas de Inflação'!F201</f>
        <v>2.6716100000000003</v>
      </c>
      <c r="G201" s="3">
        <f>'Inflação Implícita'!G201-'Metas de Inflação'!G201</f>
        <v>2.7475620000000003</v>
      </c>
      <c r="H201" s="3">
        <f>'Inflação Implícita'!H201-'Metas de Inflação'!H201</f>
        <v>2.8405779999999998</v>
      </c>
      <c r="I201" s="3">
        <f>'Inflação Implícita'!I201-'Metas de Inflação'!I201</f>
        <v>2.9392149999999999</v>
      </c>
      <c r="J201" s="3">
        <f>'Inflação Implícita'!J201-'Metas de Inflação'!J201</f>
        <v>3.0356160000000001</v>
      </c>
      <c r="K201" s="3">
        <f>'Inflação Implícita'!K201-'Metas de Inflação'!K201</f>
        <v>3.1272469999999997</v>
      </c>
      <c r="L201" s="3">
        <f>'Inflação Implícita'!L201-'Metas de Inflação'!L201</f>
        <v>3.2134830000000001</v>
      </c>
      <c r="M201" s="3">
        <f>'Inflação Implícita'!M201-'Metas de Inflação'!M201</f>
        <v>3.292306</v>
      </c>
      <c r="N201" s="3">
        <f>'Inflação Implícita'!N201-'Metas de Inflação'!N201</f>
        <v>3.3622930000000002</v>
      </c>
      <c r="O201" s="3">
        <f>'Inflação Implícita'!O201-'Metas de Inflação'!O201</f>
        <v>3.4249000000000001</v>
      </c>
      <c r="P201" s="3">
        <f>'Inflação Implícita'!P201-'Metas de Inflação'!P201</f>
        <v>3.4805849999999996</v>
      </c>
      <c r="Q201" s="3">
        <f>'Inflação Implícita'!Q201-'Metas de Inflação'!Q201</f>
        <v>3.5303180000000003</v>
      </c>
    </row>
    <row r="202" spans="1:17" ht="18.75" customHeight="1" x14ac:dyDescent="0.25">
      <c r="A202" s="2">
        <v>44500</v>
      </c>
      <c r="B202" s="3">
        <f>'Inflação Implícita'!B202-'Metas de Inflação'!B202</f>
        <v>6.92</v>
      </c>
      <c r="C202" s="3">
        <f>'Inflação Implícita'!C202-'Metas de Inflação'!C202</f>
        <v>2.9190129999999996</v>
      </c>
      <c r="D202" s="3">
        <f>'Inflação Implícita'!D202-'Metas de Inflação'!D202</f>
        <v>3.1336839999999997</v>
      </c>
      <c r="E202" s="3">
        <f>'Inflação Implícita'!E202-'Metas de Inflação'!E202</f>
        <v>3.3601049999999999</v>
      </c>
      <c r="F202" s="3">
        <f>'Inflação Implícita'!F202-'Metas de Inflação'!F202</f>
        <v>3.3442460000000001</v>
      </c>
      <c r="G202" s="3">
        <f>'Inflação Implícita'!G202-'Metas de Inflação'!G202</f>
        <v>3.3496160000000001</v>
      </c>
      <c r="H202" s="3">
        <f>'Inflação Implícita'!H202-'Metas de Inflação'!H202</f>
        <v>3.3676069999999996</v>
      </c>
      <c r="I202" s="3">
        <f>'Inflação Implícita'!I202-'Metas de Inflação'!I202</f>
        <v>3.3902640000000002</v>
      </c>
      <c r="J202" s="3">
        <f>'Inflação Implícita'!J202-'Metas de Inflação'!J202</f>
        <v>3.4126779999999997</v>
      </c>
      <c r="K202" s="3">
        <f>'Inflação Implícita'!K202-'Metas de Inflação'!K202</f>
        <v>3.4334800000000003</v>
      </c>
      <c r="L202" s="3">
        <f>'Inflação Implícita'!L202-'Metas de Inflação'!L202</f>
        <v>3.4518050000000002</v>
      </c>
      <c r="M202" s="3">
        <f>'Inflação Implícita'!M202-'Metas de Inflação'!M202</f>
        <v>3.4678000000000004</v>
      </c>
      <c r="N202" s="3">
        <f>'Inflação Implícita'!N202-'Metas de Inflação'!N202</f>
        <v>3.4815209999999999</v>
      </c>
      <c r="O202" s="3">
        <f>'Inflação Implícita'!O202-'Metas de Inflação'!O202</f>
        <v>3.4932249999999998</v>
      </c>
      <c r="P202" s="3">
        <f>'Inflação Implícita'!P202-'Metas de Inflação'!P202</f>
        <v>3.5057369999999999</v>
      </c>
      <c r="Q202" s="3">
        <f>'Inflação Implícita'!Q202-'Metas de Inflação'!Q202</f>
        <v>3.5123639999999998</v>
      </c>
    </row>
    <row r="203" spans="1:17" ht="18.75" customHeight="1" x14ac:dyDescent="0.25">
      <c r="A203" s="2">
        <v>44530</v>
      </c>
      <c r="B203" s="3">
        <f>'Inflação Implícita'!B203-'Metas de Inflação'!B203</f>
        <v>6.99</v>
      </c>
      <c r="C203" s="3">
        <f>'Inflação Implícita'!C203-'Metas de Inflação'!C203</f>
        <v>3.0101430000000002</v>
      </c>
      <c r="D203" s="3">
        <f>'Inflação Implícita'!D203-'Metas de Inflação'!D203</f>
        <v>3.092015</v>
      </c>
      <c r="E203" s="3">
        <f>'Inflação Implícita'!E203-'Metas de Inflação'!E203</f>
        <v>3.1084059999999996</v>
      </c>
      <c r="F203" s="3">
        <f>'Inflação Implícita'!F203-'Metas de Inflação'!F203</f>
        <v>3.000254</v>
      </c>
      <c r="G203" s="3">
        <f>'Inflação Implícita'!G203-'Metas de Inflação'!G203</f>
        <v>2.9722749999999998</v>
      </c>
      <c r="H203" s="3">
        <f>'Inflação Implícita'!H203-'Metas de Inflação'!H203</f>
        <v>2.974647</v>
      </c>
      <c r="I203" s="3">
        <f>'Inflação Implícita'!I203-'Metas de Inflação'!I203</f>
        <v>2.9839229999999999</v>
      </c>
      <c r="J203" s="3">
        <f>'Inflação Implícita'!J203-'Metas de Inflação'!J203</f>
        <v>2.990863</v>
      </c>
      <c r="K203" s="3">
        <f>'Inflação Implícita'!K203-'Metas de Inflação'!K203</f>
        <v>2.9930469999999998</v>
      </c>
      <c r="L203" s="3">
        <f>'Inflação Implícita'!L203-'Metas de Inflação'!L203</f>
        <v>2.9904440000000001</v>
      </c>
      <c r="M203" s="3">
        <f>'Inflação Implícita'!M203-'Metas de Inflação'!M203</f>
        <v>2.9840200000000001</v>
      </c>
      <c r="N203" s="3">
        <f>'Inflação Implícita'!N203-'Metas de Inflação'!N203</f>
        <v>2.9746829999999997</v>
      </c>
      <c r="O203" s="3">
        <f>'Inflação Implícita'!O203-'Metas de Inflação'!O203</f>
        <v>2.9634239999999998</v>
      </c>
      <c r="P203" s="3">
        <f>'Inflação Implícita'!P203-'Metas de Inflação'!P203</f>
        <v>2.9509829999999999</v>
      </c>
      <c r="Q203" s="3">
        <f>'Inflação Implícita'!Q203-'Metas de Inflação'!Q203</f>
        <v>2.9377060000000004</v>
      </c>
    </row>
    <row r="204" spans="1:17" ht="18.75" customHeight="1" x14ac:dyDescent="0.25">
      <c r="A204" s="2">
        <v>44561</v>
      </c>
      <c r="B204" s="3">
        <f>'Inflação Implícita'!B204-'Metas de Inflação'!B204</f>
        <v>6.3100000000000005</v>
      </c>
      <c r="C204" s="3">
        <f>'Inflação Implícita'!C204-'Metas de Inflação'!C204</f>
        <v>2.2107200000000002</v>
      </c>
      <c r="D204" s="3">
        <f>'Inflação Implícita'!D204-'Metas de Inflação'!D204</f>
        <v>2.2436439999999997</v>
      </c>
      <c r="E204" s="3">
        <f>'Inflação Implícita'!E204-'Metas de Inflação'!E204</f>
        <v>2.2635690000000004</v>
      </c>
      <c r="F204" s="3">
        <f>'Inflação Implícita'!F204-'Metas de Inflação'!F204</f>
        <v>2.2210049999999999</v>
      </c>
      <c r="G204" s="3">
        <f>'Inflação Implícita'!G204-'Metas de Inflação'!G204</f>
        <v>2.2580070000000001</v>
      </c>
      <c r="H204" s="3">
        <f>'Inflação Implícita'!H204-'Metas de Inflação'!H204</f>
        <v>2.3079349999999996</v>
      </c>
      <c r="I204" s="3">
        <f>'Inflação Implícita'!I204-'Metas de Inflação'!I204</f>
        <v>2.349094</v>
      </c>
      <c r="J204" s="3">
        <f>'Inflação Implícita'!J204-'Metas de Inflação'!J204</f>
        <v>2.3781369999999997</v>
      </c>
      <c r="K204" s="3">
        <f>'Inflação Implícita'!K204-'Metas de Inflação'!K204</f>
        <v>2.3968749999999996</v>
      </c>
      <c r="L204" s="3">
        <f>'Inflação Implícita'!L204-'Metas de Inflação'!L204</f>
        <v>2.4068360000000002</v>
      </c>
      <c r="M204" s="3">
        <f>'Inflação Implícita'!M204-'Metas de Inflação'!M204</f>
        <v>2.4137919999999999</v>
      </c>
      <c r="N204" s="3">
        <f>'Inflação Implícita'!N204-'Metas de Inflação'!N204</f>
        <v>2.4162480000000004</v>
      </c>
      <c r="O204" s="3">
        <f>'Inflação Implícita'!O204-'Metas de Inflação'!O204</f>
        <v>2.417211</v>
      </c>
      <c r="P204" s="3">
        <f>'Inflação Implícita'!P204-'Metas de Inflação'!P204</f>
        <v>2.4168329999999996</v>
      </c>
      <c r="Q204" s="3">
        <f>'Inflação Implícita'!Q204-'Metas de Inflação'!Q204</f>
        <v>2.4158109999999997</v>
      </c>
    </row>
    <row r="205" spans="1:17" ht="18.75" customHeight="1" x14ac:dyDescent="0.25">
      <c r="A205" s="2">
        <v>44592</v>
      </c>
      <c r="B205" s="3">
        <f>'Inflação Implícita'!B205-'Metas de Inflação'!B205</f>
        <v>-3.5</v>
      </c>
      <c r="C205" s="3">
        <f>'Inflação Implícita'!C205-'Metas de Inflação'!C205</f>
        <v>-3.25</v>
      </c>
      <c r="D205" s="3">
        <f>'Inflação Implícita'!D205-'Metas de Inflação'!D205</f>
        <v>-3</v>
      </c>
      <c r="E205" s="3">
        <f>'Inflação Implícita'!E205-'Metas de Inflação'!E205</f>
        <v>-3</v>
      </c>
      <c r="F205" s="3">
        <f>'Inflação Implícita'!F205-'Metas de Inflação'!F205</f>
        <v>-3</v>
      </c>
      <c r="G205" s="3">
        <f>'Inflação Implícita'!G205-'Metas de Inflação'!G205</f>
        <v>-3</v>
      </c>
      <c r="H205" s="3">
        <f>'Inflação Implícita'!H205-'Metas de Inflação'!H205</f>
        <v>-3</v>
      </c>
      <c r="I205" s="3">
        <f>'Inflação Implícita'!I205-'Metas de Inflação'!I205</f>
        <v>-3</v>
      </c>
      <c r="J205" s="3">
        <f>'Inflação Implícita'!J205-'Metas de Inflação'!J205</f>
        <v>-3</v>
      </c>
      <c r="K205" s="3">
        <f>'Inflação Implícita'!K205-'Metas de Inflação'!K205</f>
        <v>-3</v>
      </c>
      <c r="L205" s="3">
        <f>'Inflação Implícita'!L205-'Metas de Inflação'!L205</f>
        <v>-3</v>
      </c>
      <c r="M205" s="3">
        <f>'Inflação Implícita'!M205-'Metas de Inflação'!M205</f>
        <v>-3</v>
      </c>
      <c r="N205" s="3">
        <f>'Inflação Implícita'!N205-'Metas de Inflação'!N205</f>
        <v>-3</v>
      </c>
      <c r="O205" s="3">
        <f>'Inflação Implícita'!O205-'Metas de Inflação'!O205</f>
        <v>-3</v>
      </c>
      <c r="P205" s="3">
        <f>'Inflação Implícita'!P205-'Metas de Inflação'!P205</f>
        <v>-3</v>
      </c>
      <c r="Q205" s="3">
        <f>'Inflação Implícita'!Q205-'Metas de Inflação'!Q205</f>
        <v>-3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65B2-7FFD-4B74-BD60-42EDE8571B4B}">
  <dimension ref="A1:D205"/>
  <sheetViews>
    <sheetView workbookViewId="0">
      <pane ySplit="1" topLeftCell="A179" activePane="bottomLeft" state="frozen"/>
      <selection pane="bottomLeft" activeCell="A205" sqref="A205"/>
    </sheetView>
  </sheetViews>
  <sheetFormatPr defaultColWidth="11.875" defaultRowHeight="15.75" x14ac:dyDescent="0.25"/>
  <cols>
    <col min="1" max="16384" width="11.875" style="1"/>
  </cols>
  <sheetData>
    <row r="1" spans="1:4" ht="18.75" customHeight="1" x14ac:dyDescent="0.25">
      <c r="A1" s="1" t="s">
        <v>0</v>
      </c>
      <c r="B1" s="1" t="s">
        <v>17</v>
      </c>
      <c r="C1" s="1" t="s">
        <v>18</v>
      </c>
      <c r="D1" s="1" t="s">
        <v>19</v>
      </c>
    </row>
    <row r="2" spans="1:4" ht="18.75" customHeight="1" x14ac:dyDescent="0.25">
      <c r="A2" s="2">
        <v>38411</v>
      </c>
      <c r="B2" s="3">
        <f>'Juro Nominal'!C2</f>
        <v>18.61</v>
      </c>
      <c r="C2" s="3">
        <f>'Juro Nominal'!Q2-'Juro Nominal'!C2</f>
        <v>-3.1799999999999997</v>
      </c>
      <c r="D2" s="3">
        <f>-'Juro Nominal'!C2+(2*'Juro Nominal'!G2)-'Juro Nominal'!Q2</f>
        <v>-2.259999999999998</v>
      </c>
    </row>
    <row r="3" spans="1:4" ht="18.75" customHeight="1" x14ac:dyDescent="0.25">
      <c r="A3" s="2">
        <v>38442</v>
      </c>
      <c r="B3" s="3">
        <f>'Juro Nominal'!C3</f>
        <v>19.190000000000001</v>
      </c>
      <c r="C3" s="3">
        <f>'Juro Nominal'!Q3-'Juro Nominal'!C3</f>
        <v>-2.8100000000000023</v>
      </c>
      <c r="D3" s="3">
        <f>-'Juro Nominal'!C3+(2*'Juro Nominal'!G3)-'Juro Nominal'!Q3</f>
        <v>-1.6300000000000026</v>
      </c>
    </row>
    <row r="4" spans="1:4" ht="18.75" customHeight="1" x14ac:dyDescent="0.25">
      <c r="A4" s="2">
        <v>38472</v>
      </c>
      <c r="B4" s="3">
        <f>'Juro Nominal'!C4</f>
        <v>19.16</v>
      </c>
      <c r="C4" s="3">
        <f>'Juro Nominal'!Q4-'Juro Nominal'!C4</f>
        <v>-3.0599999999999987</v>
      </c>
      <c r="D4" s="3">
        <f>-'Juro Nominal'!C4+(2*'Juro Nominal'!G4)-'Juro Nominal'!Q4</f>
        <v>-2.0599999999999987</v>
      </c>
    </row>
    <row r="5" spans="1:4" ht="18.75" customHeight="1" x14ac:dyDescent="0.25">
      <c r="A5" s="2">
        <v>38503</v>
      </c>
      <c r="B5" s="3">
        <f>'Juro Nominal'!C5</f>
        <v>18.649999999999999</v>
      </c>
      <c r="C5" s="3">
        <f>'Juro Nominal'!Q5-'Juro Nominal'!C5</f>
        <v>-2.8699999999999992</v>
      </c>
      <c r="D5" s="3">
        <f>-'Juro Nominal'!C5+(2*'Juro Nominal'!G5)-'Juro Nominal'!Q5</f>
        <v>-1.9299999999999979</v>
      </c>
    </row>
    <row r="6" spans="1:4" ht="18.75" customHeight="1" x14ac:dyDescent="0.25">
      <c r="A6" s="2">
        <v>38533</v>
      </c>
      <c r="B6" s="3">
        <f>'Juro Nominal'!C6</f>
        <v>18.12</v>
      </c>
      <c r="C6" s="3">
        <f>'Juro Nominal'!Q6-'Juro Nominal'!C6</f>
        <v>-2.6100000000000012</v>
      </c>
      <c r="D6" s="3">
        <f>-'Juro Nominal'!C6+(2*'Juro Nominal'!G6)-'Juro Nominal'!Q6</f>
        <v>-2.4100000000000019</v>
      </c>
    </row>
    <row r="7" spans="1:4" ht="18.75" customHeight="1" x14ac:dyDescent="0.25">
      <c r="A7" s="2">
        <v>38564</v>
      </c>
      <c r="B7" s="3">
        <f>'Juro Nominal'!C7</f>
        <v>18.329999999999998</v>
      </c>
      <c r="C7" s="3">
        <f>'Juro Nominal'!Q7-'Juro Nominal'!C7</f>
        <v>-2.509999999999998</v>
      </c>
      <c r="D7" s="3">
        <f>-'Juro Nominal'!C7+(2*'Juro Nominal'!G7)-'Juro Nominal'!Q7</f>
        <v>-1.6899999999999977</v>
      </c>
    </row>
    <row r="8" spans="1:4" ht="18.75" customHeight="1" x14ac:dyDescent="0.25">
      <c r="A8" s="2">
        <v>38595</v>
      </c>
      <c r="B8" s="3">
        <f>'Juro Nominal'!C8</f>
        <v>18.32</v>
      </c>
      <c r="C8" s="3">
        <f>'Juro Nominal'!Q8-'Juro Nominal'!C8</f>
        <v>-2.129999999999999</v>
      </c>
      <c r="D8" s="3">
        <f>-'Juro Nominal'!C8+(2*'Juro Nominal'!G8)-'Juro Nominal'!Q8</f>
        <v>-1.350000000000005</v>
      </c>
    </row>
    <row r="9" spans="1:4" ht="18.75" customHeight="1" x14ac:dyDescent="0.25">
      <c r="A9" s="2">
        <v>38625</v>
      </c>
      <c r="B9" s="3">
        <f>'Juro Nominal'!C9</f>
        <v>17.899999999999999</v>
      </c>
      <c r="C9" s="3">
        <f>'Juro Nominal'!Q9-'Juro Nominal'!C9</f>
        <v>-3.2999999999999989</v>
      </c>
      <c r="D9" s="3">
        <f>-'Juro Nominal'!C9+(2*'Juro Nominal'!G9)-'Juro Nominal'!Q9</f>
        <v>-1.9399999999999995</v>
      </c>
    </row>
    <row r="10" spans="1:4" ht="18.75" customHeight="1" x14ac:dyDescent="0.25">
      <c r="A10" s="2">
        <v>38656</v>
      </c>
      <c r="B10" s="3">
        <f>'Juro Nominal'!C10</f>
        <v>17.600000000000001</v>
      </c>
      <c r="C10" s="3">
        <f>'Juro Nominal'!Q10-'Juro Nominal'!C10</f>
        <v>-1.8200000000000021</v>
      </c>
      <c r="D10" s="3">
        <f>-'Juro Nominal'!C10+(2*'Juro Nominal'!G10)-'Juro Nominal'!Q10</f>
        <v>-1.0200000000000014</v>
      </c>
    </row>
    <row r="11" spans="1:4" ht="18.75" customHeight="1" x14ac:dyDescent="0.25">
      <c r="A11" s="2">
        <v>38686</v>
      </c>
      <c r="B11" s="3">
        <f>'Juro Nominal'!C11</f>
        <v>16.75</v>
      </c>
      <c r="C11" s="3">
        <f>'Juro Nominal'!Q11-'Juro Nominal'!C11</f>
        <v>-1.9700000000000006</v>
      </c>
      <c r="D11" s="3">
        <f>-'Juro Nominal'!C11+(2*'Juro Nominal'!G11)-'Juro Nominal'!Q11</f>
        <v>4.9999999999998934E-2</v>
      </c>
    </row>
    <row r="12" spans="1:4" ht="18.75" customHeight="1" x14ac:dyDescent="0.25">
      <c r="A12" s="2">
        <v>38717</v>
      </c>
      <c r="B12" s="3">
        <f>'Juro Nominal'!C12</f>
        <v>16.39</v>
      </c>
      <c r="C12" s="3">
        <f>'Juro Nominal'!Q12-'Juro Nominal'!C12</f>
        <v>-2.0500000000000007</v>
      </c>
      <c r="D12" s="3">
        <f>-'Juro Nominal'!C12+(2*'Juro Nominal'!G12)-'Juro Nominal'!Q12</f>
        <v>-0.92999999999999972</v>
      </c>
    </row>
    <row r="13" spans="1:4" ht="18.75" customHeight="1" x14ac:dyDescent="0.25">
      <c r="A13" s="2">
        <v>38748</v>
      </c>
      <c r="B13" s="3">
        <f>'Juro Nominal'!C13</f>
        <v>15.83</v>
      </c>
      <c r="C13" s="3">
        <f>'Juro Nominal'!Q13-'Juro Nominal'!C13</f>
        <v>-1.8000000000000007</v>
      </c>
      <c r="D13" s="3">
        <f>-'Juro Nominal'!C13+(2*'Juro Nominal'!G13)-'Juro Nominal'!Q13</f>
        <v>-1.0399999999999991</v>
      </c>
    </row>
    <row r="14" spans="1:4" ht="18.75" customHeight="1" x14ac:dyDescent="0.25">
      <c r="A14" s="2">
        <v>38776</v>
      </c>
      <c r="B14" s="3">
        <f>'Juro Nominal'!C14</f>
        <v>15.23</v>
      </c>
      <c r="C14" s="3">
        <f>'Juro Nominal'!Q14-'Juro Nominal'!C14</f>
        <v>-1.6100000000000012</v>
      </c>
      <c r="D14" s="3">
        <f>-'Juro Nominal'!C14+(2*'Juro Nominal'!G14)-'Juro Nominal'!Q14</f>
        <v>-1.3100000000000005</v>
      </c>
    </row>
    <row r="15" spans="1:4" ht="18.75" customHeight="1" x14ac:dyDescent="0.25">
      <c r="A15" s="2">
        <v>38807</v>
      </c>
      <c r="B15" s="3">
        <f>'Juro Nominal'!C15</f>
        <v>14.83</v>
      </c>
      <c r="C15" s="3">
        <f>'Juro Nominal'!Q15-'Juro Nominal'!C15</f>
        <v>-0.41999999999999993</v>
      </c>
      <c r="D15" s="3">
        <f>-'Juro Nominal'!C15+(2*'Juro Nominal'!G15)-'Juro Nominal'!Q15</f>
        <v>-0.22000000000000064</v>
      </c>
    </row>
    <row r="16" spans="1:4" ht="18.75" customHeight="1" x14ac:dyDescent="0.25">
      <c r="A16" s="2">
        <v>38837</v>
      </c>
      <c r="B16" s="3">
        <f>'Juro Nominal'!C16</f>
        <v>14.68</v>
      </c>
      <c r="C16" s="3">
        <f>'Juro Nominal'!Q16-'Juro Nominal'!C16</f>
        <v>-0.74000000000000021</v>
      </c>
      <c r="D16" s="3">
        <f>-'Juro Nominal'!C16+(2*'Juro Nominal'!G16)-'Juro Nominal'!Q16</f>
        <v>0.4399999999999995</v>
      </c>
    </row>
    <row r="17" spans="1:4" ht="18.75" customHeight="1" x14ac:dyDescent="0.25">
      <c r="A17" s="2">
        <v>38868</v>
      </c>
      <c r="B17" s="3">
        <f>'Juro Nominal'!C17</f>
        <v>15.48</v>
      </c>
      <c r="C17" s="3">
        <f>'Juro Nominal'!Q17-'Juro Nominal'!C17</f>
        <v>1.009999999999998</v>
      </c>
      <c r="D17" s="3">
        <f>-'Juro Nominal'!C17+(2*'Juro Nominal'!G17)-'Juro Nominal'!Q17</f>
        <v>0.59000000000000341</v>
      </c>
    </row>
    <row r="18" spans="1:4" ht="18.75" customHeight="1" x14ac:dyDescent="0.25">
      <c r="A18" s="2">
        <v>38898</v>
      </c>
      <c r="B18" s="3">
        <f>'Juro Nominal'!C18</f>
        <v>14.79</v>
      </c>
      <c r="C18" s="3">
        <f>'Juro Nominal'!Q18-'Juro Nominal'!C18</f>
        <v>0.71000000000000085</v>
      </c>
      <c r="D18" s="3">
        <f>-'Juro Nominal'!C18+(2*'Juro Nominal'!G18)-'Juro Nominal'!Q18</f>
        <v>0.78999999999999915</v>
      </c>
    </row>
    <row r="19" spans="1:4" ht="18.75" customHeight="1" x14ac:dyDescent="0.25">
      <c r="A19" s="2">
        <v>38929</v>
      </c>
      <c r="B19" s="3">
        <f>'Juro Nominal'!C19</f>
        <v>14.48</v>
      </c>
      <c r="C19" s="3">
        <f>'Juro Nominal'!Q19-'Juro Nominal'!C19</f>
        <v>0.55999999999999872</v>
      </c>
      <c r="D19" s="3">
        <f>-'Juro Nominal'!C19+(2*'Juro Nominal'!G19)-'Juro Nominal'!Q19</f>
        <v>0.5</v>
      </c>
    </row>
    <row r="20" spans="1:4" ht="18.75" customHeight="1" x14ac:dyDescent="0.25">
      <c r="A20" s="2">
        <v>38960</v>
      </c>
      <c r="B20" s="3">
        <f>'Juro Nominal'!C20</f>
        <v>13.95</v>
      </c>
      <c r="C20" s="3">
        <f>'Juro Nominal'!Q20-'Juro Nominal'!C20</f>
        <v>0.35000000000000142</v>
      </c>
      <c r="D20" s="3">
        <f>-'Juro Nominal'!C20+(2*'Juro Nominal'!G20)-'Juro Nominal'!Q20</f>
        <v>0.46999999999999886</v>
      </c>
    </row>
    <row r="21" spans="1:4" ht="18.75" customHeight="1" x14ac:dyDescent="0.25">
      <c r="A21" s="2">
        <v>38990</v>
      </c>
      <c r="B21" s="3">
        <f>'Juro Nominal'!C21</f>
        <v>13.57</v>
      </c>
      <c r="C21" s="3">
        <f>'Juro Nominal'!Q21-'Juro Nominal'!C21</f>
        <v>0.29999999999999893</v>
      </c>
      <c r="D21" s="3">
        <f>-'Juro Nominal'!C21+(2*'Juro Nominal'!G21)-'Juro Nominal'!Q21</f>
        <v>0.84000000000000163</v>
      </c>
    </row>
    <row r="22" spans="1:4" ht="18.75" customHeight="1" x14ac:dyDescent="0.25">
      <c r="A22" s="2">
        <v>39021</v>
      </c>
      <c r="B22" s="3">
        <f>'Juro Nominal'!C22</f>
        <v>13.01</v>
      </c>
      <c r="C22" s="3">
        <f>'Juro Nominal'!Q22-'Juro Nominal'!C22</f>
        <v>0.58000000000000007</v>
      </c>
      <c r="D22" s="3">
        <f>-'Juro Nominal'!C22+(2*'Juro Nominal'!G22)-'Juro Nominal'!Q22</f>
        <v>0.50000000000000178</v>
      </c>
    </row>
    <row r="23" spans="1:4" ht="18.75" customHeight="1" x14ac:dyDescent="0.25">
      <c r="A23" s="2">
        <v>39051</v>
      </c>
      <c r="B23" s="3">
        <f>'Juro Nominal'!C23</f>
        <v>12.75</v>
      </c>
      <c r="C23" s="3">
        <f>'Juro Nominal'!Q23-'Juro Nominal'!C23</f>
        <v>0.46000000000000085</v>
      </c>
      <c r="D23" s="3">
        <f>-'Juro Nominal'!C23+(2*'Juro Nominal'!G23)-'Juro Nominal'!Q23</f>
        <v>0.5</v>
      </c>
    </row>
    <row r="24" spans="1:4" ht="18.75" customHeight="1" x14ac:dyDescent="0.25">
      <c r="A24" s="2">
        <v>39082</v>
      </c>
      <c r="B24" s="3">
        <f>'Juro Nominal'!C24</f>
        <v>12.37</v>
      </c>
      <c r="C24" s="3">
        <f>'Juro Nominal'!Q24-'Juro Nominal'!C24</f>
        <v>-5.9999999999998721E-2</v>
      </c>
      <c r="D24" s="3">
        <f>-'Juro Nominal'!C24+(2*'Juro Nominal'!G24)-'Juro Nominal'!Q24</f>
        <v>0</v>
      </c>
    </row>
    <row r="25" spans="1:4" ht="18.75" customHeight="1" x14ac:dyDescent="0.25">
      <c r="A25" s="2">
        <v>39113</v>
      </c>
      <c r="B25" s="3">
        <f>'Juro Nominal'!C25</f>
        <v>12.356999999999999</v>
      </c>
      <c r="C25" s="3">
        <f>'Juro Nominal'!Q25-'Juro Nominal'!C25</f>
        <v>8.8000000000000966E-2</v>
      </c>
      <c r="D25" s="3">
        <f>-'Juro Nominal'!C25+(2*'Juro Nominal'!G25)-'Juro Nominal'!Q25</f>
        <v>-0.14000000000000057</v>
      </c>
    </row>
    <row r="26" spans="1:4" ht="18.75" customHeight="1" x14ac:dyDescent="0.25">
      <c r="A26" s="2">
        <v>39141</v>
      </c>
      <c r="B26" s="3">
        <f>'Juro Nominal'!C26</f>
        <v>12.097</v>
      </c>
      <c r="C26" s="3">
        <f>'Juro Nominal'!Q26-'Juro Nominal'!C26</f>
        <v>-0.14700000000000024</v>
      </c>
      <c r="D26" s="3">
        <f>-'Juro Nominal'!C26+(2*'Juro Nominal'!G26)-'Juro Nominal'!Q26</f>
        <v>-4.2999999999997485E-2</v>
      </c>
    </row>
    <row r="27" spans="1:4" ht="18.75" customHeight="1" x14ac:dyDescent="0.25">
      <c r="A27" s="2">
        <v>39172</v>
      </c>
      <c r="B27" s="3">
        <f>'Juro Nominal'!C27</f>
        <v>11.84</v>
      </c>
      <c r="C27" s="3">
        <f>'Juro Nominal'!Q27-'Juro Nominal'!C27</f>
        <v>-0.3100000000000005</v>
      </c>
      <c r="D27" s="3">
        <f>-'Juro Nominal'!C27+(2*'Juro Nominal'!G27)-'Juro Nominal'!Q27</f>
        <v>-0.22600000000000087</v>
      </c>
    </row>
    <row r="28" spans="1:4" ht="18.75" customHeight="1" x14ac:dyDescent="0.25">
      <c r="A28" s="2">
        <v>39202</v>
      </c>
      <c r="B28" s="3">
        <f>'Juro Nominal'!C28</f>
        <v>11.305999999999999</v>
      </c>
      <c r="C28" s="3">
        <f>'Juro Nominal'!Q28-'Juro Nominal'!C28</f>
        <v>-0.74799999999999933</v>
      </c>
      <c r="D28" s="3">
        <f>-'Juro Nominal'!C28+(2*'Juro Nominal'!G28)-'Juro Nominal'!Q28</f>
        <v>-0.68599999999999817</v>
      </c>
    </row>
    <row r="29" spans="1:4" ht="18.75" customHeight="1" x14ac:dyDescent="0.25">
      <c r="A29" s="2">
        <v>39233</v>
      </c>
      <c r="B29" s="3">
        <f>'Juro Nominal'!C29</f>
        <v>10.99</v>
      </c>
      <c r="C29" s="3">
        <f>'Juro Nominal'!Q29-'Juro Nominal'!C29</f>
        <v>-1.0380000000000003</v>
      </c>
      <c r="D29" s="3">
        <f>-'Juro Nominal'!C29+(2*'Juro Nominal'!G29)-'Juro Nominal'!Q29</f>
        <v>-0.64199999999999946</v>
      </c>
    </row>
    <row r="30" spans="1:4" ht="18.75" customHeight="1" x14ac:dyDescent="0.25">
      <c r="A30" s="2">
        <v>39263</v>
      </c>
      <c r="B30" s="3">
        <f>'Juro Nominal'!C30</f>
        <v>10.757</v>
      </c>
      <c r="C30" s="3">
        <f>'Juro Nominal'!Q30-'Juro Nominal'!C30</f>
        <v>-0.10699999999999932</v>
      </c>
      <c r="D30" s="3">
        <f>-'Juro Nominal'!C30+(2*'Juro Nominal'!G30)-'Juro Nominal'!Q30</f>
        <v>-6.7000000000000171E-2</v>
      </c>
    </row>
    <row r="31" spans="1:4" ht="18.75" customHeight="1" x14ac:dyDescent="0.25">
      <c r="A31" s="2">
        <v>39294</v>
      </c>
      <c r="B31" s="3">
        <f>'Juro Nominal'!C31</f>
        <v>10.935</v>
      </c>
      <c r="C31" s="3">
        <f>'Juro Nominal'!Q31-'Juro Nominal'!C31</f>
        <v>0.10999999999999943</v>
      </c>
      <c r="D31" s="3">
        <f>-'Juro Nominal'!C31+(2*'Juro Nominal'!G31)-'Juro Nominal'!Q31</f>
        <v>0.17999999999999972</v>
      </c>
    </row>
    <row r="32" spans="1:4" ht="18.75" customHeight="1" x14ac:dyDescent="0.25">
      <c r="A32" s="2">
        <v>39325</v>
      </c>
      <c r="B32" s="3">
        <f>'Juro Nominal'!C32</f>
        <v>11.36</v>
      </c>
      <c r="C32" s="3">
        <f>'Juro Nominal'!Q32-'Juro Nominal'!C32</f>
        <v>0.49000000000000021</v>
      </c>
      <c r="D32" s="3">
        <f>-'Juro Nominal'!C32+(2*'Juro Nominal'!G32)-'Juro Nominal'!Q32</f>
        <v>0.49600000000000044</v>
      </c>
    </row>
    <row r="33" spans="1:4" ht="18.75" customHeight="1" x14ac:dyDescent="0.25">
      <c r="A33" s="2">
        <v>39355</v>
      </c>
      <c r="B33" s="3">
        <f>'Juro Nominal'!C33</f>
        <v>11.163</v>
      </c>
      <c r="C33" s="3">
        <f>'Juro Nominal'!Q33-'Juro Nominal'!C33</f>
        <v>0.19200000000000017</v>
      </c>
      <c r="D33" s="3">
        <f>-'Juro Nominal'!C33+(2*'Juro Nominal'!G33)-'Juro Nominal'!Q33</f>
        <v>0.1720000000000006</v>
      </c>
    </row>
    <row r="34" spans="1:4" ht="18.75" customHeight="1" x14ac:dyDescent="0.25">
      <c r="A34" s="2">
        <v>39386</v>
      </c>
      <c r="B34" s="3">
        <f>'Juro Nominal'!C34</f>
        <v>11.311</v>
      </c>
      <c r="C34" s="3">
        <f>'Juro Nominal'!Q34-'Juro Nominal'!C34</f>
        <v>0.5080000000000009</v>
      </c>
      <c r="D34" s="3">
        <f>-'Juro Nominal'!C34+(2*'Juro Nominal'!G34)-'Juro Nominal'!Q34</f>
        <v>0.13399999999999856</v>
      </c>
    </row>
    <row r="35" spans="1:4" ht="18.75" customHeight="1" x14ac:dyDescent="0.25">
      <c r="A35" s="2">
        <v>39416</v>
      </c>
      <c r="B35" s="3">
        <f>'Juro Nominal'!C35</f>
        <v>11.595000000000001</v>
      </c>
      <c r="C35" s="3">
        <f>'Juro Nominal'!Q35-'Juro Nominal'!C35</f>
        <v>1.0849999999999991</v>
      </c>
      <c r="D35" s="3">
        <f>-'Juro Nominal'!C35+(2*'Juro Nominal'!G35)-'Juro Nominal'!Q35</f>
        <v>0.66299999999999848</v>
      </c>
    </row>
    <row r="36" spans="1:4" ht="18.75" customHeight="1" x14ac:dyDescent="0.25">
      <c r="A36" s="2">
        <v>39447</v>
      </c>
      <c r="B36" s="3">
        <f>'Juro Nominal'!C36</f>
        <v>12.052</v>
      </c>
      <c r="C36" s="3">
        <f>'Juro Nominal'!Q36-'Juro Nominal'!C36</f>
        <v>1.0129999999999999</v>
      </c>
      <c r="D36" s="3">
        <f>-'Juro Nominal'!C36+(2*'Juro Nominal'!G36)-'Juro Nominal'!Q36</f>
        <v>0.83300000000000018</v>
      </c>
    </row>
    <row r="37" spans="1:4" ht="18.75" customHeight="1" x14ac:dyDescent="0.25">
      <c r="A37" s="2">
        <v>39478</v>
      </c>
      <c r="B37" s="3">
        <f>'Juro Nominal'!C37</f>
        <v>12.077999999999999</v>
      </c>
      <c r="C37" s="3">
        <f>'Juro Nominal'!Q37-'Juro Nominal'!C37</f>
        <v>0.89200000000000124</v>
      </c>
      <c r="D37" s="3">
        <f>-'Juro Nominal'!C37+(2*'Juro Nominal'!G37)-'Juro Nominal'!Q37</f>
        <v>0.79199999999999982</v>
      </c>
    </row>
    <row r="38" spans="1:4" ht="18.75" customHeight="1" x14ac:dyDescent="0.25">
      <c r="A38" s="2">
        <v>39507</v>
      </c>
      <c r="B38" s="3">
        <f>'Juro Nominal'!C38</f>
        <v>11.923</v>
      </c>
      <c r="C38" s="3">
        <f>'Juro Nominal'!Q38-'Juro Nominal'!C38</f>
        <v>0.6169999999999991</v>
      </c>
      <c r="D38" s="3">
        <f>-'Juro Nominal'!C38+(2*'Juro Nominal'!G38)-'Juro Nominal'!Q38</f>
        <v>0.61300000000000132</v>
      </c>
    </row>
    <row r="39" spans="1:4" ht="18.75" customHeight="1" x14ac:dyDescent="0.25">
      <c r="A39" s="2">
        <v>39538</v>
      </c>
      <c r="B39" s="3">
        <f>'Juro Nominal'!C39</f>
        <v>12.693</v>
      </c>
      <c r="C39" s="3">
        <f>'Juro Nominal'!Q39-'Juro Nominal'!C39</f>
        <v>0.61700000000000088</v>
      </c>
      <c r="D39" s="3">
        <f>-'Juro Nominal'!C39+(2*'Juro Nominal'!G39)-'Juro Nominal'!Q39</f>
        <v>0.64699999999999847</v>
      </c>
    </row>
    <row r="40" spans="1:4" ht="18.75" customHeight="1" x14ac:dyDescent="0.25">
      <c r="A40" s="2">
        <v>39568</v>
      </c>
      <c r="B40" s="3">
        <f>'Juro Nominal'!C40</f>
        <v>13.208</v>
      </c>
      <c r="C40" s="3">
        <f>'Juro Nominal'!Q40-'Juro Nominal'!C40</f>
        <v>0.32199999999999918</v>
      </c>
      <c r="D40" s="3">
        <f>-'Juro Nominal'!C40+(2*'Juro Nominal'!G40)-'Juro Nominal'!Q40</f>
        <v>0.51600000000000179</v>
      </c>
    </row>
    <row r="41" spans="1:4" ht="18.75" customHeight="1" x14ac:dyDescent="0.25">
      <c r="A41" s="2">
        <v>39599</v>
      </c>
      <c r="B41" s="3">
        <f>'Juro Nominal'!C41</f>
        <v>13.744999999999999</v>
      </c>
      <c r="C41" s="3">
        <f>'Juro Nominal'!Q41-'Juro Nominal'!C41</f>
        <v>-0.34699999999999953</v>
      </c>
      <c r="D41" s="3">
        <f>-'Juro Nominal'!C41+(2*'Juro Nominal'!G41)-'Juro Nominal'!Q41</f>
        <v>-5.8999999999999275E-2</v>
      </c>
    </row>
    <row r="42" spans="1:4" ht="18.75" customHeight="1" x14ac:dyDescent="0.25">
      <c r="A42" s="2">
        <v>39629</v>
      </c>
      <c r="B42" s="3">
        <f>'Juro Nominal'!C42</f>
        <v>14.45</v>
      </c>
      <c r="C42" s="3">
        <f>'Juro Nominal'!Q42-'Juro Nominal'!C42</f>
        <v>0.37000000000000099</v>
      </c>
      <c r="D42" s="3">
        <f>-'Juro Nominal'!C42+(2*'Juro Nominal'!G42)-'Juro Nominal'!Q42</f>
        <v>0.68400000000000105</v>
      </c>
    </row>
    <row r="43" spans="1:4" ht="18.75" customHeight="1" x14ac:dyDescent="0.25">
      <c r="A43" s="2">
        <v>39660</v>
      </c>
      <c r="B43" s="3">
        <f>'Juro Nominal'!C43</f>
        <v>14.654999999999999</v>
      </c>
      <c r="C43" s="3">
        <f>'Juro Nominal'!Q43-'Juro Nominal'!C43</f>
        <v>-1.0299999999999994</v>
      </c>
      <c r="D43" s="3">
        <f>-'Juro Nominal'!C43+(2*'Juro Nominal'!G43)-'Juro Nominal'!Q43</f>
        <v>-0.56999999999999851</v>
      </c>
    </row>
    <row r="44" spans="1:4" ht="18.75" customHeight="1" x14ac:dyDescent="0.25">
      <c r="A44" s="2">
        <v>39691</v>
      </c>
      <c r="B44" s="3">
        <f>'Juro Nominal'!C44</f>
        <v>14.573</v>
      </c>
      <c r="C44" s="3">
        <f>'Juro Nominal'!Q44-'Juro Nominal'!C44</f>
        <v>-1.1989999999999998</v>
      </c>
      <c r="D44" s="3">
        <f>-'Juro Nominal'!C44+(2*'Juro Nominal'!G44)-'Juro Nominal'!Q44</f>
        <v>-0.7629999999999999</v>
      </c>
    </row>
    <row r="45" spans="1:4" ht="18.75" customHeight="1" x14ac:dyDescent="0.25">
      <c r="A45" s="2">
        <v>39721</v>
      </c>
      <c r="B45" s="3">
        <f>'Juro Nominal'!C45</f>
        <v>14.433</v>
      </c>
      <c r="C45" s="3">
        <f>'Juro Nominal'!Q45-'Juro Nominal'!C45</f>
        <v>-0.3230000000000004</v>
      </c>
      <c r="D45" s="3">
        <f>-'Juro Nominal'!C45+(2*'Juro Nominal'!G45)-'Juro Nominal'!Q45</f>
        <v>-0.2829999999999977</v>
      </c>
    </row>
    <row r="46" spans="1:4" ht="18.75" customHeight="1" x14ac:dyDescent="0.25">
      <c r="A46" s="2">
        <v>39752</v>
      </c>
      <c r="B46" s="3">
        <f>'Juro Nominal'!C46</f>
        <v>15.375999999999999</v>
      </c>
      <c r="C46" s="3">
        <f>'Juro Nominal'!Q46-'Juro Nominal'!C46</f>
        <v>2.0739999999999998</v>
      </c>
      <c r="D46" s="3">
        <f>-'Juro Nominal'!C46+(2*'Juro Nominal'!G46)-'Juro Nominal'!Q46</f>
        <v>1.9540000000000042</v>
      </c>
    </row>
    <row r="47" spans="1:4" ht="18.75" customHeight="1" x14ac:dyDescent="0.25">
      <c r="A47" s="2">
        <v>39782</v>
      </c>
      <c r="B47" s="3">
        <f>'Juro Nominal'!C47</f>
        <v>14.439</v>
      </c>
      <c r="C47" s="3">
        <f>'Juro Nominal'!Q47-'Juro Nominal'!C47</f>
        <v>1.5459999999999994</v>
      </c>
      <c r="D47" s="3">
        <f>-'Juro Nominal'!C47+(2*'Juro Nominal'!G47)-'Juro Nominal'!Q47</f>
        <v>1.2059999999999995</v>
      </c>
    </row>
    <row r="48" spans="1:4" ht="18.75" customHeight="1" x14ac:dyDescent="0.25">
      <c r="A48" s="2">
        <v>39813</v>
      </c>
      <c r="B48" s="3">
        <f>'Juro Nominal'!C48</f>
        <v>12.16</v>
      </c>
      <c r="C48" s="3">
        <f>'Juro Nominal'!Q48-'Juro Nominal'!C48</f>
        <v>0.56700000000000017</v>
      </c>
      <c r="D48" s="3">
        <f>-'Juro Nominal'!C48+(2*'Juro Nominal'!G48)-'Juro Nominal'!Q48</f>
        <v>0.23300000000000054</v>
      </c>
    </row>
    <row r="49" spans="1:4" ht="18.75" customHeight="1" x14ac:dyDescent="0.25">
      <c r="A49" s="2">
        <v>39844</v>
      </c>
      <c r="B49" s="3">
        <f>'Juro Nominal'!C49</f>
        <v>11.164999999999999</v>
      </c>
      <c r="C49" s="3">
        <f>'Juro Nominal'!Q49-'Juro Nominal'!C49</f>
        <v>1.3350000000000009</v>
      </c>
      <c r="D49" s="3">
        <f>-'Juro Nominal'!C49+(2*'Juro Nominal'!G49)-'Juro Nominal'!Q49</f>
        <v>1.1009999999999991</v>
      </c>
    </row>
    <row r="50" spans="1:4" ht="18.75" customHeight="1" x14ac:dyDescent="0.25">
      <c r="A50" s="2">
        <v>39872</v>
      </c>
      <c r="B50" s="3">
        <f>'Juro Nominal'!C50</f>
        <v>10.618</v>
      </c>
      <c r="C50" s="3">
        <f>'Juro Nominal'!Q50-'Juro Nominal'!C50</f>
        <v>1.9079999999999995</v>
      </c>
      <c r="D50" s="3">
        <f>-'Juro Nominal'!C50+(2*'Juro Nominal'!G50)-'Juro Nominal'!Q50</f>
        <v>0.94599999999999973</v>
      </c>
    </row>
    <row r="51" spans="1:4" ht="18.75" customHeight="1" x14ac:dyDescent="0.25">
      <c r="A51" s="2">
        <v>39903</v>
      </c>
      <c r="B51" s="3">
        <f>'Juro Nominal'!C51</f>
        <v>9.7959999999999994</v>
      </c>
      <c r="C51" s="3">
        <f>'Juro Nominal'!Q51-'Juro Nominal'!C51</f>
        <v>2.072000000000001</v>
      </c>
      <c r="D51" s="3">
        <f>-'Juro Nominal'!C51+(2*'Juro Nominal'!G51)-'Juro Nominal'!Q51</f>
        <v>1.5359999999999996</v>
      </c>
    </row>
    <row r="52" spans="1:4" ht="18.75" customHeight="1" x14ac:dyDescent="0.25">
      <c r="A52" s="2">
        <v>39933</v>
      </c>
      <c r="B52" s="3">
        <f>'Juro Nominal'!C52</f>
        <v>9.9079999999999995</v>
      </c>
      <c r="C52" s="3">
        <f>'Juro Nominal'!Q52-'Juro Nominal'!C52</f>
        <v>2.7919999999999998</v>
      </c>
      <c r="D52" s="3">
        <f>-'Juro Nominal'!C52+(2*'Juro Nominal'!G52)-'Juro Nominal'!Q52</f>
        <v>2.0220000000000002</v>
      </c>
    </row>
    <row r="53" spans="1:4" ht="18.75" customHeight="1" x14ac:dyDescent="0.25">
      <c r="A53" s="2">
        <v>39964</v>
      </c>
      <c r="B53" s="3">
        <f>'Juro Nominal'!C53</f>
        <v>9.3490000000000002</v>
      </c>
      <c r="C53" s="3">
        <f>'Juro Nominal'!Q53-'Juro Nominal'!C53</f>
        <v>2.4009999999999998</v>
      </c>
      <c r="D53" s="3">
        <f>-'Juro Nominal'!C53+(2*'Juro Nominal'!G53)-'Juro Nominal'!Q53</f>
        <v>2.0150000000000006</v>
      </c>
    </row>
    <row r="54" spans="1:4" ht="18.75" customHeight="1" x14ac:dyDescent="0.25">
      <c r="A54" s="2">
        <v>39994</v>
      </c>
      <c r="B54" s="3">
        <f>'Juro Nominal'!C54</f>
        <v>9.24</v>
      </c>
      <c r="C54" s="3">
        <f>'Juro Nominal'!Q54-'Juro Nominal'!C54</f>
        <v>3.4350000000000005</v>
      </c>
      <c r="D54" s="3">
        <f>-'Juro Nominal'!C54+(2*'Juro Nominal'!G54)-'Juro Nominal'!Q54</f>
        <v>2.5729999999999986</v>
      </c>
    </row>
    <row r="55" spans="1:4" ht="18.75" customHeight="1" x14ac:dyDescent="0.25">
      <c r="A55" s="2">
        <v>40025</v>
      </c>
      <c r="B55" s="3">
        <f>'Juro Nominal'!C55</f>
        <v>9.2379999999999995</v>
      </c>
      <c r="C55" s="3">
        <f>'Juro Nominal'!Q55-'Juro Nominal'!C55</f>
        <v>3.3170000000000002</v>
      </c>
      <c r="D55" s="3">
        <f>-'Juro Nominal'!C55+(2*'Juro Nominal'!G55)-'Juro Nominal'!Q55</f>
        <v>2.4770000000000003</v>
      </c>
    </row>
    <row r="56" spans="1:4" ht="18.75" customHeight="1" x14ac:dyDescent="0.25">
      <c r="A56" s="2">
        <v>40056</v>
      </c>
      <c r="B56" s="3">
        <f>'Juro Nominal'!C56</f>
        <v>9.2149999999999999</v>
      </c>
      <c r="C56" s="3">
        <f>'Juro Nominal'!Q56-'Juro Nominal'!C56</f>
        <v>3.4450000000000003</v>
      </c>
      <c r="D56" s="3">
        <f>-'Juro Nominal'!C56+(2*'Juro Nominal'!G56)-'Juro Nominal'!Q56</f>
        <v>2.6930000000000014</v>
      </c>
    </row>
    <row r="57" spans="1:4" ht="18.75" customHeight="1" x14ac:dyDescent="0.25">
      <c r="A57" s="2">
        <v>40086</v>
      </c>
      <c r="B57" s="3">
        <f>'Juro Nominal'!C57</f>
        <v>9.67</v>
      </c>
      <c r="C57" s="3">
        <f>'Juro Nominal'!Q57-'Juro Nominal'!C57</f>
        <v>3.0999999999999996</v>
      </c>
      <c r="D57" s="3">
        <f>-'Juro Nominal'!C57+(2*'Juro Nominal'!G57)-'Juro Nominal'!Q57</f>
        <v>2.4120000000000008</v>
      </c>
    </row>
    <row r="58" spans="1:4" ht="18.75" customHeight="1" x14ac:dyDescent="0.25">
      <c r="A58" s="2">
        <v>40117</v>
      </c>
      <c r="B58" s="3">
        <f>'Juro Nominal'!C58</f>
        <v>9.9320000000000004</v>
      </c>
      <c r="C58" s="3">
        <f>'Juro Nominal'!Q58-'Juro Nominal'!C58</f>
        <v>3.2679999999999989</v>
      </c>
      <c r="D58" s="3">
        <f>-'Juro Nominal'!C58+(2*'Juro Nominal'!G58)-'Juro Nominal'!Q58</f>
        <v>2.4420000000000019</v>
      </c>
    </row>
    <row r="59" spans="1:4" ht="18.75" customHeight="1" x14ac:dyDescent="0.25">
      <c r="A59" s="2">
        <v>40147</v>
      </c>
      <c r="B59" s="3">
        <f>'Juro Nominal'!C59</f>
        <v>10.122</v>
      </c>
      <c r="C59" s="3">
        <f>'Juro Nominal'!Q59-'Juro Nominal'!C59</f>
        <v>3.0980000000000008</v>
      </c>
      <c r="D59" s="3">
        <f>-'Juro Nominal'!C59+(2*'Juro Nominal'!G59)-'Juro Nominal'!Q59</f>
        <v>2.4879999999999978</v>
      </c>
    </row>
    <row r="60" spans="1:4" ht="18.75" customHeight="1" x14ac:dyDescent="0.25">
      <c r="A60" s="2">
        <v>40178</v>
      </c>
      <c r="B60" s="3">
        <f>'Juro Nominal'!C60</f>
        <v>10.462</v>
      </c>
      <c r="C60" s="3">
        <f>'Juro Nominal'!Q60-'Juro Nominal'!C60</f>
        <v>2.8580000000000005</v>
      </c>
      <c r="D60" s="3">
        <f>-'Juro Nominal'!C60+(2*'Juro Nominal'!G60)-'Juro Nominal'!Q60</f>
        <v>1.7839999999999989</v>
      </c>
    </row>
    <row r="61" spans="1:4" ht="18.75" customHeight="1" x14ac:dyDescent="0.25">
      <c r="A61" s="2">
        <v>40209</v>
      </c>
      <c r="B61" s="3">
        <f>'Juro Nominal'!C61</f>
        <v>10.455</v>
      </c>
      <c r="C61" s="3">
        <f>'Juro Nominal'!Q61-'Juro Nominal'!C61</f>
        <v>2.8949999999999996</v>
      </c>
      <c r="D61" s="3">
        <f>-'Juro Nominal'!C61+(2*'Juro Nominal'!G61)-'Juro Nominal'!Q61</f>
        <v>1.6370000000000005</v>
      </c>
    </row>
    <row r="62" spans="1:4" ht="18.75" customHeight="1" x14ac:dyDescent="0.25">
      <c r="A62" s="2">
        <v>40237</v>
      </c>
      <c r="B62" s="3">
        <f>'Juro Nominal'!C62</f>
        <v>10.749000000000001</v>
      </c>
      <c r="C62" s="3">
        <f>'Juro Nominal'!Q62-'Juro Nominal'!C62</f>
        <v>2.8010000000000002</v>
      </c>
      <c r="D62" s="3">
        <f>-'Juro Nominal'!C62+(2*'Juro Nominal'!G62)-'Juro Nominal'!Q62</f>
        <v>0.62499999999999822</v>
      </c>
    </row>
    <row r="63" spans="1:4" ht="18.75" customHeight="1" x14ac:dyDescent="0.25">
      <c r="A63" s="2">
        <v>40268</v>
      </c>
      <c r="B63" s="3">
        <f>'Juro Nominal'!C63</f>
        <v>10.847</v>
      </c>
      <c r="C63" s="3">
        <f>'Juro Nominal'!Q63-'Juro Nominal'!C63</f>
        <v>1.9130000000000003</v>
      </c>
      <c r="D63" s="3">
        <f>-'Juro Nominal'!C63+(2*'Juro Nominal'!G63)-'Juro Nominal'!Q63</f>
        <v>0.83300000000000196</v>
      </c>
    </row>
    <row r="64" spans="1:4" ht="18.75" customHeight="1" x14ac:dyDescent="0.25">
      <c r="A64" s="2">
        <v>40298</v>
      </c>
      <c r="B64" s="3">
        <f>'Juro Nominal'!C64</f>
        <v>11.664</v>
      </c>
      <c r="C64" s="3">
        <f>'Juro Nominal'!Q64-'Juro Nominal'!C64</f>
        <v>0.71600000000000108</v>
      </c>
      <c r="D64" s="3">
        <f>-'Juro Nominal'!C64+(2*'Juro Nominal'!G64)-'Juro Nominal'!Q64</f>
        <v>0.94999999999999929</v>
      </c>
    </row>
    <row r="65" spans="1:4" ht="18.75" customHeight="1" x14ac:dyDescent="0.25">
      <c r="A65" s="2">
        <v>40329</v>
      </c>
      <c r="B65" s="3">
        <f>'Juro Nominal'!C65</f>
        <v>11.542999999999999</v>
      </c>
      <c r="C65" s="3">
        <f>'Juro Nominal'!Q65-'Juro Nominal'!C65</f>
        <v>0.83700000000000152</v>
      </c>
      <c r="D65" s="3">
        <f>-'Juro Nominal'!C65+(2*'Juro Nominal'!G65)-'Juro Nominal'!Q65</f>
        <v>0.63499999999999979</v>
      </c>
    </row>
    <row r="66" spans="1:4" ht="18.75" customHeight="1" x14ac:dyDescent="0.25">
      <c r="A66" s="2">
        <v>40359</v>
      </c>
      <c r="B66" s="3">
        <f>'Juro Nominal'!C66</f>
        <v>11.861000000000001</v>
      </c>
      <c r="C66" s="3">
        <f>'Juro Nominal'!Q66-'Juro Nominal'!C66</f>
        <v>0.38899999999999935</v>
      </c>
      <c r="D66" s="3">
        <f>-'Juro Nominal'!C66+(2*'Juro Nominal'!G66)-'Juro Nominal'!Q66</f>
        <v>0.21699999999999875</v>
      </c>
    </row>
    <row r="67" spans="1:4" ht="18.75" customHeight="1" x14ac:dyDescent="0.25">
      <c r="A67" s="2">
        <v>40390</v>
      </c>
      <c r="B67" s="3">
        <f>'Juro Nominal'!C67</f>
        <v>11.159000000000001</v>
      </c>
      <c r="C67" s="3">
        <f>'Juro Nominal'!Q67-'Juro Nominal'!C67</f>
        <v>0.72100000000000009</v>
      </c>
      <c r="D67" s="3">
        <f>-'Juro Nominal'!C67+(2*'Juro Nominal'!G67)-'Juro Nominal'!Q67</f>
        <v>0.71299999999999741</v>
      </c>
    </row>
    <row r="68" spans="1:4" ht="18.75" customHeight="1" x14ac:dyDescent="0.25">
      <c r="A68" s="2">
        <v>40421</v>
      </c>
      <c r="B68" s="3">
        <f>'Juro Nominal'!C68</f>
        <v>11.095000000000001</v>
      </c>
      <c r="C68" s="3">
        <f>'Juro Nominal'!Q68-'Juro Nominal'!C68</f>
        <v>0.16000000000000014</v>
      </c>
      <c r="D68" s="3">
        <f>-'Juro Nominal'!C68+(2*'Juro Nominal'!G68)-'Juro Nominal'!Q68</f>
        <v>0.42599999999999838</v>
      </c>
    </row>
    <row r="69" spans="1:4" ht="18.75" customHeight="1" x14ac:dyDescent="0.25">
      <c r="A69" s="2">
        <v>40451</v>
      </c>
      <c r="B69" s="3">
        <f>'Juro Nominal'!C69</f>
        <v>11.284000000000001</v>
      </c>
      <c r="C69" s="3">
        <f>'Juro Nominal'!Q69-'Juro Nominal'!C69</f>
        <v>0.38599999999999923</v>
      </c>
      <c r="D69" s="3">
        <f>-'Juro Nominal'!C69+(2*'Juro Nominal'!G69)-'Juro Nominal'!Q69</f>
        <v>0.54400000000000048</v>
      </c>
    </row>
    <row r="70" spans="1:4" ht="18.75" customHeight="1" x14ac:dyDescent="0.25">
      <c r="A70" s="2">
        <v>40482</v>
      </c>
      <c r="B70" s="3">
        <f>'Juro Nominal'!C70</f>
        <v>11.209</v>
      </c>
      <c r="C70" s="3">
        <f>'Juro Nominal'!Q70-'Juro Nominal'!C70</f>
        <v>0.41099999999999959</v>
      </c>
      <c r="D70" s="3">
        <f>-'Juro Nominal'!C70+(2*'Juro Nominal'!G70)-'Juro Nominal'!Q70</f>
        <v>0.42500000000000249</v>
      </c>
    </row>
    <row r="71" spans="1:4" ht="18.75" customHeight="1" x14ac:dyDescent="0.25">
      <c r="A71" s="2">
        <v>40512</v>
      </c>
      <c r="B71" s="3">
        <f>'Juro Nominal'!C71</f>
        <v>11.936</v>
      </c>
      <c r="C71" s="3">
        <f>'Juro Nominal'!Q71-'Juro Nominal'!C71</f>
        <v>0.2240000000000002</v>
      </c>
      <c r="D71" s="3">
        <f>-'Juro Nominal'!C71+(2*'Juro Nominal'!G71)-'Juro Nominal'!Q71</f>
        <v>0.19600000000000151</v>
      </c>
    </row>
    <row r="72" spans="1:4" ht="18.75" customHeight="1" x14ac:dyDescent="0.25">
      <c r="A72" s="2">
        <v>40543</v>
      </c>
      <c r="B72" s="3">
        <f>'Juro Nominal'!C72</f>
        <v>12.031000000000001</v>
      </c>
      <c r="C72" s="3">
        <f>'Juro Nominal'!Q72-'Juro Nominal'!C72</f>
        <v>-0.13100000000000023</v>
      </c>
      <c r="D72" s="3">
        <f>-'Juro Nominal'!C72+(2*'Juro Nominal'!G72)-'Juro Nominal'!Q72</f>
        <v>-3.1000000000002359E-2</v>
      </c>
    </row>
    <row r="73" spans="1:4" ht="18.75" customHeight="1" x14ac:dyDescent="0.25">
      <c r="A73" s="2">
        <v>40574</v>
      </c>
      <c r="B73" s="3">
        <f>'Juro Nominal'!C73</f>
        <v>12.441000000000001</v>
      </c>
      <c r="C73" s="3">
        <f>'Juro Nominal'!Q73-'Juro Nominal'!C73</f>
        <v>0.27899999999999991</v>
      </c>
      <c r="D73" s="3">
        <f>-'Juro Nominal'!C73+(2*'Juro Nominal'!G73)-'Juro Nominal'!Q73</f>
        <v>0.45499999999999829</v>
      </c>
    </row>
    <row r="74" spans="1:4" ht="18.75" customHeight="1" x14ac:dyDescent="0.25">
      <c r="A74" s="2">
        <v>40602</v>
      </c>
      <c r="B74" s="3">
        <f>'Juro Nominal'!C74</f>
        <v>12.616</v>
      </c>
      <c r="C74" s="3">
        <f>'Juro Nominal'!Q74-'Juro Nominal'!C74</f>
        <v>-0.50600000000000023</v>
      </c>
      <c r="D74" s="3">
        <f>-'Juro Nominal'!C74+(2*'Juro Nominal'!G74)-'Juro Nominal'!Q74</f>
        <v>0.16799999999999926</v>
      </c>
    </row>
    <row r="75" spans="1:4" ht="18.75" customHeight="1" x14ac:dyDescent="0.25">
      <c r="A75" s="2">
        <v>40633</v>
      </c>
      <c r="B75" s="3">
        <f>'Juro Nominal'!C75</f>
        <v>12.288</v>
      </c>
      <c r="C75" s="3">
        <f>'Juro Nominal'!Q75-'Juro Nominal'!C75</f>
        <v>0.4009999999999998</v>
      </c>
      <c r="D75" s="3">
        <f>-'Juro Nominal'!C75+(2*'Juro Nominal'!G75)-'Juro Nominal'!Q75</f>
        <v>0.72299999999999898</v>
      </c>
    </row>
    <row r="76" spans="1:4" ht="18.75" customHeight="1" x14ac:dyDescent="0.25">
      <c r="A76" s="2">
        <v>40663</v>
      </c>
      <c r="B76" s="3">
        <f>'Juro Nominal'!C76</f>
        <v>12.515000000000001</v>
      </c>
      <c r="C76" s="3">
        <f>'Juro Nominal'!Q76-'Juro Nominal'!C76</f>
        <v>-0.17800000000000082</v>
      </c>
      <c r="D76" s="3">
        <f>-'Juro Nominal'!C76+(2*'Juro Nominal'!G76)-'Juro Nominal'!Q76</f>
        <v>0.28000000000000114</v>
      </c>
    </row>
    <row r="77" spans="1:4" ht="18.75" customHeight="1" x14ac:dyDescent="0.25">
      <c r="A77" s="2">
        <v>40694</v>
      </c>
      <c r="B77" s="3">
        <f>'Juro Nominal'!C77</f>
        <v>12.452999999999999</v>
      </c>
      <c r="C77" s="3">
        <f>'Juro Nominal'!Q77-'Juro Nominal'!C77</f>
        <v>-0.28999999999999915</v>
      </c>
      <c r="D77" s="3">
        <f>-'Juro Nominal'!C77+(2*'Juro Nominal'!G77)-'Juro Nominal'!Q77</f>
        <v>0.15200000000000102</v>
      </c>
    </row>
    <row r="78" spans="1:4" ht="18.75" customHeight="1" x14ac:dyDescent="0.25">
      <c r="A78" s="2">
        <v>40724</v>
      </c>
      <c r="B78" s="3">
        <f>'Juro Nominal'!C78</f>
        <v>12.648999999999999</v>
      </c>
      <c r="C78" s="3">
        <f>'Juro Nominal'!Q78-'Juro Nominal'!C78</f>
        <v>-0.46399999999999864</v>
      </c>
      <c r="D78" s="3">
        <f>-'Juro Nominal'!C78+(2*'Juro Nominal'!G78)-'Juro Nominal'!Q78</f>
        <v>3.6000000000001364E-2</v>
      </c>
    </row>
    <row r="79" spans="1:4" ht="18.75" customHeight="1" x14ac:dyDescent="0.25">
      <c r="A79" s="2">
        <v>40755</v>
      </c>
      <c r="B79" s="3">
        <f>'Juro Nominal'!C79</f>
        <v>12.582000000000001</v>
      </c>
      <c r="C79" s="3">
        <f>'Juro Nominal'!Q79-'Juro Nominal'!C79</f>
        <v>-7.800000000000118E-2</v>
      </c>
      <c r="D79" s="3">
        <f>-'Juro Nominal'!C79+(2*'Juro Nominal'!G79)-'Juro Nominal'!Q79</f>
        <v>0.38399999999999856</v>
      </c>
    </row>
    <row r="80" spans="1:4" ht="18.75" customHeight="1" x14ac:dyDescent="0.25">
      <c r="A80" s="2">
        <v>40786</v>
      </c>
      <c r="B80" s="3">
        <f>'Juro Nominal'!C80</f>
        <v>11.221</v>
      </c>
      <c r="C80" s="3">
        <f>'Juro Nominal'!Q80-'Juro Nominal'!C80</f>
        <v>0.12700000000000067</v>
      </c>
      <c r="D80" s="3">
        <f>-'Juro Nominal'!C80+(2*'Juro Nominal'!G80)-'Juro Nominal'!Q80</f>
        <v>0.18099999999999916</v>
      </c>
    </row>
    <row r="81" spans="1:4" ht="18.75" customHeight="1" x14ac:dyDescent="0.25">
      <c r="A81" s="2">
        <v>40816</v>
      </c>
      <c r="B81" s="3">
        <f>'Juro Nominal'!C81</f>
        <v>10.38</v>
      </c>
      <c r="C81" s="3">
        <f>'Juro Nominal'!Q81-'Juro Nominal'!C81</f>
        <v>0.86999999999999922</v>
      </c>
      <c r="D81" s="3">
        <f>-'Juro Nominal'!C81+(2*'Juro Nominal'!G81)-'Juro Nominal'!Q81</f>
        <v>0.83000000000000007</v>
      </c>
    </row>
    <row r="82" spans="1:4" ht="18.75" customHeight="1" x14ac:dyDescent="0.25">
      <c r="A82" s="2">
        <v>40847</v>
      </c>
      <c r="B82" s="3">
        <f>'Juro Nominal'!C82</f>
        <v>10.304</v>
      </c>
      <c r="C82" s="3">
        <f>'Juro Nominal'!Q82-'Juro Nominal'!C82</f>
        <v>0.88599999999999923</v>
      </c>
      <c r="D82" s="3">
        <f>-'Juro Nominal'!C82+(2*'Juro Nominal'!G82)-'Juro Nominal'!Q82</f>
        <v>0.76999999999999957</v>
      </c>
    </row>
    <row r="83" spans="1:4" ht="18.75" customHeight="1" x14ac:dyDescent="0.25">
      <c r="A83" s="2">
        <v>40877</v>
      </c>
      <c r="B83" s="3">
        <f>'Juro Nominal'!C83</f>
        <v>9.6609999999999996</v>
      </c>
      <c r="C83" s="3">
        <f>'Juro Nominal'!Q83-'Juro Nominal'!C83</f>
        <v>1.1690000000000005</v>
      </c>
      <c r="D83" s="3">
        <f>-'Juro Nominal'!C83+(2*'Juro Nominal'!G83)-'Juro Nominal'!Q83</f>
        <v>0.7690000000000019</v>
      </c>
    </row>
    <row r="84" spans="1:4" ht="18.75" customHeight="1" x14ac:dyDescent="0.25">
      <c r="A84" s="2">
        <v>40908</v>
      </c>
      <c r="B84" s="3">
        <f>'Juro Nominal'!C84</f>
        <v>10.039999999999999</v>
      </c>
      <c r="C84" s="3">
        <f>'Juro Nominal'!Q84-'Juro Nominal'!C84</f>
        <v>1.1800000000000015</v>
      </c>
      <c r="D84" s="3">
        <f>-'Juro Nominal'!C84+(2*'Juro Nominal'!G84)-'Juro Nominal'!Q84</f>
        <v>0.70000000000000107</v>
      </c>
    </row>
    <row r="85" spans="1:4" ht="18.75" customHeight="1" x14ac:dyDescent="0.25">
      <c r="A85" s="2">
        <v>40939</v>
      </c>
      <c r="B85" s="3">
        <f>'Juro Nominal'!C85</f>
        <v>9.5540000000000003</v>
      </c>
      <c r="C85" s="3">
        <f>'Juro Nominal'!Q85-'Juro Nominal'!C85</f>
        <v>1.8360000000000003</v>
      </c>
      <c r="D85" s="3">
        <f>-'Juro Nominal'!C85+(2*'Juro Nominal'!G85)-'Juro Nominal'!Q85</f>
        <v>0.92799999999999905</v>
      </c>
    </row>
    <row r="86" spans="1:4" ht="18.75" customHeight="1" x14ac:dyDescent="0.25">
      <c r="A86" s="2">
        <v>40968</v>
      </c>
      <c r="B86" s="3">
        <f>'Juro Nominal'!C86</f>
        <v>9.2579999999999991</v>
      </c>
      <c r="C86" s="3">
        <f>'Juro Nominal'!Q86-'Juro Nominal'!C86</f>
        <v>2.152000000000001</v>
      </c>
      <c r="D86" s="3">
        <f>-'Juro Nominal'!C86+(2*'Juro Nominal'!G86)-'Juro Nominal'!Q86</f>
        <v>1.0040000000000013</v>
      </c>
    </row>
    <row r="87" spans="1:4" ht="18.75" customHeight="1" x14ac:dyDescent="0.25">
      <c r="A87" s="2">
        <v>40999</v>
      </c>
      <c r="B87" s="3">
        <f>'Juro Nominal'!C87</f>
        <v>8.9600000000000009</v>
      </c>
      <c r="C87" s="3">
        <f>'Juro Nominal'!Q87-'Juro Nominal'!C87</f>
        <v>2.3099999999999987</v>
      </c>
      <c r="D87" s="3">
        <f>-'Juro Nominal'!C87+(2*'Juro Nominal'!G87)-'Juro Nominal'!Q87</f>
        <v>1.1499999999999986</v>
      </c>
    </row>
    <row r="88" spans="1:4" ht="18.75" customHeight="1" x14ac:dyDescent="0.25">
      <c r="A88" s="2">
        <v>41029</v>
      </c>
      <c r="B88" s="3">
        <f>'Juro Nominal'!C88</f>
        <v>8.3330000000000002</v>
      </c>
      <c r="C88" s="3">
        <f>'Juro Nominal'!Q88-'Juro Nominal'!C88</f>
        <v>2.5269999999999992</v>
      </c>
      <c r="D88" s="3">
        <f>-'Juro Nominal'!C88+(2*'Juro Nominal'!G88)-'Juro Nominal'!Q88</f>
        <v>1.0469999999999988</v>
      </c>
    </row>
    <row r="89" spans="1:4" ht="18.75" customHeight="1" x14ac:dyDescent="0.25">
      <c r="A89" s="2">
        <v>41060</v>
      </c>
      <c r="B89" s="3">
        <f>'Juro Nominal'!C89</f>
        <v>7.9290000000000003</v>
      </c>
      <c r="C89" s="3">
        <f>'Juro Nominal'!Q89-'Juro Nominal'!C89</f>
        <v>2.641</v>
      </c>
      <c r="D89" s="3">
        <f>-'Juro Nominal'!C89+(2*'Juro Nominal'!G89)-'Juro Nominal'!Q89</f>
        <v>1.0549999999999979</v>
      </c>
    </row>
    <row r="90" spans="1:4" ht="18.75" customHeight="1" x14ac:dyDescent="0.25">
      <c r="A90" s="2">
        <v>41090</v>
      </c>
      <c r="B90" s="3">
        <f>'Juro Nominal'!C90</f>
        <v>7.57</v>
      </c>
      <c r="C90" s="3">
        <f>'Juro Nominal'!Q90-'Juro Nominal'!C90</f>
        <v>2.66</v>
      </c>
      <c r="D90" s="3">
        <f>-'Juro Nominal'!C90+(2*'Juro Nominal'!G90)-'Juro Nominal'!Q90</f>
        <v>1.1020000000000003</v>
      </c>
    </row>
    <row r="91" spans="1:4" ht="18.75" customHeight="1" x14ac:dyDescent="0.25">
      <c r="A91" s="2">
        <v>41121</v>
      </c>
      <c r="B91" s="3">
        <f>'Juro Nominal'!C91</f>
        <v>7.4640000000000004</v>
      </c>
      <c r="C91" s="3">
        <f>'Juro Nominal'!Q91-'Juro Nominal'!C91</f>
        <v>2.2959999999999994</v>
      </c>
      <c r="D91" s="3">
        <f>-'Juro Nominal'!C91+(2*'Juro Nominal'!G91)-'Juro Nominal'!Q91</f>
        <v>1.0620000000000012</v>
      </c>
    </row>
    <row r="92" spans="1:4" ht="18.75" customHeight="1" x14ac:dyDescent="0.25">
      <c r="A92" s="2">
        <v>41152</v>
      </c>
      <c r="B92" s="3">
        <f>'Juro Nominal'!C92</f>
        <v>7.5049999999999999</v>
      </c>
      <c r="C92" s="3">
        <f>'Juro Nominal'!Q92-'Juro Nominal'!C92</f>
        <v>2.2350000000000003</v>
      </c>
      <c r="D92" s="3">
        <f>-'Juro Nominal'!C92+(2*'Juro Nominal'!G92)-'Juro Nominal'!Q92</f>
        <v>0.97100000000000186</v>
      </c>
    </row>
    <row r="93" spans="1:4" ht="18.75" customHeight="1" x14ac:dyDescent="0.25">
      <c r="A93" s="2">
        <v>41182</v>
      </c>
      <c r="B93" s="3">
        <f>'Juro Nominal'!C93</f>
        <v>7.49</v>
      </c>
      <c r="C93" s="3">
        <f>'Juro Nominal'!Q93-'Juro Nominal'!C93</f>
        <v>2.3599999999999994</v>
      </c>
      <c r="D93" s="3">
        <f>-'Juro Nominal'!C93+(2*'Juro Nominal'!G93)-'Juro Nominal'!Q93</f>
        <v>1.1000000000000014</v>
      </c>
    </row>
    <row r="94" spans="1:4" ht="18.75" customHeight="1" x14ac:dyDescent="0.25">
      <c r="A94" s="2">
        <v>41213</v>
      </c>
      <c r="B94" s="3">
        <f>'Juro Nominal'!C94</f>
        <v>7.25</v>
      </c>
      <c r="C94" s="3">
        <f>'Juro Nominal'!Q94-'Juro Nominal'!C94</f>
        <v>2.0099999999999998</v>
      </c>
      <c r="D94" s="3">
        <f>-'Juro Nominal'!C94+(2*'Juro Nominal'!G94)-'Juro Nominal'!Q94</f>
        <v>0.76199999999999868</v>
      </c>
    </row>
    <row r="95" spans="1:4" ht="18.75" customHeight="1" x14ac:dyDescent="0.25">
      <c r="A95" s="2">
        <v>41243</v>
      </c>
      <c r="B95" s="3">
        <f>'Juro Nominal'!C95</f>
        <v>7.1779999999999999</v>
      </c>
      <c r="C95" s="3">
        <f>'Juro Nominal'!Q95-'Juro Nominal'!C95</f>
        <v>2.4020000000000001</v>
      </c>
      <c r="D95" s="3">
        <f>-'Juro Nominal'!C95+(2*'Juro Nominal'!G95)-'Juro Nominal'!Q95</f>
        <v>1.0340000000000007</v>
      </c>
    </row>
    <row r="96" spans="1:4" ht="18.75" customHeight="1" x14ac:dyDescent="0.25">
      <c r="A96" s="2">
        <v>41274</v>
      </c>
      <c r="B96" s="3">
        <f>'Juro Nominal'!C96</f>
        <v>7.1379999999999999</v>
      </c>
      <c r="C96" s="3">
        <f>'Juro Nominal'!Q96-'Juro Nominal'!C96</f>
        <v>2.1920000000000002</v>
      </c>
      <c r="D96" s="3">
        <f>-'Juro Nominal'!C96+(2*'Juro Nominal'!G96)-'Juro Nominal'!Q96</f>
        <v>0.81200000000000117</v>
      </c>
    </row>
    <row r="97" spans="1:4" ht="18.75" customHeight="1" x14ac:dyDescent="0.25">
      <c r="A97" s="2">
        <v>41305</v>
      </c>
      <c r="B97" s="3">
        <f>'Juro Nominal'!C97</f>
        <v>7.2629999999999999</v>
      </c>
      <c r="C97" s="3">
        <f>'Juro Nominal'!Q97-'Juro Nominal'!C97</f>
        <v>2.4969999999999999</v>
      </c>
      <c r="D97" s="3">
        <f>-'Juro Nominal'!C97+(2*'Juro Nominal'!G97)-'Juro Nominal'!Q97</f>
        <v>1.1009999999999991</v>
      </c>
    </row>
    <row r="98" spans="1:4" ht="18.75" customHeight="1" x14ac:dyDescent="0.25">
      <c r="A98" s="2">
        <v>41333</v>
      </c>
      <c r="B98" s="3">
        <f>'Juro Nominal'!C98</f>
        <v>7.7629999999999999</v>
      </c>
      <c r="C98" s="3">
        <f>'Juro Nominal'!Q98-'Juro Nominal'!C98</f>
        <v>2.0269999999999992</v>
      </c>
      <c r="D98" s="3">
        <f>-'Juro Nominal'!C98+(2*'Juro Nominal'!G98)-'Juro Nominal'!Q98</f>
        <v>0.99100000000000144</v>
      </c>
    </row>
    <row r="99" spans="1:4" ht="18.75" customHeight="1" x14ac:dyDescent="0.25">
      <c r="A99" s="2">
        <v>41364</v>
      </c>
      <c r="B99" s="3">
        <f>'Juro Nominal'!C99</f>
        <v>7.9180000000000001</v>
      </c>
      <c r="C99" s="3">
        <f>'Juro Nominal'!Q99-'Juro Nominal'!C99</f>
        <v>2.242</v>
      </c>
      <c r="D99" s="3">
        <f>-'Juro Nominal'!C99+(2*'Juro Nominal'!G99)-'Juro Nominal'!Q99</f>
        <v>1.1999999999999993</v>
      </c>
    </row>
    <row r="100" spans="1:4" ht="18.75" customHeight="1" x14ac:dyDescent="0.25">
      <c r="A100" s="2">
        <v>41394</v>
      </c>
      <c r="B100" s="3">
        <f>'Juro Nominal'!C100</f>
        <v>8.0150000000000006</v>
      </c>
      <c r="C100" s="3">
        <f>'Juro Nominal'!Q100-'Juro Nominal'!C100</f>
        <v>1.6849999999999987</v>
      </c>
      <c r="D100" s="3">
        <f>-'Juro Nominal'!C100+(2*'Juro Nominal'!G100)-'Juro Nominal'!Q100</f>
        <v>0.34100000000000108</v>
      </c>
    </row>
    <row r="101" spans="1:4" ht="18.75" customHeight="1" x14ac:dyDescent="0.25">
      <c r="A101" s="2">
        <v>41425</v>
      </c>
      <c r="B101" s="3">
        <f>'Juro Nominal'!C101</f>
        <v>8.6649999999999991</v>
      </c>
      <c r="C101" s="3">
        <f>'Juro Nominal'!Q101-'Juro Nominal'!C101</f>
        <v>1.9350000000000005</v>
      </c>
      <c r="D101" s="3">
        <f>-'Juro Nominal'!C101+(2*'Juro Nominal'!G101)-'Juro Nominal'!Q101</f>
        <v>0.72700000000000209</v>
      </c>
    </row>
    <row r="102" spans="1:4" ht="18.75" customHeight="1" x14ac:dyDescent="0.25">
      <c r="A102" s="2">
        <v>41455</v>
      </c>
      <c r="B102" s="3">
        <f>'Juro Nominal'!C102</f>
        <v>9.407</v>
      </c>
      <c r="C102" s="3">
        <f>'Juro Nominal'!Q102-'Juro Nominal'!C102</f>
        <v>1.9730000000000008</v>
      </c>
      <c r="D102" s="3">
        <f>-'Juro Nominal'!C102+(2*'Juro Nominal'!G102)-'Juro Nominal'!Q102</f>
        <v>1.673</v>
      </c>
    </row>
    <row r="103" spans="1:4" ht="18.75" customHeight="1" x14ac:dyDescent="0.25">
      <c r="A103" s="2">
        <v>41486</v>
      </c>
      <c r="B103" s="3">
        <f>'Juro Nominal'!C103</f>
        <v>9.2880000000000003</v>
      </c>
      <c r="C103" s="3">
        <f>'Juro Nominal'!Q103-'Juro Nominal'!C103</f>
        <v>1.911999999999999</v>
      </c>
      <c r="D103" s="3">
        <f>-'Juro Nominal'!C103+(2*'Juro Nominal'!G103)-'Juro Nominal'!Q103</f>
        <v>1.490000000000002</v>
      </c>
    </row>
    <row r="104" spans="1:4" ht="18.75" customHeight="1" x14ac:dyDescent="0.25">
      <c r="A104" s="2">
        <v>41517</v>
      </c>
      <c r="B104" s="3">
        <f>'Juro Nominal'!C104</f>
        <v>10.211</v>
      </c>
      <c r="C104" s="3">
        <f>'Juro Nominal'!Q104-'Juro Nominal'!C104</f>
        <v>2.0789999999999988</v>
      </c>
      <c r="D104" s="3">
        <f>-'Juro Nominal'!C104+(2*'Juro Nominal'!G104)-'Juro Nominal'!Q104</f>
        <v>1.6190000000000015</v>
      </c>
    </row>
    <row r="105" spans="1:4" ht="18.75" customHeight="1" x14ac:dyDescent="0.25">
      <c r="A105" s="2">
        <v>41547</v>
      </c>
      <c r="B105" s="3">
        <f>'Juro Nominal'!C105</f>
        <v>10.07</v>
      </c>
      <c r="C105" s="3">
        <f>'Juro Nominal'!Q105-'Juro Nominal'!C105</f>
        <v>1.8599999999999994</v>
      </c>
      <c r="D105" s="3">
        <f>-'Juro Nominal'!C105+(2*'Juro Nominal'!G105)-'Juro Nominal'!Q105</f>
        <v>1.4800000000000004</v>
      </c>
    </row>
    <row r="106" spans="1:4" ht="18.75" customHeight="1" x14ac:dyDescent="0.25">
      <c r="A106" s="2">
        <v>41578</v>
      </c>
      <c r="B106" s="3">
        <f>'Juro Nominal'!C106</f>
        <v>10.503</v>
      </c>
      <c r="C106" s="3">
        <f>'Juro Nominal'!Q106-'Juro Nominal'!C106</f>
        <v>1.4469999999999992</v>
      </c>
      <c r="D106" s="3">
        <f>-'Juro Nominal'!C106+(2*'Juro Nominal'!G106)-'Juro Nominal'!Q106</f>
        <v>1.0869999999999997</v>
      </c>
    </row>
    <row r="107" spans="1:4" ht="18.75" customHeight="1" x14ac:dyDescent="0.25">
      <c r="A107" s="2">
        <v>41608</v>
      </c>
      <c r="B107" s="3">
        <f>'Juro Nominal'!C107</f>
        <v>10.603</v>
      </c>
      <c r="C107" s="3">
        <f>'Juro Nominal'!Q107-'Juro Nominal'!C107</f>
        <v>2.4269999999999996</v>
      </c>
      <c r="D107" s="3">
        <f>-'Juro Nominal'!C107+(2*'Juro Nominal'!G107)-'Juro Nominal'!Q107</f>
        <v>1.6509999999999998</v>
      </c>
    </row>
    <row r="108" spans="1:4" ht="18.75" customHeight="1" x14ac:dyDescent="0.25">
      <c r="A108" s="2">
        <v>41639</v>
      </c>
      <c r="B108" s="3">
        <f>'Juro Nominal'!C108</f>
        <v>10.574</v>
      </c>
      <c r="C108" s="3">
        <f>'Juro Nominal'!Q108-'Juro Nominal'!C108</f>
        <v>2.6460000000000008</v>
      </c>
      <c r="D108" s="3">
        <f>-'Juro Nominal'!C108+(2*'Juro Nominal'!G108)-'Juro Nominal'!Q108</f>
        <v>1.8659999999999997</v>
      </c>
    </row>
    <row r="109" spans="1:4" ht="18.75" customHeight="1" x14ac:dyDescent="0.25">
      <c r="A109" s="2">
        <v>41670</v>
      </c>
      <c r="B109" s="3">
        <f>'Juro Nominal'!C109</f>
        <v>11.771000000000001</v>
      </c>
      <c r="C109" s="3">
        <f>'Juro Nominal'!Q109-'Juro Nominal'!C109</f>
        <v>1.8989999999999991</v>
      </c>
      <c r="D109" s="3">
        <f>-'Juro Nominal'!C109+(2*'Juro Nominal'!G109)-'Juro Nominal'!Q109</f>
        <v>1.1049999999999986</v>
      </c>
    </row>
    <row r="110" spans="1:4" ht="18.75" customHeight="1" x14ac:dyDescent="0.25">
      <c r="A110" s="2">
        <v>41698</v>
      </c>
      <c r="B110" s="3">
        <f>'Juro Nominal'!C110</f>
        <v>11.237</v>
      </c>
      <c r="C110" s="3">
        <f>'Juro Nominal'!Q110-'Juro Nominal'!C110</f>
        <v>1.7629999999999999</v>
      </c>
      <c r="D110" s="3">
        <f>-'Juro Nominal'!C110+(2*'Juro Nominal'!G110)-'Juro Nominal'!Q110</f>
        <v>0.87299999999999933</v>
      </c>
    </row>
    <row r="111" spans="1:4" ht="18.75" customHeight="1" x14ac:dyDescent="0.25">
      <c r="A111" s="2">
        <v>41729</v>
      </c>
      <c r="B111" s="3">
        <f>'Juro Nominal'!C111</f>
        <v>11.375999999999999</v>
      </c>
      <c r="C111" s="3">
        <f>'Juro Nominal'!Q111-'Juro Nominal'!C111</f>
        <v>1.7439999999999998</v>
      </c>
      <c r="D111" s="3">
        <f>-'Juro Nominal'!C111+(2*'Juro Nominal'!G111)-'Juro Nominal'!Q111</f>
        <v>1.0140000000000029</v>
      </c>
    </row>
    <row r="112" spans="1:4" ht="18.75" customHeight="1" x14ac:dyDescent="0.25">
      <c r="A112" s="2">
        <v>41759</v>
      </c>
      <c r="B112" s="3">
        <f>'Juro Nominal'!C112</f>
        <v>11.333</v>
      </c>
      <c r="C112" s="3">
        <f>'Juro Nominal'!Q112-'Juro Nominal'!C112</f>
        <v>1.5470000000000006</v>
      </c>
      <c r="D112" s="3">
        <f>-'Juro Nominal'!C112+(2*'Juro Nominal'!G112)-'Juro Nominal'!Q112</f>
        <v>0.8349999999999973</v>
      </c>
    </row>
    <row r="113" spans="1:4" ht="18.75" customHeight="1" x14ac:dyDescent="0.25">
      <c r="A113" s="2">
        <v>41790</v>
      </c>
      <c r="B113" s="3">
        <f>'Juro Nominal'!C113</f>
        <v>11.103999999999999</v>
      </c>
      <c r="C113" s="3">
        <f>'Juro Nominal'!Q113-'Juro Nominal'!C113</f>
        <v>1.136000000000001</v>
      </c>
      <c r="D113" s="3">
        <f>-'Juro Nominal'!C113+(2*'Juro Nominal'!G113)-'Juro Nominal'!Q113</f>
        <v>0.45999999999999908</v>
      </c>
    </row>
    <row r="114" spans="1:4" ht="18.75" customHeight="1" x14ac:dyDescent="0.25">
      <c r="A114" s="2">
        <v>41820</v>
      </c>
      <c r="B114" s="3">
        <f>'Juro Nominal'!C114</f>
        <v>10.904999999999999</v>
      </c>
      <c r="C114" s="3">
        <f>'Juro Nominal'!Q114-'Juro Nominal'!C114</f>
        <v>1.375</v>
      </c>
      <c r="D114" s="3">
        <f>-'Juro Nominal'!C114+(2*'Juro Nominal'!G114)-'Juro Nominal'!Q114</f>
        <v>0.72900000000000276</v>
      </c>
    </row>
    <row r="115" spans="1:4" ht="18.75" customHeight="1" x14ac:dyDescent="0.25">
      <c r="A115" s="2">
        <v>41851</v>
      </c>
      <c r="B115" s="3">
        <f>'Juro Nominal'!C115</f>
        <v>10.973000000000001</v>
      </c>
      <c r="C115" s="3">
        <f>'Juro Nominal'!Q115-'Juro Nominal'!C115</f>
        <v>1.1069999999999993</v>
      </c>
      <c r="D115" s="3">
        <f>-'Juro Nominal'!C115+(2*'Juro Nominal'!G115)-'Juro Nominal'!Q115</f>
        <v>0.53699999999999903</v>
      </c>
    </row>
    <row r="116" spans="1:4" ht="18.75" customHeight="1" x14ac:dyDescent="0.25">
      <c r="A116" s="2">
        <v>41882</v>
      </c>
      <c r="B116" s="3">
        <f>'Juro Nominal'!C116</f>
        <v>11.098000000000001</v>
      </c>
      <c r="C116" s="3">
        <f>'Juro Nominal'!Q116-'Juro Nominal'!C116</f>
        <v>4.1999999999999815E-2</v>
      </c>
      <c r="D116" s="3">
        <f>-'Juro Nominal'!C116+(2*'Juro Nominal'!G116)-'Juro Nominal'!Q116</f>
        <v>0.13999999999999879</v>
      </c>
    </row>
    <row r="117" spans="1:4" ht="18.75" customHeight="1" x14ac:dyDescent="0.25">
      <c r="A117" s="2">
        <v>41912</v>
      </c>
      <c r="B117" s="3">
        <f>'Juro Nominal'!C117</f>
        <v>11.776999999999999</v>
      </c>
      <c r="C117" s="3">
        <f>'Juro Nominal'!Q117-'Juro Nominal'!C117</f>
        <v>0.47300000000000075</v>
      </c>
      <c r="D117" s="3">
        <f>-'Juro Nominal'!C117+(2*'Juro Nominal'!G117)-'Juro Nominal'!Q117</f>
        <v>0.57300000000000217</v>
      </c>
    </row>
    <row r="118" spans="1:4" ht="18.75" customHeight="1" x14ac:dyDescent="0.25">
      <c r="A118" s="2">
        <v>41943</v>
      </c>
      <c r="B118" s="3">
        <f>'Juro Nominal'!C118</f>
        <v>12.177</v>
      </c>
      <c r="C118" s="3">
        <f>'Juro Nominal'!Q118-'Juro Nominal'!C118</f>
        <v>-0.2370000000000001</v>
      </c>
      <c r="D118" s="3">
        <f>-'Juro Nominal'!C118+(2*'Juro Nominal'!G118)-'Juro Nominal'!Q118</f>
        <v>9.0999999999999304E-2</v>
      </c>
    </row>
    <row r="119" spans="1:4" ht="18.75" customHeight="1" x14ac:dyDescent="0.25">
      <c r="A119" s="2">
        <v>41973</v>
      </c>
      <c r="B119" s="3">
        <f>'Juro Nominal'!C119</f>
        <v>12.445</v>
      </c>
      <c r="C119" s="3">
        <f>'Juro Nominal'!Q119-'Juro Nominal'!C119</f>
        <v>-0.91500000000000092</v>
      </c>
      <c r="D119" s="3">
        <f>-'Juro Nominal'!C119+(2*'Juro Nominal'!G119)-'Juro Nominal'!Q119</f>
        <v>-0.47099999999999831</v>
      </c>
    </row>
    <row r="120" spans="1:4" ht="18.75" customHeight="1" x14ac:dyDescent="0.25">
      <c r="A120" s="2">
        <v>42004</v>
      </c>
      <c r="B120" s="3">
        <f>'Juro Nominal'!C120</f>
        <v>12.96</v>
      </c>
      <c r="C120" s="3">
        <f>'Juro Nominal'!Q120-'Juro Nominal'!C120</f>
        <v>-0.85000000000000142</v>
      </c>
      <c r="D120" s="3">
        <f>-'Juro Nominal'!C120+(2*'Juro Nominal'!G120)-'Juro Nominal'!Q120</f>
        <v>-0.19000000000000128</v>
      </c>
    </row>
    <row r="121" spans="1:4" ht="18.75" customHeight="1" x14ac:dyDescent="0.25">
      <c r="A121" s="2">
        <v>42035</v>
      </c>
      <c r="B121" s="3">
        <f>'Juro Nominal'!C121</f>
        <v>12.746</v>
      </c>
      <c r="C121" s="3">
        <f>'Juro Nominal'!Q121-'Juro Nominal'!C121</f>
        <v>-0.96600000000000108</v>
      </c>
      <c r="D121" s="3">
        <f>-'Juro Nominal'!C121+(2*'Juro Nominal'!G121)-'Juro Nominal'!Q121</f>
        <v>-0.48999999999999844</v>
      </c>
    </row>
    <row r="122" spans="1:4" ht="18.75" customHeight="1" x14ac:dyDescent="0.25">
      <c r="A122" s="2">
        <v>42063</v>
      </c>
      <c r="B122" s="3">
        <f>'Juro Nominal'!C122</f>
        <v>13.05</v>
      </c>
      <c r="C122" s="3">
        <f>'Juro Nominal'!Q122-'Juro Nominal'!C122</f>
        <v>-0.88000000000000078</v>
      </c>
      <c r="D122" s="3">
        <f>-'Juro Nominal'!C122+(2*'Juro Nominal'!G122)-'Juro Nominal'!Q122</f>
        <v>-0.57399999999999984</v>
      </c>
    </row>
    <row r="123" spans="1:4" ht="18.75" customHeight="1" x14ac:dyDescent="0.25">
      <c r="A123" s="2">
        <v>42094</v>
      </c>
      <c r="B123" s="3">
        <f>'Juro Nominal'!C123</f>
        <v>13.52</v>
      </c>
      <c r="C123" s="3">
        <f>'Juro Nominal'!Q123-'Juro Nominal'!C123</f>
        <v>-0.58999999999999986</v>
      </c>
      <c r="D123" s="3">
        <f>-'Juro Nominal'!C123+(2*'Juro Nominal'!G123)-'Juro Nominal'!Q123</f>
        <v>-0.44200000000000017</v>
      </c>
    </row>
    <row r="124" spans="1:4" ht="18.75" customHeight="1" x14ac:dyDescent="0.25">
      <c r="A124" s="2">
        <v>42124</v>
      </c>
      <c r="B124" s="3">
        <f>'Juro Nominal'!C124</f>
        <v>13.666</v>
      </c>
      <c r="C124" s="3">
        <f>'Juro Nominal'!Q124-'Juro Nominal'!C124</f>
        <v>-0.97600000000000087</v>
      </c>
      <c r="D124" s="3">
        <f>-'Juro Nominal'!C124+(2*'Juro Nominal'!G124)-'Juro Nominal'!Q124</f>
        <v>-0.75599999999999845</v>
      </c>
    </row>
    <row r="125" spans="1:4" ht="18.75" customHeight="1" x14ac:dyDescent="0.25">
      <c r="A125" s="2">
        <v>42155</v>
      </c>
      <c r="B125" s="3">
        <f>'Juro Nominal'!C125</f>
        <v>13.744999999999999</v>
      </c>
      <c r="C125" s="3">
        <f>'Juro Nominal'!Q125-'Juro Nominal'!C125</f>
        <v>-1.5249999999999986</v>
      </c>
      <c r="D125" s="3">
        <f>-'Juro Nominal'!C125+(2*'Juro Nominal'!G125)-'Juro Nominal'!Q125</f>
        <v>-1.1469999999999985</v>
      </c>
    </row>
    <row r="126" spans="1:4" ht="18.75" customHeight="1" x14ac:dyDescent="0.25">
      <c r="A126" s="2">
        <v>42185</v>
      </c>
      <c r="B126" s="3">
        <f>'Juro Nominal'!C126</f>
        <v>14.271000000000001</v>
      </c>
      <c r="C126" s="3">
        <f>'Juro Nominal'!Q126-'Juro Nominal'!C126</f>
        <v>-1.6910000000000007</v>
      </c>
      <c r="D126" s="3">
        <f>-'Juro Nominal'!C126+(2*'Juro Nominal'!G126)-'Juro Nominal'!Q126</f>
        <v>-1.4090000000000007</v>
      </c>
    </row>
    <row r="127" spans="1:4" ht="18.75" customHeight="1" x14ac:dyDescent="0.25">
      <c r="A127" s="2">
        <v>42216</v>
      </c>
      <c r="B127" s="3">
        <f>'Juro Nominal'!C127</f>
        <v>13.888999999999999</v>
      </c>
      <c r="C127" s="3">
        <f>'Juro Nominal'!Q127-'Juro Nominal'!C127</f>
        <v>-0.93900000000000006</v>
      </c>
      <c r="D127" s="3">
        <f>-'Juro Nominal'!C127+(2*'Juro Nominal'!G127)-'Juro Nominal'!Q127</f>
        <v>-1.2429999999999986</v>
      </c>
    </row>
    <row r="128" spans="1:4" ht="18.75" customHeight="1" x14ac:dyDescent="0.25">
      <c r="A128" s="2">
        <v>42247</v>
      </c>
      <c r="B128" s="3">
        <f>'Juro Nominal'!C128</f>
        <v>14.382</v>
      </c>
      <c r="C128" s="3">
        <f>'Juro Nominal'!Q128-'Juro Nominal'!C128</f>
        <v>-0.1120000000000001</v>
      </c>
      <c r="D128" s="3">
        <f>-'Juro Nominal'!C128+(2*'Juro Nominal'!G128)-'Juro Nominal'!Q128</f>
        <v>-0.41200000000000081</v>
      </c>
    </row>
    <row r="129" spans="1:4" ht="18.75" customHeight="1" x14ac:dyDescent="0.25">
      <c r="A129" s="2">
        <v>42277</v>
      </c>
      <c r="B129" s="3">
        <f>'Juro Nominal'!C129</f>
        <v>15.561</v>
      </c>
      <c r="C129" s="3">
        <f>'Juro Nominal'!Q129-'Juro Nominal'!C129</f>
        <v>5.8999999999999275E-2</v>
      </c>
      <c r="D129" s="3">
        <f>-'Juro Nominal'!C129+(2*'Juro Nominal'!G129)-'Juro Nominal'!Q129</f>
        <v>5.7000000000000384E-2</v>
      </c>
    </row>
    <row r="130" spans="1:4" ht="18.75" customHeight="1" x14ac:dyDescent="0.25">
      <c r="A130" s="2">
        <v>42308</v>
      </c>
      <c r="B130" s="3">
        <f>'Juro Nominal'!C130</f>
        <v>15.401</v>
      </c>
      <c r="C130" s="3">
        <f>'Juro Nominal'!Q130-'Juro Nominal'!C130</f>
        <v>0.63899999999999935</v>
      </c>
      <c r="D130" s="3">
        <f>-'Juro Nominal'!C130+(2*'Juro Nominal'!G130)-'Juro Nominal'!Q130</f>
        <v>0.47500000000000142</v>
      </c>
    </row>
    <row r="131" spans="1:4" ht="18.75" customHeight="1" x14ac:dyDescent="0.25">
      <c r="A131" s="2">
        <v>42338</v>
      </c>
      <c r="B131" s="3">
        <f>'Juro Nominal'!C131</f>
        <v>15.728</v>
      </c>
      <c r="C131" s="3">
        <f>'Juro Nominal'!Q131-'Juro Nominal'!C131</f>
        <v>0.22199999999999953</v>
      </c>
      <c r="D131" s="3">
        <f>-'Juro Nominal'!C131+(2*'Juro Nominal'!G131)-'Juro Nominal'!Q131</f>
        <v>0.25799999999999912</v>
      </c>
    </row>
    <row r="132" spans="1:4" ht="18.75" customHeight="1" x14ac:dyDescent="0.25">
      <c r="A132" s="2">
        <v>42369</v>
      </c>
      <c r="B132" s="3">
        <f>'Juro Nominal'!C132</f>
        <v>15.867000000000001</v>
      </c>
      <c r="C132" s="3">
        <f>'Juro Nominal'!Q132-'Juro Nominal'!C132</f>
        <v>0.68299999999999983</v>
      </c>
      <c r="D132" s="3">
        <f>-'Juro Nominal'!C132+(2*'Juro Nominal'!G132)-'Juro Nominal'!Q132</f>
        <v>0.8230000000000004</v>
      </c>
    </row>
    <row r="133" spans="1:4" ht="18.75" customHeight="1" x14ac:dyDescent="0.25">
      <c r="A133" s="2">
        <v>42400</v>
      </c>
      <c r="B133" s="3">
        <f>'Juro Nominal'!C133</f>
        <v>14.574</v>
      </c>
      <c r="C133" s="3">
        <f>'Juro Nominal'!Q133-'Juro Nominal'!C133</f>
        <v>1.8759999999999994</v>
      </c>
      <c r="D133" s="3">
        <f>-'Juro Nominal'!C133+(2*'Juro Nominal'!G133)-'Juro Nominal'!Q133</f>
        <v>0.86000000000000298</v>
      </c>
    </row>
    <row r="134" spans="1:4" ht="18.75" customHeight="1" x14ac:dyDescent="0.25">
      <c r="A134" s="2">
        <v>42429</v>
      </c>
      <c r="B134" s="3">
        <f>'Juro Nominal'!C134</f>
        <v>14.214</v>
      </c>
      <c r="C134" s="3">
        <f>'Juro Nominal'!Q134-'Juro Nominal'!C134</f>
        <v>2.145999999999999</v>
      </c>
      <c r="D134" s="3">
        <f>-'Juro Nominal'!C134+(2*'Juro Nominal'!G134)-'Juro Nominal'!Q134</f>
        <v>0.63600000000000279</v>
      </c>
    </row>
    <row r="135" spans="1:4" ht="18.75" customHeight="1" x14ac:dyDescent="0.25">
      <c r="A135" s="2">
        <v>42460</v>
      </c>
      <c r="B135" s="3">
        <f>'Juro Nominal'!C135</f>
        <v>13.805</v>
      </c>
      <c r="C135" s="3">
        <f>'Juro Nominal'!Q135-'Juro Nominal'!C135</f>
        <v>0.44500000000000028</v>
      </c>
      <c r="D135" s="3">
        <f>-'Juro Nominal'!C135+(2*'Juro Nominal'!G135)-'Juro Nominal'!Q135</f>
        <v>-0.21900000000000119</v>
      </c>
    </row>
    <row r="136" spans="1:4" ht="18.75" customHeight="1" x14ac:dyDescent="0.25">
      <c r="A136" s="2">
        <v>42490</v>
      </c>
      <c r="B136" s="3">
        <f>'Juro Nominal'!C136</f>
        <v>13.2</v>
      </c>
      <c r="C136" s="3">
        <f>'Juro Nominal'!Q136-'Juro Nominal'!C136</f>
        <v>-0.53999999999999915</v>
      </c>
      <c r="D136" s="3">
        <f>-'Juro Nominal'!C136+(2*'Juro Nominal'!G136)-'Juro Nominal'!Q136</f>
        <v>-1.0039999999999978</v>
      </c>
    </row>
    <row r="137" spans="1:4" ht="18.75" customHeight="1" x14ac:dyDescent="0.25">
      <c r="A137" s="2">
        <v>42521</v>
      </c>
      <c r="B137" s="3">
        <f>'Juro Nominal'!C137</f>
        <v>13.164</v>
      </c>
      <c r="C137" s="3">
        <f>'Juro Nominal'!Q137-'Juro Nominal'!C137</f>
        <v>6.0000000000002274E-3</v>
      </c>
      <c r="D137" s="3">
        <f>-'Juro Nominal'!C137+(2*'Juro Nominal'!G137)-'Juro Nominal'!Q137</f>
        <v>-0.59400000000000119</v>
      </c>
    </row>
    <row r="138" spans="1:4" ht="18.75" customHeight="1" x14ac:dyDescent="0.25">
      <c r="A138" s="2">
        <v>42551</v>
      </c>
      <c r="B138" s="3">
        <f>'Juro Nominal'!C138</f>
        <v>13.34</v>
      </c>
      <c r="C138" s="3">
        <f>'Juro Nominal'!Q138-'Juro Nominal'!C138</f>
        <v>-0.94999999999999929</v>
      </c>
      <c r="D138" s="3">
        <f>-'Juro Nominal'!C138+(2*'Juro Nominal'!G138)-'Juro Nominal'!Q138</f>
        <v>-1.4080000000000013</v>
      </c>
    </row>
    <row r="139" spans="1:4" ht="18.75" customHeight="1" x14ac:dyDescent="0.25">
      <c r="A139" s="2">
        <v>42582</v>
      </c>
      <c r="B139" s="3">
        <f>'Juro Nominal'!C139</f>
        <v>13.257</v>
      </c>
      <c r="C139" s="3">
        <f>'Juro Nominal'!Q139-'Juro Nominal'!C139</f>
        <v>-1.1519999999999992</v>
      </c>
      <c r="D139" s="3">
        <f>-'Juro Nominal'!C139+(2*'Juro Nominal'!G139)-'Juro Nominal'!Q139</f>
        <v>-1.3699999999999992</v>
      </c>
    </row>
    <row r="140" spans="1:4" ht="18.75" customHeight="1" x14ac:dyDescent="0.25">
      <c r="A140" s="2">
        <v>42613</v>
      </c>
      <c r="B140" s="3">
        <f>'Juro Nominal'!C140</f>
        <v>13.102</v>
      </c>
      <c r="C140" s="3">
        <f>'Juro Nominal'!Q140-'Juro Nominal'!C140</f>
        <v>-0.78500000000000014</v>
      </c>
      <c r="D140" s="3">
        <f>-'Juro Nominal'!C140+(2*'Juro Nominal'!G140)-'Juro Nominal'!Q140</f>
        <v>-1.2789999999999999</v>
      </c>
    </row>
    <row r="141" spans="1:4" ht="18.75" customHeight="1" x14ac:dyDescent="0.25">
      <c r="A141" s="2">
        <v>42643</v>
      </c>
      <c r="B141" s="3">
        <f>'Juro Nominal'!C141</f>
        <v>12.48</v>
      </c>
      <c r="C141" s="3">
        <f>'Juro Nominal'!Q141-'Juro Nominal'!C141</f>
        <v>-0.68299999999999983</v>
      </c>
      <c r="D141" s="3">
        <f>-'Juro Nominal'!C141+(2*'Juro Nominal'!G141)-'Juro Nominal'!Q141</f>
        <v>-1.0850000000000009</v>
      </c>
    </row>
    <row r="142" spans="1:4" ht="18.75" customHeight="1" x14ac:dyDescent="0.25">
      <c r="A142" s="2">
        <v>42674</v>
      </c>
      <c r="B142" s="3">
        <f>'Juro Nominal'!C142</f>
        <v>12.401999999999999</v>
      </c>
      <c r="C142" s="3">
        <f>'Juro Nominal'!Q142-'Juro Nominal'!C142</f>
        <v>-0.77899999999999991</v>
      </c>
      <c r="D142" s="3">
        <f>-'Juro Nominal'!C142+(2*'Juro Nominal'!G142)-'Juro Nominal'!Q142</f>
        <v>-1.375</v>
      </c>
    </row>
    <row r="143" spans="1:4" ht="18.75" customHeight="1" x14ac:dyDescent="0.25">
      <c r="A143" s="2">
        <v>42704</v>
      </c>
      <c r="B143" s="3">
        <f>'Juro Nominal'!C143</f>
        <v>12.148999999999999</v>
      </c>
      <c r="C143" s="3">
        <f>'Juro Nominal'!Q143-'Juro Nominal'!C143</f>
        <v>-5.999999999998451E-3</v>
      </c>
      <c r="D143" s="3">
        <f>-'Juro Nominal'!C143+(2*'Juro Nominal'!G143)-'Juro Nominal'!Q143</f>
        <v>-0.58400000000000141</v>
      </c>
    </row>
    <row r="144" spans="1:4" ht="18.75" customHeight="1" x14ac:dyDescent="0.25">
      <c r="A144" s="2">
        <v>42735</v>
      </c>
      <c r="B144" s="3">
        <f>'Juro Nominal'!C144</f>
        <v>11.54</v>
      </c>
      <c r="C144" s="3">
        <f>'Juro Nominal'!Q144-'Juro Nominal'!C144</f>
        <v>0.15800000000000125</v>
      </c>
      <c r="D144" s="3">
        <f>-'Juro Nominal'!C144+(2*'Juro Nominal'!G144)-'Juro Nominal'!Q144</f>
        <v>-0.25799999999999912</v>
      </c>
    </row>
    <row r="145" spans="1:4" ht="18.75" customHeight="1" x14ac:dyDescent="0.25">
      <c r="A145" s="2">
        <v>42766</v>
      </c>
      <c r="B145" s="3">
        <f>'Juro Nominal'!C145</f>
        <v>10.772423</v>
      </c>
      <c r="C145" s="3">
        <f>'Juro Nominal'!Q145-'Juro Nominal'!C145</f>
        <v>0.32945699999999967</v>
      </c>
      <c r="D145" s="3">
        <f>-'Juro Nominal'!C145+(2*'Juro Nominal'!G145)-'Juro Nominal'!Q145</f>
        <v>-0.29301300000000019</v>
      </c>
    </row>
    <row r="146" spans="1:4" ht="18.75" customHeight="1" x14ac:dyDescent="0.25">
      <c r="A146" s="2">
        <v>42794</v>
      </c>
      <c r="B146" s="3">
        <f>'Juro Nominal'!C146</f>
        <v>10.12513</v>
      </c>
      <c r="C146" s="3">
        <f>'Juro Nominal'!Q146-'Juro Nominal'!C146</f>
        <v>0.26160099999999886</v>
      </c>
      <c r="D146" s="3">
        <f>-'Juro Nominal'!C146+(2*'Juro Nominal'!G146)-'Juro Nominal'!Q146</f>
        <v>-0.13142900000000068</v>
      </c>
    </row>
    <row r="147" spans="1:4" ht="18.75" customHeight="1" x14ac:dyDescent="0.25">
      <c r="A147" s="2">
        <v>42825</v>
      </c>
      <c r="B147" s="3">
        <f>'Juro Nominal'!C147</f>
        <v>9.6311389999999992</v>
      </c>
      <c r="C147" s="3">
        <f>'Juro Nominal'!Q147-'Juro Nominal'!C147</f>
        <v>0.49640800000000063</v>
      </c>
      <c r="D147" s="3">
        <f>-'Juro Nominal'!C147+(2*'Juro Nominal'!G147)-'Juro Nominal'!Q147</f>
        <v>0.18921400000000155</v>
      </c>
    </row>
    <row r="148" spans="1:4" ht="18.75" customHeight="1" x14ac:dyDescent="0.25">
      <c r="A148" s="2">
        <v>42855</v>
      </c>
      <c r="B148" s="3">
        <f>'Juro Nominal'!C148</f>
        <v>9.2638300000000005</v>
      </c>
      <c r="C148" s="3">
        <f>'Juro Nominal'!Q148-'Juro Nominal'!C148</f>
        <v>1.1777119999999996</v>
      </c>
      <c r="D148" s="3">
        <f>-'Juro Nominal'!C148+(2*'Juro Nominal'!G148)-'Juro Nominal'!Q148</f>
        <v>0.62012999999999963</v>
      </c>
    </row>
    <row r="149" spans="1:4" ht="18.75" customHeight="1" x14ac:dyDescent="0.25">
      <c r="A149" s="2">
        <v>42886</v>
      </c>
      <c r="B149" s="3">
        <f>'Juro Nominal'!C149</f>
        <v>9.1080850000000009</v>
      </c>
      <c r="C149" s="3">
        <f>'Juro Nominal'!Q149-'Juro Nominal'!C149</f>
        <v>1.7957239999999999</v>
      </c>
      <c r="D149" s="3">
        <f>-'Juro Nominal'!C149+(2*'Juro Nominal'!G149)-'Juro Nominal'!Q149</f>
        <v>1.2158659999999983</v>
      </c>
    </row>
    <row r="150" spans="1:4" ht="18.75" customHeight="1" x14ac:dyDescent="0.25">
      <c r="A150" s="2">
        <v>42916</v>
      </c>
      <c r="B150" s="3">
        <f>'Juro Nominal'!C150</f>
        <v>8.715859</v>
      </c>
      <c r="C150" s="3">
        <f>'Juro Nominal'!Q150-'Juro Nominal'!C150</f>
        <v>2.0311839999999997</v>
      </c>
      <c r="D150" s="3">
        <f>-'Juro Nominal'!C150+(2*'Juro Nominal'!G150)-'Juro Nominal'!Q150</f>
        <v>1.3434479999999986</v>
      </c>
    </row>
    <row r="151" spans="1:4" ht="18.75" customHeight="1" x14ac:dyDescent="0.25">
      <c r="A151" s="2">
        <v>42947</v>
      </c>
      <c r="B151" s="3">
        <f>'Juro Nominal'!C151</f>
        <v>7.9403889999999997</v>
      </c>
      <c r="C151" s="3">
        <f>'Juro Nominal'!Q151-'Juro Nominal'!C151</f>
        <v>2.384252</v>
      </c>
      <c r="D151" s="3">
        <f>-'Juro Nominal'!C151+(2*'Juro Nominal'!G151)-'Juro Nominal'!Q151</f>
        <v>1.2087260000000022</v>
      </c>
    </row>
    <row r="152" spans="1:4" ht="18.75" customHeight="1" x14ac:dyDescent="0.25">
      <c r="A152" s="2">
        <v>42978</v>
      </c>
      <c r="B152" s="3">
        <f>'Juro Nominal'!C152</f>
        <v>7.5577120000000004</v>
      </c>
      <c r="C152" s="3">
        <f>'Juro Nominal'!Q152-'Juro Nominal'!C152</f>
        <v>2.8204840000000004</v>
      </c>
      <c r="D152" s="3">
        <f>-'Juro Nominal'!C152+(2*'Juro Nominal'!G152)-'Juro Nominal'!Q152</f>
        <v>1.474377999999998</v>
      </c>
    </row>
    <row r="153" spans="1:4" ht="18.75" customHeight="1" x14ac:dyDescent="0.25">
      <c r="A153" s="2">
        <v>43008</v>
      </c>
      <c r="B153" s="3">
        <f>'Juro Nominal'!C153</f>
        <v>7.0883330000000004</v>
      </c>
      <c r="C153" s="3">
        <f>'Juro Nominal'!Q153-'Juro Nominal'!C153</f>
        <v>3.0468320000000002</v>
      </c>
      <c r="D153" s="3">
        <f>-'Juro Nominal'!C153+(2*'Juro Nominal'!G153)-'Juro Nominal'!Q153</f>
        <v>1.5066000000000006</v>
      </c>
    </row>
    <row r="154" spans="1:4" ht="18.75" customHeight="1" x14ac:dyDescent="0.25">
      <c r="A154" s="2">
        <v>43039</v>
      </c>
      <c r="B154" s="3">
        <f>'Juro Nominal'!C154</f>
        <v>7.1119630000000003</v>
      </c>
      <c r="C154" s="3">
        <f>'Juro Nominal'!Q154-'Juro Nominal'!C154</f>
        <v>3.0418530000000006</v>
      </c>
      <c r="D154" s="3">
        <f>-'Juro Nominal'!C154+(2*'Juro Nominal'!G154)-'Juro Nominal'!Q154</f>
        <v>2.2036250000000006</v>
      </c>
    </row>
    <row r="155" spans="1:4" ht="18.75" customHeight="1" x14ac:dyDescent="0.25">
      <c r="A155" s="2">
        <v>43069</v>
      </c>
      <c r="B155" s="3">
        <f>'Juro Nominal'!C155</f>
        <v>6.9936489999999996</v>
      </c>
      <c r="C155" s="3">
        <f>'Juro Nominal'!Q155-'Juro Nominal'!C155</f>
        <v>3.8423060000000007</v>
      </c>
      <c r="D155" s="3">
        <f>-'Juro Nominal'!C155+(2*'Juro Nominal'!G155)-'Juro Nominal'!Q155</f>
        <v>2.5529480000000007</v>
      </c>
    </row>
    <row r="156" spans="1:4" ht="18.75" customHeight="1" x14ac:dyDescent="0.25">
      <c r="A156" s="2">
        <v>43100</v>
      </c>
      <c r="B156" s="3">
        <f>'Juro Nominal'!C156</f>
        <v>6.8616250000000001</v>
      </c>
      <c r="C156" s="3">
        <f>'Juro Nominal'!Q156-'Juro Nominal'!C156</f>
        <v>3.8805720000000008</v>
      </c>
      <c r="D156" s="3">
        <f>-'Juro Nominal'!C156+(2*'Juro Nominal'!G156)-'Juro Nominal'!Q156</f>
        <v>2.2430959999999978</v>
      </c>
    </row>
    <row r="157" spans="1:4" ht="18.75" customHeight="1" x14ac:dyDescent="0.25">
      <c r="A157" s="2">
        <v>43131</v>
      </c>
      <c r="B157" s="3">
        <f>'Juro Nominal'!C157</f>
        <v>6.8882329999999996</v>
      </c>
      <c r="C157" s="3">
        <f>'Juro Nominal'!Q157-'Juro Nominal'!C157</f>
        <v>3.4754430000000003</v>
      </c>
      <c r="D157" s="3">
        <f>-'Juro Nominal'!C157+(2*'Juro Nominal'!G157)-'Juro Nominal'!Q157</f>
        <v>1.6755690000000012</v>
      </c>
    </row>
    <row r="158" spans="1:4" ht="18.75" customHeight="1" x14ac:dyDescent="0.25">
      <c r="A158" s="2">
        <v>43159</v>
      </c>
      <c r="B158" s="3">
        <f>'Juro Nominal'!C158</f>
        <v>6.6600289999999998</v>
      </c>
      <c r="C158" s="3">
        <f>'Juro Nominal'!Q158-'Juro Nominal'!C158</f>
        <v>3.4778560000000009</v>
      </c>
      <c r="D158" s="3">
        <f>-'Juro Nominal'!C158+(2*'Juro Nominal'!G158)-'Juro Nominal'!Q158</f>
        <v>1.8303019999999979</v>
      </c>
    </row>
    <row r="159" spans="1:4" ht="18.75" customHeight="1" x14ac:dyDescent="0.25">
      <c r="A159" s="2">
        <v>43190</v>
      </c>
      <c r="B159" s="3">
        <f>'Juro Nominal'!C159</f>
        <v>6.3007989999999996</v>
      </c>
      <c r="C159" s="3">
        <f>'Juro Nominal'!Q159-'Juro Nominal'!C159</f>
        <v>3.8868819999999999</v>
      </c>
      <c r="D159" s="3">
        <f>-'Juro Nominal'!C159+(2*'Juro Nominal'!G159)-'Juro Nominal'!Q159</f>
        <v>1.6696360000000006</v>
      </c>
    </row>
    <row r="160" spans="1:4" ht="18.75" customHeight="1" x14ac:dyDescent="0.25">
      <c r="A160" s="2">
        <v>43220</v>
      </c>
      <c r="B160" s="3">
        <f>'Juro Nominal'!C160</f>
        <v>6.3156739999999996</v>
      </c>
      <c r="C160" s="3">
        <f>'Juro Nominal'!Q160-'Juro Nominal'!C160</f>
        <v>4.119098000000001</v>
      </c>
      <c r="D160" s="3">
        <f>-'Juro Nominal'!C160+(2*'Juro Nominal'!G160)-'Juro Nominal'!Q160</f>
        <v>1.6823760000000014</v>
      </c>
    </row>
    <row r="161" spans="1:4" ht="18.75" customHeight="1" x14ac:dyDescent="0.25">
      <c r="A161" s="2">
        <v>43251</v>
      </c>
      <c r="B161" s="3">
        <f>'Juro Nominal'!C161</f>
        <v>7.092873</v>
      </c>
      <c r="C161" s="3">
        <f>'Juro Nominal'!Q161-'Juro Nominal'!C161</f>
        <v>5.1601760000000008</v>
      </c>
      <c r="D161" s="3">
        <f>-'Juro Nominal'!C161+(2*'Juro Nominal'!G161)-'Juro Nominal'!Q161</f>
        <v>2.1153819999999968</v>
      </c>
    </row>
    <row r="162" spans="1:4" ht="18.75" customHeight="1" x14ac:dyDescent="0.25">
      <c r="A162" s="2">
        <v>43281</v>
      </c>
      <c r="B162" s="3">
        <f>'Juro Nominal'!C162</f>
        <v>7.4708649999999999</v>
      </c>
      <c r="C162" s="3">
        <f>'Juro Nominal'!Q162-'Juro Nominal'!C162</f>
        <v>4.9820960000000003</v>
      </c>
      <c r="D162" s="3">
        <f>-'Juro Nominal'!C162+(2*'Juro Nominal'!G162)-'Juro Nominal'!Q162</f>
        <v>2.1737340000000014</v>
      </c>
    </row>
    <row r="163" spans="1:4" ht="18.75" customHeight="1" x14ac:dyDescent="0.25">
      <c r="A163" s="2">
        <v>43312</v>
      </c>
      <c r="B163" s="3">
        <f>'Juro Nominal'!C163</f>
        <v>7.3034920000000003</v>
      </c>
      <c r="C163" s="3">
        <f>'Juro Nominal'!Q163-'Juro Nominal'!C163</f>
        <v>4.3408929999999994</v>
      </c>
      <c r="D163" s="3">
        <f>-'Juro Nominal'!C163+(2*'Juro Nominal'!G163)-'Juro Nominal'!Q163</f>
        <v>2.4434309999999986</v>
      </c>
    </row>
    <row r="164" spans="1:4" ht="18.75" customHeight="1" x14ac:dyDescent="0.25">
      <c r="A164" s="2">
        <v>43343</v>
      </c>
      <c r="B164" s="3">
        <f>'Juro Nominal'!C164</f>
        <v>8.0493229999999993</v>
      </c>
      <c r="C164" s="3">
        <f>'Juro Nominal'!Q164-'Juro Nominal'!C164</f>
        <v>4.653397</v>
      </c>
      <c r="D164" s="3">
        <f>-'Juro Nominal'!C164+(2*'Juro Nominal'!G164)-'Juro Nominal'!Q164</f>
        <v>2.7388150000000007</v>
      </c>
    </row>
    <row r="165" spans="1:4" ht="18.75" customHeight="1" x14ac:dyDescent="0.25">
      <c r="A165" s="2">
        <v>43373</v>
      </c>
      <c r="B165" s="3">
        <f>'Juro Nominal'!C165</f>
        <v>7.8805189999999996</v>
      </c>
      <c r="C165" s="3">
        <f>'Juro Nominal'!Q165-'Juro Nominal'!C165</f>
        <v>4.3346450000000001</v>
      </c>
      <c r="D165" s="3">
        <f>-'Juro Nominal'!C165+(2*'Juro Nominal'!G165)-'Juro Nominal'!Q165</f>
        <v>2.6881029999999999</v>
      </c>
    </row>
    <row r="166" spans="1:4" ht="18.75" customHeight="1" x14ac:dyDescent="0.25">
      <c r="A166" s="2">
        <v>43404</v>
      </c>
      <c r="B166" s="3">
        <f>'Juro Nominal'!C166</f>
        <v>6.9979940000000003</v>
      </c>
      <c r="C166" s="3">
        <f>'Juro Nominal'!Q166-'Juro Nominal'!C166</f>
        <v>3.9334799999999994</v>
      </c>
      <c r="D166" s="3">
        <f>-'Juro Nominal'!C166+(2*'Juro Nominal'!G166)-'Juro Nominal'!Q166</f>
        <v>1.3233919999999983</v>
      </c>
    </row>
    <row r="167" spans="1:4" ht="18.75" customHeight="1" x14ac:dyDescent="0.25">
      <c r="A167" s="2">
        <v>43434</v>
      </c>
      <c r="B167" s="3">
        <f>'Juro Nominal'!C167</f>
        <v>6.8959859999999997</v>
      </c>
      <c r="C167" s="3">
        <f>'Juro Nominal'!Q167-'Juro Nominal'!C167</f>
        <v>3.5432980000000009</v>
      </c>
      <c r="D167" s="3">
        <f>-'Juro Nominal'!C167+(2*'Juro Nominal'!G167)-'Juro Nominal'!Q167</f>
        <v>1.5578939999999974</v>
      </c>
    </row>
    <row r="168" spans="1:4" ht="18.75" customHeight="1" x14ac:dyDescent="0.25">
      <c r="A168" s="2">
        <v>43465</v>
      </c>
      <c r="B168" s="3">
        <f>'Juro Nominal'!C168</f>
        <v>6.5481730000000002</v>
      </c>
      <c r="C168" s="3">
        <f>'Juro Nominal'!Q168-'Juro Nominal'!C168</f>
        <v>2.9861779999999989</v>
      </c>
      <c r="D168" s="3">
        <f>-'Juro Nominal'!C168+(2*'Juro Nominal'!G168)-'Juro Nominal'!Q168</f>
        <v>1.9005779999999994</v>
      </c>
    </row>
    <row r="169" spans="1:4" ht="18.75" customHeight="1" x14ac:dyDescent="0.25">
      <c r="A169" s="2">
        <v>43496</v>
      </c>
      <c r="B169" s="3">
        <f>'Juro Nominal'!C169</f>
        <v>6.4085099999999997</v>
      </c>
      <c r="C169" s="3">
        <f>'Juro Nominal'!Q169-'Juro Nominal'!C169</f>
        <v>2.8926750000000006</v>
      </c>
      <c r="D169" s="3">
        <f>-'Juro Nominal'!C169+(2*'Juro Nominal'!G169)-'Juro Nominal'!Q169</f>
        <v>1.2775430000000014</v>
      </c>
    </row>
    <row r="170" spans="1:4" ht="18.75" customHeight="1" x14ac:dyDescent="0.25">
      <c r="A170" s="2">
        <v>43524</v>
      </c>
      <c r="B170" s="3">
        <f>'Juro Nominal'!C170</f>
        <v>6.5060830000000003</v>
      </c>
      <c r="C170" s="3">
        <f>'Juro Nominal'!Q170-'Juro Nominal'!C170</f>
        <v>2.8708220000000004</v>
      </c>
      <c r="D170" s="3">
        <f>-'Juro Nominal'!C170+(2*'Juro Nominal'!G170)-'Juro Nominal'!Q170</f>
        <v>1.3379820000000002</v>
      </c>
    </row>
    <row r="171" spans="1:4" ht="18.75" customHeight="1" x14ac:dyDescent="0.25">
      <c r="A171" s="2">
        <v>43555</v>
      </c>
      <c r="B171" s="3">
        <f>'Juro Nominal'!C171</f>
        <v>6.5490209999999998</v>
      </c>
      <c r="C171" s="3">
        <f>'Juro Nominal'!Q171-'Juro Nominal'!C171</f>
        <v>2.8424309999999995</v>
      </c>
      <c r="D171" s="3">
        <f>-'Juro Nominal'!C171+(2*'Juro Nominal'!G171)-'Juro Nominal'!Q171</f>
        <v>1.2585250000000006</v>
      </c>
    </row>
    <row r="172" spans="1:4" ht="18.75" customHeight="1" x14ac:dyDescent="0.25">
      <c r="A172" s="2">
        <v>43585</v>
      </c>
      <c r="B172" s="3">
        <f>'Juro Nominal'!C172</f>
        <v>6.6115919999999999</v>
      </c>
      <c r="C172" s="3">
        <f>'Juro Nominal'!Q172-'Juro Nominal'!C172</f>
        <v>2.8179590000000001</v>
      </c>
      <c r="D172" s="3">
        <f>-'Juro Nominal'!C172+(2*'Juro Nominal'!G172)-'Juro Nominal'!Q172</f>
        <v>1.2008950000000009</v>
      </c>
    </row>
    <row r="173" spans="1:4" ht="18.75" customHeight="1" x14ac:dyDescent="0.25">
      <c r="A173" s="2">
        <v>43616</v>
      </c>
      <c r="B173" s="3">
        <f>'Juro Nominal'!C173</f>
        <v>6.2278399999999996</v>
      </c>
      <c r="C173" s="3">
        <f>'Juro Nominal'!Q173-'Juro Nominal'!C173</f>
        <v>2.7808660000000005</v>
      </c>
      <c r="D173" s="3">
        <f>-'Juro Nominal'!C173+(2*'Juro Nominal'!G173)-'Juro Nominal'!Q173</f>
        <v>0.83421200000000084</v>
      </c>
    </row>
    <row r="174" spans="1:4" ht="18.75" customHeight="1" x14ac:dyDescent="0.25">
      <c r="A174" s="2">
        <v>43646</v>
      </c>
      <c r="B174" s="3">
        <f>'Juro Nominal'!C174</f>
        <v>5.7846690000000001</v>
      </c>
      <c r="C174" s="3">
        <f>'Juro Nominal'!Q174-'Juro Nominal'!C174</f>
        <v>2.1692879999999999</v>
      </c>
      <c r="D174" s="3">
        <f>-'Juro Nominal'!C174+(2*'Juro Nominal'!G174)-'Juro Nominal'!Q174</f>
        <v>0.34251800000000099</v>
      </c>
    </row>
    <row r="175" spans="1:4" ht="18.75" customHeight="1" x14ac:dyDescent="0.25">
      <c r="A175" s="2">
        <v>43677</v>
      </c>
      <c r="B175" s="3">
        <f>'Juro Nominal'!C175</f>
        <v>5.4393950000000002</v>
      </c>
      <c r="C175" s="3">
        <f>'Juro Nominal'!Q175-'Juro Nominal'!C175</f>
        <v>2.248456</v>
      </c>
      <c r="D175" s="3">
        <f>-'Juro Nominal'!C175+(2*'Juro Nominal'!G175)-'Juro Nominal'!Q175</f>
        <v>0.56978400000000029</v>
      </c>
    </row>
    <row r="176" spans="1:4" ht="18.75" customHeight="1" x14ac:dyDescent="0.25">
      <c r="A176" s="2">
        <v>43708</v>
      </c>
      <c r="B176" s="3">
        <f>'Juro Nominal'!C176</f>
        <v>5.3738440000000001</v>
      </c>
      <c r="C176" s="3">
        <f>'Juro Nominal'!Q176-'Juro Nominal'!C176</f>
        <v>2.5729639999999998</v>
      </c>
      <c r="D176" s="3">
        <f>-'Juro Nominal'!C176+(2*'Juro Nominal'!G176)-'Juro Nominal'!Q176</f>
        <v>0.74821199999999966</v>
      </c>
    </row>
    <row r="177" spans="1:4" ht="18.75" customHeight="1" x14ac:dyDescent="0.25">
      <c r="A177" s="2">
        <v>43738</v>
      </c>
      <c r="B177" s="3">
        <f>'Juro Nominal'!C177</f>
        <v>4.8464900000000002</v>
      </c>
      <c r="C177" s="3">
        <f>'Juro Nominal'!Q177-'Juro Nominal'!C177</f>
        <v>2.8251799999999996</v>
      </c>
      <c r="D177" s="3">
        <f>-'Juro Nominal'!C177+(2*'Juro Nominal'!G177)-'Juro Nominal'!Q177</f>
        <v>0.67899200000000004</v>
      </c>
    </row>
    <row r="178" spans="1:4" ht="18.75" customHeight="1" x14ac:dyDescent="0.25">
      <c r="A178" s="2">
        <v>43769</v>
      </c>
      <c r="B178" s="3">
        <f>'Juro Nominal'!C178</f>
        <v>4.3020870000000002</v>
      </c>
      <c r="C178" s="3">
        <f>'Juro Nominal'!Q178-'Juro Nominal'!C178</f>
        <v>2.8929679999999998</v>
      </c>
      <c r="D178" s="3">
        <f>-'Juro Nominal'!C178+(2*'Juro Nominal'!G178)-'Juro Nominal'!Q178</f>
        <v>0.54869799999999991</v>
      </c>
    </row>
    <row r="179" spans="1:4" ht="18.75" customHeight="1" x14ac:dyDescent="0.25">
      <c r="A179" s="2">
        <v>43799</v>
      </c>
      <c r="B179" s="3">
        <f>'Juro Nominal'!C179</f>
        <v>4.6368850000000004</v>
      </c>
      <c r="C179" s="3">
        <f>'Juro Nominal'!Q179-'Juro Nominal'!C179</f>
        <v>2.7979279999999997</v>
      </c>
      <c r="D179" s="3">
        <f>-'Juro Nominal'!C179+(2*'Juro Nominal'!G179)-'Juro Nominal'!Q179</f>
        <v>1.0276599999999991</v>
      </c>
    </row>
    <row r="180" spans="1:4" ht="18.75" customHeight="1" x14ac:dyDescent="0.25">
      <c r="A180" s="2">
        <v>43830</v>
      </c>
      <c r="B180" s="3">
        <f>'Juro Nominal'!C180</f>
        <v>4.5641730000000003</v>
      </c>
      <c r="C180" s="3">
        <f>'Juro Nominal'!Q180-'Juro Nominal'!C180</f>
        <v>2.6812199999999997</v>
      </c>
      <c r="D180" s="3">
        <f>-'Juro Nominal'!C180+(2*'Juro Nominal'!G180)-'Juro Nominal'!Q180</f>
        <v>1.164299999999999</v>
      </c>
    </row>
    <row r="181" spans="1:4" ht="18.75" customHeight="1" x14ac:dyDescent="0.25">
      <c r="A181" s="2">
        <v>43861</v>
      </c>
      <c r="B181" s="3">
        <f>'Juro Nominal'!C181</f>
        <v>4.4152820000000004</v>
      </c>
      <c r="C181" s="3">
        <f>'Juro Nominal'!Q181-'Juro Nominal'!C181</f>
        <v>2.9421649999999993</v>
      </c>
      <c r="D181" s="3">
        <f>-'Juro Nominal'!C181+(2*'Juro Nominal'!G181)-'Juro Nominal'!Q181</f>
        <v>0.76792700000000114</v>
      </c>
    </row>
    <row r="182" spans="1:4" ht="18.75" customHeight="1" x14ac:dyDescent="0.25">
      <c r="A182" s="2">
        <v>43890</v>
      </c>
      <c r="B182" s="3">
        <f>'Juro Nominal'!C182</f>
        <v>4.1489260000000003</v>
      </c>
      <c r="C182" s="3">
        <f>'Juro Nominal'!Q182-'Juro Nominal'!C182</f>
        <v>3.4241579999999994</v>
      </c>
      <c r="D182" s="3">
        <f>-'Juro Nominal'!C182+(2*'Juro Nominal'!G182)-'Juro Nominal'!Q182</f>
        <v>0.79655600000000071</v>
      </c>
    </row>
    <row r="183" spans="1:4" ht="18.75" customHeight="1" x14ac:dyDescent="0.25">
      <c r="A183" s="2">
        <v>43921</v>
      </c>
      <c r="B183" s="3">
        <f>'Juro Nominal'!C183</f>
        <v>3.3235079999999999</v>
      </c>
      <c r="C183" s="3">
        <f>'Juro Nominal'!Q183-'Juro Nominal'!C183</f>
        <v>5.260527999999999</v>
      </c>
      <c r="D183" s="3">
        <f>-'Juro Nominal'!C183+(2*'Juro Nominal'!G183)-'Juro Nominal'!Q183</f>
        <v>2.1970220000000005</v>
      </c>
    </row>
    <row r="184" spans="1:4" ht="18.75" customHeight="1" x14ac:dyDescent="0.25">
      <c r="A184" s="2">
        <v>43951</v>
      </c>
      <c r="B184" s="3">
        <f>'Juro Nominal'!C184</f>
        <v>2.97532</v>
      </c>
      <c r="C184" s="3">
        <f>'Juro Nominal'!Q184-'Juro Nominal'!C184</f>
        <v>5.6112190000000002</v>
      </c>
      <c r="D184" s="3">
        <f>-'Juro Nominal'!C184+(2*'Juro Nominal'!G184)-'Juro Nominal'!Q184</f>
        <v>2.0803609999999999</v>
      </c>
    </row>
    <row r="185" spans="1:4" ht="18.75" customHeight="1" x14ac:dyDescent="0.25">
      <c r="A185" s="2">
        <v>43982</v>
      </c>
      <c r="B185" s="3">
        <f>'Juro Nominal'!C185</f>
        <v>2.5608759999999999</v>
      </c>
      <c r="C185" s="3">
        <f>'Juro Nominal'!Q185-'Juro Nominal'!C185</f>
        <v>5.4968889999999995</v>
      </c>
      <c r="D185" s="3">
        <f>-'Juro Nominal'!C185+(2*'Juro Nominal'!G185)-'Juro Nominal'!Q185</f>
        <v>1.8804549999999995</v>
      </c>
    </row>
    <row r="186" spans="1:4" ht="18.75" customHeight="1" x14ac:dyDescent="0.25">
      <c r="A186" s="2">
        <v>44012</v>
      </c>
      <c r="B186" s="3">
        <f>'Juro Nominal'!C186</f>
        <v>2.354797</v>
      </c>
      <c r="C186" s="3">
        <f>'Juro Nominal'!Q186-'Juro Nominal'!C186</f>
        <v>5.5049840000000003</v>
      </c>
      <c r="D186" s="3">
        <f>-'Juro Nominal'!C186+(2*'Juro Nominal'!G186)-'Juro Nominal'!Q186</f>
        <v>1.8230060000000012</v>
      </c>
    </row>
    <row r="187" spans="1:4" ht="18.75" customHeight="1" x14ac:dyDescent="0.25">
      <c r="A187" s="2">
        <v>44043</v>
      </c>
      <c r="B187" s="3">
        <f>'Juro Nominal'!C187</f>
        <v>2.3052320000000002</v>
      </c>
      <c r="C187" s="3">
        <f>'Juro Nominal'!Q187-'Juro Nominal'!C187</f>
        <v>5.1384759999999998</v>
      </c>
      <c r="D187" s="3">
        <f>-'Juro Nominal'!C187+(2*'Juro Nominal'!G187)-'Juro Nominal'!Q187</f>
        <v>1.3999940000000004</v>
      </c>
    </row>
    <row r="188" spans="1:4" ht="18.75" customHeight="1" x14ac:dyDescent="0.25">
      <c r="A188" s="2">
        <v>44074</v>
      </c>
      <c r="B188" s="3">
        <f>'Juro Nominal'!C188</f>
        <v>2.5333809999999999</v>
      </c>
      <c r="C188" s="3">
        <f>'Juro Nominal'!Q188-'Juro Nominal'!C188</f>
        <v>5.4114050000000002</v>
      </c>
      <c r="D188" s="3">
        <f>-'Juro Nominal'!C188+(2*'Juro Nominal'!G188)-'Juro Nominal'!Q188</f>
        <v>2.1953690000000003</v>
      </c>
    </row>
    <row r="189" spans="1:4" ht="18.75" customHeight="1" x14ac:dyDescent="0.25">
      <c r="A189" s="2">
        <v>44104</v>
      </c>
      <c r="B189" s="3">
        <f>'Juro Nominal'!C189</f>
        <v>2.7834859999999999</v>
      </c>
      <c r="C189" s="3">
        <f>'Juro Nominal'!Q189-'Juro Nominal'!C189</f>
        <v>5.5849630000000001</v>
      </c>
      <c r="D189" s="3">
        <f>-'Juro Nominal'!C189+(2*'Juro Nominal'!G189)-'Juro Nominal'!Q189</f>
        <v>2.7123489999999997</v>
      </c>
    </row>
    <row r="190" spans="1:4" ht="18.75" customHeight="1" x14ac:dyDescent="0.25">
      <c r="A190" s="2">
        <v>44135</v>
      </c>
      <c r="B190" s="3">
        <f>'Juro Nominal'!C190</f>
        <v>3.2356180000000001</v>
      </c>
      <c r="C190" s="3">
        <f>'Juro Nominal'!Q190-'Juro Nominal'!C190</f>
        <v>5.4910289999999993</v>
      </c>
      <c r="D190" s="3">
        <f>-'Juro Nominal'!C190+(2*'Juro Nominal'!G190)-'Juro Nominal'!Q190</f>
        <v>2.4118589999999998</v>
      </c>
    </row>
    <row r="191" spans="1:4" ht="18.75" customHeight="1" x14ac:dyDescent="0.25">
      <c r="A191" s="2">
        <v>44165</v>
      </c>
      <c r="B191" s="3">
        <f>'Juro Nominal'!C191</f>
        <v>3.2289439999999998</v>
      </c>
      <c r="C191" s="3">
        <f>'Juro Nominal'!Q191-'Juro Nominal'!C191</f>
        <v>6.0327520000000003</v>
      </c>
      <c r="D191" s="3">
        <f>-'Juro Nominal'!C191+(2*'Juro Nominal'!G191)-'Juro Nominal'!Q191</f>
        <v>1.9577099999999987</v>
      </c>
    </row>
    <row r="192" spans="1:4" ht="18.75" customHeight="1" x14ac:dyDescent="0.25">
      <c r="A192" s="2">
        <v>44196</v>
      </c>
      <c r="B192" s="3">
        <f>'Juro Nominal'!C192</f>
        <v>2.9312399999999998</v>
      </c>
      <c r="C192" s="3">
        <f>'Juro Nominal'!Q192-'Juro Nominal'!C192</f>
        <v>5.0357520000000005</v>
      </c>
      <c r="D192" s="3">
        <f>-'Juro Nominal'!C192+(2*'Juro Nominal'!G192)-'Juro Nominal'!Q192</f>
        <v>1.3031499999999996</v>
      </c>
    </row>
    <row r="193" spans="1:4" ht="18.75" customHeight="1" x14ac:dyDescent="0.25">
      <c r="A193" s="2">
        <v>44227</v>
      </c>
      <c r="B193" s="3">
        <f>'Juro Nominal'!C193</f>
        <v>3.5353370000000002</v>
      </c>
      <c r="C193" s="3">
        <f>'Juro Nominal'!Q193-'Juro Nominal'!C193</f>
        <v>5.3482389999999995</v>
      </c>
      <c r="D193" s="3">
        <f>-'Juro Nominal'!C193+(2*'Juro Nominal'!G193)-'Juro Nominal'!Q193</f>
        <v>1.161207000000001</v>
      </c>
    </row>
    <row r="194" spans="1:4" ht="18.75" customHeight="1" x14ac:dyDescent="0.25">
      <c r="A194" s="2">
        <v>44255</v>
      </c>
      <c r="B194" s="3">
        <f>'Juro Nominal'!C194</f>
        <v>4.2208329999999998</v>
      </c>
      <c r="C194" s="3">
        <f>'Juro Nominal'!Q194-'Juro Nominal'!C194</f>
        <v>5.2260370000000007</v>
      </c>
      <c r="D194" s="3">
        <f>-'Juro Nominal'!C194+(2*'Juro Nominal'!G194)-'Juro Nominal'!Q194</f>
        <v>2.1781930000000003</v>
      </c>
    </row>
    <row r="195" spans="1:4" ht="18.75" customHeight="1" x14ac:dyDescent="0.25">
      <c r="A195" s="2">
        <v>44286</v>
      </c>
      <c r="B195" s="3">
        <f>'Juro Nominal'!C195</f>
        <v>5.1867999999999999</v>
      </c>
      <c r="C195" s="3">
        <f>'Juro Nominal'!Q195-'Juro Nominal'!C195</f>
        <v>4.8117929999999998</v>
      </c>
      <c r="D195" s="3">
        <f>-'Juro Nominal'!C195+(2*'Juro Nominal'!G195)-'Juro Nominal'!Q195</f>
        <v>2.4933029999999992</v>
      </c>
    </row>
    <row r="196" spans="1:4" ht="18.75" customHeight="1" x14ac:dyDescent="0.25">
      <c r="A196" s="2">
        <v>44316</v>
      </c>
      <c r="B196" s="3">
        <f>'Juro Nominal'!C196</f>
        <v>5.3712939999999998</v>
      </c>
      <c r="C196" s="3">
        <f>'Juro Nominal'!Q196-'Juro Nominal'!C196</f>
        <v>4.5551260000000005</v>
      </c>
      <c r="D196" s="3">
        <f>-'Juro Nominal'!C196+(2*'Juro Nominal'!G196)-'Juro Nominal'!Q196</f>
        <v>1.8437580000000011</v>
      </c>
    </row>
    <row r="197" spans="1:4" ht="18.75" customHeight="1" x14ac:dyDescent="0.25">
      <c r="A197" s="2">
        <v>44347</v>
      </c>
      <c r="B197" s="3">
        <f>'Juro Nominal'!C197</f>
        <v>6.0056349999999998</v>
      </c>
      <c r="C197" s="3">
        <f>'Juro Nominal'!Q197-'Juro Nominal'!C197</f>
        <v>4.0338659999999997</v>
      </c>
      <c r="D197" s="3">
        <f>-'Juro Nominal'!C197+(2*'Juro Nominal'!G197)-'Juro Nominal'!Q197</f>
        <v>1.0422219999999989</v>
      </c>
    </row>
    <row r="198" spans="1:4" ht="18.75" customHeight="1" x14ac:dyDescent="0.25">
      <c r="A198" s="2">
        <v>44377</v>
      </c>
      <c r="B198" s="3">
        <f>'Juro Nominal'!C198</f>
        <v>6.6515930000000001</v>
      </c>
      <c r="C198" s="3">
        <f>'Juro Nominal'!Q198-'Juro Nominal'!C198</f>
        <v>3.2525320000000004</v>
      </c>
      <c r="D198" s="3">
        <f>-'Juro Nominal'!C198+(2*'Juro Nominal'!G198)-'Juro Nominal'!Q198</f>
        <v>0.59002399999999788</v>
      </c>
    </row>
    <row r="199" spans="1:4" ht="18.75" customHeight="1" x14ac:dyDescent="0.25">
      <c r="A199" s="2">
        <v>44408</v>
      </c>
      <c r="B199" s="3">
        <f>'Juro Nominal'!C199</f>
        <v>7.5044370000000002</v>
      </c>
      <c r="C199" s="3">
        <f>'Juro Nominal'!Q199-'Juro Nominal'!C199</f>
        <v>2.8361539999999996</v>
      </c>
      <c r="D199" s="3">
        <f>-'Juro Nominal'!C199+(2*'Juro Nominal'!G199)-'Juro Nominal'!Q199</f>
        <v>0.46149000000000129</v>
      </c>
    </row>
    <row r="200" spans="1:4" ht="18.75" customHeight="1" x14ac:dyDescent="0.25">
      <c r="A200" s="2">
        <v>44439</v>
      </c>
      <c r="B200" s="3">
        <f>'Juro Nominal'!C200</f>
        <v>8.2383089999999992</v>
      </c>
      <c r="C200" s="3">
        <f>'Juro Nominal'!Q200-'Juro Nominal'!C200</f>
        <v>2.8451260000000005</v>
      </c>
      <c r="D200" s="3">
        <f>-'Juro Nominal'!C200+(2*'Juro Nominal'!G200)-'Juro Nominal'!Q200</f>
        <v>0.91051600000000121</v>
      </c>
    </row>
    <row r="201" spans="1:4" ht="18.75" customHeight="1" x14ac:dyDescent="0.25">
      <c r="A201" s="2">
        <v>44469</v>
      </c>
      <c r="B201" s="3">
        <f>'Juro Nominal'!C201</f>
        <v>8.9648599999999998</v>
      </c>
      <c r="C201" s="3">
        <f>'Juro Nominal'!Q201-'Juro Nominal'!C201</f>
        <v>2.9415990000000001</v>
      </c>
      <c r="D201" s="3">
        <f>-'Juro Nominal'!C201+(2*'Juro Nominal'!G201)-'Juro Nominal'!Q201</f>
        <v>0.6297789999999992</v>
      </c>
    </row>
    <row r="202" spans="1:4" ht="18.75" customHeight="1" x14ac:dyDescent="0.25">
      <c r="A202" s="2">
        <v>44500</v>
      </c>
      <c r="B202" s="3">
        <f>'Juro Nominal'!C202</f>
        <v>11.954886</v>
      </c>
      <c r="C202" s="3">
        <f>'Juro Nominal'!Q202-'Juro Nominal'!C202</f>
        <v>0.41535299999999964</v>
      </c>
      <c r="D202" s="3">
        <f>-'Juro Nominal'!C202+(2*'Juro Nominal'!G202)-'Juro Nominal'!Q202</f>
        <v>-3.6532999999998594E-2</v>
      </c>
    </row>
    <row r="203" spans="1:4" ht="18.75" customHeight="1" x14ac:dyDescent="0.25">
      <c r="A203" s="2">
        <v>44530</v>
      </c>
      <c r="B203" s="3">
        <f>'Juro Nominal'!C203</f>
        <v>11.839898</v>
      </c>
      <c r="C203" s="3">
        <f>'Juro Nominal'!Q203-'Juro Nominal'!C203</f>
        <v>-0.39231299999999969</v>
      </c>
      <c r="D203" s="3">
        <f>-'Juro Nominal'!C203+(2*'Juro Nominal'!G203)-'Juro Nominal'!Q203</f>
        <v>-0.55289500000000125</v>
      </c>
    </row>
    <row r="204" spans="1:4" ht="18.75" customHeight="1" x14ac:dyDescent="0.25">
      <c r="A204" s="2">
        <v>44561</v>
      </c>
      <c r="B204" s="3">
        <f>'Juro Nominal'!C204</f>
        <v>11.7904</v>
      </c>
      <c r="C204" s="3">
        <f>'Juro Nominal'!Q204-'Juro Nominal'!C204</f>
        <v>-0.69008400000000059</v>
      </c>
      <c r="D204" s="3">
        <f>-'Juro Nominal'!C204+(2*'Juro Nominal'!G204)-'Juro Nominal'!Q204</f>
        <v>-1.6600719999999978</v>
      </c>
    </row>
    <row r="205" spans="1:4" ht="18.75" customHeight="1" x14ac:dyDescent="0.25">
      <c r="A205" s="2">
        <v>44592</v>
      </c>
      <c r="C205" s="3"/>
      <c r="D205" s="3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D979-E522-4D99-9ACB-ED5486C0DC8A}">
  <dimension ref="A1:D205"/>
  <sheetViews>
    <sheetView workbookViewId="0">
      <pane ySplit="1" topLeftCell="A179" activePane="bottomLeft" state="frozen"/>
      <selection pane="bottomLeft" activeCell="A205" sqref="A205"/>
    </sheetView>
  </sheetViews>
  <sheetFormatPr defaultColWidth="11.875" defaultRowHeight="15.75" x14ac:dyDescent="0.25"/>
  <cols>
    <col min="1" max="16384" width="11.875" style="1"/>
  </cols>
  <sheetData>
    <row r="1" spans="1:4" ht="18.75" customHeight="1" x14ac:dyDescent="0.25">
      <c r="A1" s="1" t="s">
        <v>0</v>
      </c>
      <c r="B1" s="1" t="s">
        <v>17</v>
      </c>
      <c r="C1" s="1" t="s">
        <v>18</v>
      </c>
      <c r="D1" s="1" t="s">
        <v>19</v>
      </c>
    </row>
    <row r="2" spans="1:4" ht="18.75" customHeight="1" x14ac:dyDescent="0.25">
      <c r="A2" s="2">
        <v>38411</v>
      </c>
      <c r="B2" s="3">
        <f>'Juro Real'!C2</f>
        <v>11.73</v>
      </c>
      <c r="C2" s="3">
        <f>'Juro Real'!Q2-'Juro Real'!C2</f>
        <v>-2.2800000000000011</v>
      </c>
      <c r="D2" s="3">
        <f>-'Juro Real'!C2+(2*'Juro Real'!G2)-'Juro Real'!Q2</f>
        <v>-2.6999999999999993</v>
      </c>
    </row>
    <row r="3" spans="1:4" ht="18.75" customHeight="1" x14ac:dyDescent="0.25">
      <c r="A3" s="2">
        <v>38442</v>
      </c>
      <c r="B3" s="3">
        <f>'Juro Real'!C3</f>
        <v>11.39</v>
      </c>
      <c r="C3" s="3">
        <f>'Juro Real'!Q3-'Juro Real'!C3</f>
        <v>-2.3900000000000006</v>
      </c>
      <c r="D3" s="3">
        <f>-'Juro Real'!C3+(2*'Juro Real'!G3)-'Juro Real'!Q3</f>
        <v>-2.4499999999999993</v>
      </c>
    </row>
    <row r="4" spans="1:4" ht="18.75" customHeight="1" x14ac:dyDescent="0.25">
      <c r="A4" s="2">
        <v>38472</v>
      </c>
      <c r="B4" s="3">
        <f>'Juro Real'!C4</f>
        <v>11.57</v>
      </c>
      <c r="C4" s="3">
        <f>'Juro Real'!Q4-'Juro Real'!C4</f>
        <v>-2.5700000000000003</v>
      </c>
      <c r="D4" s="3">
        <f>-'Juro Real'!C4+(2*'Juro Real'!G4)-'Juro Real'!Q4</f>
        <v>-2.370000000000001</v>
      </c>
    </row>
    <row r="5" spans="1:4" ht="18.75" customHeight="1" x14ac:dyDescent="0.25">
      <c r="A5" s="2">
        <v>38503</v>
      </c>
      <c r="B5" s="3">
        <f>'Juro Real'!C5</f>
        <v>12.44</v>
      </c>
      <c r="C5" s="3">
        <f>'Juro Real'!Q5-'Juro Real'!C5</f>
        <v>-3.6899999999999995</v>
      </c>
      <c r="D5" s="3">
        <f>-'Juro Real'!C5+(2*'Juro Real'!G5)-'Juro Real'!Q5</f>
        <v>-2.3699999999999992</v>
      </c>
    </row>
    <row r="6" spans="1:4" ht="18.75" customHeight="1" x14ac:dyDescent="0.25">
      <c r="A6" s="2">
        <v>38533</v>
      </c>
      <c r="B6" s="3">
        <f>'Juro Real'!C6</f>
        <v>12.06</v>
      </c>
      <c r="C6" s="3">
        <f>'Juro Real'!Q6-'Juro Real'!C6</f>
        <v>-2.9800000000000004</v>
      </c>
      <c r="D6" s="3">
        <f>-'Juro Real'!C6+(2*'Juro Real'!G6)-'Juro Real'!Q6</f>
        <v>-3.2199999999999989</v>
      </c>
    </row>
    <row r="7" spans="1:4" ht="18.75" customHeight="1" x14ac:dyDescent="0.25">
      <c r="A7" s="2">
        <v>38564</v>
      </c>
      <c r="B7" s="3">
        <f>'Juro Real'!C7</f>
        <v>12.62</v>
      </c>
      <c r="C7" s="3">
        <f>'Juro Real'!Q7-'Juro Real'!C7</f>
        <v>-3.58</v>
      </c>
      <c r="D7" s="3">
        <f>-'Juro Real'!C7+(2*'Juro Real'!G7)-'Juro Real'!Q7</f>
        <v>-3.8199999999999985</v>
      </c>
    </row>
    <row r="8" spans="1:4" ht="18.75" customHeight="1" x14ac:dyDescent="0.25">
      <c r="A8" s="2">
        <v>38595</v>
      </c>
      <c r="B8" s="3">
        <f>'Juro Real'!C8</f>
        <v>15.67</v>
      </c>
      <c r="C8" s="3">
        <f>'Juro Real'!Q8-'Juro Real'!C8</f>
        <v>-5.9</v>
      </c>
      <c r="D8" s="3">
        <f>-'Juro Real'!C8+(2*'Juro Real'!G8)-'Juro Real'!Q8</f>
        <v>-5.9</v>
      </c>
    </row>
    <row r="9" spans="1:4" ht="18.75" customHeight="1" x14ac:dyDescent="0.25">
      <c r="A9" s="2">
        <v>38625</v>
      </c>
      <c r="B9" s="3">
        <f>'Juro Real'!C9</f>
        <v>13.5</v>
      </c>
      <c r="C9" s="3">
        <f>'Juro Real'!Q9-'Juro Real'!C9</f>
        <v>-3.9299999999999997</v>
      </c>
      <c r="D9" s="3">
        <f>-'Juro Real'!C9+(2*'Juro Real'!G9)-'Juro Real'!Q9</f>
        <v>-3.9299999999999997</v>
      </c>
    </row>
    <row r="10" spans="1:4" ht="18.75" customHeight="1" x14ac:dyDescent="0.25">
      <c r="A10" s="2">
        <v>38656</v>
      </c>
      <c r="B10" s="3">
        <f>'Juro Real'!C10</f>
        <v>13.25</v>
      </c>
      <c r="C10" s="3">
        <f>'Juro Real'!Q10-'Juro Real'!C10</f>
        <v>-3.34</v>
      </c>
      <c r="D10" s="3">
        <f>-'Juro Real'!C10+(2*'Juro Real'!G10)-'Juro Real'!Q10</f>
        <v>-3.34</v>
      </c>
    </row>
    <row r="11" spans="1:4" ht="18.75" customHeight="1" x14ac:dyDescent="0.25">
      <c r="A11" s="2">
        <v>38686</v>
      </c>
      <c r="B11" s="3">
        <f>'Juro Real'!C11</f>
        <v>12.89</v>
      </c>
      <c r="C11" s="3">
        <f>'Juro Real'!Q11-'Juro Real'!C11</f>
        <v>-3.26</v>
      </c>
      <c r="D11" s="3">
        <f>-'Juro Real'!C11+(2*'Juro Real'!G11)-'Juro Real'!Q11</f>
        <v>-3.26</v>
      </c>
    </row>
    <row r="12" spans="1:4" ht="18.75" customHeight="1" x14ac:dyDescent="0.25">
      <c r="A12" s="2">
        <v>38717</v>
      </c>
      <c r="B12" s="3">
        <f>'Juro Real'!C12</f>
        <v>12.19</v>
      </c>
      <c r="C12" s="3">
        <f>'Juro Real'!Q12-'Juro Real'!C12</f>
        <v>-2.7999999999999989</v>
      </c>
      <c r="D12" s="3">
        <f>-'Juro Real'!C12+(2*'Juro Real'!G12)-'Juro Real'!Q12</f>
        <v>-2.4000000000000004</v>
      </c>
    </row>
    <row r="13" spans="1:4" ht="18.75" customHeight="1" x14ac:dyDescent="0.25">
      <c r="A13" s="2">
        <v>38748</v>
      </c>
      <c r="B13" s="3">
        <f>'Juro Real'!C13</f>
        <v>11.22</v>
      </c>
      <c r="C13" s="3">
        <f>'Juro Real'!Q13-'Juro Real'!C13</f>
        <v>-1.75</v>
      </c>
      <c r="D13" s="3">
        <f>-'Juro Real'!C13+(2*'Juro Real'!G13)-'Juro Real'!Q13</f>
        <v>-1.75</v>
      </c>
    </row>
    <row r="14" spans="1:4" ht="18.75" customHeight="1" x14ac:dyDescent="0.25">
      <c r="A14" s="2">
        <v>38776</v>
      </c>
      <c r="B14" s="3">
        <f>'Juro Real'!C14</f>
        <v>10.6</v>
      </c>
      <c r="C14" s="3">
        <f>'Juro Real'!Q14-'Juro Real'!C14</f>
        <v>-2.0999999999999996</v>
      </c>
      <c r="D14" s="3">
        <f>-'Juro Real'!C14+(2*'Juro Real'!G14)-'Juro Real'!Q14</f>
        <v>-1.4999999999999982</v>
      </c>
    </row>
    <row r="15" spans="1:4" ht="18.75" customHeight="1" x14ac:dyDescent="0.25">
      <c r="A15" s="2">
        <v>38807</v>
      </c>
      <c r="B15" s="3">
        <f>'Juro Real'!C15</f>
        <v>10.039999999999999</v>
      </c>
      <c r="C15" s="3">
        <f>'Juro Real'!Q15-'Juro Real'!C15</f>
        <v>-0.88999999999999879</v>
      </c>
      <c r="D15" s="3">
        <f>-'Juro Real'!C15+(2*'Juro Real'!G15)-'Juro Real'!Q15</f>
        <v>-0.63000000000000078</v>
      </c>
    </row>
    <row r="16" spans="1:4" ht="18.75" customHeight="1" x14ac:dyDescent="0.25">
      <c r="A16" s="2">
        <v>38837</v>
      </c>
      <c r="B16" s="3">
        <f>'Juro Real'!C16</f>
        <v>10.02</v>
      </c>
      <c r="C16" s="3">
        <f>'Juro Real'!Q16-'Juro Real'!C16</f>
        <v>-0.46999999999999886</v>
      </c>
      <c r="D16" s="3">
        <f>-'Juro Real'!C16+(2*'Juro Real'!G16)-'Juro Real'!Q16</f>
        <v>-0.46999999999999886</v>
      </c>
    </row>
    <row r="17" spans="1:4" ht="18.75" customHeight="1" x14ac:dyDescent="0.25">
      <c r="A17" s="2">
        <v>38868</v>
      </c>
      <c r="B17" s="3">
        <f>'Juro Real'!C17</f>
        <v>10.73</v>
      </c>
      <c r="C17" s="3">
        <f>'Juro Real'!Q17-'Juro Real'!C17</f>
        <v>-0.53000000000000114</v>
      </c>
      <c r="D17" s="3">
        <f>-'Juro Real'!C17+(2*'Juro Real'!G17)-'Juro Real'!Q17</f>
        <v>-0.53000000000000114</v>
      </c>
    </row>
    <row r="18" spans="1:4" ht="18.75" customHeight="1" x14ac:dyDescent="0.25">
      <c r="A18" s="2">
        <v>38898</v>
      </c>
      <c r="B18" s="3">
        <f>'Juro Real'!C18</f>
        <v>10.36</v>
      </c>
      <c r="C18" s="3">
        <f>'Juro Real'!Q18-'Juro Real'!C18</f>
        <v>9.9999999999997868E-3</v>
      </c>
      <c r="D18" s="3">
        <f>-'Juro Real'!C18+(2*'Juro Real'!G18)-'Juro Real'!Q18</f>
        <v>9.9999999999997868E-3</v>
      </c>
    </row>
    <row r="19" spans="1:4" ht="18.75" customHeight="1" x14ac:dyDescent="0.25">
      <c r="A19" s="2">
        <v>38929</v>
      </c>
      <c r="B19" s="3">
        <f>'Juro Real'!C19</f>
        <v>9.49</v>
      </c>
      <c r="C19" s="3">
        <f>'Juro Real'!Q19-'Juro Real'!C19</f>
        <v>0.10999999999999943</v>
      </c>
      <c r="D19" s="3">
        <f>-'Juro Real'!C19+(2*'Juro Real'!G19)-'Juro Real'!Q19</f>
        <v>0.10999999999999943</v>
      </c>
    </row>
    <row r="20" spans="1:4" ht="18.75" customHeight="1" x14ac:dyDescent="0.25">
      <c r="A20" s="2">
        <v>38960</v>
      </c>
      <c r="B20" s="3">
        <f>'Juro Real'!C20</f>
        <v>9.3699999999999992</v>
      </c>
      <c r="C20" s="3">
        <f>'Juro Real'!Q20-'Juro Real'!C20</f>
        <v>-8.9999999999999858E-2</v>
      </c>
      <c r="D20" s="3">
        <f>-'Juro Real'!C20+(2*'Juro Real'!G20)-'Juro Real'!Q20</f>
        <v>-8.9999999999999858E-2</v>
      </c>
    </row>
    <row r="21" spans="1:4" ht="18.75" customHeight="1" x14ac:dyDescent="0.25">
      <c r="A21" s="2">
        <v>38990</v>
      </c>
      <c r="B21" s="3">
        <f>'Juro Real'!C21</f>
        <v>9.6300000000000008</v>
      </c>
      <c r="C21" s="3">
        <f>'Juro Real'!Q21-'Juro Real'!C21</f>
        <v>-6.0000000000000497E-2</v>
      </c>
      <c r="D21" s="3">
        <f>-'Juro Real'!C21+(2*'Juro Real'!G21)-'Juro Real'!Q21</f>
        <v>-6.0000000000000497E-2</v>
      </c>
    </row>
    <row r="22" spans="1:4" ht="18.75" customHeight="1" x14ac:dyDescent="0.25">
      <c r="A22" s="2">
        <v>39021</v>
      </c>
      <c r="B22" s="3">
        <f>'Juro Real'!C22</f>
        <v>8.85</v>
      </c>
      <c r="C22" s="3">
        <f>'Juro Real'!Q22-'Juro Real'!C22</f>
        <v>9.9999999999999645E-2</v>
      </c>
      <c r="D22" s="3">
        <f>-'Juro Real'!C22+(2*'Juro Real'!G22)-'Juro Real'!Q22</f>
        <v>9.9999999999999645E-2</v>
      </c>
    </row>
    <row r="23" spans="1:4" ht="18.75" customHeight="1" x14ac:dyDescent="0.25">
      <c r="A23" s="2">
        <v>39051</v>
      </c>
      <c r="B23" s="3">
        <f>'Juro Real'!C23</f>
        <v>8.14</v>
      </c>
      <c r="C23" s="3">
        <f>'Juro Real'!Q23-'Juro Real'!C23</f>
        <v>0.37999999999999901</v>
      </c>
      <c r="D23" s="3">
        <f>-'Juro Real'!C23+(2*'Juro Real'!G23)-'Juro Real'!Q23</f>
        <v>0.37999999999999901</v>
      </c>
    </row>
    <row r="24" spans="1:4" ht="18.75" customHeight="1" x14ac:dyDescent="0.25">
      <c r="A24" s="2">
        <v>39082</v>
      </c>
      <c r="B24" s="3">
        <f>'Juro Real'!C24</f>
        <v>7.99</v>
      </c>
      <c r="C24" s="3">
        <f>'Juro Real'!Q24-'Juro Real'!C24</f>
        <v>-3.0000000000000249E-2</v>
      </c>
      <c r="D24" s="3">
        <f>-'Juro Real'!C24+(2*'Juro Real'!G24)-'Juro Real'!Q24</f>
        <v>-3.0000000000000249E-2</v>
      </c>
    </row>
    <row r="25" spans="1:4" ht="18.75" customHeight="1" x14ac:dyDescent="0.25">
      <c r="A25" s="2">
        <v>39113</v>
      </c>
      <c r="B25" s="3">
        <f>'Juro Real'!C25</f>
        <v>7.89</v>
      </c>
      <c r="C25" s="3">
        <f>'Juro Real'!Q25-'Juro Real'!C25</f>
        <v>0</v>
      </c>
      <c r="D25" s="3">
        <f>-'Juro Real'!C25+(2*'Juro Real'!G25)-'Juro Real'!Q25</f>
        <v>0</v>
      </c>
    </row>
    <row r="26" spans="1:4" ht="18.75" customHeight="1" x14ac:dyDescent="0.25">
      <c r="A26" s="2">
        <v>39141</v>
      </c>
      <c r="B26" s="3">
        <f>'Juro Real'!C26</f>
        <v>7.93</v>
      </c>
      <c r="C26" s="3">
        <f>'Juro Real'!Q26-'Juro Real'!C26</f>
        <v>-0.26999999999999957</v>
      </c>
      <c r="D26" s="3">
        <f>-'Juro Real'!C26+(2*'Juro Real'!G26)-'Juro Real'!Q26</f>
        <v>-0.26999999999999957</v>
      </c>
    </row>
    <row r="27" spans="1:4" ht="18.75" customHeight="1" x14ac:dyDescent="0.25">
      <c r="A27" s="2">
        <v>39172</v>
      </c>
      <c r="B27" s="3">
        <f>'Juro Real'!C27</f>
        <v>8.07</v>
      </c>
      <c r="C27" s="3">
        <f>'Juro Real'!Q27-'Juro Real'!C27</f>
        <v>-0.71</v>
      </c>
      <c r="D27" s="3">
        <f>-'Juro Real'!C27+(2*'Juro Real'!G27)-'Juro Real'!Q27</f>
        <v>-0.71</v>
      </c>
    </row>
    <row r="28" spans="1:4" ht="18.75" customHeight="1" x14ac:dyDescent="0.25">
      <c r="A28" s="2">
        <v>39202</v>
      </c>
      <c r="B28" s="3">
        <f>'Juro Real'!C28</f>
        <v>7.61</v>
      </c>
      <c r="C28" s="3">
        <f>'Juro Real'!Q28-'Juro Real'!C28</f>
        <v>-1.1800000000000006</v>
      </c>
      <c r="D28" s="3">
        <f>-'Juro Real'!C28+(2*'Juro Real'!G28)-'Juro Real'!Q28</f>
        <v>-1.1800000000000006</v>
      </c>
    </row>
    <row r="29" spans="1:4" ht="18.75" customHeight="1" x14ac:dyDescent="0.25">
      <c r="A29" s="2">
        <v>39233</v>
      </c>
      <c r="B29" s="3">
        <f>'Juro Real'!C29</f>
        <v>7.45</v>
      </c>
      <c r="C29" s="3">
        <f>'Juro Real'!Q29-'Juro Real'!C29</f>
        <v>-1.2800000000000002</v>
      </c>
      <c r="D29" s="3">
        <f>-'Juro Real'!C29+(2*'Juro Real'!G29)-'Juro Real'!Q29</f>
        <v>-1.2800000000000002</v>
      </c>
    </row>
    <row r="30" spans="1:4" ht="18.75" customHeight="1" x14ac:dyDescent="0.25">
      <c r="A30" s="2">
        <v>39263</v>
      </c>
      <c r="B30" s="3">
        <f>'Juro Real'!C30</f>
        <v>6.97</v>
      </c>
      <c r="C30" s="3">
        <f>'Juro Real'!Q30-'Juro Real'!C30</f>
        <v>-0.8199999999999994</v>
      </c>
      <c r="D30" s="3">
        <f>-'Juro Real'!C30+(2*'Juro Real'!G30)-'Juro Real'!Q30</f>
        <v>-0.29999999999999982</v>
      </c>
    </row>
    <row r="31" spans="1:4" ht="18.75" customHeight="1" x14ac:dyDescent="0.25">
      <c r="A31" s="2">
        <v>39294</v>
      </c>
      <c r="B31" s="3">
        <f>'Juro Real'!C31</f>
        <v>6.85</v>
      </c>
      <c r="C31" s="3">
        <f>'Juro Real'!Q31-'Juro Real'!C31</f>
        <v>-0.29999999999999982</v>
      </c>
      <c r="D31" s="3">
        <f>-'Juro Real'!C31+(2*'Juro Real'!G31)-'Juro Real'!Q31</f>
        <v>6.0000000000001386E-2</v>
      </c>
    </row>
    <row r="32" spans="1:4" ht="18.75" customHeight="1" x14ac:dyDescent="0.25">
      <c r="A32" s="2">
        <v>39325</v>
      </c>
      <c r="B32" s="3">
        <f>'Juro Real'!C32</f>
        <v>6.51</v>
      </c>
      <c r="C32" s="3">
        <f>'Juro Real'!Q32-'Juro Real'!C32</f>
        <v>0.47000000000000064</v>
      </c>
      <c r="D32" s="3">
        <f>-'Juro Real'!C32+(2*'Juro Real'!G32)-'Juro Real'!Q32</f>
        <v>0.6899999999999995</v>
      </c>
    </row>
    <row r="33" spans="1:4" ht="18.75" customHeight="1" x14ac:dyDescent="0.25">
      <c r="A33" s="2">
        <v>39355</v>
      </c>
      <c r="B33" s="3">
        <f>'Juro Real'!C33</f>
        <v>6.59</v>
      </c>
      <c r="C33" s="3">
        <f>'Juro Real'!Q33-'Juro Real'!C33</f>
        <v>6.0000000000000497E-2</v>
      </c>
      <c r="D33" s="3">
        <f>-'Juro Real'!C33+(2*'Juro Real'!G33)-'Juro Real'!Q33</f>
        <v>0.22000000000000064</v>
      </c>
    </row>
    <row r="34" spans="1:4" ht="18.75" customHeight="1" x14ac:dyDescent="0.25">
      <c r="A34" s="2">
        <v>39386</v>
      </c>
      <c r="B34" s="3">
        <f>'Juro Real'!C34</f>
        <v>7.02</v>
      </c>
      <c r="C34" s="3">
        <f>'Juro Real'!Q34-'Juro Real'!C34</f>
        <v>-3.9999999999999147E-2</v>
      </c>
      <c r="D34" s="3">
        <f>-'Juro Real'!C34+(2*'Juro Real'!G34)-'Juro Real'!Q34</f>
        <v>0.17999999999999972</v>
      </c>
    </row>
    <row r="35" spans="1:4" ht="18.75" customHeight="1" x14ac:dyDescent="0.25">
      <c r="A35" s="2">
        <v>39416</v>
      </c>
      <c r="B35" s="3">
        <f>'Juro Real'!C35</f>
        <v>6.76</v>
      </c>
      <c r="C35" s="3">
        <f>'Juro Real'!Q35-'Juro Real'!C35</f>
        <v>0.66000000000000014</v>
      </c>
      <c r="D35" s="3">
        <f>-'Juro Real'!C35+(2*'Juro Real'!G35)-'Juro Real'!Q35</f>
        <v>0.66000000000000014</v>
      </c>
    </row>
    <row r="36" spans="1:4" ht="18.75" customHeight="1" x14ac:dyDescent="0.25">
      <c r="A36" s="2">
        <v>39447</v>
      </c>
      <c r="B36" s="3">
        <f>'Juro Real'!C36</f>
        <v>6.59</v>
      </c>
      <c r="C36" s="3">
        <f>'Juro Real'!Q36-'Juro Real'!C36</f>
        <v>0.66000000000000014</v>
      </c>
      <c r="D36" s="3">
        <f>-'Juro Real'!C36+(2*'Juro Real'!G36)-'Juro Real'!Q36</f>
        <v>1.4000000000000004</v>
      </c>
    </row>
    <row r="37" spans="1:4" ht="18.75" customHeight="1" x14ac:dyDescent="0.25">
      <c r="A37" s="2">
        <v>39478</v>
      </c>
      <c r="B37" s="3">
        <f>'Juro Real'!C37</f>
        <v>6.59</v>
      </c>
      <c r="C37" s="3">
        <f>'Juro Real'!Q37-'Juro Real'!C37</f>
        <v>0.70000000000000018</v>
      </c>
      <c r="D37" s="3">
        <f>-'Juro Real'!C37+(2*'Juro Real'!G37)-'Juro Real'!Q37</f>
        <v>1.1399999999999997</v>
      </c>
    </row>
    <row r="38" spans="1:4" ht="18.75" customHeight="1" x14ac:dyDescent="0.25">
      <c r="A38" s="2">
        <v>39507</v>
      </c>
      <c r="B38" s="3">
        <f>'Juro Real'!C38</f>
        <v>6.87</v>
      </c>
      <c r="C38" s="3">
        <f>'Juro Real'!Q38-'Juro Real'!C38</f>
        <v>8.0000000000000071E-2</v>
      </c>
      <c r="D38" s="3">
        <f>-'Juro Real'!C38+(2*'Juro Real'!G38)-'Juro Real'!Q38</f>
        <v>0.71999999999999886</v>
      </c>
    </row>
    <row r="39" spans="1:4" ht="18.75" customHeight="1" x14ac:dyDescent="0.25">
      <c r="A39" s="2">
        <v>39538</v>
      </c>
      <c r="B39" s="3">
        <f>'Juro Real'!C39</f>
        <v>7.69</v>
      </c>
      <c r="C39" s="3">
        <f>'Juro Real'!Q39-'Juro Real'!C39</f>
        <v>0</v>
      </c>
      <c r="D39" s="3">
        <f>-'Juro Real'!C39+(2*'Juro Real'!G39)-'Juro Real'!Q39</f>
        <v>0.77999999999999847</v>
      </c>
    </row>
    <row r="40" spans="1:4" ht="18.75" customHeight="1" x14ac:dyDescent="0.25">
      <c r="A40" s="2">
        <v>39568</v>
      </c>
      <c r="B40" s="3">
        <f>'Juro Real'!C40</f>
        <v>7.59</v>
      </c>
      <c r="C40" s="3">
        <f>'Juro Real'!Q40-'Juro Real'!C40</f>
        <v>-0.35999999999999943</v>
      </c>
      <c r="D40" s="3">
        <f>-'Juro Real'!C40+(2*'Juro Real'!G40)-'Juro Real'!Q40</f>
        <v>0.74000000000000021</v>
      </c>
    </row>
    <row r="41" spans="1:4" ht="18.75" customHeight="1" x14ac:dyDescent="0.25">
      <c r="A41" s="2">
        <v>39599</v>
      </c>
      <c r="B41" s="3">
        <f>'Juro Real'!C41</f>
        <v>7.82</v>
      </c>
      <c r="C41" s="3">
        <f>'Juro Real'!Q41-'Juro Real'!C41</f>
        <v>-1.0200000000000005</v>
      </c>
      <c r="D41" s="3">
        <f>-'Juro Real'!C41+(2*'Juro Real'!G41)-'Juro Real'!Q41</f>
        <v>0.6800000000000006</v>
      </c>
    </row>
    <row r="42" spans="1:4" ht="18.75" customHeight="1" x14ac:dyDescent="0.25">
      <c r="A42" s="2">
        <v>39629</v>
      </c>
      <c r="B42" s="3">
        <f>'Juro Real'!C42</f>
        <v>7.36</v>
      </c>
      <c r="C42" s="3">
        <f>'Juro Real'!Q42-'Juro Real'!C42</f>
        <v>-6.0000000000000497E-2</v>
      </c>
      <c r="D42" s="3">
        <f>-'Juro Real'!C42+(2*'Juro Real'!G42)-'Juro Real'!Q42</f>
        <v>2.04</v>
      </c>
    </row>
    <row r="43" spans="1:4" ht="18.75" customHeight="1" x14ac:dyDescent="0.25">
      <c r="A43" s="2">
        <v>39660</v>
      </c>
      <c r="B43" s="3">
        <f>'Juro Real'!C43</f>
        <v>8.3000000000000007</v>
      </c>
      <c r="C43" s="3">
        <f>'Juro Real'!Q43-'Juro Real'!C43</f>
        <v>-1.1500000000000004</v>
      </c>
      <c r="D43" s="3">
        <f>-'Juro Real'!C43+(2*'Juro Real'!G43)-'Juro Real'!Q43</f>
        <v>0.88999999999999879</v>
      </c>
    </row>
    <row r="44" spans="1:4" ht="18.75" customHeight="1" x14ac:dyDescent="0.25">
      <c r="A44" s="2">
        <v>39691</v>
      </c>
      <c r="B44" s="3">
        <f>'Juro Real'!C44</f>
        <v>9.2799999999999994</v>
      </c>
      <c r="C44" s="3">
        <f>'Juro Real'!Q44-'Juro Real'!C44</f>
        <v>-1.8599999999999994</v>
      </c>
      <c r="D44" s="3">
        <f>-'Juro Real'!C44+(2*'Juro Real'!G44)-'Juro Real'!Q44</f>
        <v>-0.33999999999999986</v>
      </c>
    </row>
    <row r="45" spans="1:4" ht="18.75" customHeight="1" x14ac:dyDescent="0.25">
      <c r="A45" s="2">
        <v>39721</v>
      </c>
      <c r="B45" s="3">
        <f>'Juro Real'!C45</f>
        <v>9.2899999999999991</v>
      </c>
      <c r="C45" s="3">
        <f>'Juro Real'!Q45-'Juro Real'!C45</f>
        <v>-1.2399999999999984</v>
      </c>
      <c r="D45" s="3">
        <f>-'Juro Real'!C45+(2*'Juro Real'!G45)-'Juro Real'!Q45</f>
        <v>0.46000000000000085</v>
      </c>
    </row>
    <row r="46" spans="1:4" ht="18.75" customHeight="1" x14ac:dyDescent="0.25">
      <c r="A46" s="2">
        <v>39752</v>
      </c>
      <c r="B46" s="3">
        <f>'Juro Real'!C46</f>
        <v>8.9600000000000009</v>
      </c>
      <c r="C46" s="3">
        <f>'Juro Real'!Q46-'Juro Real'!C46</f>
        <v>0.96999999999999886</v>
      </c>
      <c r="D46" s="3">
        <f>-'Juro Real'!C46+(2*'Juro Real'!G46)-'Juro Real'!Q46</f>
        <v>1.9699999999999989</v>
      </c>
    </row>
    <row r="47" spans="1:4" ht="18.75" customHeight="1" x14ac:dyDescent="0.25">
      <c r="A47" s="2">
        <v>39782</v>
      </c>
      <c r="B47" s="3">
        <f>'Juro Real'!C47</f>
        <v>8.5</v>
      </c>
      <c r="C47" s="3">
        <f>'Juro Real'!Q47-'Juro Real'!C47</f>
        <v>0.34999999999999964</v>
      </c>
      <c r="D47" s="3">
        <f>-'Juro Real'!C47+(2*'Juro Real'!G47)-'Juro Real'!Q47</f>
        <v>1.6899999999999995</v>
      </c>
    </row>
    <row r="48" spans="1:4" ht="18.75" customHeight="1" x14ac:dyDescent="0.25">
      <c r="A48" s="2">
        <v>39813</v>
      </c>
      <c r="B48" s="3">
        <f>'Juro Real'!C48</f>
        <v>7.41</v>
      </c>
      <c r="C48" s="3">
        <f>'Juro Real'!Q48-'Juro Real'!C48</f>
        <v>5.9999999999999609E-2</v>
      </c>
      <c r="D48" s="3">
        <f>-'Juro Real'!C48+(2*'Juro Real'!G48)-'Juro Real'!Q48</f>
        <v>1.1799999999999988</v>
      </c>
    </row>
    <row r="49" spans="1:4" ht="18.75" customHeight="1" x14ac:dyDescent="0.25">
      <c r="A49" s="2">
        <v>39844</v>
      </c>
      <c r="B49" s="3">
        <f>'Juro Real'!C49</f>
        <v>6.67</v>
      </c>
      <c r="C49" s="3">
        <f>'Juro Real'!Q49-'Juro Real'!C49</f>
        <v>3.0000000000000249E-2</v>
      </c>
      <c r="D49" s="3">
        <f>-'Juro Real'!C49+(2*'Juro Real'!G49)-'Juro Real'!Q49</f>
        <v>0.51000000000000068</v>
      </c>
    </row>
    <row r="50" spans="1:4" ht="18.75" customHeight="1" x14ac:dyDescent="0.25">
      <c r="A50" s="2">
        <v>39872</v>
      </c>
      <c r="B50" s="3">
        <f>'Juro Real'!C50</f>
        <v>6.1</v>
      </c>
      <c r="C50" s="3">
        <f>'Juro Real'!Q50-'Juro Real'!C50</f>
        <v>0.96</v>
      </c>
      <c r="D50" s="3">
        <f>-'Juro Real'!C50+(2*'Juro Real'!G50)-'Juro Real'!Q50</f>
        <v>1.1800000000000006</v>
      </c>
    </row>
    <row r="51" spans="1:4" ht="18.75" customHeight="1" x14ac:dyDescent="0.25">
      <c r="A51" s="2">
        <v>39903</v>
      </c>
      <c r="B51" s="3">
        <f>'Juro Real'!C51</f>
        <v>5.88</v>
      </c>
      <c r="C51" s="3">
        <f>'Juro Real'!Q51-'Juro Real'!C51</f>
        <v>0.78000000000000025</v>
      </c>
      <c r="D51" s="3">
        <f>-'Juro Real'!C51+(2*'Juro Real'!G51)-'Juro Real'!Q51</f>
        <v>0.92000000000000082</v>
      </c>
    </row>
    <row r="52" spans="1:4" ht="18.75" customHeight="1" x14ac:dyDescent="0.25">
      <c r="A52" s="2">
        <v>39933</v>
      </c>
      <c r="B52" s="3">
        <f>'Juro Real'!C52</f>
        <v>5.89</v>
      </c>
      <c r="C52" s="3">
        <f>'Juro Real'!Q52-'Juro Real'!C52</f>
        <v>0.97000000000000064</v>
      </c>
      <c r="D52" s="3">
        <f>-'Juro Real'!C52+(2*'Juro Real'!G52)-'Juro Real'!Q52</f>
        <v>1.4299999999999988</v>
      </c>
    </row>
    <row r="53" spans="1:4" ht="18.75" customHeight="1" x14ac:dyDescent="0.25">
      <c r="A53" s="2">
        <v>39964</v>
      </c>
      <c r="B53" s="3">
        <f>'Juro Real'!C53</f>
        <v>5.03</v>
      </c>
      <c r="C53" s="3">
        <f>'Juro Real'!Q53-'Juro Real'!C53</f>
        <v>0.9399999999999995</v>
      </c>
      <c r="D53" s="3">
        <f>-'Juro Real'!C53+(2*'Juro Real'!G53)-'Juro Real'!Q53</f>
        <v>2.5199999999999987</v>
      </c>
    </row>
    <row r="54" spans="1:4" ht="18.75" customHeight="1" x14ac:dyDescent="0.25">
      <c r="A54" s="2">
        <v>39994</v>
      </c>
      <c r="B54" s="3">
        <f>'Juro Real'!C54</f>
        <v>5.08</v>
      </c>
      <c r="C54" s="3">
        <f>'Juro Real'!Q54-'Juro Real'!C54</f>
        <v>1.4000000000000004</v>
      </c>
      <c r="D54" s="3">
        <f>-'Juro Real'!C54+(2*'Juro Real'!G54)-'Juro Real'!Q54</f>
        <v>1.2599999999999998</v>
      </c>
    </row>
    <row r="55" spans="1:4" ht="18.75" customHeight="1" x14ac:dyDescent="0.25">
      <c r="A55" s="2">
        <v>40025</v>
      </c>
      <c r="B55" s="3">
        <f>'Juro Real'!C55</f>
        <v>4.63</v>
      </c>
      <c r="C55" s="3">
        <f>'Juro Real'!Q55-'Juro Real'!C55</f>
        <v>1.79</v>
      </c>
      <c r="D55" s="3">
        <f>-'Juro Real'!C55+(2*'Juro Real'!G55)-'Juro Real'!Q55</f>
        <v>1.6500000000000004</v>
      </c>
    </row>
    <row r="56" spans="1:4" ht="18.75" customHeight="1" x14ac:dyDescent="0.25">
      <c r="A56" s="2">
        <v>40056</v>
      </c>
      <c r="B56" s="3">
        <f>'Juro Real'!C56</f>
        <v>4.83</v>
      </c>
      <c r="C56" s="3">
        <f>'Juro Real'!Q56-'Juro Real'!C56</f>
        <v>1.3600000000000003</v>
      </c>
      <c r="D56" s="3">
        <f>-'Juro Real'!C56+(2*'Juro Real'!G56)-'Juro Real'!Q56</f>
        <v>1.7399999999999993</v>
      </c>
    </row>
    <row r="57" spans="1:4" ht="18.75" customHeight="1" x14ac:dyDescent="0.25">
      <c r="A57" s="2">
        <v>40086</v>
      </c>
      <c r="B57" s="3">
        <f>'Juro Real'!C57</f>
        <v>5.0199999999999996</v>
      </c>
      <c r="C57" s="3">
        <f>'Juro Real'!Q57-'Juro Real'!C57</f>
        <v>1.1100000000000003</v>
      </c>
      <c r="D57" s="3">
        <f>-'Juro Real'!C57+(2*'Juro Real'!G57)-'Juro Real'!Q57</f>
        <v>1.37</v>
      </c>
    </row>
    <row r="58" spans="1:4" ht="18.75" customHeight="1" x14ac:dyDescent="0.25">
      <c r="A58" s="2">
        <v>40117</v>
      </c>
      <c r="B58" s="3">
        <f>'Juro Real'!C58</f>
        <v>4.9800000000000004</v>
      </c>
      <c r="C58" s="3">
        <f>'Juro Real'!Q58-'Juro Real'!C58</f>
        <v>1.5299999999999994</v>
      </c>
      <c r="D58" s="3">
        <f>-'Juro Real'!C58+(2*'Juro Real'!G58)-'Juro Real'!Q58</f>
        <v>1.7099999999999991</v>
      </c>
    </row>
    <row r="59" spans="1:4" ht="18.75" customHeight="1" x14ac:dyDescent="0.25">
      <c r="A59" s="2">
        <v>40147</v>
      </c>
      <c r="B59" s="3">
        <f>'Juro Real'!C59</f>
        <v>4.91</v>
      </c>
      <c r="C59" s="3">
        <f>'Juro Real'!Q59-'Juro Real'!C59</f>
        <v>1.5899999999999999</v>
      </c>
      <c r="D59" s="3">
        <f>-'Juro Real'!C59+(2*'Juro Real'!G59)-'Juro Real'!Q59</f>
        <v>1.9299999999999997</v>
      </c>
    </row>
    <row r="60" spans="1:4" ht="18.75" customHeight="1" x14ac:dyDescent="0.25">
      <c r="A60" s="2">
        <v>40178</v>
      </c>
      <c r="B60" s="3">
        <f>'Juro Real'!C60</f>
        <v>4.9400000000000004</v>
      </c>
      <c r="C60" s="3">
        <f>'Juro Real'!Q60-'Juro Real'!C60</f>
        <v>1.5499999999999998</v>
      </c>
      <c r="D60" s="3">
        <f>-'Juro Real'!C60+(2*'Juro Real'!G60)-'Juro Real'!Q60</f>
        <v>1.8100000000000005</v>
      </c>
    </row>
    <row r="61" spans="1:4" ht="18.75" customHeight="1" x14ac:dyDescent="0.25">
      <c r="A61" s="2">
        <v>40209</v>
      </c>
      <c r="B61" s="3">
        <f>'Juro Real'!C61</f>
        <v>4.8</v>
      </c>
      <c r="C61" s="3">
        <f>'Juro Real'!Q61-'Juro Real'!C61</f>
        <v>1.7199999999999998</v>
      </c>
      <c r="D61" s="3">
        <f>-'Juro Real'!C61+(2*'Juro Real'!G61)-'Juro Real'!Q61</f>
        <v>1.6600000000000001</v>
      </c>
    </row>
    <row r="62" spans="1:4" ht="18.75" customHeight="1" x14ac:dyDescent="0.25">
      <c r="A62" s="2">
        <v>40237</v>
      </c>
      <c r="B62" s="3">
        <f>'Juro Real'!C62</f>
        <v>5.0199999999999996</v>
      </c>
      <c r="C62" s="3">
        <f>'Juro Real'!Q62-'Juro Real'!C62</f>
        <v>1.4900000000000002</v>
      </c>
      <c r="D62" s="3">
        <f>-'Juro Real'!C62+(2*'Juro Real'!G62)-'Juro Real'!Q62</f>
        <v>1.2900000000000009</v>
      </c>
    </row>
    <row r="63" spans="1:4" ht="18.75" customHeight="1" x14ac:dyDescent="0.25">
      <c r="A63" s="2">
        <v>40268</v>
      </c>
      <c r="B63" s="3">
        <f>'Juro Real'!C63</f>
        <v>5.1100000000000003</v>
      </c>
      <c r="C63" s="3">
        <f>'Juro Real'!Q63-'Juro Real'!C63</f>
        <v>1.1599999999999993</v>
      </c>
      <c r="D63" s="3">
        <f>-'Juro Real'!C63+(2*'Juro Real'!G63)-'Juro Real'!Q63</f>
        <v>0.92000000000000082</v>
      </c>
    </row>
    <row r="64" spans="1:4" ht="18.75" customHeight="1" x14ac:dyDescent="0.25">
      <c r="A64" s="2">
        <v>40298</v>
      </c>
      <c r="B64" s="3">
        <f>'Juro Real'!C64</f>
        <v>5.75</v>
      </c>
      <c r="C64" s="3">
        <f>'Juro Real'!Q64-'Juro Real'!C64</f>
        <v>0.5</v>
      </c>
      <c r="D64" s="3">
        <f>-'Juro Real'!C64+(2*'Juro Real'!G64)-'Juro Real'!Q64</f>
        <v>1.1400000000000006</v>
      </c>
    </row>
    <row r="65" spans="1:4" ht="18.75" customHeight="1" x14ac:dyDescent="0.25">
      <c r="A65" s="2">
        <v>40329</v>
      </c>
      <c r="B65" s="3">
        <f>'Juro Real'!C65</f>
        <v>6.05</v>
      </c>
      <c r="C65" s="3">
        <f>'Juro Real'!Q65-'Juro Real'!C65</f>
        <v>0.53000000000000025</v>
      </c>
      <c r="D65" s="3">
        <f>-'Juro Real'!C65+(2*'Juro Real'!G65)-'Juro Real'!Q65</f>
        <v>0.71</v>
      </c>
    </row>
    <row r="66" spans="1:4" ht="18.75" customHeight="1" x14ac:dyDescent="0.25">
      <c r="A66" s="2">
        <v>40359</v>
      </c>
      <c r="B66" s="3">
        <f>'Juro Real'!C66</f>
        <v>6.64</v>
      </c>
      <c r="C66" s="3">
        <f>'Juro Real'!Q66-'Juro Real'!C66</f>
        <v>-0.13999999999999968</v>
      </c>
      <c r="D66" s="3">
        <f>-'Juro Real'!C66+(2*'Juro Real'!G66)-'Juro Real'!Q66</f>
        <v>-0.15999999999999925</v>
      </c>
    </row>
    <row r="67" spans="1:4" ht="18.75" customHeight="1" x14ac:dyDescent="0.25">
      <c r="A67" s="2">
        <v>40390</v>
      </c>
      <c r="B67" s="3">
        <f>'Juro Real'!C67</f>
        <v>6</v>
      </c>
      <c r="C67" s="3">
        <f>'Juro Real'!Q67-'Juro Real'!C67</f>
        <v>0.19000000000000039</v>
      </c>
      <c r="D67" s="3">
        <f>-'Juro Real'!C67+(2*'Juro Real'!G67)-'Juro Real'!Q67</f>
        <v>0.32999999999999918</v>
      </c>
    </row>
    <row r="68" spans="1:4" ht="18.75" customHeight="1" x14ac:dyDescent="0.25">
      <c r="A68" s="2">
        <v>40421</v>
      </c>
      <c r="B68" s="3">
        <f>'Juro Real'!C68</f>
        <v>5.62</v>
      </c>
      <c r="C68" s="3">
        <f>'Juro Real'!Q68-'Juro Real'!C68</f>
        <v>0.16000000000000014</v>
      </c>
      <c r="D68" s="3">
        <f>-'Juro Real'!C68+(2*'Juro Real'!G68)-'Juro Real'!Q68</f>
        <v>0.53999999999999915</v>
      </c>
    </row>
    <row r="69" spans="1:4" ht="18.75" customHeight="1" x14ac:dyDescent="0.25">
      <c r="A69" s="2">
        <v>40451</v>
      </c>
      <c r="B69" s="3">
        <f>'Juro Real'!C69</f>
        <v>5.0999999999999996</v>
      </c>
      <c r="C69" s="3">
        <f>'Juro Real'!Q69-'Juro Real'!C69</f>
        <v>0.83000000000000007</v>
      </c>
      <c r="D69" s="3">
        <f>-'Juro Real'!C69+(2*'Juro Real'!G69)-'Juro Real'!Q69</f>
        <v>0.77000000000000135</v>
      </c>
    </row>
    <row r="70" spans="1:4" ht="18.75" customHeight="1" x14ac:dyDescent="0.25">
      <c r="A70" s="2">
        <v>40482</v>
      </c>
      <c r="B70" s="3">
        <f>'Juro Real'!C70</f>
        <v>4.62</v>
      </c>
      <c r="C70" s="3">
        <f>'Juro Real'!Q70-'Juro Real'!C70</f>
        <v>1.0700000000000003</v>
      </c>
      <c r="D70" s="3">
        <f>-'Juro Real'!C70+(2*'Juro Real'!G70)-'Juro Real'!Q70</f>
        <v>1.3099999999999987</v>
      </c>
    </row>
    <row r="71" spans="1:4" ht="18.75" customHeight="1" x14ac:dyDescent="0.25">
      <c r="A71" s="2">
        <v>40512</v>
      </c>
      <c r="B71" s="3">
        <f>'Juro Real'!C71</f>
        <v>5.13</v>
      </c>
      <c r="C71" s="3">
        <f>'Juro Real'!Q71-'Juro Real'!C71</f>
        <v>0.87000000000000011</v>
      </c>
      <c r="D71" s="3">
        <f>-'Juro Real'!C71+(2*'Juro Real'!G71)-'Juro Real'!Q71</f>
        <v>0.77000000000000046</v>
      </c>
    </row>
    <row r="72" spans="1:4" ht="18.75" customHeight="1" x14ac:dyDescent="0.25">
      <c r="A72" s="2">
        <v>40543</v>
      </c>
      <c r="B72" s="3">
        <f>'Juro Real'!C72</f>
        <v>5.79</v>
      </c>
      <c r="C72" s="3">
        <f>'Juro Real'!Q72-'Juro Real'!C72</f>
        <v>0.19000000000000039</v>
      </c>
      <c r="D72" s="3">
        <f>-'Juro Real'!C72+(2*'Juro Real'!G72)-'Juro Real'!Q72</f>
        <v>-9.0000000000000746E-2</v>
      </c>
    </row>
    <row r="73" spans="1:4" ht="18.75" customHeight="1" x14ac:dyDescent="0.25">
      <c r="A73" s="2">
        <v>40574</v>
      </c>
      <c r="B73" s="3">
        <f>'Juro Real'!C73</f>
        <v>5.6</v>
      </c>
      <c r="C73" s="3">
        <f>'Juro Real'!Q73-'Juro Real'!C73</f>
        <v>0.47000000000000064</v>
      </c>
      <c r="D73" s="3">
        <f>-'Juro Real'!C73+(2*'Juro Real'!G73)-'Juro Real'!Q73</f>
        <v>1.1899999999999995</v>
      </c>
    </row>
    <row r="74" spans="1:4" ht="18.75" customHeight="1" x14ac:dyDescent="0.25">
      <c r="A74" s="2">
        <v>40602</v>
      </c>
      <c r="B74" s="3">
        <f>'Juro Real'!C74</f>
        <v>6.3</v>
      </c>
      <c r="C74" s="3">
        <f>'Juro Real'!Q74-'Juro Real'!C74</f>
        <v>-0.14999999999999947</v>
      </c>
      <c r="D74" s="3">
        <f>-'Juro Real'!C74+(2*'Juro Real'!G74)-'Juro Real'!Q74</f>
        <v>0.54999999999999982</v>
      </c>
    </row>
    <row r="75" spans="1:4" ht="18.75" customHeight="1" x14ac:dyDescent="0.25">
      <c r="A75" s="2">
        <v>40633</v>
      </c>
      <c r="B75" s="3">
        <f>'Juro Real'!C75</f>
        <v>5.91</v>
      </c>
      <c r="C75" s="3">
        <f>'Juro Real'!Q75-'Juro Real'!C75</f>
        <v>0.25</v>
      </c>
      <c r="D75" s="3">
        <f>-'Juro Real'!C75+(2*'Juro Real'!G75)-'Juro Real'!Q75</f>
        <v>0.70999999999999908</v>
      </c>
    </row>
    <row r="76" spans="1:4" ht="18.75" customHeight="1" x14ac:dyDescent="0.25">
      <c r="A76" s="2">
        <v>40663</v>
      </c>
      <c r="B76" s="3">
        <f>'Juro Real'!C76</f>
        <v>6.4</v>
      </c>
      <c r="C76" s="3">
        <f>'Juro Real'!Q76-'Juro Real'!C76</f>
        <v>-4.0000000000000036E-2</v>
      </c>
      <c r="D76" s="3">
        <f>-'Juro Real'!C76+(2*'Juro Real'!G76)-'Juro Real'!Q76</f>
        <v>0.27999999999999847</v>
      </c>
    </row>
    <row r="77" spans="1:4" ht="18.75" customHeight="1" x14ac:dyDescent="0.25">
      <c r="A77" s="2">
        <v>40694</v>
      </c>
      <c r="B77" s="3">
        <f>'Juro Real'!C77</f>
        <v>6.72</v>
      </c>
      <c r="C77" s="3">
        <f>'Juro Real'!Q77-'Juro Real'!C77</f>
        <v>-0.62000000000000011</v>
      </c>
      <c r="D77" s="3">
        <f>-'Juro Real'!C77+(2*'Juro Real'!G77)-'Juro Real'!Q77</f>
        <v>-5.9999999999999609E-2</v>
      </c>
    </row>
    <row r="78" spans="1:4" ht="18.75" customHeight="1" x14ac:dyDescent="0.25">
      <c r="A78" s="2">
        <v>40724</v>
      </c>
      <c r="B78" s="3">
        <f>'Juro Real'!C78</f>
        <v>7.03</v>
      </c>
      <c r="C78" s="3">
        <f>'Juro Real'!Q78-'Juro Real'!C78</f>
        <v>-0.90000000000000036</v>
      </c>
      <c r="D78" s="3">
        <f>-'Juro Real'!C78+(2*'Juro Real'!G78)-'Juro Real'!Q78</f>
        <v>-8.0000000000000071E-2</v>
      </c>
    </row>
    <row r="79" spans="1:4" ht="18.75" customHeight="1" x14ac:dyDescent="0.25">
      <c r="A79" s="2">
        <v>40755</v>
      </c>
      <c r="B79" s="3">
        <f>'Juro Real'!C79</f>
        <v>6.47</v>
      </c>
      <c r="C79" s="3">
        <f>'Juro Real'!Q79-'Juro Real'!C79</f>
        <v>-0.16999999999999993</v>
      </c>
      <c r="D79" s="3">
        <f>-'Juro Real'!C79+(2*'Juro Real'!G79)-'Juro Real'!Q79</f>
        <v>0.19000000000000128</v>
      </c>
    </row>
    <row r="80" spans="1:4" ht="18.75" customHeight="1" x14ac:dyDescent="0.25">
      <c r="A80" s="2">
        <v>40786</v>
      </c>
      <c r="B80" s="3">
        <f>'Juro Real'!C80</f>
        <v>4.87</v>
      </c>
      <c r="C80" s="3">
        <f>'Juro Real'!Q80-'Juro Real'!C80</f>
        <v>0.53000000000000025</v>
      </c>
      <c r="D80" s="3">
        <f>-'Juro Real'!C80+(2*'Juro Real'!G80)-'Juro Real'!Q80</f>
        <v>0.30999999999999961</v>
      </c>
    </row>
    <row r="81" spans="1:4" ht="18.75" customHeight="1" x14ac:dyDescent="0.25">
      <c r="A81" s="2">
        <v>40816</v>
      </c>
      <c r="B81" s="3">
        <f>'Juro Real'!C81</f>
        <v>4.12</v>
      </c>
      <c r="C81" s="3">
        <f>'Juro Real'!Q81-'Juro Real'!C81</f>
        <v>1.2800000000000002</v>
      </c>
      <c r="D81" s="3">
        <f>-'Juro Real'!C81+(2*'Juro Real'!G81)-'Juro Real'!Q81</f>
        <v>0.70000000000000018</v>
      </c>
    </row>
    <row r="82" spans="1:4" ht="18.75" customHeight="1" x14ac:dyDescent="0.25">
      <c r="A82" s="2">
        <v>40847</v>
      </c>
      <c r="B82" s="3">
        <f>'Juro Real'!C82</f>
        <v>4.17</v>
      </c>
      <c r="C82" s="3">
        <f>'Juro Real'!Q82-'Juro Real'!C82</f>
        <v>1.1100000000000003</v>
      </c>
      <c r="D82" s="3">
        <f>-'Juro Real'!C82+(2*'Juro Real'!G82)-'Juro Real'!Q82</f>
        <v>0.61000000000000032</v>
      </c>
    </row>
    <row r="83" spans="1:4" ht="18.75" customHeight="1" x14ac:dyDescent="0.25">
      <c r="A83" s="2">
        <v>40877</v>
      </c>
      <c r="B83" s="3">
        <f>'Juro Real'!C83</f>
        <v>4.16</v>
      </c>
      <c r="C83" s="3">
        <f>'Juro Real'!Q83-'Juro Real'!C83</f>
        <v>0.87000000000000011</v>
      </c>
      <c r="D83" s="3">
        <f>-'Juro Real'!C83+(2*'Juro Real'!G83)-'Juro Real'!Q83</f>
        <v>0.95000000000000018</v>
      </c>
    </row>
    <row r="84" spans="1:4" ht="18.75" customHeight="1" x14ac:dyDescent="0.25">
      <c r="A84" s="2">
        <v>40908</v>
      </c>
      <c r="B84" s="3">
        <f>'Juro Real'!C84</f>
        <v>4.28</v>
      </c>
      <c r="C84" s="3">
        <f>'Juro Real'!Q84-'Juro Real'!C84</f>
        <v>1.0499999999999998</v>
      </c>
      <c r="D84" s="3">
        <f>-'Juro Real'!C84+(2*'Juro Real'!G84)-'Juro Real'!Q84</f>
        <v>0.90999999999999925</v>
      </c>
    </row>
    <row r="85" spans="1:4" ht="18.75" customHeight="1" x14ac:dyDescent="0.25">
      <c r="A85" s="2">
        <v>40939</v>
      </c>
      <c r="B85" s="3">
        <f>'Juro Real'!C85</f>
        <v>4.0599999999999996</v>
      </c>
      <c r="C85" s="3">
        <f>'Juro Real'!Q85-'Juro Real'!C85</f>
        <v>1.1200000000000001</v>
      </c>
      <c r="D85" s="3">
        <f>-'Juro Real'!C85+(2*'Juro Real'!G85)-'Juro Real'!Q85</f>
        <v>0.72000000000000153</v>
      </c>
    </row>
    <row r="86" spans="1:4" ht="18.75" customHeight="1" x14ac:dyDescent="0.25">
      <c r="A86" s="2">
        <v>40968</v>
      </c>
      <c r="B86" s="3">
        <f>'Juro Real'!C86</f>
        <v>3.57</v>
      </c>
      <c r="C86" s="3">
        <f>'Juro Real'!Q86-'Juro Real'!C86</f>
        <v>1.48</v>
      </c>
      <c r="D86" s="3">
        <f>-'Juro Real'!C86+(2*'Juro Real'!G86)-'Juro Real'!Q86</f>
        <v>0.47999999999999954</v>
      </c>
    </row>
    <row r="87" spans="1:4" ht="18.75" customHeight="1" x14ac:dyDescent="0.25">
      <c r="A87" s="2">
        <v>40999</v>
      </c>
      <c r="B87" s="3">
        <f>'Juro Real'!C87</f>
        <v>3.28</v>
      </c>
      <c r="C87" s="3">
        <f>'Juro Real'!Q87-'Juro Real'!C87</f>
        <v>1.6</v>
      </c>
      <c r="D87" s="3">
        <f>-'Juro Real'!C87+(2*'Juro Real'!G87)-'Juro Real'!Q87</f>
        <v>0.78000000000000025</v>
      </c>
    </row>
    <row r="88" spans="1:4" ht="18.75" customHeight="1" x14ac:dyDescent="0.25">
      <c r="A88" s="2">
        <v>41029</v>
      </c>
      <c r="B88" s="3">
        <f>'Juro Real'!C88</f>
        <v>2.72</v>
      </c>
      <c r="C88" s="3">
        <f>'Juro Real'!Q88-'Juro Real'!C88</f>
        <v>1.69</v>
      </c>
      <c r="D88" s="3">
        <f>-'Juro Real'!C88+(2*'Juro Real'!G88)-'Juro Real'!Q88</f>
        <v>0.8100000000000005</v>
      </c>
    </row>
    <row r="89" spans="1:4" ht="18.75" customHeight="1" x14ac:dyDescent="0.25">
      <c r="A89" s="2">
        <v>41060</v>
      </c>
      <c r="B89" s="3">
        <f>'Juro Real'!C89</f>
        <v>2.98</v>
      </c>
      <c r="C89" s="3">
        <f>'Juro Real'!Q89-'Juro Real'!C89</f>
        <v>1.2200000000000002</v>
      </c>
      <c r="D89" s="3">
        <f>-'Juro Real'!C89+(2*'Juro Real'!G89)-'Juro Real'!Q89</f>
        <v>0.70000000000000018</v>
      </c>
    </row>
    <row r="90" spans="1:4" ht="18.75" customHeight="1" x14ac:dyDescent="0.25">
      <c r="A90" s="2">
        <v>41090</v>
      </c>
      <c r="B90" s="3">
        <f>'Juro Real'!C90</f>
        <v>3.3</v>
      </c>
      <c r="C90" s="3">
        <f>'Juro Real'!Q90-'Juro Real'!C90</f>
        <v>1.0499999999999998</v>
      </c>
      <c r="D90" s="3">
        <f>-'Juro Real'!C90+(2*'Juro Real'!G90)-'Juro Real'!Q90</f>
        <v>0.57000000000000117</v>
      </c>
    </row>
    <row r="91" spans="1:4" ht="18.75" customHeight="1" x14ac:dyDescent="0.25">
      <c r="A91" s="2">
        <v>41121</v>
      </c>
      <c r="B91" s="3">
        <f>'Juro Real'!C91</f>
        <v>1.85</v>
      </c>
      <c r="C91" s="3">
        <f>'Juro Real'!Q91-'Juro Real'!C91</f>
        <v>2.3000000000000003</v>
      </c>
      <c r="D91" s="3">
        <f>-'Juro Real'!C91+(2*'Juro Real'!G91)-'Juro Real'!Q91</f>
        <v>1.0599999999999987</v>
      </c>
    </row>
    <row r="92" spans="1:4" ht="18.75" customHeight="1" x14ac:dyDescent="0.25">
      <c r="A92" s="2">
        <v>41152</v>
      </c>
      <c r="B92" s="3">
        <f>'Juro Real'!C92</f>
        <v>1.64</v>
      </c>
      <c r="C92" s="3">
        <f>'Juro Real'!Q92-'Juro Real'!C92</f>
        <v>2.2999999999999998</v>
      </c>
      <c r="D92" s="3">
        <f>-'Juro Real'!C92+(2*'Juro Real'!G92)-'Juro Real'!Q92</f>
        <v>1.3400000000000003</v>
      </c>
    </row>
    <row r="93" spans="1:4" ht="18.75" customHeight="1" x14ac:dyDescent="0.25">
      <c r="A93" s="2">
        <v>41182</v>
      </c>
      <c r="B93" s="3">
        <f>'Juro Real'!C93</f>
        <v>1.43</v>
      </c>
      <c r="C93" s="3">
        <f>'Juro Real'!Q93-'Juro Real'!C93</f>
        <v>2.41</v>
      </c>
      <c r="D93" s="3">
        <f>-'Juro Real'!C93+(2*'Juro Real'!G93)-'Juro Real'!Q93</f>
        <v>1.25</v>
      </c>
    </row>
    <row r="94" spans="1:4" ht="18.75" customHeight="1" x14ac:dyDescent="0.25">
      <c r="A94" s="2">
        <v>41213</v>
      </c>
      <c r="B94" s="3">
        <f>'Juro Real'!C94</f>
        <v>1.41</v>
      </c>
      <c r="C94" s="3">
        <f>'Juro Real'!Q94-'Juro Real'!C94</f>
        <v>2.0999999999999996</v>
      </c>
      <c r="D94" s="3">
        <f>-'Juro Real'!C94+(2*'Juro Real'!G94)-'Juro Real'!Q94</f>
        <v>0.71999999999999975</v>
      </c>
    </row>
    <row r="95" spans="1:4" ht="18.75" customHeight="1" x14ac:dyDescent="0.25">
      <c r="A95" s="2">
        <v>41243</v>
      </c>
      <c r="B95" s="3">
        <f>'Juro Real'!C95</f>
        <v>1.48</v>
      </c>
      <c r="C95" s="3">
        <f>'Juro Real'!Q95-'Juro Real'!C95</f>
        <v>2.11</v>
      </c>
      <c r="D95" s="3">
        <f>-'Juro Real'!C95+(2*'Juro Real'!G95)-'Juro Real'!Q95</f>
        <v>0.65000000000000036</v>
      </c>
    </row>
    <row r="96" spans="1:4" ht="18.75" customHeight="1" x14ac:dyDescent="0.25">
      <c r="A96" s="2">
        <v>41274</v>
      </c>
      <c r="B96" s="3">
        <f>'Juro Real'!C96</f>
        <v>0.82</v>
      </c>
      <c r="C96" s="3">
        <f>'Juro Real'!Q96-'Juro Real'!C96</f>
        <v>2.66</v>
      </c>
      <c r="D96" s="3">
        <f>-'Juro Real'!C96+(2*'Juro Real'!G96)-'Juro Real'!Q96</f>
        <v>0.98</v>
      </c>
    </row>
    <row r="97" spans="1:4" ht="18.75" customHeight="1" x14ac:dyDescent="0.25">
      <c r="A97" s="2">
        <v>41305</v>
      </c>
      <c r="B97" s="3">
        <f>'Juro Real'!C97</f>
        <v>1.27</v>
      </c>
      <c r="C97" s="3">
        <f>'Juro Real'!Q97-'Juro Real'!C97</f>
        <v>2.31</v>
      </c>
      <c r="D97" s="3">
        <f>-'Juro Real'!C97+(2*'Juro Real'!G97)-'Juro Real'!Q97</f>
        <v>0.97000000000000064</v>
      </c>
    </row>
    <row r="98" spans="1:4" ht="18.75" customHeight="1" x14ac:dyDescent="0.25">
      <c r="A98" s="2">
        <v>41333</v>
      </c>
      <c r="B98" s="3">
        <f>'Juro Real'!C98</f>
        <v>2.15</v>
      </c>
      <c r="C98" s="3">
        <f>'Juro Real'!Q98-'Juro Real'!C98</f>
        <v>1.75</v>
      </c>
      <c r="D98" s="3">
        <f>-'Juro Real'!C98+(2*'Juro Real'!G98)-'Juro Real'!Q98</f>
        <v>0.93000000000000016</v>
      </c>
    </row>
    <row r="99" spans="1:4" ht="18.75" customHeight="1" x14ac:dyDescent="0.25">
      <c r="A99" s="2">
        <v>41364</v>
      </c>
      <c r="B99" s="3">
        <f>'Juro Real'!C99</f>
        <v>2.68</v>
      </c>
      <c r="C99" s="3">
        <f>'Juro Real'!Q99-'Juro Real'!C99</f>
        <v>1.3599999999999999</v>
      </c>
      <c r="D99" s="3">
        <f>-'Juro Real'!C99+(2*'Juro Real'!G99)-'Juro Real'!Q99</f>
        <v>0.57999999999999918</v>
      </c>
    </row>
    <row r="100" spans="1:4" ht="18.75" customHeight="1" x14ac:dyDescent="0.25">
      <c r="A100" s="2">
        <v>41394</v>
      </c>
      <c r="B100" s="3">
        <f>'Juro Real'!C100</f>
        <v>2.68</v>
      </c>
      <c r="C100" s="3">
        <f>'Juro Real'!Q100-'Juro Real'!C100</f>
        <v>1.4199999999999995</v>
      </c>
      <c r="D100" s="3">
        <f>-'Juro Real'!C100+(2*'Juro Real'!G100)-'Juro Real'!Q100</f>
        <v>0.12000000000000099</v>
      </c>
    </row>
    <row r="101" spans="1:4" ht="18.75" customHeight="1" x14ac:dyDescent="0.25">
      <c r="A101" s="2">
        <v>41425</v>
      </c>
      <c r="B101" s="3">
        <f>'Juro Real'!C101</f>
        <v>3.17</v>
      </c>
      <c r="C101" s="3">
        <f>'Juro Real'!Q101-'Juro Real'!C101</f>
        <v>1.5600000000000005</v>
      </c>
      <c r="D101" s="3">
        <f>-'Juro Real'!C101+(2*'Juro Real'!G101)-'Juro Real'!Q101</f>
        <v>0.74000000000000021</v>
      </c>
    </row>
    <row r="102" spans="1:4" ht="18.75" customHeight="1" x14ac:dyDescent="0.25">
      <c r="A102" s="2">
        <v>41455</v>
      </c>
      <c r="B102" s="3">
        <f>'Juro Real'!C102</f>
        <v>3.97</v>
      </c>
      <c r="C102" s="3">
        <f>'Juro Real'!Q102-'Juro Real'!C102</f>
        <v>1.4</v>
      </c>
      <c r="D102" s="3">
        <f>-'Juro Real'!C102+(2*'Juro Real'!G102)-'Juro Real'!Q102</f>
        <v>0.71999999999999975</v>
      </c>
    </row>
    <row r="103" spans="1:4" ht="18.75" customHeight="1" x14ac:dyDescent="0.25">
      <c r="A103" s="2">
        <v>41486</v>
      </c>
      <c r="B103" s="3">
        <f>'Juro Real'!C103</f>
        <v>3.57</v>
      </c>
      <c r="C103" s="3">
        <f>'Juro Real'!Q103-'Juro Real'!C103</f>
        <v>1.8199999999999998</v>
      </c>
      <c r="D103" s="3">
        <f>-'Juro Real'!C103+(2*'Juro Real'!G103)-'Juro Real'!Q103</f>
        <v>0.87999999999999989</v>
      </c>
    </row>
    <row r="104" spans="1:4" ht="18.75" customHeight="1" x14ac:dyDescent="0.25">
      <c r="A104" s="2">
        <v>41517</v>
      </c>
      <c r="B104" s="3">
        <f>'Juro Real'!C104</f>
        <v>3.75</v>
      </c>
      <c r="C104" s="3">
        <f>'Juro Real'!Q104-'Juro Real'!C104</f>
        <v>1.9800000000000004</v>
      </c>
      <c r="D104" s="3">
        <f>-'Juro Real'!C104+(2*'Juro Real'!G104)-'Juro Real'!Q104</f>
        <v>1.4800000000000004</v>
      </c>
    </row>
    <row r="105" spans="1:4" ht="18.75" customHeight="1" x14ac:dyDescent="0.25">
      <c r="A105" s="2">
        <v>41547</v>
      </c>
      <c r="B105" s="3">
        <f>'Juro Real'!C105</f>
        <v>3.51</v>
      </c>
      <c r="C105" s="3">
        <f>'Juro Real'!Q105-'Juro Real'!C105</f>
        <v>2.1800000000000006</v>
      </c>
      <c r="D105" s="3">
        <f>-'Juro Real'!C105+(2*'Juro Real'!G105)-'Juro Real'!Q105</f>
        <v>1.4999999999999991</v>
      </c>
    </row>
    <row r="106" spans="1:4" ht="18.75" customHeight="1" x14ac:dyDescent="0.25">
      <c r="A106" s="2">
        <v>41578</v>
      </c>
      <c r="B106" s="3">
        <f>'Juro Real'!C106</f>
        <v>3.91</v>
      </c>
      <c r="C106" s="3">
        <f>'Juro Real'!Q106-'Juro Real'!C106</f>
        <v>1.9900000000000002</v>
      </c>
      <c r="D106" s="3">
        <f>-'Juro Real'!C106+(2*'Juro Real'!G106)-'Juro Real'!Q106</f>
        <v>1.3499999999999996</v>
      </c>
    </row>
    <row r="107" spans="1:4" ht="18.75" customHeight="1" x14ac:dyDescent="0.25">
      <c r="A107" s="2">
        <v>41608</v>
      </c>
      <c r="B107" s="3">
        <f>'Juro Real'!C107</f>
        <v>4.09</v>
      </c>
      <c r="C107" s="3">
        <f>'Juro Real'!Q107-'Juro Real'!C107</f>
        <v>2.3100000000000005</v>
      </c>
      <c r="D107" s="3">
        <f>-'Juro Real'!C107+(2*'Juro Real'!G107)-'Juro Real'!Q107</f>
        <v>1.2699999999999996</v>
      </c>
    </row>
    <row r="108" spans="1:4" ht="18.75" customHeight="1" x14ac:dyDescent="0.25">
      <c r="A108" s="2">
        <v>41639</v>
      </c>
      <c r="B108" s="3">
        <f>'Juro Real'!C108</f>
        <v>4.0999999999999996</v>
      </c>
      <c r="C108" s="3">
        <f>'Juro Real'!Q108-'Juro Real'!C108</f>
        <v>2.2000000000000002</v>
      </c>
      <c r="D108" s="3">
        <f>-'Juro Real'!C108+(2*'Juro Real'!G108)-'Juro Real'!Q108</f>
        <v>1.5000000000000009</v>
      </c>
    </row>
    <row r="109" spans="1:4" ht="18.75" customHeight="1" x14ac:dyDescent="0.25">
      <c r="A109" s="2">
        <v>41670</v>
      </c>
      <c r="B109" s="3">
        <f>'Juro Real'!C109</f>
        <v>5.22</v>
      </c>
      <c r="C109" s="3">
        <f>'Juro Real'!Q109-'Juro Real'!C109</f>
        <v>1.7400000000000002</v>
      </c>
      <c r="D109" s="3">
        <f>-'Juro Real'!C109+(2*'Juro Real'!G109)-'Juro Real'!Q109</f>
        <v>1.1800000000000006</v>
      </c>
    </row>
    <row r="110" spans="1:4" ht="18.75" customHeight="1" x14ac:dyDescent="0.25">
      <c r="A110" s="2">
        <v>41698</v>
      </c>
      <c r="B110" s="3">
        <f>'Juro Real'!C110</f>
        <v>4.8499999999999996</v>
      </c>
      <c r="C110" s="3">
        <f>'Juro Real'!Q110-'Juro Real'!C110</f>
        <v>1.79</v>
      </c>
      <c r="D110" s="3">
        <f>-'Juro Real'!C110+(2*'Juro Real'!G110)-'Juro Real'!Q110</f>
        <v>0.41000000000000103</v>
      </c>
    </row>
    <row r="111" spans="1:4" ht="18.75" customHeight="1" x14ac:dyDescent="0.25">
      <c r="A111" s="2">
        <v>41729</v>
      </c>
      <c r="B111" s="3">
        <f>'Juro Real'!C111</f>
        <v>4.33</v>
      </c>
      <c r="C111" s="3">
        <f>'Juro Real'!Q111-'Juro Real'!C111</f>
        <v>2.2800000000000002</v>
      </c>
      <c r="D111" s="3">
        <f>-'Juro Real'!C111+(2*'Juro Real'!G111)-'Juro Real'!Q111</f>
        <v>1.4999999999999991</v>
      </c>
    </row>
    <row r="112" spans="1:4" ht="18.75" customHeight="1" x14ac:dyDescent="0.25">
      <c r="A112" s="2">
        <v>41759</v>
      </c>
      <c r="B112" s="3">
        <f>'Juro Real'!C112</f>
        <v>4.41</v>
      </c>
      <c r="C112" s="3">
        <f>'Juro Real'!Q112-'Juro Real'!C112</f>
        <v>2.0999999999999996</v>
      </c>
      <c r="D112" s="3">
        <f>-'Juro Real'!C112+(2*'Juro Real'!G112)-'Juro Real'!Q112</f>
        <v>1.3800000000000008</v>
      </c>
    </row>
    <row r="113" spans="1:4" ht="18.75" customHeight="1" x14ac:dyDescent="0.25">
      <c r="A113" s="2">
        <v>41790</v>
      </c>
      <c r="B113" s="3">
        <f>'Juro Real'!C113</f>
        <v>4.49</v>
      </c>
      <c r="C113" s="3">
        <f>'Juro Real'!Q113-'Juro Real'!C113</f>
        <v>1.5199999999999996</v>
      </c>
      <c r="D113" s="3">
        <f>-'Juro Real'!C113+(2*'Juro Real'!G113)-'Juro Real'!Q113</f>
        <v>0.83999999999999986</v>
      </c>
    </row>
    <row r="114" spans="1:4" ht="18.75" customHeight="1" x14ac:dyDescent="0.25">
      <c r="A114" s="2">
        <v>41820</v>
      </c>
      <c r="B114" s="3">
        <f>'Juro Real'!C114</f>
        <v>4.9000000000000004</v>
      </c>
      <c r="C114" s="3">
        <f>'Juro Real'!Q114-'Juro Real'!C114</f>
        <v>1.25</v>
      </c>
      <c r="D114" s="3">
        <f>-'Juro Real'!C114+(2*'Juro Real'!G114)-'Juro Real'!Q114</f>
        <v>0.48999999999999844</v>
      </c>
    </row>
    <row r="115" spans="1:4" ht="18.75" customHeight="1" x14ac:dyDescent="0.25">
      <c r="A115" s="2">
        <v>41851</v>
      </c>
      <c r="B115" s="3">
        <f>'Juro Real'!C115</f>
        <v>5.03</v>
      </c>
      <c r="C115" s="3">
        <f>'Juro Real'!Q115-'Juro Real'!C115</f>
        <v>0.9399999999999995</v>
      </c>
      <c r="D115" s="3">
        <f>-'Juro Real'!C115+(2*'Juro Real'!G115)-'Juro Real'!Q115</f>
        <v>0.41999999999999993</v>
      </c>
    </row>
    <row r="116" spans="1:4" ht="18.75" customHeight="1" x14ac:dyDescent="0.25">
      <c r="A116" s="2">
        <v>41882</v>
      </c>
      <c r="B116" s="3">
        <f>'Juro Real'!C116</f>
        <v>4.6100000000000003</v>
      </c>
      <c r="C116" s="3">
        <f>'Juro Real'!Q116-'Juro Real'!C116</f>
        <v>0.87999999999999989</v>
      </c>
      <c r="D116" s="3">
        <f>-'Juro Real'!C116+(2*'Juro Real'!G116)-'Juro Real'!Q116</f>
        <v>0.78000000000000025</v>
      </c>
    </row>
    <row r="117" spans="1:4" ht="18.75" customHeight="1" x14ac:dyDescent="0.25">
      <c r="A117" s="2">
        <v>41912</v>
      </c>
      <c r="B117" s="3">
        <f>'Juro Real'!C117</f>
        <v>4.29</v>
      </c>
      <c r="C117" s="3">
        <f>'Juro Real'!Q117-'Juro Real'!C117</f>
        <v>1.75</v>
      </c>
      <c r="D117" s="3">
        <f>-'Juro Real'!C117+(2*'Juro Real'!G117)-'Juro Real'!Q117</f>
        <v>1.2899999999999991</v>
      </c>
    </row>
    <row r="118" spans="1:4" ht="18.75" customHeight="1" x14ac:dyDescent="0.25">
      <c r="A118" s="2">
        <v>41943</v>
      </c>
      <c r="B118" s="3">
        <f>'Juro Real'!C118</f>
        <v>4.88</v>
      </c>
      <c r="C118" s="3">
        <f>'Juro Real'!Q118-'Juro Real'!C118</f>
        <v>1.0200000000000005</v>
      </c>
      <c r="D118" s="3">
        <f>-'Juro Real'!C118+(2*'Juro Real'!G118)-'Juro Real'!Q118</f>
        <v>0.70000000000000018</v>
      </c>
    </row>
    <row r="119" spans="1:4" ht="18.75" customHeight="1" x14ac:dyDescent="0.25">
      <c r="A119" s="2">
        <v>41973</v>
      </c>
      <c r="B119" s="3">
        <f>'Juro Real'!C119</f>
        <v>4.66</v>
      </c>
      <c r="C119" s="3">
        <f>'Juro Real'!Q119-'Juro Real'!C119</f>
        <v>0.9399999999999995</v>
      </c>
      <c r="D119" s="3">
        <f>-'Juro Real'!C119+(2*'Juro Real'!G119)-'Juro Real'!Q119</f>
        <v>0.82000000000000028</v>
      </c>
    </row>
    <row r="120" spans="1:4" ht="18.75" customHeight="1" x14ac:dyDescent="0.25">
      <c r="A120" s="2">
        <v>42004</v>
      </c>
      <c r="B120" s="3">
        <f>'Juro Real'!C120</f>
        <v>4.88</v>
      </c>
      <c r="C120" s="3">
        <f>'Juro Real'!Q120-'Juro Real'!C120</f>
        <v>1.2999999999999998</v>
      </c>
      <c r="D120" s="3">
        <f>-'Juro Real'!C120+(2*'Juro Real'!G120)-'Juro Real'!Q120</f>
        <v>1.1800000000000006</v>
      </c>
    </row>
    <row r="121" spans="1:4" ht="18.75" customHeight="1" x14ac:dyDescent="0.25">
      <c r="A121" s="2">
        <v>42035</v>
      </c>
      <c r="B121" s="3">
        <f>'Juro Real'!C121</f>
        <v>4.8600000000000003</v>
      </c>
      <c r="C121" s="3">
        <f>'Juro Real'!Q121-'Juro Real'!C121</f>
        <v>0.88999999999999968</v>
      </c>
      <c r="D121" s="3">
        <f>-'Juro Real'!C121+(2*'Juro Real'!G121)-'Juro Real'!Q121</f>
        <v>0.58999999999999897</v>
      </c>
    </row>
    <row r="122" spans="1:4" ht="18.75" customHeight="1" x14ac:dyDescent="0.25">
      <c r="A122" s="2">
        <v>42063</v>
      </c>
      <c r="B122" s="3">
        <f>'Juro Real'!C122</f>
        <v>5.15</v>
      </c>
      <c r="C122" s="3">
        <f>'Juro Real'!Q122-'Juro Real'!C122</f>
        <v>0.72999999999999954</v>
      </c>
      <c r="D122" s="3">
        <f>-'Juro Real'!C122+(2*'Juro Real'!G122)-'Juro Real'!Q122</f>
        <v>0.54999999999999982</v>
      </c>
    </row>
    <row r="123" spans="1:4" ht="18.75" customHeight="1" x14ac:dyDescent="0.25">
      <c r="A123" s="2">
        <v>42094</v>
      </c>
      <c r="B123" s="3">
        <f>'Juro Real'!C123</f>
        <v>5.85</v>
      </c>
      <c r="C123" s="3">
        <f>'Juro Real'!Q123-'Juro Real'!C123</f>
        <v>0.16000000000000014</v>
      </c>
      <c r="D123" s="3">
        <f>-'Juro Real'!C123+(2*'Juro Real'!G123)-'Juro Real'!Q123</f>
        <v>0.46000000000000085</v>
      </c>
    </row>
    <row r="124" spans="1:4" ht="18.75" customHeight="1" x14ac:dyDescent="0.25">
      <c r="A124" s="2">
        <v>42124</v>
      </c>
      <c r="B124" s="3">
        <f>'Juro Real'!C124</f>
        <v>6.61</v>
      </c>
      <c r="C124" s="3">
        <f>'Juro Real'!Q124-'Juro Real'!C124</f>
        <v>-0.75</v>
      </c>
      <c r="D124" s="3">
        <f>-'Juro Real'!C124+(2*'Juro Real'!G124)-'Juro Real'!Q124</f>
        <v>0.22999999999999865</v>
      </c>
    </row>
    <row r="125" spans="1:4" ht="18.75" customHeight="1" x14ac:dyDescent="0.25">
      <c r="A125" s="2">
        <v>42155</v>
      </c>
      <c r="B125" s="3">
        <f>'Juro Real'!C125</f>
        <v>6.56</v>
      </c>
      <c r="C125" s="3">
        <f>'Juro Real'!Q125-'Juro Real'!C125</f>
        <v>-0.75</v>
      </c>
      <c r="D125" s="3">
        <f>-'Juro Real'!C125+(2*'Juro Real'!G125)-'Juro Real'!Q125</f>
        <v>0.23000000000000043</v>
      </c>
    </row>
    <row r="126" spans="1:4" ht="18.75" customHeight="1" x14ac:dyDescent="0.25">
      <c r="A126" s="2">
        <v>42185</v>
      </c>
      <c r="B126" s="3">
        <f>'Juro Real'!C126</f>
        <v>6.73</v>
      </c>
      <c r="C126" s="3">
        <f>'Juro Real'!Q126-'Juro Real'!C126</f>
        <v>-0.77000000000000046</v>
      </c>
      <c r="D126" s="3">
        <f>-'Juro Real'!C126+(2*'Juro Real'!G126)-'Juro Real'!Q126</f>
        <v>0.32999999999999918</v>
      </c>
    </row>
    <row r="127" spans="1:4" ht="18.75" customHeight="1" x14ac:dyDescent="0.25">
      <c r="A127" s="2">
        <v>42216</v>
      </c>
      <c r="B127" s="3">
        <f>'Juro Real'!C127</f>
        <v>6.58</v>
      </c>
      <c r="C127" s="3">
        <f>'Juro Real'!Q127-'Juro Real'!C127</f>
        <v>-0.17999999999999972</v>
      </c>
      <c r="D127" s="3">
        <f>-'Juro Real'!C127+(2*'Juro Real'!G127)-'Juro Real'!Q127</f>
        <v>-0.14000000000000057</v>
      </c>
    </row>
    <row r="128" spans="1:4" ht="18.75" customHeight="1" x14ac:dyDescent="0.25">
      <c r="A128" s="2">
        <v>42247</v>
      </c>
      <c r="B128" s="3">
        <f>'Juro Real'!C128</f>
        <v>7.57</v>
      </c>
      <c r="C128" s="3">
        <f>'Juro Real'!Q128-'Juro Real'!C128</f>
        <v>-0.71</v>
      </c>
      <c r="D128" s="3">
        <f>-'Juro Real'!C128+(2*'Juro Real'!G128)-'Juro Real'!Q128</f>
        <v>-0.12999999999999989</v>
      </c>
    </row>
    <row r="129" spans="1:4" ht="18.75" customHeight="1" x14ac:dyDescent="0.25">
      <c r="A129" s="2">
        <v>42277</v>
      </c>
      <c r="B129" s="3">
        <f>'Juro Real'!C129</f>
        <v>7.1</v>
      </c>
      <c r="C129" s="3">
        <f>'Juro Real'!Q129-'Juro Real'!C129</f>
        <v>0.20999999999999996</v>
      </c>
      <c r="D129" s="3">
        <f>-'Juro Real'!C129+(2*'Juro Real'!G129)-'Juro Real'!Q129</f>
        <v>0.39000000000000146</v>
      </c>
    </row>
    <row r="130" spans="1:4" ht="18.75" customHeight="1" x14ac:dyDescent="0.25">
      <c r="A130" s="2">
        <v>42308</v>
      </c>
      <c r="B130" s="3">
        <f>'Juro Real'!C130</f>
        <v>6.18</v>
      </c>
      <c r="C130" s="3">
        <f>'Juro Real'!Q130-'Juro Real'!C130</f>
        <v>0.9300000000000006</v>
      </c>
      <c r="D130" s="3">
        <f>-'Juro Real'!C130+(2*'Juro Real'!G130)-'Juro Real'!Q130</f>
        <v>1.0499999999999998</v>
      </c>
    </row>
    <row r="131" spans="1:4" ht="18.75" customHeight="1" x14ac:dyDescent="0.25">
      <c r="A131" s="2">
        <v>42338</v>
      </c>
      <c r="B131" s="3">
        <f>'Juro Real'!C131</f>
        <v>6.78</v>
      </c>
      <c r="C131" s="3">
        <f>'Juro Real'!Q131-'Juro Real'!C131</f>
        <v>0.22999999999999954</v>
      </c>
      <c r="D131" s="3">
        <f>-'Juro Real'!C131+(2*'Juro Real'!G131)-'Juro Real'!Q131</f>
        <v>1.1100000000000012</v>
      </c>
    </row>
    <row r="132" spans="1:4" ht="18.75" customHeight="1" x14ac:dyDescent="0.25">
      <c r="A132" s="2">
        <v>42369</v>
      </c>
      <c r="B132" s="3">
        <f>'Juro Real'!C132</f>
        <v>6.72</v>
      </c>
      <c r="C132" s="3">
        <f>'Juro Real'!Q132-'Juro Real'!C132</f>
        <v>0.48000000000000043</v>
      </c>
      <c r="D132" s="3">
        <f>-'Juro Real'!C132+(2*'Juro Real'!G132)-'Juro Real'!Q132</f>
        <v>0.25999999999999979</v>
      </c>
    </row>
    <row r="133" spans="1:4" ht="18.75" customHeight="1" x14ac:dyDescent="0.25">
      <c r="A133" s="2">
        <v>42400</v>
      </c>
      <c r="B133" s="3">
        <f>'Juro Real'!C133</f>
        <v>5.05</v>
      </c>
      <c r="C133" s="3">
        <f>'Juro Real'!Q133-'Juro Real'!C133</f>
        <v>2.2000000000000002</v>
      </c>
      <c r="D133" s="3">
        <f>-'Juro Real'!C133+(2*'Juro Real'!G133)-'Juro Real'!Q133</f>
        <v>1.5</v>
      </c>
    </row>
    <row r="134" spans="1:4" ht="18.75" customHeight="1" x14ac:dyDescent="0.25">
      <c r="A134" s="2">
        <v>42429</v>
      </c>
      <c r="B134" s="3">
        <f>'Juro Real'!C134</f>
        <v>5.78</v>
      </c>
      <c r="C134" s="3">
        <f>'Juro Real'!Q134-'Juro Real'!C134</f>
        <v>1.42</v>
      </c>
      <c r="D134" s="3">
        <f>-'Juro Real'!C134+(2*'Juro Real'!G134)-'Juro Real'!Q134</f>
        <v>0.24000000000000021</v>
      </c>
    </row>
    <row r="135" spans="1:4" ht="18.75" customHeight="1" x14ac:dyDescent="0.25">
      <c r="A135" s="2">
        <v>42460</v>
      </c>
      <c r="B135" s="3">
        <f>'Juro Real'!C135</f>
        <v>6.43</v>
      </c>
      <c r="C135" s="3">
        <f>'Juro Real'!Q135-'Juro Real'!C135</f>
        <v>3.0000000000000249E-2</v>
      </c>
      <c r="D135" s="3">
        <f>-'Juro Real'!C135+(2*'Juro Real'!G135)-'Juro Real'!Q135</f>
        <v>0.27000000000000046</v>
      </c>
    </row>
    <row r="136" spans="1:4" ht="18.75" customHeight="1" x14ac:dyDescent="0.25">
      <c r="A136" s="2">
        <v>42490</v>
      </c>
      <c r="B136" s="3">
        <f>'Juro Real'!C136</f>
        <v>6.25</v>
      </c>
      <c r="C136" s="3">
        <f>'Juro Real'!Q136-'Juro Real'!C136</f>
        <v>-0.16999999999999993</v>
      </c>
      <c r="D136" s="3">
        <f>-'Juro Real'!C136+(2*'Juro Real'!G136)-'Juro Real'!Q136</f>
        <v>-0.16999999999999993</v>
      </c>
    </row>
    <row r="137" spans="1:4" ht="18.75" customHeight="1" x14ac:dyDescent="0.25">
      <c r="A137" s="2">
        <v>42521</v>
      </c>
      <c r="B137" s="3">
        <f>'Juro Real'!C137</f>
        <v>6.27</v>
      </c>
      <c r="C137" s="3">
        <f>'Juro Real'!Q137-'Juro Real'!C137</f>
        <v>-0.16999999999999993</v>
      </c>
      <c r="D137" s="3">
        <f>-'Juro Real'!C137+(2*'Juro Real'!G137)-'Juro Real'!Q137</f>
        <v>1.0000000000001563E-2</v>
      </c>
    </row>
    <row r="138" spans="1:4" ht="18.75" customHeight="1" x14ac:dyDescent="0.25">
      <c r="A138" s="2">
        <v>42551</v>
      </c>
      <c r="B138" s="3">
        <f>'Juro Real'!C138</f>
        <v>6.56</v>
      </c>
      <c r="C138" s="3">
        <f>'Juro Real'!Q138-'Juro Real'!C138</f>
        <v>-0.45999999999999996</v>
      </c>
      <c r="D138" s="3">
        <f>-'Juro Real'!C138+(2*'Juro Real'!G138)-'Juro Real'!Q138</f>
        <v>0.22000000000000153</v>
      </c>
    </row>
    <row r="139" spans="1:4" ht="18.75" customHeight="1" x14ac:dyDescent="0.25">
      <c r="A139" s="2">
        <v>42582</v>
      </c>
      <c r="B139" s="3">
        <f>'Juro Real'!C139</f>
        <v>6.54</v>
      </c>
      <c r="C139" s="3">
        <f>'Juro Real'!Q139-'Juro Real'!C139</f>
        <v>-0.63999999999999968</v>
      </c>
      <c r="D139" s="3">
        <f>-'Juro Real'!C139+(2*'Juro Real'!G139)-'Juro Real'!Q139</f>
        <v>-0.2400000000000011</v>
      </c>
    </row>
    <row r="140" spans="1:4" ht="18.75" customHeight="1" x14ac:dyDescent="0.25">
      <c r="A140" s="2">
        <v>42613</v>
      </c>
      <c r="B140" s="3">
        <f>'Juro Real'!C140</f>
        <v>6.29</v>
      </c>
      <c r="C140" s="3">
        <f>'Juro Real'!Q140-'Juro Real'!C140</f>
        <v>-0.54</v>
      </c>
      <c r="D140" s="3">
        <f>-'Juro Real'!C140+(2*'Juro Real'!G140)-'Juro Real'!Q140</f>
        <v>0.26000000000000068</v>
      </c>
    </row>
    <row r="141" spans="1:4" ht="18.75" customHeight="1" x14ac:dyDescent="0.25">
      <c r="A141" s="2">
        <v>42643</v>
      </c>
      <c r="B141" s="3">
        <f>'Juro Real'!C141</f>
        <v>6.91</v>
      </c>
      <c r="C141" s="3">
        <f>'Juro Real'!Q141-'Juro Real'!C141</f>
        <v>-1.0600000000000005</v>
      </c>
      <c r="D141" s="3">
        <f>-'Juro Real'!C141+(2*'Juro Real'!G141)-'Juro Real'!Q141</f>
        <v>-0.69999999999999929</v>
      </c>
    </row>
    <row r="142" spans="1:4" ht="18.75" customHeight="1" x14ac:dyDescent="0.25">
      <c r="A142" s="2">
        <v>42674</v>
      </c>
      <c r="B142" s="3">
        <f>'Juro Real'!C142</f>
        <v>7.33</v>
      </c>
      <c r="C142" s="3">
        <f>'Juro Real'!Q142-'Juro Real'!C142</f>
        <v>-1.58</v>
      </c>
      <c r="D142" s="3">
        <f>-'Juro Real'!C142+(2*'Juro Real'!G142)-'Juro Real'!Q142</f>
        <v>-1.0600000000000005</v>
      </c>
    </row>
    <row r="143" spans="1:4" ht="18.75" customHeight="1" x14ac:dyDescent="0.25">
      <c r="A143" s="2">
        <v>42704</v>
      </c>
      <c r="B143" s="3">
        <f>'Juro Real'!C143</f>
        <v>7.16</v>
      </c>
      <c r="C143" s="3">
        <f>'Juro Real'!Q143-'Juro Real'!C143</f>
        <v>-1.1100000000000003</v>
      </c>
      <c r="D143" s="3">
        <f>-'Juro Real'!C143+(2*'Juro Real'!G143)-'Juro Real'!Q143</f>
        <v>-0.72999999999999954</v>
      </c>
    </row>
    <row r="144" spans="1:4" ht="18.75" customHeight="1" x14ac:dyDescent="0.25">
      <c r="A144" s="2">
        <v>42735</v>
      </c>
      <c r="B144" s="3">
        <f>'Juro Real'!C144</f>
        <v>6.32</v>
      </c>
      <c r="C144" s="3">
        <f>'Juro Real'!Q144-'Juro Real'!C144</f>
        <v>-0.52000000000000046</v>
      </c>
      <c r="D144" s="3">
        <f>-'Juro Real'!C144+(2*'Juro Real'!G144)-'Juro Real'!Q144</f>
        <v>-0.21999999999999975</v>
      </c>
    </row>
    <row r="145" spans="1:4" ht="18.75" customHeight="1" x14ac:dyDescent="0.25">
      <c r="A145" s="2">
        <v>42766</v>
      </c>
      <c r="B145" s="3">
        <f>'Juro Real'!C145</f>
        <v>5.7707319999999998</v>
      </c>
      <c r="C145" s="3">
        <f>'Juro Real'!Q145-'Juro Real'!C145</f>
        <v>-0.16990099999999941</v>
      </c>
      <c r="D145" s="3">
        <f>-'Juro Real'!C145+(2*'Juro Real'!G145)-'Juro Real'!Q145</f>
        <v>0.3037150000000004</v>
      </c>
    </row>
    <row r="146" spans="1:4" ht="18.75" customHeight="1" x14ac:dyDescent="0.25">
      <c r="A146" s="2">
        <v>42794</v>
      </c>
      <c r="B146" s="3">
        <f>'Juro Real'!C146</f>
        <v>5.6374709999999997</v>
      </c>
      <c r="C146" s="3">
        <f>'Juro Real'!Q146-'Juro Real'!C146</f>
        <v>-0.4622440000000001</v>
      </c>
      <c r="D146" s="3">
        <f>-'Juro Real'!C146+(2*'Juro Real'!G146)-'Juro Real'!Q146</f>
        <v>1.2818000000001106E-2</v>
      </c>
    </row>
    <row r="147" spans="1:4" ht="18.75" customHeight="1" x14ac:dyDescent="0.25">
      <c r="A147" s="2">
        <v>42825</v>
      </c>
      <c r="B147" s="3">
        <f>'Juro Real'!C147</f>
        <v>5.4469950000000003</v>
      </c>
      <c r="C147" s="3">
        <f>'Juro Real'!Q147-'Juro Real'!C147</f>
        <v>-0.25490000000000013</v>
      </c>
      <c r="D147" s="3">
        <f>-'Juro Real'!C147+(2*'Juro Real'!G147)-'Juro Real'!Q147</f>
        <v>-0.17501600000000028</v>
      </c>
    </row>
    <row r="148" spans="1:4" ht="18.75" customHeight="1" x14ac:dyDescent="0.25">
      <c r="A148" s="2">
        <v>42855</v>
      </c>
      <c r="B148" s="3">
        <f>'Juro Real'!C148</f>
        <v>5.196326</v>
      </c>
      <c r="C148" s="3">
        <f>'Juro Real'!Q148-'Juro Real'!C148</f>
        <v>0.15402000000000005</v>
      </c>
      <c r="D148" s="3">
        <f>-'Juro Real'!C148+(2*'Juro Real'!G148)-'Juro Real'!Q148</f>
        <v>7.2790000000000354E-2</v>
      </c>
    </row>
    <row r="149" spans="1:4" ht="18.75" customHeight="1" x14ac:dyDescent="0.25">
      <c r="A149" s="2">
        <v>42886</v>
      </c>
      <c r="B149" s="3">
        <f>'Juro Real'!C149</f>
        <v>5.1264830000000003</v>
      </c>
      <c r="C149" s="3">
        <f>'Juro Real'!Q149-'Juro Real'!C149</f>
        <v>0.46638999999999964</v>
      </c>
      <c r="D149" s="3">
        <f>-'Juro Real'!C149+(2*'Juro Real'!G149)-'Juro Real'!Q149</f>
        <v>0.41743199999999892</v>
      </c>
    </row>
    <row r="150" spans="1:4" ht="18.75" customHeight="1" x14ac:dyDescent="0.25">
      <c r="A150" s="2">
        <v>42916</v>
      </c>
      <c r="B150" s="3">
        <f>'Juro Real'!C150</f>
        <v>4.9257340000000003</v>
      </c>
      <c r="C150" s="3">
        <f>'Juro Real'!Q150-'Juro Real'!C150</f>
        <v>0.71411299999999933</v>
      </c>
      <c r="D150" s="3">
        <f>-'Juro Real'!C150+(2*'Juro Real'!G150)-'Juro Real'!Q150</f>
        <v>0.6409710000000004</v>
      </c>
    </row>
    <row r="151" spans="1:4" ht="18.75" customHeight="1" x14ac:dyDescent="0.25">
      <c r="A151" s="2">
        <v>42947</v>
      </c>
      <c r="B151" s="3">
        <f>'Juro Real'!C151</f>
        <v>3.3511039999999999</v>
      </c>
      <c r="C151" s="3">
        <f>'Juro Real'!Q151-'Juro Real'!C151</f>
        <v>1.9332439999999997</v>
      </c>
      <c r="D151" s="3">
        <f>-'Juro Real'!C151+(2*'Juro Real'!G151)-'Juro Real'!Q151</f>
        <v>1.0694760000000016</v>
      </c>
    </row>
    <row r="152" spans="1:4" ht="18.75" customHeight="1" x14ac:dyDescent="0.25">
      <c r="A152" s="2">
        <v>42978</v>
      </c>
      <c r="B152" s="3">
        <f>'Juro Real'!C152</f>
        <v>3.2841320000000001</v>
      </c>
      <c r="C152" s="3">
        <f>'Juro Real'!Q152-'Juro Real'!C152</f>
        <v>1.9579650000000002</v>
      </c>
      <c r="D152" s="3">
        <f>-'Juro Real'!C152+(2*'Juro Real'!G152)-'Juro Real'!Q152</f>
        <v>0.82121499999999958</v>
      </c>
    </row>
    <row r="153" spans="1:4" ht="18.75" customHeight="1" x14ac:dyDescent="0.25">
      <c r="A153" s="2">
        <v>43008</v>
      </c>
      <c r="B153" s="3">
        <f>'Juro Real'!C153</f>
        <v>2.9649380000000001</v>
      </c>
      <c r="C153" s="3">
        <f>'Juro Real'!Q153-'Juro Real'!C153</f>
        <v>2.1049679999999995</v>
      </c>
      <c r="D153" s="3">
        <f>-'Juro Real'!C153+(2*'Juro Real'!G153)-'Juro Real'!Q153</f>
        <v>0.93864400000000003</v>
      </c>
    </row>
    <row r="154" spans="1:4" ht="18.75" customHeight="1" x14ac:dyDescent="0.25">
      <c r="A154" s="2">
        <v>43039</v>
      </c>
      <c r="B154" s="3">
        <f>'Juro Real'!C154</f>
        <v>2.502624</v>
      </c>
      <c r="C154" s="3">
        <f>'Juro Real'!Q154-'Juro Real'!C154</f>
        <v>2.7443020000000002</v>
      </c>
      <c r="D154" s="3">
        <f>-'Juro Real'!C154+(2*'Juro Real'!G154)-'Juro Real'!Q154</f>
        <v>1.5806399999999998</v>
      </c>
    </row>
    <row r="155" spans="1:4" ht="18.75" customHeight="1" x14ac:dyDescent="0.25">
      <c r="A155" s="2">
        <v>43069</v>
      </c>
      <c r="B155" s="3">
        <f>'Juro Real'!C155</f>
        <v>2.4532569999999998</v>
      </c>
      <c r="C155" s="3">
        <f>'Juro Real'!Q155-'Juro Real'!C155</f>
        <v>2.9849740000000002</v>
      </c>
      <c r="D155" s="3">
        <f>-'Juro Real'!C155+(2*'Juro Real'!G155)-'Juro Real'!Q155</f>
        <v>1.9293699999999996</v>
      </c>
    </row>
    <row r="156" spans="1:4" ht="18.75" customHeight="1" x14ac:dyDescent="0.25">
      <c r="A156" s="2">
        <v>43100</v>
      </c>
      <c r="B156" s="3">
        <f>'Juro Real'!C156</f>
        <v>2.5265019999999998</v>
      </c>
      <c r="C156" s="3">
        <f>'Juro Real'!Q156-'Juro Real'!C156</f>
        <v>2.9078530000000002</v>
      </c>
      <c r="D156" s="3">
        <f>-'Juro Real'!C156+(2*'Juro Real'!G156)-'Juro Real'!Q156</f>
        <v>1.8034430000000006</v>
      </c>
    </row>
    <row r="157" spans="1:4" ht="18.75" customHeight="1" x14ac:dyDescent="0.25">
      <c r="A157" s="2">
        <v>43131</v>
      </c>
      <c r="B157" s="3">
        <f>'Juro Real'!C157</f>
        <v>2.336792</v>
      </c>
      <c r="C157" s="3">
        <f>'Juro Real'!Q157-'Juro Real'!C157</f>
        <v>2.7209190000000003</v>
      </c>
      <c r="D157" s="3">
        <f>-'Juro Real'!C157+(2*'Juro Real'!G157)-'Juro Real'!Q157</f>
        <v>1.7029610000000002</v>
      </c>
    </row>
    <row r="158" spans="1:4" ht="18.75" customHeight="1" x14ac:dyDescent="0.25">
      <c r="A158" s="2">
        <v>43159</v>
      </c>
      <c r="B158" s="3">
        <f>'Juro Real'!C158</f>
        <v>2.5055239999999999</v>
      </c>
      <c r="C158" s="3">
        <f>'Juro Real'!Q158-'Juro Real'!C158</f>
        <v>2.5636170000000003</v>
      </c>
      <c r="D158" s="3">
        <f>-'Juro Real'!C158+(2*'Juro Real'!G158)-'Juro Real'!Q158</f>
        <v>1.5728770000000001</v>
      </c>
    </row>
    <row r="159" spans="1:4" ht="18.75" customHeight="1" x14ac:dyDescent="0.25">
      <c r="A159" s="2">
        <v>43190</v>
      </c>
      <c r="B159" s="3">
        <f>'Juro Real'!C159</f>
        <v>2.0485190000000002</v>
      </c>
      <c r="C159" s="3">
        <f>'Juro Real'!Q159-'Juro Real'!C159</f>
        <v>3.0723379999999998</v>
      </c>
      <c r="D159" s="3">
        <f>-'Juro Real'!C159+(2*'Juro Real'!G159)-'Juro Real'!Q159</f>
        <v>1.3614039999999994</v>
      </c>
    </row>
    <row r="160" spans="1:4" ht="18.75" customHeight="1" x14ac:dyDescent="0.25">
      <c r="A160" s="2">
        <v>43220</v>
      </c>
      <c r="B160" s="3">
        <f>'Juro Real'!C160</f>
        <v>1.968439</v>
      </c>
      <c r="C160" s="3">
        <f>'Juro Real'!Q160-'Juro Real'!C160</f>
        <v>3.275074</v>
      </c>
      <c r="D160" s="3">
        <f>-'Juro Real'!C160+(2*'Juro Real'!G160)-'Juro Real'!Q160</f>
        <v>1.5622279999999993</v>
      </c>
    </row>
    <row r="161" spans="1:4" ht="18.75" customHeight="1" x14ac:dyDescent="0.25">
      <c r="A161" s="2">
        <v>43251</v>
      </c>
      <c r="B161" s="3">
        <f>'Juro Real'!C161</f>
        <v>2.203878</v>
      </c>
      <c r="C161" s="3">
        <f>'Juro Real'!Q161-'Juro Real'!C161</f>
        <v>3.5113090000000002</v>
      </c>
      <c r="D161" s="3">
        <f>-'Juro Real'!C161+(2*'Juro Real'!G161)-'Juro Real'!Q161</f>
        <v>2.6216530000000002</v>
      </c>
    </row>
    <row r="162" spans="1:4" ht="18.75" customHeight="1" x14ac:dyDescent="0.25">
      <c r="A162" s="2">
        <v>43281</v>
      </c>
      <c r="B162" s="3">
        <f>'Juro Real'!C162</f>
        <v>2.6383760000000001</v>
      </c>
      <c r="C162" s="3">
        <f>'Juro Real'!Q162-'Juro Real'!C162</f>
        <v>3.2863480000000003</v>
      </c>
      <c r="D162" s="3">
        <f>-'Juro Real'!C162+(2*'Juro Real'!G162)-'Juro Real'!Q162</f>
        <v>2.5527319999999998</v>
      </c>
    </row>
    <row r="163" spans="1:4" ht="18.75" customHeight="1" x14ac:dyDescent="0.25">
      <c r="A163" s="2">
        <v>43312</v>
      </c>
      <c r="B163" s="3">
        <f>'Juro Real'!C163</f>
        <v>3.2821509999999998</v>
      </c>
      <c r="C163" s="3">
        <f>'Juro Real'!Q163-'Juro Real'!C163</f>
        <v>2.471457</v>
      </c>
      <c r="D163" s="3">
        <f>-'Juro Real'!C163+(2*'Juro Real'!G163)-'Juro Real'!Q163</f>
        <v>1.7094770000000006</v>
      </c>
    </row>
    <row r="164" spans="1:4" ht="18.75" customHeight="1" x14ac:dyDescent="0.25">
      <c r="A164" s="2">
        <v>43343</v>
      </c>
      <c r="B164" s="3">
        <f>'Juro Real'!C164</f>
        <v>3.1822279999999998</v>
      </c>
      <c r="C164" s="3">
        <f>'Juro Real'!Q164-'Juro Real'!C164</f>
        <v>2.6517079999999997</v>
      </c>
      <c r="D164" s="3">
        <f>-'Juro Real'!C164+(2*'Juro Real'!G164)-'Juro Real'!Q164</f>
        <v>2.2481880000000007</v>
      </c>
    </row>
    <row r="165" spans="1:4" ht="18.75" customHeight="1" x14ac:dyDescent="0.25">
      <c r="A165" s="2">
        <v>43373</v>
      </c>
      <c r="B165" s="3">
        <f>'Juro Real'!C165</f>
        <v>2.5854560000000002</v>
      </c>
      <c r="C165" s="3">
        <f>'Juro Real'!Q165-'Juro Real'!C165</f>
        <v>3.4196709999999997</v>
      </c>
      <c r="D165" s="3">
        <f>-'Juro Real'!C165+(2*'Juro Real'!G165)-'Juro Real'!Q165</f>
        <v>2.9840169999999997</v>
      </c>
    </row>
    <row r="166" spans="1:4" ht="18.75" customHeight="1" x14ac:dyDescent="0.25">
      <c r="A166" s="2">
        <v>43404</v>
      </c>
      <c r="B166" s="3">
        <f>'Juro Real'!C166</f>
        <v>2.5014439999999998</v>
      </c>
      <c r="C166" s="3">
        <f>'Juro Real'!Q166-'Juro Real'!C166</f>
        <v>2.6694990000000005</v>
      </c>
      <c r="D166" s="3">
        <f>-'Juro Real'!C166+(2*'Juro Real'!G166)-'Juro Real'!Q166</f>
        <v>1.7093490000000005</v>
      </c>
    </row>
    <row r="167" spans="1:4" ht="18.75" customHeight="1" x14ac:dyDescent="0.25">
      <c r="A167" s="2">
        <v>43434</v>
      </c>
      <c r="B167" s="3">
        <f>'Juro Real'!C167</f>
        <v>3.0424150000000001</v>
      </c>
      <c r="C167" s="3">
        <f>'Juro Real'!Q167-'Juro Real'!C167</f>
        <v>2.0277789999999998</v>
      </c>
      <c r="D167" s="3">
        <f>-'Juro Real'!C167+(2*'Juro Real'!G167)-'Juro Real'!Q167</f>
        <v>1.4059130000000009</v>
      </c>
    </row>
    <row r="168" spans="1:4" ht="18.75" customHeight="1" x14ac:dyDescent="0.25">
      <c r="A168" s="2">
        <v>43465</v>
      </c>
      <c r="B168" s="3">
        <f>'Juro Real'!C168</f>
        <v>2.5564230000000001</v>
      </c>
      <c r="C168" s="3">
        <f>'Juro Real'!Q168-'Juro Real'!C168</f>
        <v>2.389224</v>
      </c>
      <c r="D168" s="3">
        <f>-'Juro Real'!C168+(2*'Juro Real'!G168)-'Juro Real'!Q168</f>
        <v>1.3347879999999988</v>
      </c>
    </row>
    <row r="169" spans="1:4" ht="18.75" customHeight="1" x14ac:dyDescent="0.25">
      <c r="A169" s="2">
        <v>43496</v>
      </c>
      <c r="B169" s="3">
        <f>'Juro Real'!C169</f>
        <v>2.2948940000000002</v>
      </c>
      <c r="C169" s="3">
        <f>'Juro Real'!Q169-'Juro Real'!C169</f>
        <v>2.1501969999999995</v>
      </c>
      <c r="D169" s="3">
        <f>-'Juro Real'!C169+(2*'Juro Real'!G169)-'Juro Real'!Q169</f>
        <v>1.2600069999999999</v>
      </c>
    </row>
    <row r="170" spans="1:4" ht="18.75" customHeight="1" x14ac:dyDescent="0.25">
      <c r="A170" s="2">
        <v>43524</v>
      </c>
      <c r="B170" s="3">
        <f>'Juro Real'!C170</f>
        <v>2.0822289999999999</v>
      </c>
      <c r="C170" s="3">
        <f>'Juro Real'!Q170-'Juro Real'!C170</f>
        <v>2.3728110000000004</v>
      </c>
      <c r="D170" s="3">
        <f>-'Juro Real'!C170+(2*'Juro Real'!G170)-'Juro Real'!Q170</f>
        <v>1.5182749999999992</v>
      </c>
    </row>
    <row r="171" spans="1:4" ht="18.75" customHeight="1" x14ac:dyDescent="0.25">
      <c r="A171" s="2">
        <v>43555</v>
      </c>
      <c r="B171" s="3">
        <f>'Juro Real'!C171</f>
        <v>2.1859419999999998</v>
      </c>
      <c r="C171" s="3">
        <f>'Juro Real'!Q171-'Juro Real'!C171</f>
        <v>2.2762669999999998</v>
      </c>
      <c r="D171" s="3">
        <f>-'Juro Real'!C171+(2*'Juro Real'!G171)-'Juro Real'!Q171</f>
        <v>1.4348929999999998</v>
      </c>
    </row>
    <row r="172" spans="1:4" ht="18.75" customHeight="1" x14ac:dyDescent="0.25">
      <c r="A172" s="2">
        <v>43585</v>
      </c>
      <c r="B172" s="3">
        <f>'Juro Real'!C172</f>
        <v>2.1668050000000001</v>
      </c>
      <c r="C172" s="3">
        <f>'Juro Real'!Q172-'Juro Real'!C172</f>
        <v>2.2563430000000002</v>
      </c>
      <c r="D172" s="3">
        <f>-'Juro Real'!C172+(2*'Juro Real'!G172)-'Juro Real'!Q172</f>
        <v>1.4609630000000005</v>
      </c>
    </row>
    <row r="173" spans="1:4" ht="18.75" customHeight="1" x14ac:dyDescent="0.25">
      <c r="A173" s="2">
        <v>43616</v>
      </c>
      <c r="B173" s="3">
        <f>'Juro Real'!C173</f>
        <v>3.007666</v>
      </c>
      <c r="C173" s="3">
        <f>'Juro Real'!Q173-'Juro Real'!C173</f>
        <v>0.99473000000000011</v>
      </c>
      <c r="D173" s="3">
        <f>-'Juro Real'!C173+(2*'Juro Real'!G173)-'Juro Real'!Q173</f>
        <v>0.24445800000000073</v>
      </c>
    </row>
    <row r="174" spans="1:4" ht="18.75" customHeight="1" x14ac:dyDescent="0.25">
      <c r="A174" s="2">
        <v>43646</v>
      </c>
      <c r="B174" s="3">
        <f>'Juro Real'!C174</f>
        <v>2.5432250000000001</v>
      </c>
      <c r="C174" s="3">
        <f>'Juro Real'!Q174-'Juro Real'!C174</f>
        <v>1.102833</v>
      </c>
      <c r="D174" s="3">
        <f>-'Juro Real'!C174+(2*'Juro Real'!G174)-'Juro Real'!Q174</f>
        <v>-5.1266999999999729E-2</v>
      </c>
    </row>
    <row r="175" spans="1:4" ht="18.75" customHeight="1" x14ac:dyDescent="0.25">
      <c r="A175" s="2">
        <v>43677</v>
      </c>
      <c r="B175" s="3">
        <f>'Juro Real'!C175</f>
        <v>2.0558709999999998</v>
      </c>
      <c r="C175" s="3">
        <f>'Juro Real'!Q175-'Juro Real'!C175</f>
        <v>1.5488310000000003</v>
      </c>
      <c r="D175" s="3">
        <f>-'Juro Real'!C175+(2*'Juro Real'!G175)-'Juro Real'!Q175</f>
        <v>0.21995500000000012</v>
      </c>
    </row>
    <row r="176" spans="1:4" ht="18.75" customHeight="1" x14ac:dyDescent="0.25">
      <c r="A176" s="2">
        <v>43708</v>
      </c>
      <c r="B176" s="3">
        <f>'Juro Real'!C176</f>
        <v>2.0818500000000002</v>
      </c>
      <c r="C176" s="3">
        <f>'Juro Real'!Q176-'Juro Real'!C176</f>
        <v>1.5995929999999996</v>
      </c>
      <c r="D176" s="3">
        <f>-'Juro Real'!C176+(2*'Juro Real'!G176)-'Juro Real'!Q176</f>
        <v>0.31134299999999993</v>
      </c>
    </row>
    <row r="177" spans="1:4" ht="18.75" customHeight="1" x14ac:dyDescent="0.25">
      <c r="A177" s="2">
        <v>43738</v>
      </c>
      <c r="B177" s="3">
        <f>'Juro Real'!C177</f>
        <v>1.404674</v>
      </c>
      <c r="C177" s="3">
        <f>'Juro Real'!Q177-'Juro Real'!C177</f>
        <v>2.0249809999999999</v>
      </c>
      <c r="D177" s="3">
        <f>-'Juro Real'!C177+(2*'Juro Real'!G177)-'Juro Real'!Q177</f>
        <v>0.32669099999999984</v>
      </c>
    </row>
    <row r="178" spans="1:4" ht="18.75" customHeight="1" x14ac:dyDescent="0.25">
      <c r="A178" s="2">
        <v>43769</v>
      </c>
      <c r="B178" s="3">
        <f>'Juro Real'!C178</f>
        <v>0.51431199999999999</v>
      </c>
      <c r="C178" s="3">
        <f>'Juro Real'!Q178-'Juro Real'!C178</f>
        <v>2.6343939999999999</v>
      </c>
      <c r="D178" s="3">
        <f>-'Juro Real'!C178+(2*'Juro Real'!G178)-'Juro Real'!Q178</f>
        <v>0.48010799999999998</v>
      </c>
    </row>
    <row r="179" spans="1:4" ht="18.75" customHeight="1" x14ac:dyDescent="0.25">
      <c r="A179" s="2">
        <v>43799</v>
      </c>
      <c r="B179" s="3">
        <f>'Juro Real'!C179</f>
        <v>0.193157</v>
      </c>
      <c r="C179" s="3">
        <f>'Juro Real'!Q179-'Juro Real'!C179</f>
        <v>3.2858720000000003</v>
      </c>
      <c r="D179" s="3">
        <f>-'Juro Real'!C179+(2*'Juro Real'!G179)-'Juro Real'!Q179</f>
        <v>1.3386159999999996</v>
      </c>
    </row>
    <row r="180" spans="1:4" ht="18.75" customHeight="1" x14ac:dyDescent="0.25">
      <c r="A180" s="2">
        <v>43830</v>
      </c>
      <c r="B180" s="3">
        <f>'Juro Real'!C180</f>
        <v>0.282939</v>
      </c>
      <c r="C180" s="3">
        <f>'Juro Real'!Q180-'Juro Real'!C180</f>
        <v>3.1060980000000002</v>
      </c>
      <c r="D180" s="3">
        <f>-'Juro Real'!C180+(2*'Juro Real'!G180)-'Juro Real'!Q180</f>
        <v>1.2369900000000005</v>
      </c>
    </row>
    <row r="181" spans="1:4" ht="18.75" customHeight="1" x14ac:dyDescent="0.25">
      <c r="A181" s="2">
        <v>43861</v>
      </c>
      <c r="B181" s="3">
        <f>'Juro Real'!C181</f>
        <v>1.070109</v>
      </c>
      <c r="C181" s="3">
        <f>'Juro Real'!Q181-'Juro Real'!C181</f>
        <v>2.4013689999999999</v>
      </c>
      <c r="D181" s="3">
        <f>-'Juro Real'!C181+(2*'Juro Real'!G181)-'Juro Real'!Q181</f>
        <v>0.35660299999999978</v>
      </c>
    </row>
    <row r="182" spans="1:4" ht="18.75" customHeight="1" x14ac:dyDescent="0.25">
      <c r="A182" s="2">
        <v>43890</v>
      </c>
      <c r="B182" s="3">
        <f>'Juro Real'!C182</f>
        <v>0.78224899999999997</v>
      </c>
      <c r="C182" s="3">
        <f>'Juro Real'!Q182-'Juro Real'!C182</f>
        <v>2.6861730000000001</v>
      </c>
      <c r="D182" s="3">
        <f>-'Juro Real'!C182+(2*'Juro Real'!G182)-'Juro Real'!Q182</f>
        <v>0.44984500000000027</v>
      </c>
    </row>
    <row r="183" spans="1:4" ht="18.75" customHeight="1" x14ac:dyDescent="0.25">
      <c r="A183" s="2">
        <v>43921</v>
      </c>
      <c r="B183" s="3">
        <f>'Juro Real'!C183</f>
        <v>1.99884</v>
      </c>
      <c r="C183" s="3">
        <f>'Juro Real'!Q183-'Juro Real'!C183</f>
        <v>2.4563710000000003</v>
      </c>
      <c r="D183" s="3">
        <f>-'Juro Real'!C183+(2*'Juro Real'!G183)-'Juro Real'!Q183</f>
        <v>4.5911000000000257E-2</v>
      </c>
    </row>
    <row r="184" spans="1:4" ht="18.75" customHeight="1" x14ac:dyDescent="0.25">
      <c r="A184" s="2">
        <v>43951</v>
      </c>
      <c r="B184" s="3">
        <f>'Juro Real'!C184</f>
        <v>1.9763189999999999</v>
      </c>
      <c r="C184" s="3">
        <f>'Juro Real'!Q184-'Juro Real'!C184</f>
        <v>2.3894089999999997</v>
      </c>
      <c r="D184" s="3">
        <f>-'Juro Real'!C184+(2*'Juro Real'!G184)-'Juro Real'!Q184</f>
        <v>-0.13564099999999968</v>
      </c>
    </row>
    <row r="185" spans="1:4" ht="18.75" customHeight="1" x14ac:dyDescent="0.25">
      <c r="A185" s="2">
        <v>43982</v>
      </c>
      <c r="B185" s="3">
        <f>'Juro Real'!C185</f>
        <v>0.53392899999999999</v>
      </c>
      <c r="C185" s="3">
        <f>'Juro Real'!Q185-'Juro Real'!C185</f>
        <v>3.7373379999999998</v>
      </c>
      <c r="D185" s="3">
        <f>-'Juro Real'!C185+(2*'Juro Real'!G185)-'Juro Real'!Q185</f>
        <v>-8.3887999999999963E-2</v>
      </c>
    </row>
    <row r="186" spans="1:4" ht="18.75" customHeight="1" x14ac:dyDescent="0.25">
      <c r="A186" s="2">
        <v>44012</v>
      </c>
      <c r="B186" s="3">
        <f>'Juro Real'!C186</f>
        <v>-0.31987300000000002</v>
      </c>
      <c r="C186" s="3">
        <f>'Juro Real'!Q186-'Juro Real'!C186</f>
        <v>4.3876610000000005</v>
      </c>
      <c r="D186" s="3">
        <f>-'Juro Real'!C186+(2*'Juro Real'!G186)-'Juro Real'!Q186</f>
        <v>0.51883899999999983</v>
      </c>
    </row>
    <row r="187" spans="1:4" ht="18.75" customHeight="1" x14ac:dyDescent="0.25">
      <c r="A187" s="2">
        <v>44043</v>
      </c>
      <c r="B187" s="3">
        <f>'Juro Real'!C187</f>
        <v>-0.48840099999999997</v>
      </c>
      <c r="C187" s="3">
        <f>'Juro Real'!Q187-'Juro Real'!C187</f>
        <v>4.0068770000000002</v>
      </c>
      <c r="D187" s="3">
        <f>-'Juro Real'!C187+(2*'Juro Real'!G187)-'Juro Real'!Q187</f>
        <v>0.38157700000000006</v>
      </c>
    </row>
    <row r="188" spans="1:4" ht="18.75" customHeight="1" x14ac:dyDescent="0.25">
      <c r="A188" s="2">
        <v>44074</v>
      </c>
      <c r="B188" s="3">
        <f>'Juro Real'!C188</f>
        <v>-1.1128899999999999</v>
      </c>
      <c r="C188" s="3">
        <f>'Juro Real'!Q188-'Juro Real'!C188</f>
        <v>4.9920879999999999</v>
      </c>
      <c r="D188" s="3">
        <f>-'Juro Real'!C188+(2*'Juro Real'!G188)-'Juro Real'!Q188</f>
        <v>1.3725299999999998</v>
      </c>
    </row>
    <row r="189" spans="1:4" ht="18.75" customHeight="1" x14ac:dyDescent="0.25">
      <c r="A189" s="2">
        <v>44104</v>
      </c>
      <c r="B189" s="3">
        <f>'Juro Real'!C189</f>
        <v>-1.5441780000000001</v>
      </c>
      <c r="C189" s="3">
        <f>'Juro Real'!Q189-'Juro Real'!C189</f>
        <v>5.7133339999999997</v>
      </c>
      <c r="D189" s="3">
        <f>-'Juro Real'!C189+(2*'Juro Real'!G189)-'Juro Real'!Q189</f>
        <v>2.2639439999999995</v>
      </c>
    </row>
    <row r="190" spans="1:4" ht="18.75" customHeight="1" x14ac:dyDescent="0.25">
      <c r="A190" s="2">
        <v>44135</v>
      </c>
      <c r="B190" s="3">
        <f>'Juro Real'!C190</f>
        <v>-1.595291</v>
      </c>
      <c r="C190" s="3">
        <f>'Juro Real'!Q190-'Juro Real'!C190</f>
        <v>5.8429699999999993</v>
      </c>
      <c r="D190" s="3">
        <f>-'Juro Real'!C190+(2*'Juro Real'!G190)-'Juro Real'!Q190</f>
        <v>2.8837440000000001</v>
      </c>
    </row>
    <row r="191" spans="1:4" ht="18.75" customHeight="1" x14ac:dyDescent="0.25">
      <c r="A191" s="2">
        <v>44165</v>
      </c>
      <c r="B191" s="3">
        <f>'Juro Real'!C191</f>
        <v>-1.9388430000000001</v>
      </c>
      <c r="C191" s="3">
        <f>'Juro Real'!Q191-'Juro Real'!C191</f>
        <v>6.0525900000000004</v>
      </c>
      <c r="D191" s="3">
        <f>-'Juro Real'!C191+(2*'Juro Real'!G191)-'Juro Real'!Q191</f>
        <v>3.1381800000000002</v>
      </c>
    </row>
    <row r="192" spans="1:4" ht="18.75" customHeight="1" x14ac:dyDescent="0.25">
      <c r="A192" s="2">
        <v>44196</v>
      </c>
      <c r="B192" s="3">
        <f>'Juro Real'!C192</f>
        <v>-1.6147629999999999</v>
      </c>
      <c r="C192" s="3">
        <f>'Juro Real'!Q192-'Juro Real'!C192</f>
        <v>5.1961300000000001</v>
      </c>
      <c r="D192" s="3">
        <f>-'Juro Real'!C192+(2*'Juro Real'!G192)-'Juro Real'!Q192</f>
        <v>2.2848619999999995</v>
      </c>
    </row>
    <row r="193" spans="1:4" ht="18.75" customHeight="1" x14ac:dyDescent="0.25">
      <c r="A193" s="2">
        <v>44227</v>
      </c>
      <c r="B193" s="3">
        <f>'Juro Real'!C193</f>
        <v>-1.0302990000000001</v>
      </c>
      <c r="C193" s="3">
        <f>'Juro Real'!Q193-'Juro Real'!C193</f>
        <v>4.8585140000000004</v>
      </c>
      <c r="D193" s="3">
        <f>-'Juro Real'!C193+(2*'Juro Real'!G193)-'Juro Real'!Q193</f>
        <v>2.2233700000000001</v>
      </c>
    </row>
    <row r="194" spans="1:4" ht="18.75" customHeight="1" x14ac:dyDescent="0.25">
      <c r="A194" s="2">
        <v>44255</v>
      </c>
      <c r="B194" s="3">
        <f>'Juro Real'!C194</f>
        <v>-0.77126899999999998</v>
      </c>
      <c r="C194" s="3">
        <f>'Juro Real'!Q194-'Juro Real'!C194</f>
        <v>4.8306469999999999</v>
      </c>
      <c r="D194" s="3">
        <f>-'Juro Real'!C194+(2*'Juro Real'!G194)-'Juro Real'!Q194</f>
        <v>2.9468170000000002</v>
      </c>
    </row>
    <row r="195" spans="1:4" ht="18.75" customHeight="1" x14ac:dyDescent="0.25">
      <c r="A195" s="2">
        <v>44286</v>
      </c>
      <c r="B195" s="3">
        <f>'Juro Real'!C195</f>
        <v>-0.11282300000000001</v>
      </c>
      <c r="C195" s="3">
        <f>'Juro Real'!Q195-'Juro Real'!C195</f>
        <v>4.3915609999999994</v>
      </c>
      <c r="D195" s="3">
        <f>-'Juro Real'!C195+(2*'Juro Real'!G195)-'Juro Real'!Q195</f>
        <v>2.9292790000000002</v>
      </c>
    </row>
    <row r="196" spans="1:4" ht="18.75" customHeight="1" x14ac:dyDescent="0.25">
      <c r="A196" s="2">
        <v>44316</v>
      </c>
      <c r="B196" s="3">
        <f>'Juro Real'!C196</f>
        <v>1.223209</v>
      </c>
      <c r="C196" s="3">
        <f>'Juro Real'!Q196-'Juro Real'!C196</f>
        <v>3.0876850000000005</v>
      </c>
      <c r="D196" s="3">
        <f>-'Juro Real'!C196+(2*'Juro Real'!G196)-'Juro Real'!Q196</f>
        <v>1.2955769999999998</v>
      </c>
    </row>
    <row r="197" spans="1:4" ht="18.75" customHeight="1" x14ac:dyDescent="0.25">
      <c r="A197" s="2">
        <v>44347</v>
      </c>
      <c r="B197" s="3">
        <f>'Juro Real'!C197</f>
        <v>1.1674340000000001</v>
      </c>
      <c r="C197" s="3">
        <f>'Juro Real'!Q197-'Juro Real'!C197</f>
        <v>3.1218029999999999</v>
      </c>
      <c r="D197" s="3">
        <f>-'Juro Real'!C197+(2*'Juro Real'!G197)-'Juro Real'!Q197</f>
        <v>1.5742070000000004</v>
      </c>
    </row>
    <row r="198" spans="1:4" ht="18.75" customHeight="1" x14ac:dyDescent="0.25">
      <c r="A198" s="2">
        <v>44377</v>
      </c>
      <c r="B198" s="3">
        <f>'Juro Real'!C198</f>
        <v>1.6477390000000001</v>
      </c>
      <c r="C198" s="3">
        <f>'Juro Real'!Q198-'Juro Real'!C198</f>
        <v>2.6334069999999996</v>
      </c>
      <c r="D198" s="3">
        <f>-'Juro Real'!C198+(2*'Juro Real'!G198)-'Juro Real'!Q198</f>
        <v>1.600359000000001</v>
      </c>
    </row>
    <row r="199" spans="1:4" ht="18.75" customHeight="1" x14ac:dyDescent="0.25">
      <c r="A199" s="2">
        <v>44408</v>
      </c>
      <c r="B199" s="3">
        <f>'Juro Real'!C199</f>
        <v>1.88568</v>
      </c>
      <c r="C199" s="3">
        <f>'Juro Real'!Q199-'Juro Real'!C199</f>
        <v>2.5845000000000002</v>
      </c>
      <c r="D199" s="3">
        <f>-'Juro Real'!C199+(2*'Juro Real'!G199)-'Juro Real'!Q199</f>
        <v>1.8472000000000008</v>
      </c>
    </row>
    <row r="200" spans="1:4" ht="18.75" customHeight="1" x14ac:dyDescent="0.25">
      <c r="A200" s="2">
        <v>44439</v>
      </c>
      <c r="B200" s="3">
        <f>'Juro Real'!C200</f>
        <v>2.7085189999999999</v>
      </c>
      <c r="C200" s="3">
        <f>'Juro Real'!Q200-'Juro Real'!C200</f>
        <v>2.0629600000000003</v>
      </c>
      <c r="D200" s="3">
        <f>-'Juro Real'!C200+(2*'Juro Real'!G200)-'Juro Real'!Q200</f>
        <v>1.4300320000000006</v>
      </c>
    </row>
    <row r="201" spans="1:4" ht="18.75" customHeight="1" x14ac:dyDescent="0.25">
      <c r="A201" s="2">
        <v>44469</v>
      </c>
      <c r="B201" s="3">
        <f>'Juro Real'!C201</f>
        <v>2.9985140000000001</v>
      </c>
      <c r="C201" s="3">
        <f>'Juro Real'!Q201-'Juro Real'!C201</f>
        <v>2.0480689999999999</v>
      </c>
      <c r="D201" s="3">
        <f>-'Juro Real'!C201+(2*'Juro Real'!G201)-'Juro Real'!Q201</f>
        <v>1.4170350000000003</v>
      </c>
    </row>
    <row r="202" spans="1:4" ht="18.75" customHeight="1" x14ac:dyDescent="0.25">
      <c r="A202" s="2">
        <v>44500</v>
      </c>
      <c r="B202" s="3">
        <f>'Juro Real'!C202</f>
        <v>5.2019580000000003</v>
      </c>
      <c r="C202" s="3">
        <f>'Juro Real'!Q202-'Juro Real'!C202</f>
        <v>0.29775499999999955</v>
      </c>
      <c r="D202" s="3">
        <f>-'Juro Real'!C202+(2*'Juro Real'!G202)-'Juro Real'!Q202</f>
        <v>0.19574299999999933</v>
      </c>
    </row>
    <row r="203" spans="1:4" ht="18.75" customHeight="1" x14ac:dyDescent="0.25">
      <c r="A203" s="2">
        <v>44530</v>
      </c>
      <c r="B203" s="3">
        <f>'Juro Real'!C203</f>
        <v>5.0039879999999997</v>
      </c>
      <c r="C203" s="3">
        <f>'Juro Real'!Q203-'Juro Real'!C203</f>
        <v>0.19706700000000055</v>
      </c>
      <c r="D203" s="3">
        <f>-'Juro Real'!C203+(2*'Juro Real'!G203)-'Juro Real'!Q203</f>
        <v>-2.3099000000000203E-2</v>
      </c>
    </row>
    <row r="204" spans="1:4" ht="18.75" customHeight="1" x14ac:dyDescent="0.25">
      <c r="A204" s="2">
        <v>44561</v>
      </c>
      <c r="B204" s="3">
        <f>'Juro Real'!C204</f>
        <v>5.7512420000000004</v>
      </c>
      <c r="C204" s="3">
        <f>'Juro Real'!Q204-'Juro Real'!C204</f>
        <v>-0.35878300000000074</v>
      </c>
      <c r="D204" s="3">
        <f>-'Juro Real'!C204+(2*'Juro Real'!G204)-'Juro Real'!Q204</f>
        <v>-0.96430499999999952</v>
      </c>
    </row>
    <row r="205" spans="1:4" ht="18.75" customHeight="1" x14ac:dyDescent="0.25">
      <c r="A205" s="2">
        <v>44592</v>
      </c>
      <c r="C205" s="3"/>
      <c r="D205" s="3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08DE-2D5B-468F-A13D-362215AB7E5A}">
  <dimension ref="A1:D205"/>
  <sheetViews>
    <sheetView workbookViewId="0">
      <pane ySplit="1" topLeftCell="A179" activePane="bottomLeft" state="frozen"/>
      <selection pane="bottomLeft" activeCell="A205" sqref="A205"/>
    </sheetView>
  </sheetViews>
  <sheetFormatPr defaultColWidth="11.875" defaultRowHeight="15.75" x14ac:dyDescent="0.25"/>
  <cols>
    <col min="1" max="16384" width="11.875" style="1"/>
  </cols>
  <sheetData>
    <row r="1" spans="1:4" ht="18.75" customHeight="1" x14ac:dyDescent="0.25">
      <c r="A1" s="1" t="s">
        <v>0</v>
      </c>
      <c r="B1" s="1" t="s">
        <v>17</v>
      </c>
      <c r="C1" s="1" t="s">
        <v>18</v>
      </c>
      <c r="D1" s="1" t="s">
        <v>19</v>
      </c>
    </row>
    <row r="2" spans="1:4" ht="18.75" customHeight="1" x14ac:dyDescent="0.25">
      <c r="A2" s="2">
        <v>38411</v>
      </c>
      <c r="B2" s="3">
        <f>'Inflação Implícita'!C2</f>
        <v>6.1577016020764264</v>
      </c>
      <c r="C2" s="3">
        <f>'Inflação Implícita'!Q2-'Inflação Implícita'!C2</f>
        <v>-0.69401955547980787</v>
      </c>
      <c r="D2" s="3">
        <f>-'Inflação Implícita'!C2+(2*'Inflação Implícita'!G2)-'Inflação Implícita'!Q2</f>
        <v>0.5536438137949018</v>
      </c>
    </row>
    <row r="3" spans="1:4" ht="18.75" customHeight="1" x14ac:dyDescent="0.25">
      <c r="A3" s="2">
        <v>38442</v>
      </c>
      <c r="B3" s="3">
        <f>'Inflação Implícita'!C3</f>
        <v>7.0024239159709012</v>
      </c>
      <c r="C3" s="3">
        <f>'Inflação Implícita'!Q3-'Inflação Implícita'!C3</f>
        <v>-0.23178171413604787</v>
      </c>
      <c r="D3" s="3">
        <f>-'Inflação Implícita'!C3+(2*'Inflação Implícita'!G3)-'Inflação Implícita'!Q3</f>
        <v>0.90987414098102626</v>
      </c>
    </row>
    <row r="4" spans="1:4" ht="18.75" customHeight="1" x14ac:dyDescent="0.25">
      <c r="A4" s="2">
        <v>38472</v>
      </c>
      <c r="B4" s="3">
        <f>'Inflação Implícita'!C4</f>
        <v>6.8029040064533586</v>
      </c>
      <c r="C4" s="3">
        <f>'Inflação Implícita'!Q4-'Inflação Implícita'!C4</f>
        <v>-0.28914253856344718</v>
      </c>
      <c r="D4" s="3">
        <f>-'Inflação Implícita'!C4+(2*'Inflação Implícita'!G4)-'Inflação Implícita'!Q4</f>
        <v>0.43218878780153513</v>
      </c>
    </row>
    <row r="5" spans="1:4" ht="18.75" customHeight="1" x14ac:dyDescent="0.25">
      <c r="A5" s="2">
        <v>38503</v>
      </c>
      <c r="B5" s="3">
        <f>'Inflação Implícita'!C5</f>
        <v>5.5229455709711939</v>
      </c>
      <c r="C5" s="3">
        <f>'Inflação Implícita'!Q5-'Inflação Implícita'!C5</f>
        <v>0.941422245120771</v>
      </c>
      <c r="D5" s="3">
        <f>-'Inflação Implícita'!C5+(2*'Inflação Implícita'!G5)-'Inflação Implícita'!Q5</f>
        <v>0.51611408757352706</v>
      </c>
    </row>
    <row r="6" spans="1:4" ht="18.75" customHeight="1" x14ac:dyDescent="0.25">
      <c r="A6" s="2">
        <v>38533</v>
      </c>
      <c r="B6" s="3">
        <f>'Inflação Implícita'!C6</f>
        <v>5.407817240763868</v>
      </c>
      <c r="C6" s="3">
        <f>'Inflação Implícita'!Q6-'Inflação Implícita'!C6</f>
        <v>0.48693890151703112</v>
      </c>
      <c r="D6" s="3">
        <f>-'Inflação Implícita'!C6+(2*'Inflação Implícita'!G6)-'Inflação Implícita'!Q6</f>
        <v>0.90374086071440818</v>
      </c>
    </row>
    <row r="7" spans="1:4" ht="18.75" customHeight="1" x14ac:dyDescent="0.25">
      <c r="A7" s="2">
        <v>38564</v>
      </c>
      <c r="B7" s="3">
        <f>'Inflação Implícita'!C7</f>
        <v>5.0701473983306933</v>
      </c>
      <c r="C7" s="3">
        <f>'Inflação Implícita'!Q7-'Inflação Implícita'!C7</f>
        <v>1.1477542891234371</v>
      </c>
      <c r="D7" s="3">
        <f>-'Inflação Implícita'!C7+(2*'Inflação Implícita'!G7)-'Inflação Implícita'!Q7</f>
        <v>2.1346464705868762</v>
      </c>
    </row>
    <row r="8" spans="1:4" ht="18.75" customHeight="1" x14ac:dyDescent="0.25">
      <c r="A8" s="2">
        <v>38595</v>
      </c>
      <c r="B8" s="3">
        <f>'Inflação Implícita'!C8</f>
        <v>2.291000259358511</v>
      </c>
      <c r="C8" s="3">
        <f>'Inflação Implícita'!Q8-'Inflação Implícita'!C8</f>
        <v>3.5575922522566916</v>
      </c>
      <c r="D8" s="3">
        <f>-'Inflação Implícita'!C8+(2*'Inflação Implícita'!G8)-'Inflação Implícita'!Q8</f>
        <v>4.2681689125463782</v>
      </c>
    </row>
    <row r="9" spans="1:4" ht="18.75" customHeight="1" x14ac:dyDescent="0.25">
      <c r="A9" s="2">
        <v>38625</v>
      </c>
      <c r="B9" s="3">
        <f>'Inflação Implícita'!C9</f>
        <v>3.8766519823788537</v>
      </c>
      <c r="C9" s="3">
        <f>'Inflação Implícita'!Q9-'Inflação Implícita'!C9</f>
        <v>0.71402064699050971</v>
      </c>
      <c r="D9" s="3">
        <f>-'Inflação Implícita'!C9+(2*'Inflação Implícita'!G9)-'Inflação Implícita'!Q9</f>
        <v>1.9552363082116608</v>
      </c>
    </row>
    <row r="10" spans="1:4" ht="18.75" customHeight="1" x14ac:dyDescent="0.25">
      <c r="A10" s="2">
        <v>38656</v>
      </c>
      <c r="B10" s="3">
        <f>'Inflação Implícita'!C10</f>
        <v>3.8410596026489996</v>
      </c>
      <c r="C10" s="3">
        <f>'Inflação Implícita'!Q10-'Inflação Implícita'!C10</f>
        <v>1.4996737246187664</v>
      </c>
      <c r="D10" s="3">
        <f>-'Inflação Implícita'!C10+(2*'Inflação Implícita'!G10)-'Inflação Implícita'!Q10</f>
        <v>2.2275419804644425</v>
      </c>
    </row>
    <row r="11" spans="1:4" ht="18.75" customHeight="1" x14ac:dyDescent="0.25">
      <c r="A11" s="2">
        <v>38686</v>
      </c>
      <c r="B11" s="3">
        <f>'Inflação Implícita'!C11</f>
        <v>3.4192576844715994</v>
      </c>
      <c r="C11" s="3">
        <f>'Inflação Implícita'!Q11-'Inflação Implícita'!C11</f>
        <v>1.2783615803281689</v>
      </c>
      <c r="D11" s="3">
        <f>-'Inflação Implícita'!C11+(2*'Inflação Implícita'!G11)-'Inflação Implícita'!Q11</f>
        <v>3.120922923026348</v>
      </c>
    </row>
    <row r="12" spans="1:4" ht="18.75" customHeight="1" x14ac:dyDescent="0.25">
      <c r="A12" s="2">
        <v>38717</v>
      </c>
      <c r="B12" s="3">
        <f>'Inflação Implícita'!C12</f>
        <v>3.7436491665923999</v>
      </c>
      <c r="C12" s="3">
        <f>'Inflação Implícita'!Q12-'Inflação Implícita'!C12</f>
        <v>0.78144453484281229</v>
      </c>
      <c r="D12" s="3">
        <f>-'Inflação Implícita'!C12+(2*'Inflação Implícita'!G12)-'Inflação Implícita'!Q12</f>
        <v>1.4219223386517932</v>
      </c>
    </row>
    <row r="13" spans="1:4" ht="18.75" customHeight="1" x14ac:dyDescent="0.25">
      <c r="A13" s="2">
        <v>38748</v>
      </c>
      <c r="B13" s="3">
        <f>'Inflação Implícita'!C13</f>
        <v>4.1449379607984227</v>
      </c>
      <c r="C13" s="3">
        <f>'Inflação Implícita'!Q13-'Inflação Implícita'!C13</f>
        <v>2.058684051700066E-2</v>
      </c>
      <c r="D13" s="3">
        <f>-'Inflação Implícita'!C13+(2*'Inflação Implícita'!G13)-'Inflação Implícita'!Q13</f>
        <v>0.71484097406957492</v>
      </c>
    </row>
    <row r="14" spans="1:4" ht="18.75" customHeight="1" x14ac:dyDescent="0.25">
      <c r="A14" s="2">
        <v>38776</v>
      </c>
      <c r="B14" s="3">
        <f>'Inflação Implícita'!C14</f>
        <v>4.1862567811934648</v>
      </c>
      <c r="C14" s="3">
        <f>'Inflação Implícita'!Q14-'Inflação Implícita'!C14</f>
        <v>0.53263722802314728</v>
      </c>
      <c r="D14" s="3">
        <f>-'Inflação Implícita'!C14+(2*'Inflação Implícita'!G14)-'Inflação Implícita'!Q14</f>
        <v>0.23087862135457993</v>
      </c>
    </row>
    <row r="15" spans="1:4" ht="18.75" customHeight="1" x14ac:dyDescent="0.25">
      <c r="A15" s="2">
        <v>38807</v>
      </c>
      <c r="B15" s="3">
        <f>'Inflação Implícita'!C15</f>
        <v>4.3529625590694065</v>
      </c>
      <c r="C15" s="3">
        <f>'Inflação Implícita'!Q15-'Inflação Implícita'!C15</f>
        <v>0.46609378541067059</v>
      </c>
      <c r="D15" s="3">
        <f>-'Inflação Implícita'!C15+(2*'Inflação Implícita'!G15)-'Inflação Implícita'!Q15</f>
        <v>0.39972340977407761</v>
      </c>
    </row>
    <row r="16" spans="1:4" ht="18.75" customHeight="1" x14ac:dyDescent="0.25">
      <c r="A16" s="2">
        <v>38837</v>
      </c>
      <c r="B16" s="3">
        <f>'Inflação Implícita'!C16</f>
        <v>4.2355935284493773</v>
      </c>
      <c r="C16" s="3">
        <f>'Inflação Implícita'!Q16-'Inflação Implícita'!C16</f>
        <v>-0.22829092689757857</v>
      </c>
      <c r="D16" s="3">
        <f>-'Inflação Implícita'!C16+(2*'Inflação Implícita'!G16)-'Inflação Implícita'!Q16</f>
        <v>0.84884280199335471</v>
      </c>
    </row>
    <row r="17" spans="1:4" ht="18.75" customHeight="1" x14ac:dyDescent="0.25">
      <c r="A17" s="2">
        <v>38868</v>
      </c>
      <c r="B17" s="3">
        <f>'Inflação Implícita'!C17</f>
        <v>4.2897137180529343</v>
      </c>
      <c r="C17" s="3">
        <f>'Inflação Implícita'!Q17-'Inflação Implícita'!C17</f>
        <v>1.4180902746875335</v>
      </c>
      <c r="D17" s="3">
        <f>-'Inflação Implícita'!C17+(2*'Inflação Implícita'!G17)-'Inflação Implícita'!Q17</f>
        <v>1.0369650478272652</v>
      </c>
    </row>
    <row r="18" spans="1:4" ht="18.75" customHeight="1" x14ac:dyDescent="0.25">
      <c r="A18" s="2">
        <v>38898</v>
      </c>
      <c r="B18" s="3">
        <f>'Inflação Implícita'!C18</f>
        <v>4.0141355563610093</v>
      </c>
      <c r="C18" s="3">
        <f>'Inflação Implícita'!Q18-'Inflação Implícita'!C18</f>
        <v>0.63386661814295309</v>
      </c>
      <c r="D18" s="3">
        <f>-'Inflação Implícita'!C18+(2*'Inflação Implícita'!G18)-'Inflação Implícita'!Q18</f>
        <v>0.70635008285253598</v>
      </c>
    </row>
    <row r="19" spans="1:4" ht="18.75" customHeight="1" x14ac:dyDescent="0.25">
      <c r="A19" s="2">
        <v>38929</v>
      </c>
      <c r="B19" s="3">
        <f>'Inflação Implícita'!C19</f>
        <v>4.5574938350534389</v>
      </c>
      <c r="C19" s="3">
        <f>'Inflação Implícita'!Q19-'Inflação Implícita'!C19</f>
        <v>0.40600981458158714</v>
      </c>
      <c r="D19" s="3">
        <f>-'Inflação Implícita'!C19+(2*'Inflação Implícita'!G19)-'Inflação Implícita'!Q19</f>
        <v>0.35126528903415277</v>
      </c>
    </row>
    <row r="20" spans="1:4" ht="18.75" customHeight="1" x14ac:dyDescent="0.25">
      <c r="A20" s="2">
        <v>38960</v>
      </c>
      <c r="B20" s="3">
        <f>'Inflação Implícita'!C20</f>
        <v>4.1876200054859813</v>
      </c>
      <c r="C20" s="3">
        <f>'Inflação Implícita'!Q20-'Inflação Implícita'!C20</f>
        <v>0.40608424048766967</v>
      </c>
      <c r="D20" s="3">
        <f>-'Inflação Implícita'!C20+(2*'Inflação Implícita'!G20)-'Inflação Implícita'!Q20</f>
        <v>0.51589390373802946</v>
      </c>
    </row>
    <row r="21" spans="1:4" ht="18.75" customHeight="1" x14ac:dyDescent="0.25">
      <c r="A21" s="2">
        <v>38990</v>
      </c>
      <c r="B21" s="3">
        <f>'Inflação Implícita'!C21</f>
        <v>3.5939067773419486</v>
      </c>
      <c r="C21" s="3">
        <f>'Inflação Implícita'!Q21-'Inflação Implícita'!C21</f>
        <v>0.33052509269548835</v>
      </c>
      <c r="D21" s="3">
        <f>-'Inflação Implícita'!C21+(2*'Inflação Implícita'!G21)-'Inflação Implícita'!Q21</f>
        <v>0.82336072288620166</v>
      </c>
    </row>
    <row r="22" spans="1:4" ht="18.75" customHeight="1" x14ac:dyDescent="0.25">
      <c r="A22" s="2">
        <v>39021</v>
      </c>
      <c r="B22" s="3">
        <f>'Inflação Implícita'!C22</f>
        <v>3.8217730822232454</v>
      </c>
      <c r="C22" s="3">
        <f>'Inflação Implícita'!Q22-'Inflação Implícita'!C22</f>
        <v>0.43706124544999891</v>
      </c>
      <c r="D22" s="3">
        <f>-'Inflação Implícita'!C22+(2*'Inflação Implícita'!G22)-'Inflação Implícita'!Q22</f>
        <v>0.36363306738669277</v>
      </c>
    </row>
    <row r="23" spans="1:4" ht="18.75" customHeight="1" x14ac:dyDescent="0.25">
      <c r="A23" s="2">
        <v>39051</v>
      </c>
      <c r="B23" s="3">
        <f>'Inflação Implícita'!C23</f>
        <v>4.2629924172369105</v>
      </c>
      <c r="C23" s="3">
        <f>'Inflação Implícita'!Q23-'Inflação Implícita'!C23</f>
        <v>5.8791585711848171E-2</v>
      </c>
      <c r="D23" s="3">
        <f>-'Inflação Implícita'!C23+(2*'Inflação Implícita'!G23)-'Inflação Implícita'!Q23</f>
        <v>9.5651150769038296E-2</v>
      </c>
    </row>
    <row r="24" spans="1:4" ht="18.75" customHeight="1" x14ac:dyDescent="0.25">
      <c r="A24" s="2">
        <v>39082</v>
      </c>
      <c r="B24" s="3">
        <f>'Inflação Implícita'!C24</f>
        <v>4.0559311047319024</v>
      </c>
      <c r="C24" s="3">
        <f>'Inflação Implícita'!Q24-'Inflação Implícita'!C24</f>
        <v>-2.6661004694861212E-2</v>
      </c>
      <c r="D24" s="3">
        <f>-'Inflação Implícita'!C24+(2*'Inflação Implícita'!G24)-'Inflação Implícita'!Q24</f>
        <v>2.8915134615981053E-2</v>
      </c>
    </row>
    <row r="25" spans="1:4" ht="18.75" customHeight="1" x14ac:dyDescent="0.25">
      <c r="A25" s="2">
        <v>39113</v>
      </c>
      <c r="B25" s="3">
        <f>'Inflação Implícita'!C25</f>
        <v>4.1403281119658963</v>
      </c>
      <c r="C25" s="3">
        <f>'Inflação Implícita'!Q25-'Inflação Implícita'!C25</f>
        <v>8.1564556492708107E-2</v>
      </c>
      <c r="D25" s="3">
        <f>-'Inflação Implícita'!C25+(2*'Inflação Implícita'!G25)-'Inflação Implícita'!Q25</f>
        <v>-0.12976179442021341</v>
      </c>
    </row>
    <row r="26" spans="1:4" ht="18.75" customHeight="1" x14ac:dyDescent="0.25">
      <c r="A26" s="2">
        <v>39141</v>
      </c>
      <c r="B26" s="3">
        <f>'Inflação Implícita'!C26</f>
        <v>3.8608357268600013</v>
      </c>
      <c r="C26" s="3">
        <f>'Inflação Implícita'!Q26-'Inflação Implícita'!C26</f>
        <v>0.12393113176900616</v>
      </c>
      <c r="D26" s="3">
        <f>-'Inflação Implícita'!C26+(2*'Inflação Implícita'!G26)-'Inflação Implícita'!Q26</f>
        <v>0.22053154046306478</v>
      </c>
    </row>
    <row r="27" spans="1:4" ht="18.75" customHeight="1" x14ac:dyDescent="0.25">
      <c r="A27" s="2">
        <v>39172</v>
      </c>
      <c r="B27" s="3">
        <f>'Inflação Implícita'!C27</f>
        <v>3.4884796890904068</v>
      </c>
      <c r="C27" s="3">
        <f>'Inflação Implícita'!Q27-'Inflação Implícita'!C27</f>
        <v>0.39564847782465051</v>
      </c>
      <c r="D27" s="3">
        <f>-'Inflação Implícita'!C27+(2*'Inflação Implícita'!G27)-'Inflação Implícita'!Q27</f>
        <v>0.47388990852512691</v>
      </c>
    </row>
    <row r="28" spans="1:4" ht="18.75" customHeight="1" x14ac:dyDescent="0.25">
      <c r="A28" s="2">
        <v>39202</v>
      </c>
      <c r="B28" s="3">
        <f>'Inflação Implícita'!C28</f>
        <v>3.43462503484806</v>
      </c>
      <c r="C28" s="3">
        <f>'Inflação Implícita'!Q28-'Inflação Implícita'!C28</f>
        <v>0.44398062145185602</v>
      </c>
      <c r="D28" s="3">
        <f>-'Inflação Implícita'!C28+(2*'Inflação Implícita'!G28)-'Inflação Implícita'!Q28</f>
        <v>0.50223487307266002</v>
      </c>
    </row>
    <row r="29" spans="1:4" ht="18.75" customHeight="1" x14ac:dyDescent="0.25">
      <c r="A29" s="2">
        <v>39233</v>
      </c>
      <c r="B29" s="3">
        <f>'Inflação Implícita'!C29</f>
        <v>3.2945556072591975</v>
      </c>
      <c r="C29" s="3">
        <f>'Inflação Implícita'!Q29-'Inflação Implícita'!C29</f>
        <v>0.26765594025892625</v>
      </c>
      <c r="D29" s="3">
        <f>-'Inflação Implícita'!C29+(2*'Inflação Implícita'!G29)-'Inflação Implícita'!Q29</f>
        <v>0.64064265967118672</v>
      </c>
    </row>
    <row r="30" spans="1:4" ht="18.75" customHeight="1" x14ac:dyDescent="0.25">
      <c r="A30" s="2">
        <v>39263</v>
      </c>
      <c r="B30" s="3">
        <f>'Inflação Implícita'!C30</f>
        <v>3.5402449284846149</v>
      </c>
      <c r="C30" s="3">
        <f>'Inflação Implícita'!Q30-'Inflação Implícita'!C30</f>
        <v>0.6990391035455179</v>
      </c>
      <c r="D30" s="3">
        <f>-'Inflação Implícita'!C30+(2*'Inflação Implícita'!G30)-'Inflação Implícita'!Q30</f>
        <v>0.22723732084979353</v>
      </c>
    </row>
    <row r="31" spans="1:4" ht="18.75" customHeight="1" x14ac:dyDescent="0.25">
      <c r="A31" s="2">
        <v>39294</v>
      </c>
      <c r="B31" s="3">
        <f>'Inflação Implícita'!C31</f>
        <v>3.82311651848386</v>
      </c>
      <c r="C31" s="3">
        <f>'Inflação Implícita'!Q31-'Inflação Implícita'!C31</f>
        <v>0.39556015913226883</v>
      </c>
      <c r="D31" s="3">
        <f>-'Inflação Implícita'!C31+(2*'Inflação Implícita'!G31)-'Inflação Implícita'!Q31</f>
        <v>0.10961690415298708</v>
      </c>
    </row>
    <row r="32" spans="1:4" ht="18.75" customHeight="1" x14ac:dyDescent="0.25">
      <c r="A32" s="2">
        <v>39325</v>
      </c>
      <c r="B32" s="3">
        <f>'Inflação Implícita'!C32</f>
        <v>4.5535630457234078</v>
      </c>
      <c r="C32" s="3">
        <f>'Inflação Implícita'!Q32-'Inflação Implícita'!C32</f>
        <v>-1.3102881986304382E-3</v>
      </c>
      <c r="D32" s="3">
        <f>-'Inflação Implícita'!C32+(2*'Inflação Implícita'!G32)-'Inflação Implícita'!Q32</f>
        <v>-0.21049411121343287</v>
      </c>
    </row>
    <row r="33" spans="1:4" ht="18.75" customHeight="1" x14ac:dyDescent="0.25">
      <c r="A33" s="2">
        <v>39355</v>
      </c>
      <c r="B33" s="3">
        <f>'Inflação Implícita'!C33</f>
        <v>4.2902711323763887</v>
      </c>
      <c r="C33" s="3">
        <f>'Inflação Implícita'!Q33-'Inflação Implícita'!C33</f>
        <v>0.12135568431372867</v>
      </c>
      <c r="D33" s="3">
        <f>-'Inflação Implícita'!C33+(2*'Inflação Implícita'!G33)-'Inflação Implícita'!Q33</f>
        <v>-5.3907693280841329E-2</v>
      </c>
    </row>
    <row r="34" spans="1:4" ht="18.75" customHeight="1" x14ac:dyDescent="0.25">
      <c r="A34" s="2">
        <v>39386</v>
      </c>
      <c r="B34" s="3">
        <f>'Inflação Implícita'!C34</f>
        <v>4.009530928798366</v>
      </c>
      <c r="C34" s="3">
        <f>'Inflação Implícita'!Q34-'Inflação Implícita'!C34</f>
        <v>0.5137444497770538</v>
      </c>
      <c r="D34" s="3">
        <f>-'Inflação Implícita'!C34+(2*'Inflação Implícita'!G34)-'Inflação Implícita'!Q34</f>
        <v>-5.0221565567820647E-2</v>
      </c>
    </row>
    <row r="35" spans="1:4" ht="18.75" customHeight="1" x14ac:dyDescent="0.25">
      <c r="A35" s="2">
        <v>39416</v>
      </c>
      <c r="B35" s="3">
        <f>'Inflação Implícita'!C35</f>
        <v>4.5288497564630825</v>
      </c>
      <c r="C35" s="3">
        <f>'Inflação Implícita'!Q35-'Inflação Implícita'!C35</f>
        <v>0.36781753082046897</v>
      </c>
      <c r="D35" s="3">
        <f>-'Inflação Implícita'!C35+(2*'Inflação Implícita'!G35)-'Inflação Implícita'!Q35</f>
        <v>-2.503296256994858E-2</v>
      </c>
    </row>
    <row r="36" spans="1:4" ht="18.75" customHeight="1" x14ac:dyDescent="0.25">
      <c r="A36" s="2">
        <v>39447</v>
      </c>
      <c r="B36" s="3">
        <f>'Inflação Implícita'!C36</f>
        <v>5.1243080964443077</v>
      </c>
      <c r="C36" s="3">
        <f>'Inflação Implícita'!Q36-'Inflação Implícita'!C36</f>
        <v>0.29760332546711066</v>
      </c>
      <c r="D36" s="3">
        <f>-'Inflação Implícita'!C36+(2*'Inflação Implícita'!G36)-'Inflação Implícita'!Q36</f>
        <v>-0.59453767483221842</v>
      </c>
    </row>
    <row r="37" spans="1:4" ht="18.75" customHeight="1" x14ac:dyDescent="0.25">
      <c r="A37" s="2">
        <v>39478</v>
      </c>
      <c r="B37" s="3">
        <f>'Inflação Implícita'!C37</f>
        <v>5.1487006285767745</v>
      </c>
      <c r="C37" s="3">
        <f>'Inflação Implícita'!Q37-'Inflação Implícita'!C37</f>
        <v>0.14536219181655596</v>
      </c>
      <c r="D37" s="3">
        <f>-'Inflação Implícita'!C37+(2*'Inflação Implícita'!G37)-'Inflação Implícita'!Q37</f>
        <v>-0.37858337269813802</v>
      </c>
    </row>
    <row r="38" spans="1:4" ht="18.75" customHeight="1" x14ac:dyDescent="0.25">
      <c r="A38" s="2">
        <v>39507</v>
      </c>
      <c r="B38" s="3">
        <f>'Inflação Implícita'!C38</f>
        <v>4.7281744175166063</v>
      </c>
      <c r="C38" s="3">
        <f>'Inflação Implícita'!Q38-'Inflação Implícita'!C38</f>
        <v>0.49856705045907557</v>
      </c>
      <c r="D38" s="3">
        <f>-'Inflação Implícita'!C38+(2*'Inflação Implícita'!G38)-'Inflação Implícita'!Q38</f>
        <v>-0.13297125978144475</v>
      </c>
    </row>
    <row r="39" spans="1:4" ht="18.75" customHeight="1" x14ac:dyDescent="0.25">
      <c r="A39" s="2">
        <v>39538</v>
      </c>
      <c r="B39" s="3">
        <f>'Inflação Implícita'!C39</f>
        <v>4.6457424087658961</v>
      </c>
      <c r="C39" s="3">
        <f>'Inflação Implícita'!Q39-'Inflação Implícita'!C39</f>
        <v>0.57294084873247275</v>
      </c>
      <c r="D39" s="3">
        <f>-'Inflação Implícita'!C39+(2*'Inflação Implícita'!G39)-'Inflação Implícita'!Q39</f>
        <v>-0.15865216515400515</v>
      </c>
    </row>
    <row r="40" spans="1:4" ht="18.75" customHeight="1" x14ac:dyDescent="0.25">
      <c r="A40" s="2">
        <v>39568</v>
      </c>
      <c r="B40" s="3">
        <f>'Inflação Implícita'!C40</f>
        <v>5.221674876847282</v>
      </c>
      <c r="C40" s="3">
        <f>'Inflação Implícita'!Q40-'Inflação Implícita'!C40</f>
        <v>0.65354660967700262</v>
      </c>
      <c r="D40" s="3">
        <f>-'Inflação Implícita'!C40+(2*'Inflação Implícita'!G40)-'Inflação Implícita'!Q40</f>
        <v>-0.24701697944133905</v>
      </c>
    </row>
    <row r="41" spans="1:4" ht="18.75" customHeight="1" x14ac:dyDescent="0.25">
      <c r="A41" s="2">
        <v>39599</v>
      </c>
      <c r="B41" s="3">
        <f>'Inflação Implícita'!C41</f>
        <v>5.4952698942682288</v>
      </c>
      <c r="C41" s="3">
        <f>'Inflação Implícita'!Q41-'Inflação Implícita'!C41</f>
        <v>0.6826327274546129</v>
      </c>
      <c r="D41" s="3">
        <f>-'Inflação Implícita'!C41+(2*'Inflação Implícita'!G41)-'Inflação Implícita'!Q41</f>
        <v>-0.72658635714295539</v>
      </c>
    </row>
    <row r="42" spans="1:4" ht="18.75" customHeight="1" x14ac:dyDescent="0.25">
      <c r="A42" s="2">
        <v>39629</v>
      </c>
      <c r="B42" s="3">
        <f>'Inflação Implícita'!C42</f>
        <v>6.6039493293591933</v>
      </c>
      <c r="C42" s="3">
        <f>'Inflação Implícita'!Q42-'Inflação Implícita'!C42</f>
        <v>0.40443836868369054</v>
      </c>
      <c r="D42" s="3">
        <f>-'Inflação Implícita'!C42+(2*'Inflação Implícita'!G42)-'Inflação Implícita'!Q42</f>
        <v>-1.3797574242640831</v>
      </c>
    </row>
    <row r="43" spans="1:4" ht="18.75" customHeight="1" x14ac:dyDescent="0.25">
      <c r="A43" s="2">
        <v>39660</v>
      </c>
      <c r="B43" s="3">
        <f>'Inflação Implícita'!C43</f>
        <v>5.8679593721145062</v>
      </c>
      <c r="C43" s="3">
        <f>'Inflação Implícita'!Q43-'Inflação Implícita'!C43</f>
        <v>0.17497109918742648</v>
      </c>
      <c r="D43" s="3">
        <f>-'Inflação Implícita'!C43+(2*'Inflação Implícita'!G43)-'Inflação Implícita'!Q43</f>
        <v>-1.3996575239193954</v>
      </c>
    </row>
    <row r="44" spans="1:4" ht="18.75" customHeight="1" x14ac:dyDescent="0.25">
      <c r="A44" s="2">
        <v>39691</v>
      </c>
      <c r="B44" s="3">
        <f>'Inflação Implícita'!C44</f>
        <v>4.8435212298682195</v>
      </c>
      <c r="C44" s="3">
        <f>'Inflação Implícita'!Q44-'Inflação Implícita'!C44</f>
        <v>0.69920824322802222</v>
      </c>
      <c r="D44" s="3">
        <f>-'Inflação Implícita'!C44+(2*'Inflação Implícita'!G44)-'Inflação Implícita'!Q44</f>
        <v>-0.3807043912617436</v>
      </c>
    </row>
    <row r="45" spans="1:4" ht="18.75" customHeight="1" x14ac:dyDescent="0.25">
      <c r="A45" s="2">
        <v>39721</v>
      </c>
      <c r="B45" s="3">
        <f>'Inflação Implícita'!C45</f>
        <v>4.7058285296001534</v>
      </c>
      <c r="C45" s="3">
        <f>'Inflação Implícita'!Q45-'Inflação Implícita'!C45</f>
        <v>0.90268604698475752</v>
      </c>
      <c r="D45" s="3">
        <f>-'Inflação Implícita'!C45+(2*'Inflação Implícita'!G45)-'Inflação Implícita'!Q45</f>
        <v>-0.70920077377001345</v>
      </c>
    </row>
    <row r="46" spans="1:4" ht="18.75" customHeight="1" x14ac:dyDescent="0.25">
      <c r="A46" s="2">
        <v>39752</v>
      </c>
      <c r="B46" s="3">
        <f>'Inflação Implícita'!C46</f>
        <v>5.8883994126285089</v>
      </c>
      <c r="C46" s="3">
        <f>'Inflação Implícita'!Q46-'Inflação Implícita'!C46</f>
        <v>0.95231740716592572</v>
      </c>
      <c r="D46" s="3">
        <f>-'Inflação Implícita'!C46+(2*'Inflação Implícita'!G46)-'Inflação Implícita'!Q46</f>
        <v>-0.12384592544114614</v>
      </c>
    </row>
    <row r="47" spans="1:4" ht="18.75" customHeight="1" x14ac:dyDescent="0.25">
      <c r="A47" s="2">
        <v>39782</v>
      </c>
      <c r="B47" s="3">
        <f>'Inflação Implícita'!C47</f>
        <v>5.4737327188940199</v>
      </c>
      <c r="C47" s="3">
        <f>'Inflação Implícita'!Q47-'Inflação Implícita'!C47</f>
        <v>1.0811593343903247</v>
      </c>
      <c r="D47" s="3">
        <f>-'Inflação Implícita'!C47+(2*'Inflação Implícita'!G47)-'Inflação Implícita'!Q47</f>
        <v>-0.5330075333178641</v>
      </c>
    </row>
    <row r="48" spans="1:4" ht="18.75" customHeight="1" x14ac:dyDescent="0.25">
      <c r="A48" s="2">
        <v>39813</v>
      </c>
      <c r="B48" s="3">
        <f>'Inflação Implícita'!C48</f>
        <v>4.4223070477608983</v>
      </c>
      <c r="C48" s="3">
        <f>'Inflação Implícita'!Q48-'Inflação Implícita'!C48</f>
        <v>0.46929060739868689</v>
      </c>
      <c r="D48" s="3">
        <f>-'Inflação Implícita'!C48+(2*'Inflação Implícita'!G48)-'Inflação Implícita'!Q48</f>
        <v>-0.92734541383414637</v>
      </c>
    </row>
    <row r="49" spans="1:4" ht="18.75" customHeight="1" x14ac:dyDescent="0.25">
      <c r="A49" s="2">
        <v>39844</v>
      </c>
      <c r="B49" s="3">
        <f>'Inflação Implícita'!C49</f>
        <v>4.2139308146620369</v>
      </c>
      <c r="C49" s="3">
        <f>'Inflação Implícita'!Q49-'Inflação Implícita'!C49</f>
        <v>1.221870497427946</v>
      </c>
      <c r="D49" s="3">
        <f>-'Inflação Implícita'!C49+(2*'Inflação Implícita'!G49)-'Inflação Implícita'!Q49</f>
        <v>0.52980780218010448</v>
      </c>
    </row>
    <row r="50" spans="1:4" ht="18.75" customHeight="1" x14ac:dyDescent="0.25">
      <c r="A50" s="2">
        <v>39872</v>
      </c>
      <c r="B50" s="3">
        <f>'Inflação Implícita'!C50</f>
        <v>4.2582469368520171</v>
      </c>
      <c r="C50" s="3">
        <f>'Inflação Implícita'!Q50-'Inflação Implícita'!C50</f>
        <v>0.84730135382609095</v>
      </c>
      <c r="D50" s="3">
        <f>-'Inflação Implícita'!C50+(2*'Inflação Implícita'!G50)-'Inflação Implícita'!Q50</f>
        <v>-0.26609997699360566</v>
      </c>
    </row>
    <row r="51" spans="1:4" ht="18.75" customHeight="1" x14ac:dyDescent="0.25">
      <c r="A51" s="2">
        <v>39903</v>
      </c>
      <c r="B51" s="3">
        <f>'Inflação Implícita'!C51</f>
        <v>3.6985266339252032</v>
      </c>
      <c r="C51" s="3">
        <f>'Inflação Implícita'!Q51-'Inflação Implícita'!C51</f>
        <v>1.1842785413982426</v>
      </c>
      <c r="D51" s="3">
        <f>-'Inflação Implícita'!C51+(2*'Inflação Implícita'!G51)-'Inflação Implícita'!Q51</f>
        <v>0.54449972827597115</v>
      </c>
    </row>
    <row r="52" spans="1:4" ht="18.75" customHeight="1" x14ac:dyDescent="0.25">
      <c r="A52" s="2">
        <v>39933</v>
      </c>
      <c r="B52" s="3">
        <f>'Inflação Implícita'!C52</f>
        <v>3.7945037302861584</v>
      </c>
      <c r="C52" s="3">
        <f>'Inflação Implícita'!Q52-'Inflação Implícita'!C52</f>
        <v>1.6705907859032587</v>
      </c>
      <c r="D52" s="3">
        <f>-'Inflação Implícita'!C52+(2*'Inflação Implícita'!G52)-'Inflação Implícita'!Q52</f>
        <v>0.49854910621844883</v>
      </c>
    </row>
    <row r="53" spans="1:4" ht="18.75" customHeight="1" x14ac:dyDescent="0.25">
      <c r="A53" s="2">
        <v>39964</v>
      </c>
      <c r="B53" s="3">
        <f>'Inflação Implícita'!C53</f>
        <v>4.1121584309244952</v>
      </c>
      <c r="C53" s="3">
        <f>'Inflação Implícita'!Q53-'Inflação Implícita'!C53</f>
        <v>1.3422154484753257</v>
      </c>
      <c r="D53" s="3">
        <f>-'Inflação Implícita'!C53+(2*'Inflação Implícita'!G53)-'Inflação Implícita'!Q53</f>
        <v>-0.58002050815124662</v>
      </c>
    </row>
    <row r="54" spans="1:4" ht="18.75" customHeight="1" x14ac:dyDescent="0.25">
      <c r="A54" s="2">
        <v>39994</v>
      </c>
      <c r="B54" s="3">
        <f>'Inflação Implícita'!C54</f>
        <v>3.9588884659307322</v>
      </c>
      <c r="C54" s="3">
        <f>'Inflação Implícita'!Q54-'Inflação Implícita'!C54</f>
        <v>1.8591055235508636</v>
      </c>
      <c r="D54" s="3">
        <f>-'Inflação Implícita'!C54+(2*'Inflação Implícita'!G54)-'Inflação Implícita'!Q54</f>
        <v>1.1882524003343109</v>
      </c>
    </row>
    <row r="55" spans="1:4" ht="18.75" customHeight="1" x14ac:dyDescent="0.25">
      <c r="A55" s="2">
        <v>40025</v>
      </c>
      <c r="B55" s="3">
        <f>'Inflação Implícita'!C55</f>
        <v>4.4040906049890083</v>
      </c>
      <c r="C55" s="3">
        <f>'Inflação Implícita'!Q55-'Inflação Implícita'!C55</f>
        <v>1.3608032119627023</v>
      </c>
      <c r="D55" s="3">
        <f>-'Inflação Implícita'!C55+(2*'Inflação Implícita'!G55)-'Inflação Implícita'!Q55</f>
        <v>0.71018812154779454</v>
      </c>
    </row>
    <row r="56" spans="1:4" ht="18.75" customHeight="1" x14ac:dyDescent="0.25">
      <c r="A56" s="2">
        <v>40056</v>
      </c>
      <c r="B56" s="3">
        <f>'Inflação Implícita'!C56</f>
        <v>4.1829628923018225</v>
      </c>
      <c r="C56" s="3">
        <f>'Inflação Implícita'!Q56-'Inflação Implícita'!C56</f>
        <v>1.9098895420140316</v>
      </c>
      <c r="D56" s="3">
        <f>-'Inflação Implícita'!C56+(2*'Inflação Implícita'!G56)-'Inflação Implícita'!Q56</f>
        <v>0.82401546864456776</v>
      </c>
    </row>
    <row r="57" spans="1:4" ht="18.75" customHeight="1" x14ac:dyDescent="0.25">
      <c r="A57" s="2">
        <v>40086</v>
      </c>
      <c r="B57" s="3">
        <f>'Inflação Implícita'!C57</f>
        <v>4.4277280517996509</v>
      </c>
      <c r="C57" s="3">
        <f>'Inflação Implícita'!Q57-'Inflação Implícita'!C57</f>
        <v>1.8287498526571522</v>
      </c>
      <c r="D57" s="3">
        <f>-'Inflação Implícita'!C57+(2*'Inflação Implícita'!G57)-'Inflação Implícita'!Q57</f>
        <v>0.92128999706559966</v>
      </c>
    </row>
    <row r="58" spans="1:4" ht="18.75" customHeight="1" x14ac:dyDescent="0.25">
      <c r="A58" s="2">
        <v>40117</v>
      </c>
      <c r="B58" s="3">
        <f>'Inflação Implícita'!C58</f>
        <v>4.7170889693274987</v>
      </c>
      <c r="C58" s="3">
        <f>'Inflação Implícita'!Q58-'Inflação Implícita'!C58</f>
        <v>1.5640113968353297</v>
      </c>
      <c r="D58" s="3">
        <f>-'Inflação Implícita'!C58+(2*'Inflação Implícita'!G58)-'Inflação Implícita'!Q58</f>
        <v>0.60969058946276355</v>
      </c>
    </row>
    <row r="59" spans="1:4" ht="18.75" customHeight="1" x14ac:dyDescent="0.25">
      <c r="A59" s="2">
        <v>40147</v>
      </c>
      <c r="B59" s="3">
        <f>'Inflação Implícita'!C59</f>
        <v>4.9680678676961465</v>
      </c>
      <c r="C59" s="3">
        <f>'Inflação Implícita'!Q59-'Inflação Implícita'!C59</f>
        <v>1.3417912872334403</v>
      </c>
      <c r="D59" s="3">
        <f>-'Inflação Implícita'!C59+(2*'Inflação Implícita'!G59)-'Inflação Implícita'!Q59</f>
        <v>0.43108207084012751</v>
      </c>
    </row>
    <row r="60" spans="1:4" ht="18.75" customHeight="1" x14ac:dyDescent="0.25">
      <c r="A60" s="2">
        <v>40178</v>
      </c>
      <c r="B60" s="3">
        <f>'Inflação Implícita'!C60</f>
        <v>5.2620545073374991</v>
      </c>
      <c r="C60" s="3">
        <f>'Inflação Implícita'!Q60-'Inflação Implícita'!C60</f>
        <v>1.1516932624061393</v>
      </c>
      <c r="D60" s="3">
        <f>-'Inflação Implícita'!C60+(2*'Inflação Implícita'!G60)-'Inflação Implícita'!Q60</f>
        <v>-0.11511947835671776</v>
      </c>
    </row>
    <row r="61" spans="1:4" ht="18.75" customHeight="1" x14ac:dyDescent="0.25">
      <c r="A61" s="2">
        <v>40209</v>
      </c>
      <c r="B61" s="3">
        <f>'Inflação Implícita'!C61</f>
        <v>5.3959923664121945</v>
      </c>
      <c r="C61" s="3">
        <f>'Inflação Implícita'!Q61-'Inflação Implícita'!C61</f>
        <v>1.0159490530395443</v>
      </c>
      <c r="D61" s="3">
        <f>-'Inflação Implícita'!C61+(2*'Inflação Implícita'!G61)-'Inflação Implícita'!Q61</f>
        <v>-0.10542650818525789</v>
      </c>
    </row>
    <row r="62" spans="1:4" ht="18.75" customHeight="1" x14ac:dyDescent="0.25">
      <c r="A62" s="2">
        <v>40237</v>
      </c>
      <c r="B62" s="3">
        <f>'Inflação Implícita'!C62</f>
        <v>5.4551513997333823</v>
      </c>
      <c r="C62" s="3">
        <f>'Inflação Implícita'!Q62-'Inflação Implícita'!C62</f>
        <v>1.1545566089043113</v>
      </c>
      <c r="D62" s="3">
        <f>-'Inflação Implícita'!C62+(2*'Inflação Implícita'!G62)-'Inflação Implícita'!Q62</f>
        <v>-0.68998862554994211</v>
      </c>
    </row>
    <row r="63" spans="1:4" ht="18.75" customHeight="1" x14ac:dyDescent="0.25">
      <c r="A63" s="2">
        <v>40268</v>
      </c>
      <c r="B63" s="3">
        <f>'Inflação Implícita'!C63</f>
        <v>5.4580915231662308</v>
      </c>
      <c r="C63" s="3">
        <f>'Inflação Implícita'!Q63-'Inflação Implícita'!C63</f>
        <v>0.64899420187376489</v>
      </c>
      <c r="D63" s="3">
        <f>-'Inflação Implícita'!C63+(2*'Inflação Implícita'!G63)-'Inflação Implícita'!Q63</f>
        <v>-0.12853099290712766</v>
      </c>
    </row>
    <row r="64" spans="1:4" ht="18.75" customHeight="1" x14ac:dyDescent="0.25">
      <c r="A64" s="2">
        <v>40298</v>
      </c>
      <c r="B64" s="3">
        <f>'Inflação Implícita'!C64</f>
        <v>5.5924349881796731</v>
      </c>
      <c r="C64" s="3">
        <f>'Inflação Implícita'!Q64-'Inflação Implícita'!C64</f>
        <v>0.17697677652619426</v>
      </c>
      <c r="D64" s="3">
        <f>-'Inflação Implícita'!C64+(2*'Inflação Implícita'!G64)-'Inflação Implícita'!Q64</f>
        <v>-0.23864134798734504</v>
      </c>
    </row>
    <row r="65" spans="1:4" ht="18.75" customHeight="1" x14ac:dyDescent="0.25">
      <c r="A65" s="2">
        <v>40329</v>
      </c>
      <c r="B65" s="3">
        <f>'Inflação Implícita'!C65</f>
        <v>5.1796322489391811</v>
      </c>
      <c r="C65" s="3">
        <f>'Inflação Implícita'!Q65-'Inflação Implícita'!C65</f>
        <v>0.2622893123293224</v>
      </c>
      <c r="D65" s="3">
        <f>-'Inflação Implícita'!C65+(2*'Inflação Implícita'!G65)-'Inflação Implícita'!Q65</f>
        <v>-0.10500745228139152</v>
      </c>
    </row>
    <row r="66" spans="1:4" ht="18.75" customHeight="1" x14ac:dyDescent="0.25">
      <c r="A66" s="2">
        <v>40359</v>
      </c>
      <c r="B66" s="3">
        <f>'Inflação Implícita'!C66</f>
        <v>4.8959114778694746</v>
      </c>
      <c r="C66" s="3">
        <f>'Inflação Implícita'!Q66-'Inflação Implícita'!C66</f>
        <v>0.50314955499437541</v>
      </c>
      <c r="D66" s="3">
        <f>-'Inflação Implícita'!C66+(2*'Inflação Implícita'!G66)-'Inflação Implícita'!Q66</f>
        <v>0.36142715120675017</v>
      </c>
    </row>
    <row r="67" spans="1:4" ht="18.75" customHeight="1" x14ac:dyDescent="0.25">
      <c r="A67" s="2">
        <v>40390</v>
      </c>
      <c r="B67" s="3">
        <f>'Inflação Implícita'!C67</f>
        <v>4.8669811320754652</v>
      </c>
      <c r="C67" s="3">
        <f>'Inflação Implícita'!Q67-'Inflação Implícita'!C67</f>
        <v>0.49133886039085528</v>
      </c>
      <c r="D67" s="3">
        <f>-'Inflação Implícita'!C67+(2*'Inflação Implícita'!G67)-'Inflação Implícita'!Q67</f>
        <v>0.34499814140966922</v>
      </c>
    </row>
    <row r="68" spans="1:4" ht="18.75" customHeight="1" x14ac:dyDescent="0.25">
      <c r="A68" s="2">
        <v>40421</v>
      </c>
      <c r="B68" s="3">
        <f>'Inflação Implícita'!C68</f>
        <v>5.183677333838288</v>
      </c>
      <c r="C68" s="3">
        <f>'Inflação Implícita'!Q68-'Inflação Implícita'!C68</f>
        <v>-7.8406917509488139E-3</v>
      </c>
      <c r="D68" s="3">
        <f>-'Inflação Implícita'!C68+(2*'Inflação Implícita'!G68)-'Inflação Implícita'!Q68</f>
        <v>-0.13397844700235861</v>
      </c>
    </row>
    <row r="69" spans="1:4" ht="18.75" customHeight="1" x14ac:dyDescent="0.25">
      <c r="A69" s="2">
        <v>40451</v>
      </c>
      <c r="B69" s="3">
        <f>'Inflação Implícita'!C69</f>
        <v>5.8839200761179988</v>
      </c>
      <c r="C69" s="3">
        <f>'Inflação Implícita'!Q69-'Inflação Implícita'!C69</f>
        <v>-0.465247367725663</v>
      </c>
      <c r="D69" s="3">
        <f>-'Inflação Implícita'!C69+(2*'Inflação Implícita'!G69)-'Inflação Implícita'!Q69</f>
        <v>-0.25632271841020682</v>
      </c>
    </row>
    <row r="70" spans="1:4" ht="18.75" customHeight="1" x14ac:dyDescent="0.25">
      <c r="A70" s="2">
        <v>40482</v>
      </c>
      <c r="B70" s="3">
        <f>'Inflação Implícita'!C70</f>
        <v>6.2980309692219461</v>
      </c>
      <c r="C70" s="3">
        <f>'Inflação Implícita'!Q70-'Inflação Implícita'!C70</f>
        <v>-0.68728255404546523</v>
      </c>
      <c r="D70" s="3">
        <f>-'Inflação Implícita'!C70+(2*'Inflação Implícita'!G70)-'Inflação Implícita'!Q70</f>
        <v>-0.91359934470460757</v>
      </c>
    </row>
    <row r="71" spans="1:4" ht="18.75" customHeight="1" x14ac:dyDescent="0.25">
      <c r="A71" s="2">
        <v>40512</v>
      </c>
      <c r="B71" s="3">
        <f>'Inflação Implícita'!C71</f>
        <v>6.4738894701797722</v>
      </c>
      <c r="C71" s="3">
        <f>'Inflação Implícita'!Q71-'Inflação Implícita'!C71</f>
        <v>-0.66256871546279683</v>
      </c>
      <c r="D71" s="3">
        <f>-'Inflação Implícita'!C71+(2*'Inflação Implícita'!G71)-'Inflação Implícita'!Q71</f>
        <v>-0.58912716685055599</v>
      </c>
    </row>
    <row r="72" spans="1:4" ht="18.75" customHeight="1" x14ac:dyDescent="0.25">
      <c r="A72" s="2">
        <v>40543</v>
      </c>
      <c r="B72" s="3">
        <f>'Inflação Implícita'!C72</f>
        <v>5.8994233859532841</v>
      </c>
      <c r="C72" s="3">
        <f>'Inflação Implícita'!Q72-'Inflação Implícita'!C72</f>
        <v>-0.31346377093159905</v>
      </c>
      <c r="D72" s="3">
        <f>-'Inflação Implícita'!C72+(2*'Inflação Implícita'!G72)-'Inflação Implícita'!Q72</f>
        <v>6.0346401897271029E-2</v>
      </c>
    </row>
    <row r="73" spans="1:4" ht="18.75" customHeight="1" x14ac:dyDescent="0.25">
      <c r="A73" s="2">
        <v>40574</v>
      </c>
      <c r="B73" s="3">
        <f>'Inflação Implícita'!C73</f>
        <v>6.4782196969696892</v>
      </c>
      <c r="C73" s="3">
        <f>'Inflação Implícita'!Q73-'Inflação Implícita'!C73</f>
        <v>-0.20877499064366756</v>
      </c>
      <c r="D73" s="3">
        <f>-'Inflação Implícita'!C73+(2*'Inflação Implícita'!G73)-'Inflação Implícita'!Q73</f>
        <v>-0.76232192467127202</v>
      </c>
    </row>
    <row r="74" spans="1:4" ht="18.75" customHeight="1" x14ac:dyDescent="0.25">
      <c r="A74" s="2">
        <v>40602</v>
      </c>
      <c r="B74" s="3">
        <f>'Inflação Implícita'!C74</f>
        <v>5.9416745061147802</v>
      </c>
      <c r="C74" s="3">
        <f>'Inflação Implícita'!Q74-'Inflação Implícita'!C74</f>
        <v>-0.32697832147041694</v>
      </c>
      <c r="D74" s="3">
        <f>-'Inflação Implícita'!C74+(2*'Inflação Implícita'!G74)-'Inflação Implícita'!Q74</f>
        <v>-0.38829557338821985</v>
      </c>
    </row>
    <row r="75" spans="1:4" ht="18.75" customHeight="1" x14ac:dyDescent="0.25">
      <c r="A75" s="2">
        <v>40633</v>
      </c>
      <c r="B75" s="3">
        <f>'Inflação Implícita'!C75</f>
        <v>6.0220942309508141</v>
      </c>
      <c r="C75" s="3">
        <f>'Inflação Implícita'!Q75-'Inflação Implícita'!C75</f>
        <v>0.12805648494969013</v>
      </c>
      <c r="D75" s="3">
        <f>-'Inflação Implícita'!C75+(2*'Inflação Implícita'!G75)-'Inflação Implícita'!Q75</f>
        <v>-2.8246450752078545E-2</v>
      </c>
    </row>
    <row r="76" spans="1:4" ht="18.75" customHeight="1" x14ac:dyDescent="0.25">
      <c r="A76" s="2">
        <v>40663</v>
      </c>
      <c r="B76" s="3">
        <f>'Inflação Implícita'!C76</f>
        <v>5.7471804511278313</v>
      </c>
      <c r="C76" s="3">
        <f>'Inflação Implícita'!Q76-'Inflação Implícita'!C76</f>
        <v>-0.12758661886007605</v>
      </c>
      <c r="D76" s="3">
        <f>-'Inflação Implícita'!C76+(2*'Inflação Implícita'!G76)-'Inflação Implícita'!Q76</f>
        <v>-1.491547753753597E-2</v>
      </c>
    </row>
    <row r="77" spans="1:4" ht="18.75" customHeight="1" x14ac:dyDescent="0.25">
      <c r="A77" s="2">
        <v>40694</v>
      </c>
      <c r="B77" s="3">
        <f>'Inflação Implícita'!C77</f>
        <v>5.3720014992503895</v>
      </c>
      <c r="C77" s="3">
        <f>'Inflação Implícita'!Q77-'Inflação Implícita'!C77</f>
        <v>0.34241885890229362</v>
      </c>
      <c r="D77" s="3">
        <f>-'Inflação Implícita'!C77+(2*'Inflação Implícita'!G77)-'Inflação Implícita'!Q77</f>
        <v>0.20141420200654458</v>
      </c>
    </row>
    <row r="78" spans="1:4" ht="18.75" customHeight="1" x14ac:dyDescent="0.25">
      <c r="A78" s="2">
        <v>40724</v>
      </c>
      <c r="B78" s="3">
        <f>'Inflação Implícita'!C78</f>
        <v>5.2499299261889121</v>
      </c>
      <c r="C78" s="3">
        <f>'Inflação Implícita'!Q78-'Inflação Implícita'!C78</f>
        <v>0.45533719903487757</v>
      </c>
      <c r="D78" s="3">
        <f>-'Inflação Implícita'!C78+(2*'Inflação Implícita'!G78)-'Inflação Implícita'!Q78</f>
        <v>0.11106913968923493</v>
      </c>
    </row>
    <row r="79" spans="1:4" ht="18.75" customHeight="1" x14ac:dyDescent="0.25">
      <c r="A79" s="2">
        <v>40755</v>
      </c>
      <c r="B79" s="3">
        <f>'Inflação Implícita'!C79</f>
        <v>5.7405842021226672</v>
      </c>
      <c r="C79" s="3">
        <f>'Inflação Implícita'!Q79-'Inflação Implícita'!C79</f>
        <v>9.5728121489768725E-2</v>
      </c>
      <c r="D79" s="3">
        <f>-'Inflação Implícita'!C79+(2*'Inflação Implícita'!G79)-'Inflação Implícita'!Q79</f>
        <v>0.17178867336333781</v>
      </c>
    </row>
    <row r="80" spans="1:4" ht="18.75" customHeight="1" x14ac:dyDescent="0.25">
      <c r="A80" s="2">
        <v>40786</v>
      </c>
      <c r="B80" s="3">
        <f>'Inflação Implícita'!C80</f>
        <v>6.0560694192810072</v>
      </c>
      <c r="C80" s="3">
        <f>'Inflação Implícita'!Q80-'Inflação Implícita'!C80</f>
        <v>-0.41280566216526093</v>
      </c>
      <c r="D80" s="3">
        <f>-'Inflação Implícita'!C80+(2*'Inflação Implícita'!G80)-'Inflação Implícita'!Q80</f>
        <v>-0.14078060730187136</v>
      </c>
    </row>
    <row r="81" spans="1:4" ht="18.75" customHeight="1" x14ac:dyDescent="0.25">
      <c r="A81" s="2">
        <v>40816</v>
      </c>
      <c r="B81" s="3">
        <f>'Inflação Implícita'!C81</f>
        <v>6.012293507491373</v>
      </c>
      <c r="C81" s="3">
        <f>'Inflação Implícita'!Q81-'Inflação Implícita'!C81</f>
        <v>-0.46200887751035591</v>
      </c>
      <c r="D81" s="3">
        <f>-'Inflação Implícita'!C81+(2*'Inflação Implícita'!G81)-'Inflação Implícita'!Q81</f>
        <v>8.2365255163918683E-2</v>
      </c>
    </row>
    <row r="82" spans="1:4" ht="18.75" customHeight="1" x14ac:dyDescent="0.25">
      <c r="A82" s="2">
        <v>40847</v>
      </c>
      <c r="B82" s="3">
        <f>'Inflação Implícita'!C82</f>
        <v>5.8884515695497797</v>
      </c>
      <c r="C82" s="3">
        <f>'Inflação Implícita'!Q82-'Inflação Implícita'!C82</f>
        <v>-0.27484974584157662</v>
      </c>
      <c r="D82" s="3">
        <f>-'Inflação Implícita'!C82+(2*'Inflação Implícita'!G82)-'Inflação Implícita'!Q82</f>
        <v>0.11748388180627956</v>
      </c>
    </row>
    <row r="83" spans="1:4" ht="18.75" customHeight="1" x14ac:dyDescent="0.25">
      <c r="A83" s="2">
        <v>40877</v>
      </c>
      <c r="B83" s="3">
        <f>'Inflação Implícita'!C83</f>
        <v>5.281298003072199</v>
      </c>
      <c r="C83" s="3">
        <f>'Inflação Implícita'!Q83-'Inflação Implícita'!C83</f>
        <v>0.24093374023923531</v>
      </c>
      <c r="D83" s="3">
        <f>-'Inflação Implícita'!C83+(2*'Inflação Implícita'!G83)-'Inflação Implícita'!Q83</f>
        <v>-0.22010916962527105</v>
      </c>
    </row>
    <row r="84" spans="1:4" ht="18.75" customHeight="1" x14ac:dyDescent="0.25">
      <c r="A84" s="2">
        <v>40908</v>
      </c>
      <c r="B84" s="3">
        <f>'Inflação Implícita'!C84</f>
        <v>5.5235903337169212</v>
      </c>
      <c r="C84" s="3">
        <f>'Inflação Implícita'!Q84-'Inflação Implícita'!C84</f>
        <v>6.8358778596766534E-2</v>
      </c>
      <c r="D84" s="3">
        <f>-'Inflação Implícita'!C84+(2*'Inflação Implícita'!G84)-'Inflação Implícita'!Q84</f>
        <v>-0.24721339624911298</v>
      </c>
    </row>
    <row r="85" spans="1:4" ht="18.75" customHeight="1" x14ac:dyDescent="0.25">
      <c r="A85" s="2">
        <v>40939</v>
      </c>
      <c r="B85" s="3">
        <f>'Inflação Implícita'!C85</f>
        <v>5.27964635787046</v>
      </c>
      <c r="C85" s="3">
        <f>'Inflação Implícita'!Q85-'Inflação Implícita'!C85</f>
        <v>0.62451793191846683</v>
      </c>
      <c r="D85" s="3">
        <f>-'Inflação Implícita'!C85+(2*'Inflação Implícita'!G85)-'Inflação Implícita'!Q85</f>
        <v>0.16311257581169691</v>
      </c>
    </row>
    <row r="86" spans="1:4" ht="18.75" customHeight="1" x14ac:dyDescent="0.25">
      <c r="A86" s="2">
        <v>40968</v>
      </c>
      <c r="B86" s="3">
        <f>'Inflação Implícita'!C86</f>
        <v>5.4919378198319713</v>
      </c>
      <c r="C86" s="3">
        <f>'Inflação Implícita'!Q86-'Inflação Implícita'!C86</f>
        <v>0.56232205641744137</v>
      </c>
      <c r="D86" s="3">
        <f>-'Inflação Implícita'!C86+(2*'Inflação Implícita'!G86)-'Inflação Implícita'!Q86</f>
        <v>0.47867078789756157</v>
      </c>
    </row>
    <row r="87" spans="1:4" ht="18.75" customHeight="1" x14ac:dyDescent="0.25">
      <c r="A87" s="2">
        <v>40999</v>
      </c>
      <c r="B87" s="3">
        <f>'Inflação Implícita'!C87</f>
        <v>5.4996127033307474</v>
      </c>
      <c r="C87" s="3">
        <f>'Inflação Implícita'!Q87-'Inflação Implícita'!C87</f>
        <v>0.5930646422070085</v>
      </c>
      <c r="D87" s="3">
        <f>-'Inflação Implícita'!C87+(2*'Inflação Implícita'!G87)-'Inflação Implícita'!Q87</f>
        <v>0.31543465678864901</v>
      </c>
    </row>
    <row r="88" spans="1:4" ht="18.75" customHeight="1" x14ac:dyDescent="0.25">
      <c r="A88" s="2">
        <v>41029</v>
      </c>
      <c r="B88" s="3">
        <f>'Inflação Implícita'!C88</f>
        <v>5.4643691588784904</v>
      </c>
      <c r="C88" s="3">
        <f>'Inflação Implícita'!Q88-'Inflação Implícita'!C88</f>
        <v>0.71320003947414889</v>
      </c>
      <c r="D88" s="3">
        <f>-'Inflação Implícita'!C88+(2*'Inflação Implícita'!G88)-'Inflação Implícita'!Q88</f>
        <v>0.18839731652087188</v>
      </c>
    </row>
    <row r="89" spans="1:4" ht="18.75" customHeight="1" x14ac:dyDescent="0.25">
      <c r="A89" s="2">
        <v>41060</v>
      </c>
      <c r="B89" s="3">
        <f>'Inflação Implícita'!C89</f>
        <v>4.8057875315595355</v>
      </c>
      <c r="C89" s="3">
        <f>'Inflação Implícita'!Q89-'Inflação Implícita'!C89</f>
        <v>1.3074562304366211</v>
      </c>
      <c r="D89" s="3">
        <f>-'Inflação Implícita'!C89+(2*'Inflação Implícita'!G89)-'Inflação Implícita'!Q89</f>
        <v>0.31244840627109305</v>
      </c>
    </row>
    <row r="90" spans="1:4" ht="18.75" customHeight="1" x14ac:dyDescent="0.25">
      <c r="A90" s="2">
        <v>41090</v>
      </c>
      <c r="B90" s="3">
        <f>'Inflação Implícita'!C90</f>
        <v>4.1335914811229557</v>
      </c>
      <c r="C90" s="3">
        <f>'Inflação Implícita'!Q90-'Inflação Implícita'!C90</f>
        <v>1.5012911254894012</v>
      </c>
      <c r="D90" s="3">
        <f>-'Inflação Implícita'!C90+(2*'Inflação Implícita'!G90)-'Inflação Implícita'!Q90</f>
        <v>0.49182751633731758</v>
      </c>
    </row>
    <row r="91" spans="1:4" ht="18.75" customHeight="1" x14ac:dyDescent="0.25">
      <c r="A91" s="2">
        <v>41121</v>
      </c>
      <c r="B91" s="3">
        <f>'Inflação Implícita'!C91</f>
        <v>5.5120274914089329</v>
      </c>
      <c r="C91" s="3">
        <f>'Inflação Implícita'!Q91-'Inflação Implícita'!C91</f>
        <v>-0.12556565751553617</v>
      </c>
      <c r="D91" s="3">
        <f>-'Inflação Implícita'!C91+(2*'Inflação Implícita'!G91)-'Inflação Implícita'!Q91</f>
        <v>-5.525548004008396E-2</v>
      </c>
    </row>
    <row r="92" spans="1:4" ht="18.75" customHeight="1" x14ac:dyDescent="0.25">
      <c r="A92" s="2">
        <v>41152</v>
      </c>
      <c r="B92" s="3">
        <f>'Inflação Implícita'!C92</f>
        <v>5.7703659976387378</v>
      </c>
      <c r="C92" s="3">
        <f>'Inflação Implícita'!Q92-'Inflação Implícita'!C92</f>
        <v>-0.19022360779845648</v>
      </c>
      <c r="D92" s="3">
        <f>-'Inflação Implícita'!C92+(2*'Inflação Implícita'!G92)-'Inflação Implícita'!Q92</f>
        <v>-0.43227912012930858</v>
      </c>
    </row>
    <row r="93" spans="1:4" ht="18.75" customHeight="1" x14ac:dyDescent="0.25">
      <c r="A93" s="2">
        <v>41182</v>
      </c>
      <c r="B93" s="3">
        <f>'Inflação Implícita'!C93</f>
        <v>5.974563738538885</v>
      </c>
      <c r="C93" s="3">
        <f>'Inflação Implícita'!Q93-'Inflação Implícita'!C93</f>
        <v>-0.18681335333086135</v>
      </c>
      <c r="D93" s="3">
        <f>-'Inflação Implícita'!C93+(2*'Inflação Implícita'!G93)-'Inflação Implícita'!Q93</f>
        <v>-0.21863796647398903</v>
      </c>
    </row>
    <row r="94" spans="1:4" ht="18.75" customHeight="1" x14ac:dyDescent="0.25">
      <c r="A94" s="2">
        <v>41213</v>
      </c>
      <c r="B94" s="3">
        <f>'Inflação Implícita'!C94</f>
        <v>5.7588009072083723</v>
      </c>
      <c r="C94" s="3">
        <f>'Inflação Implícita'!Q94-'Inflação Implícita'!C94</f>
        <v>-0.20378206844882119</v>
      </c>
      <c r="D94" s="3">
        <f>-'Inflação Implícita'!C94+(2*'Inflação Implícita'!G94)-'Inflação Implícita'!Q94</f>
        <v>-8.4561642113012425E-4</v>
      </c>
    </row>
    <row r="95" spans="1:4" ht="18.75" customHeight="1" x14ac:dyDescent="0.25">
      <c r="A95" s="2">
        <v>41243</v>
      </c>
      <c r="B95" s="3">
        <f>'Inflação Implícita'!C95</f>
        <v>5.6148994875837577</v>
      </c>
      <c r="C95" s="3">
        <f>'Inflação Implícita'!Q95-'Inflação Implícita'!C95</f>
        <v>0.16751194209092546</v>
      </c>
      <c r="D95" s="3">
        <f>-'Inflação Implícita'!C95+(2*'Inflação Implícita'!G95)-'Inflação Implícita'!Q95</f>
        <v>0.33902973994552887</v>
      </c>
    </row>
    <row r="96" spans="1:4" ht="18.75" customHeight="1" x14ac:dyDescent="0.25">
      <c r="A96" s="2">
        <v>41274</v>
      </c>
      <c r="B96" s="3">
        <f>'Inflação Implícita'!C96</f>
        <v>6.2666137671097077</v>
      </c>
      <c r="C96" s="3">
        <f>'Inflação Implícita'!Q96-'Inflação Implícita'!C96</f>
        <v>-0.61334743545140569</v>
      </c>
      <c r="D96" s="3">
        <f>-'Inflação Implícita'!C96+(2*'Inflação Implícita'!G96)-'Inflação Implícita'!Q96</f>
        <v>-0.2285316965856321</v>
      </c>
    </row>
    <row r="97" spans="1:4" ht="18.75" customHeight="1" x14ac:dyDescent="0.25">
      <c r="A97" s="2">
        <v>41305</v>
      </c>
      <c r="B97" s="3">
        <f>'Inflação Implícita'!C97</f>
        <v>5.91784338896022</v>
      </c>
      <c r="C97" s="3">
        <f>'Inflação Implícita'!Q97-'Inflação Implícita'!C97</f>
        <v>4.8559391499303217E-2</v>
      </c>
      <c r="D97" s="3">
        <f>-'Inflação Implícita'!C97+(2*'Inflação Implícita'!G97)-'Inflação Implícita'!Q97</f>
        <v>7.1831957098567045E-2</v>
      </c>
    </row>
    <row r="98" spans="1:4" ht="18.75" customHeight="1" x14ac:dyDescent="0.25">
      <c r="A98" s="2">
        <v>41333</v>
      </c>
      <c r="B98" s="3">
        <f>'Inflação Implícita'!C98</f>
        <v>5.4948604992657968</v>
      </c>
      <c r="C98" s="3">
        <f>'Inflação Implícita'!Q98-'Inflação Implícita'!C98</f>
        <v>0.17405191651862495</v>
      </c>
      <c r="D98" s="3">
        <f>-'Inflação Implícita'!C98+(2*'Inflação Implícita'!G98)-'Inflação Implícita'!Q98</f>
        <v>1.0253560937778516E-2</v>
      </c>
    </row>
    <row r="99" spans="1:4" ht="18.75" customHeight="1" x14ac:dyDescent="0.25">
      <c r="A99" s="2">
        <v>41364</v>
      </c>
      <c r="B99" s="3">
        <f>'Inflação Implícita'!C99</f>
        <v>5.1012855473315355</v>
      </c>
      <c r="C99" s="3">
        <f>'Inflação Implícita'!Q99-'Inflação Implícita'!C99</f>
        <v>0.7810673938449364</v>
      </c>
      <c r="D99" s="3">
        <f>-'Inflação Implícita'!C99+(2*'Inflação Implícita'!G99)-'Inflação Implícita'!Q99</f>
        <v>0.57256025727105975</v>
      </c>
    </row>
    <row r="100" spans="1:4" ht="18.75" customHeight="1" x14ac:dyDescent="0.25">
      <c r="A100" s="2">
        <v>41394</v>
      </c>
      <c r="B100" s="3">
        <f>'Inflação Implícita'!C100</f>
        <v>5.1957537982080249</v>
      </c>
      <c r="C100" s="3">
        <f>'Inflação Implícita'!Q100-'Inflação Implícita'!C100</f>
        <v>0.18368904521177676</v>
      </c>
      <c r="D100" s="3">
        <f>-'Inflação Implícita'!C100+(2*'Inflação Implícita'!G100)-'Inflação Implícita'!Q100</f>
        <v>0.20875695914548409</v>
      </c>
    </row>
    <row r="101" spans="1:4" ht="18.75" customHeight="1" x14ac:dyDescent="0.25">
      <c r="A101" s="2">
        <v>41425</v>
      </c>
      <c r="B101" s="3">
        <f>'Inflação Implícita'!C101</f>
        <v>5.3261607056314553</v>
      </c>
      <c r="C101" s="3">
        <f>'Inflação Implícita'!Q101-'Inflação Implícita'!C101</f>
        <v>0.27872805594595373</v>
      </c>
      <c r="D101" s="3">
        <f>-'Inflação Implícita'!C101+(2*'Inflação Implícita'!G101)-'Inflação Implícita'!Q101</f>
        <v>-4.9147626718037962E-2</v>
      </c>
    </row>
    <row r="102" spans="1:4" ht="18.75" customHeight="1" x14ac:dyDescent="0.25">
      <c r="A102" s="2">
        <v>41455</v>
      </c>
      <c r="B102" s="3">
        <f>'Inflação Implícita'!C102</f>
        <v>5.2293930941617717</v>
      </c>
      <c r="C102" s="3">
        <f>'Inflação Implícita'!Q102-'Inflação Implícita'!C102</f>
        <v>0.47431763944361105</v>
      </c>
      <c r="D102" s="3">
        <f>-'Inflação Implícita'!C102+(2*'Inflação Implícita'!G102)-'Inflação Implícita'!Q102</f>
        <v>0.87304679586421852</v>
      </c>
    </row>
    <row r="103" spans="1:4" ht="18.75" customHeight="1" x14ac:dyDescent="0.25">
      <c r="A103" s="2">
        <v>41486</v>
      </c>
      <c r="B103" s="3">
        <f>'Inflação Implícita'!C103</f>
        <v>5.5209037366032554</v>
      </c>
      <c r="C103" s="3">
        <f>'Inflação Implícita'!Q103-'Inflação Implícita'!C103</f>
        <v>-8.0467292970620719E-3</v>
      </c>
      <c r="D103" s="3">
        <f>-'Inflação Implícita'!C103+(2*'Inflação Implícita'!G103)-'Inflação Implícita'!Q103</f>
        <v>0.53505359082182125</v>
      </c>
    </row>
    <row r="104" spans="1:4" ht="18.75" customHeight="1" x14ac:dyDescent="0.25">
      <c r="A104" s="2">
        <v>41517</v>
      </c>
      <c r="B104" s="3">
        <f>'Inflação Implícita'!C104</f>
        <v>6.227469879518055</v>
      </c>
      <c r="C104" s="3">
        <f>'Inflação Implícita'!Q104-'Inflação Implícita'!C104</f>
        <v>-2.2986762143606398E-2</v>
      </c>
      <c r="D104" s="3">
        <f>-'Inflação Implícita'!C104+(2*'Inflação Implícita'!G104)-'Inflação Implícita'!Q104</f>
        <v>4.4345827529213011E-2</v>
      </c>
    </row>
    <row r="105" spans="1:4" ht="18.75" customHeight="1" x14ac:dyDescent="0.25">
      <c r="A105" s="2">
        <v>41547</v>
      </c>
      <c r="B105" s="3">
        <f>'Inflação Implícita'!C105</f>
        <v>6.3375519273500158</v>
      </c>
      <c r="C105" s="3">
        <f>'Inflação Implícita'!Q105-'Inflação Implícita'!C105</f>
        <v>-0.43349288675960107</v>
      </c>
      <c r="D105" s="3">
        <f>-'Inflação Implícita'!C105+(2*'Inflação Implícita'!G105)-'Inflação Implícita'!Q105</f>
        <v>-0.11061903628408754</v>
      </c>
    </row>
    <row r="106" spans="1:4" ht="18.75" customHeight="1" x14ac:dyDescent="0.25">
      <c r="A106" s="2">
        <v>41578</v>
      </c>
      <c r="B106" s="3">
        <f>'Inflação Implícita'!C106</f>
        <v>6.3449138677701855</v>
      </c>
      <c r="C106" s="3">
        <f>'Inflação Implícita'!Q106-'Inflação Implícita'!C106</f>
        <v>-0.63197713500342534</v>
      </c>
      <c r="D106" s="3">
        <f>-'Inflação Implícita'!C106+(2*'Inflação Implícita'!G106)-'Inflação Implícita'!Q106</f>
        <v>-0.33214497447142666</v>
      </c>
    </row>
    <row r="107" spans="1:4" ht="18.75" customHeight="1" x14ac:dyDescent="0.25">
      <c r="A107" s="2">
        <v>41608</v>
      </c>
      <c r="B107" s="3">
        <f>'Inflação Implícita'!C107</f>
        <v>6.2570852147180389</v>
      </c>
      <c r="C107" s="3">
        <f>'Inflação Implícita'!Q107-'Inflação Implícita'!C107</f>
        <v>-2.5882207199234841E-2</v>
      </c>
      <c r="D107" s="3">
        <f>-'Inflação Implícita'!C107+(2*'Inflação Implícita'!G107)-'Inflação Implícita'!Q107</f>
        <v>0.28466228777448421</v>
      </c>
    </row>
    <row r="108" spans="1:4" ht="18.75" customHeight="1" x14ac:dyDescent="0.25">
      <c r="A108" s="2">
        <v>41639</v>
      </c>
      <c r="B108" s="3">
        <f>'Inflação Implícita'!C108</f>
        <v>6.219020172910672</v>
      </c>
      <c r="C108" s="3">
        <f>'Inflação Implícita'!Q108-'Inflação Implícita'!C108</f>
        <v>0.29085753169892925</v>
      </c>
      <c r="D108" s="3">
        <f>-'Inflação Implícita'!C108+(2*'Inflação Implícita'!G108)-'Inflação Implícita'!Q108</f>
        <v>0.2583602631121007</v>
      </c>
    </row>
    <row r="109" spans="1:4" ht="18.75" customHeight="1" x14ac:dyDescent="0.25">
      <c r="A109" s="2">
        <v>41670</v>
      </c>
      <c r="B109" s="3">
        <f>'Inflação Implícita'!C109</f>
        <v>6.2260026610910346</v>
      </c>
      <c r="C109" s="3">
        <f>'Inflação Implícita'!Q109-'Inflação Implícita'!C109</f>
        <v>4.7370562543980199E-2</v>
      </c>
      <c r="D109" s="3">
        <f>-'Inflação Implícita'!C109+(2*'Inflação Implícita'!G109)-'Inflação Implícita'!Q109</f>
        <v>-0.13904592597087095</v>
      </c>
    </row>
    <row r="110" spans="1:4" ht="18.75" customHeight="1" x14ac:dyDescent="0.25">
      <c r="A110" s="2">
        <v>41698</v>
      </c>
      <c r="B110" s="3">
        <f>'Inflação Implícita'!C110</f>
        <v>6.0915593705293425</v>
      </c>
      <c r="C110" s="3">
        <f>'Inflação Implícita'!Q110-'Inflação Implícita'!C110</f>
        <v>-0.12756837277991817</v>
      </c>
      <c r="D110" s="3">
        <f>-'Inflação Implícita'!C110+(2*'Inflação Implícita'!G110)-'Inflação Implícita'!Q110</f>
        <v>0.41259498330215028</v>
      </c>
    </row>
    <row r="111" spans="1:4" ht="18.75" customHeight="1" x14ac:dyDescent="0.25">
      <c r="A111" s="2">
        <v>41729</v>
      </c>
      <c r="B111" s="3">
        <f>'Inflação Implícita'!C111</f>
        <v>6.7535704016102871</v>
      </c>
      <c r="C111" s="3">
        <f>'Inflação Implícita'!Q111-'Inflação Implícita'!C111</f>
        <v>-0.64720139307450353</v>
      </c>
      <c r="D111" s="3">
        <f>-'Inflação Implícita'!C111+(2*'Inflação Implícita'!G111)-'Inflação Implícita'!Q111</f>
        <v>-0.5552886852354888</v>
      </c>
    </row>
    <row r="112" spans="1:4" ht="18.75" customHeight="1" x14ac:dyDescent="0.25">
      <c r="A112" s="2">
        <v>41759</v>
      </c>
      <c r="B112" s="3">
        <f>'Inflação Implícita'!C112</f>
        <v>6.630590939565173</v>
      </c>
      <c r="C112" s="3">
        <f>'Inflação Implícita'!Q112-'Inflação Implícita'!C112</f>
        <v>-0.64993184652226699</v>
      </c>
      <c r="D112" s="3">
        <f>-'Inflação Implícita'!C112+(2*'Inflação Implícita'!G112)-'Inflação Implícita'!Q112</f>
        <v>-0.60182940142581298</v>
      </c>
    </row>
    <row r="113" spans="1:4" ht="18.75" customHeight="1" x14ac:dyDescent="0.25">
      <c r="A113" s="2">
        <v>41790</v>
      </c>
      <c r="B113" s="3">
        <f>'Inflação Implícita'!C113</f>
        <v>6.3297923246243837</v>
      </c>
      <c r="C113" s="3">
        <f>'Inflação Implícita'!Q113-'Inflação Implícita'!C113</f>
        <v>-0.45298824953712291</v>
      </c>
      <c r="D113" s="3">
        <f>-'Inflação Implícita'!C113+(2*'Inflação Implícita'!G113)-'Inflação Implícita'!Q113</f>
        <v>-0.41138489218823793</v>
      </c>
    </row>
    <row r="114" spans="1:4" ht="18.75" customHeight="1" x14ac:dyDescent="0.25">
      <c r="A114" s="2">
        <v>41820</v>
      </c>
      <c r="B114" s="3">
        <f>'Inflação Implícita'!C114</f>
        <v>5.7244995233555862</v>
      </c>
      <c r="C114" s="3">
        <f>'Inflação Implícita'!Q114-'Inflação Implícita'!C114</f>
        <v>5.0347391387695062E-2</v>
      </c>
      <c r="D114" s="3">
        <f>-'Inflação Implícita'!C114+(2*'Inflação Implícita'!G114)-'Inflação Implícita'!Q114</f>
        <v>0.19962302394136433</v>
      </c>
    </row>
    <row r="115" spans="1:4" ht="18.75" customHeight="1" x14ac:dyDescent="0.25">
      <c r="A115" s="2">
        <v>41851</v>
      </c>
      <c r="B115" s="3">
        <f>'Inflação Implícita'!C115</f>
        <v>5.6583833190517074</v>
      </c>
      <c r="C115" s="3">
        <f>'Inflação Implícita'!Q115-'Inflação Implícita'!C115</f>
        <v>0.10739944965640902</v>
      </c>
      <c r="D115" s="3">
        <f>-'Inflação Implícita'!C115+(2*'Inflação Implícita'!G115)-'Inflação Implícita'!Q115</f>
        <v>8.8462802600597357E-2</v>
      </c>
    </row>
    <row r="116" spans="1:4" ht="18.75" customHeight="1" x14ac:dyDescent="0.25">
      <c r="A116" s="2">
        <v>41882</v>
      </c>
      <c r="B116" s="3">
        <f>'Inflação Implícita'!C116</f>
        <v>6.2020839307905584</v>
      </c>
      <c r="C116" s="3">
        <f>'Inflação Implícita'!Q116-'Inflação Implícita'!C116</f>
        <v>-0.84612602008811155</v>
      </c>
      <c r="D116" s="3">
        <f>-'Inflação Implícita'!C116+(2*'Inflação Implícita'!G116)-'Inflação Implícita'!Q116</f>
        <v>-0.65326187184202578</v>
      </c>
    </row>
    <row r="117" spans="1:4" ht="18.75" customHeight="1" x14ac:dyDescent="0.25">
      <c r="A117" s="2">
        <v>41912</v>
      </c>
      <c r="B117" s="3">
        <f>'Inflação Implícita'!C117</f>
        <v>7.1790200402723103</v>
      </c>
      <c r="C117" s="3">
        <f>'Inflação Implícita'!Q117-'Inflação Implícita'!C117</f>
        <v>-1.3227393914605479</v>
      </c>
      <c r="D117" s="3">
        <f>-'Inflação Implícita'!C117+(2*'Inflação Implícita'!G117)-'Inflação Implícita'!Q117</f>
        <v>-0.76802916465350535</v>
      </c>
    </row>
    <row r="118" spans="1:4" ht="18.75" customHeight="1" x14ac:dyDescent="0.25">
      <c r="A118" s="2">
        <v>41943</v>
      </c>
      <c r="B118" s="3">
        <f>'Inflação Implícita'!C118</f>
        <v>6.9574752097635306</v>
      </c>
      <c r="C118" s="3">
        <f>'Inflação Implícita'!Q118-'Inflação Implícita'!C118</f>
        <v>-1.2539813476294404</v>
      </c>
      <c r="D118" s="3">
        <f>-'Inflação Implícita'!C118+(2*'Inflação Implícita'!G118)-'Inflação Implícita'!Q118</f>
        <v>-0.62389700834548645</v>
      </c>
    </row>
    <row r="119" spans="1:4" ht="18.75" customHeight="1" x14ac:dyDescent="0.25">
      <c r="A119" s="2">
        <v>41973</v>
      </c>
      <c r="B119" s="3">
        <f>'Inflação Implícita'!C119</f>
        <v>7.4383718708197932</v>
      </c>
      <c r="C119" s="3">
        <f>'Inflação Implícita'!Q119-'Inflação Implícita'!C119</f>
        <v>-1.8228415677894905</v>
      </c>
      <c r="D119" s="3">
        <f>-'Inflação Implícita'!C119+(2*'Inflação Implícita'!G119)-'Inflação Implícita'!Q119</f>
        <v>-1.2820621132095589</v>
      </c>
    </row>
    <row r="120" spans="1:4" ht="18.75" customHeight="1" x14ac:dyDescent="0.25">
      <c r="A120" s="2">
        <v>42004</v>
      </c>
      <c r="B120" s="3">
        <f>'Inflação Implícita'!C120</f>
        <v>7.7040427154843716</v>
      </c>
      <c r="C120" s="3">
        <f>'Inflação Implícita'!Q120-'Inflação Implícita'!C120</f>
        <v>-2.1191868104175171</v>
      </c>
      <c r="D120" s="3">
        <f>-'Inflação Implícita'!C120+(2*'Inflação Implícita'!G120)-'Inflação Implícita'!Q120</f>
        <v>-1.3778545195334946</v>
      </c>
    </row>
    <row r="121" spans="1:4" ht="18.75" customHeight="1" x14ac:dyDescent="0.25">
      <c r="A121" s="2">
        <v>42035</v>
      </c>
      <c r="B121" s="3">
        <f>'Inflação Implícita'!C121</f>
        <v>7.520503528514233</v>
      </c>
      <c r="C121" s="3">
        <f>'Inflação Implícita'!Q121-'Inflação Implícita'!C121</f>
        <v>-1.8183758689397811</v>
      </c>
      <c r="D121" s="3">
        <f>-'Inflação Implícita'!C121+(2*'Inflação Implícita'!G121)-'Inflação Implícita'!Q121</f>
        <v>-1.0673281577856519</v>
      </c>
    </row>
    <row r="122" spans="1:4" ht="18.75" customHeight="1" x14ac:dyDescent="0.25">
      <c r="A122" s="2">
        <v>42063</v>
      </c>
      <c r="B122" s="3">
        <f>'Inflação Implícita'!C122</f>
        <v>7.5130765572990921</v>
      </c>
      <c r="C122" s="3">
        <f>'Inflação Implícita'!Q122-'Inflação Implícita'!C122</f>
        <v>-1.5723889864641905</v>
      </c>
      <c r="D122" s="3">
        <f>-'Inflação Implícita'!C122+(2*'Inflação Implícita'!G122)-'Inflação Implícita'!Q122</f>
        <v>-1.1028803016853939</v>
      </c>
    </row>
    <row r="123" spans="1:4" ht="18.75" customHeight="1" x14ac:dyDescent="0.25">
      <c r="A123" s="2">
        <v>42094</v>
      </c>
      <c r="B123" s="3">
        <f>'Inflação Implícita'!C123</f>
        <v>7.2461029759093076</v>
      </c>
      <c r="C123" s="3">
        <f>'Inflação Implícita'!Q123-'Inflação Implícita'!C123</f>
        <v>-0.71841690855718454</v>
      </c>
      <c r="D123" s="3">
        <f>-'Inflação Implícita'!C123+(2*'Inflação Implícita'!G123)-'Inflação Implícita'!Q123</f>
        <v>-0.88004375313337491</v>
      </c>
    </row>
    <row r="124" spans="1:4" ht="18.75" customHeight="1" x14ac:dyDescent="0.25">
      <c r="A124" s="2">
        <v>42124</v>
      </c>
      <c r="B124" s="3">
        <f>'Inflação Implícita'!C124</f>
        <v>6.6185160866710335</v>
      </c>
      <c r="C124" s="3">
        <f>'Inflação Implícita'!Q124-'Inflação Implícita'!C124</f>
        <v>-0.16659845961644049</v>
      </c>
      <c r="D124" s="3">
        <f>-'Inflação Implícita'!C124+(2*'Inflação Implícita'!G124)-'Inflação Implícita'!Q124</f>
        <v>-0.94067348805564333</v>
      </c>
    </row>
    <row r="125" spans="1:4" ht="18.75" customHeight="1" x14ac:dyDescent="0.25">
      <c r="A125" s="2">
        <v>42155</v>
      </c>
      <c r="B125" s="3">
        <f>'Inflação Implícita'!C125</f>
        <v>6.742680180180205</v>
      </c>
      <c r="C125" s="3">
        <f>'Inflação Implícita'!Q125-'Inflação Implícita'!C125</f>
        <v>-0.68465163845445876</v>
      </c>
      <c r="D125" s="3">
        <f>-'Inflação Implícita'!C125+(2*'Inflação Implícita'!G125)-'Inflação Implícita'!Q125</f>
        <v>-1.3068234914261678</v>
      </c>
    </row>
    <row r="126" spans="1:4" ht="18.75" customHeight="1" x14ac:dyDescent="0.25">
      <c r="A126" s="2">
        <v>42185</v>
      </c>
      <c r="B126" s="3">
        <f>'Inflação Implícita'!C126</f>
        <v>7.0654923639089429</v>
      </c>
      <c r="C126" s="3">
        <f>'Inflação Implícita'!Q126-'Inflação Implícita'!C126</f>
        <v>-0.81785174480741851</v>
      </c>
      <c r="D126" s="3">
        <f>-'Inflação Implícita'!C126+(2*'Inflação Implícita'!G126)-'Inflação Implícita'!Q126</f>
        <v>-1.6503783120875415</v>
      </c>
    </row>
    <row r="127" spans="1:4" ht="18.75" customHeight="1" x14ac:dyDescent="0.25">
      <c r="A127" s="2">
        <v>42216</v>
      </c>
      <c r="B127" s="3">
        <f>'Inflação Implícita'!C127</f>
        <v>6.8577594295364808</v>
      </c>
      <c r="C127" s="3">
        <f>'Inflação Implícita'!Q127-'Inflação Implícita'!C127</f>
        <v>-0.70174439194250482</v>
      </c>
      <c r="D127" s="3">
        <f>-'Inflação Implícita'!C127+(2*'Inflação Implícita'!G127)-'Inflação Implícita'!Q127</f>
        <v>-1.0273057582411482</v>
      </c>
    </row>
    <row r="128" spans="1:4" ht="18.75" customHeight="1" x14ac:dyDescent="0.25">
      <c r="A128" s="2">
        <v>42247</v>
      </c>
      <c r="B128" s="3">
        <f>'Inflação Implícita'!C128</f>
        <v>6.3326206191317347</v>
      </c>
      <c r="C128" s="3">
        <f>'Inflação Implícita'!Q128-'Inflação Implícita'!C128</f>
        <v>0.60168595021132809</v>
      </c>
      <c r="D128" s="3">
        <f>-'Inflação Implícita'!C128+(2*'Inflação Implícita'!G128)-'Inflação Implícita'!Q128</f>
        <v>-0.25712784176454839</v>
      </c>
    </row>
    <row r="129" spans="1:4" ht="18.75" customHeight="1" x14ac:dyDescent="0.25">
      <c r="A129" s="2">
        <v>42277</v>
      </c>
      <c r="B129" s="3">
        <f>'Inflação Implícita'!C129</f>
        <v>7.9000933706816046</v>
      </c>
      <c r="C129" s="3">
        <f>'Inflação Implícita'!Q129-'Inflação Implícita'!C129</f>
        <v>-0.1561738850791361</v>
      </c>
      <c r="D129" s="3">
        <f>-'Inflação Implícita'!C129+(2*'Inflação Implícita'!G129)-'Inflação Implícita'!Q129</f>
        <v>-0.33861248384461362</v>
      </c>
    </row>
    <row r="130" spans="1:4" ht="18.75" customHeight="1" x14ac:dyDescent="0.25">
      <c r="A130" s="2">
        <v>42308</v>
      </c>
      <c r="B130" s="3">
        <f>'Inflação Implícita'!C130</f>
        <v>8.6843096628366858</v>
      </c>
      <c r="C130" s="3">
        <f>'Inflação Implícita'!Q130-'Inflação Implícita'!C130</f>
        <v>-0.34708624765602458</v>
      </c>
      <c r="D130" s="3">
        <f>-'Inflação Implícita'!C130+(2*'Inflação Implícita'!G130)-'Inflação Implícita'!Q130</f>
        <v>-0.62142110638349912</v>
      </c>
    </row>
    <row r="131" spans="1:4" ht="18.75" customHeight="1" x14ac:dyDescent="0.25">
      <c r="A131" s="2">
        <v>42338</v>
      </c>
      <c r="B131" s="3">
        <f>'Inflação Implícita'!C131</f>
        <v>8.3798464131859873</v>
      </c>
      <c r="C131" s="3">
        <f>'Inflação Implícita'!Q131-'Inflação Implícita'!C131</f>
        <v>-2.5487007522961846E-2</v>
      </c>
      <c r="D131" s="3">
        <f>-'Inflação Implícita'!C131+(2*'Inflação Implícita'!G131)-'Inflação Implícita'!Q131</f>
        <v>-0.87938962527061015</v>
      </c>
    </row>
    <row r="132" spans="1:4" ht="18.75" customHeight="1" x14ac:dyDescent="0.25">
      <c r="A132" s="2">
        <v>42369</v>
      </c>
      <c r="B132" s="3">
        <f>'Inflação Implícita'!C132</f>
        <v>8.5710269865067588</v>
      </c>
      <c r="C132" s="3">
        <f>'Inflação Implícita'!Q132-'Inflação Implícita'!C132</f>
        <v>0.15098793886636486</v>
      </c>
      <c r="D132" s="3">
        <f>-'Inflação Implícita'!C132+(2*'Inflação Implícita'!G132)-'Inflação Implícita'!Q132</f>
        <v>0.50507182422991548</v>
      </c>
    </row>
    <row r="133" spans="1:4" ht="18.75" customHeight="1" x14ac:dyDescent="0.25">
      <c r="A133" s="2">
        <v>42400</v>
      </c>
      <c r="B133" s="3">
        <f>'Inflação Implícita'!C133</f>
        <v>9.0661589719181368</v>
      </c>
      <c r="C133" s="3">
        <f>'Inflação Implícita'!Q133-'Inflação Implícita'!C133</f>
        <v>-0.48807039382956496</v>
      </c>
      <c r="D133" s="3">
        <f>-'Inflação Implícita'!C133+(2*'Inflação Implícita'!G133)-'Inflação Implícita'!Q133</f>
        <v>-0.72750292886545331</v>
      </c>
    </row>
    <row r="134" spans="1:4" ht="18.75" customHeight="1" x14ac:dyDescent="0.25">
      <c r="A134" s="2">
        <v>42429</v>
      </c>
      <c r="B134" s="3">
        <f>'Inflação Implícita'!C134</f>
        <v>7.9731518245414801</v>
      </c>
      <c r="C134" s="3">
        <f>'Inflação Implícita'!Q134-'Inflação Implícita'!C134</f>
        <v>0.57162429486150579</v>
      </c>
      <c r="D134" s="3">
        <f>-'Inflação Implícita'!C134+(2*'Inflação Implícita'!G134)-'Inflação Implícita'!Q134</f>
        <v>0.35666168179422364</v>
      </c>
    </row>
    <row r="135" spans="1:4" ht="18.75" customHeight="1" x14ac:dyDescent="0.25">
      <c r="A135" s="2">
        <v>42460</v>
      </c>
      <c r="B135" s="3">
        <f>'Inflação Implícita'!C135</f>
        <v>6.929437188762555</v>
      </c>
      <c r="C135" s="3">
        <f>'Inflação Implícita'!Q135-'Inflação Implícita'!C135</f>
        <v>0.38786508439168088</v>
      </c>
      <c r="D135" s="3">
        <f>-'Inflação Implícita'!C135+(2*'Inflação Implícita'!G135)-'Inflação Implícita'!Q135</f>
        <v>-0.47680138723111831</v>
      </c>
    </row>
    <row r="136" spans="1:4" ht="18.75" customHeight="1" x14ac:dyDescent="0.25">
      <c r="A136" s="2">
        <v>42490</v>
      </c>
      <c r="B136" s="3">
        <f>'Inflação Implícita'!C136</f>
        <v>6.5411764705882502</v>
      </c>
      <c r="C136" s="3">
        <f>'Inflação Implícita'!Q136-'Inflação Implícita'!C136</f>
        <v>-0.33831070889895898</v>
      </c>
      <c r="D136" s="3">
        <f>-'Inflação Implícita'!C136+(2*'Inflação Implícita'!G136)-'Inflação Implícita'!Q136</f>
        <v>-0.77571644042233601</v>
      </c>
    </row>
    <row r="137" spans="1:4" ht="18.75" customHeight="1" x14ac:dyDescent="0.25">
      <c r="A137" s="2">
        <v>42521</v>
      </c>
      <c r="B137" s="3">
        <f>'Inflação Implícita'!C137</f>
        <v>6.4872494589253815</v>
      </c>
      <c r="C137" s="3">
        <f>'Inflação Implícita'!Q137-'Inflação Implícita'!C137</f>
        <v>0.17627551751193682</v>
      </c>
      <c r="D137" s="3">
        <f>-'Inflação Implícita'!C137+(2*'Inflação Implícita'!G137)-'Inflação Implícita'!Q137</f>
        <v>-0.5695520980428137</v>
      </c>
    </row>
    <row r="138" spans="1:4" ht="18.75" customHeight="1" x14ac:dyDescent="0.25">
      <c r="A138" s="2">
        <v>42551</v>
      </c>
      <c r="B138" s="3">
        <f>'Inflação Implícita'!C138</f>
        <v>6.362612612612617</v>
      </c>
      <c r="C138" s="3">
        <f>'Inflação Implícita'!Q138-'Inflação Implícita'!C138</f>
        <v>-0.43424314984163992</v>
      </c>
      <c r="D138" s="3">
        <f>-'Inflação Implícita'!C138+(2*'Inflação Implícita'!G138)-'Inflação Implícita'!Q138</f>
        <v>-1.5412639243125525</v>
      </c>
    </row>
    <row r="139" spans="1:4" ht="18.75" customHeight="1" x14ac:dyDescent="0.25">
      <c r="A139" s="2">
        <v>42582</v>
      </c>
      <c r="B139" s="3">
        <f>'Inflação Implícita'!C139</f>
        <v>6.3046743007321382</v>
      </c>
      <c r="C139" s="3">
        <f>'Inflação Implícita'!Q139-'Inflação Implícita'!C139</f>
        <v>-0.44537307315895003</v>
      </c>
      <c r="D139" s="3">
        <f>-'Inflação Implícita'!C139+(2*'Inflação Implícita'!G139)-'Inflação Implícita'!Q139</f>
        <v>-1.0499321729801503</v>
      </c>
    </row>
    <row r="140" spans="1:4" ht="18.75" customHeight="1" x14ac:dyDescent="0.25">
      <c r="A140" s="2">
        <v>42613</v>
      </c>
      <c r="B140" s="3">
        <f>'Inflação Implícita'!C140</f>
        <v>6.4088813623106589</v>
      </c>
      <c r="C140" s="3">
        <f>'Inflação Implícita'!Q140-'Inflação Implícita'!C140</f>
        <v>-0.19895228429649414</v>
      </c>
      <c r="D140" s="3">
        <f>-'Inflação Implícita'!C140+(2*'Inflação Implícita'!G140)-'Inflação Implícita'!Q140</f>
        <v>-1.4647831204944062</v>
      </c>
    </row>
    <row r="141" spans="1:4" ht="18.75" customHeight="1" x14ac:dyDescent="0.25">
      <c r="A141" s="2">
        <v>42643</v>
      </c>
      <c r="B141" s="3">
        <f>'Inflação Implícita'!C141</f>
        <v>5.2099897109718629</v>
      </c>
      <c r="C141" s="3">
        <f>'Inflação Implícita'!Q141-'Inflação Implícita'!C141</f>
        <v>0.40833811141829379</v>
      </c>
      <c r="D141" s="3">
        <f>-'Inflação Implícita'!C141+(2*'Inflação Implícita'!G141)-'Inflação Implícita'!Q141</f>
        <v>-0.32940213206047453</v>
      </c>
    </row>
    <row r="142" spans="1:4" ht="18.75" customHeight="1" x14ac:dyDescent="0.25">
      <c r="A142" s="2">
        <v>42674</v>
      </c>
      <c r="B142" s="3">
        <f>'Inflação Implícita'!C142</f>
        <v>4.7256125966645079</v>
      </c>
      <c r="C142" s="3">
        <f>'Inflação Implícita'!Q142-'Inflação Implícita'!C142</f>
        <v>0.82805170593596156</v>
      </c>
      <c r="D142" s="3">
        <f>-'Inflação Implícita'!C142+(2*'Inflação Implícita'!G142)-'Inflação Implícita'!Q142</f>
        <v>-0.2519209894451313</v>
      </c>
    </row>
    <row r="143" spans="1:4" ht="18.75" customHeight="1" x14ac:dyDescent="0.25">
      <c r="A143" s="2">
        <v>42704</v>
      </c>
      <c r="B143" s="3">
        <f>'Inflação Implícita'!C143</f>
        <v>4.6556550951847742</v>
      </c>
      <c r="C143" s="3">
        <f>'Inflação Implícita'!Q143-'Inflação Implícita'!C143</f>
        <v>1.08974801655497</v>
      </c>
      <c r="D143" s="3">
        <f>-'Inflação Implícita'!C143+(2*'Inflação Implícita'!G143)-'Inflação Implícita'!Q143</f>
        <v>0.16746588946106034</v>
      </c>
    </row>
    <row r="144" spans="1:4" ht="18.75" customHeight="1" x14ac:dyDescent="0.25">
      <c r="A144" s="2">
        <v>42735</v>
      </c>
      <c r="B144" s="3">
        <f>'Inflação Implícita'!C144</f>
        <v>4.9097065462754053</v>
      </c>
      <c r="C144" s="3">
        <f>'Inflação Implícita'!Q144-'Inflação Implícita'!C144</f>
        <v>0.66496264087014811</v>
      </c>
      <c r="D144" s="3">
        <f>-'Inflação Implícita'!C144+(2*'Inflação Implícita'!G144)-'Inflação Implícita'!Q144</f>
        <v>-2.6612637621092894E-2</v>
      </c>
    </row>
    <row r="145" spans="1:4" ht="18.75" customHeight="1" x14ac:dyDescent="0.25">
      <c r="A145" s="2">
        <v>42766</v>
      </c>
      <c r="B145" s="3">
        <f>'Inflação Implícita'!C145</f>
        <v>4.7288043728391793</v>
      </c>
      <c r="C145" s="3">
        <f>'Inflação Implícita'!Q145-'Inflação Implícita'!C145</f>
        <v>0.48048133817952809</v>
      </c>
      <c r="D145" s="3">
        <f>-'Inflação Implícita'!C145+(2*'Inflação Implícita'!G145)-'Inflação Implícita'!Q145</f>
        <v>-0.57845952747332952</v>
      </c>
    </row>
    <row r="146" spans="1:4" ht="18.75" customHeight="1" x14ac:dyDescent="0.25">
      <c r="A146" s="2">
        <v>42794</v>
      </c>
      <c r="B146" s="3">
        <f>'Inflação Implícita'!C146</f>
        <v>4.2481696669924851</v>
      </c>
      <c r="C146" s="3">
        <f>'Inflação Implícita'!Q146-'Inflação Implícita'!C146</f>
        <v>0.70689831683987681</v>
      </c>
      <c r="D146" s="3">
        <f>-'Inflação Implícita'!C146+(2*'Inflação Implícita'!G146)-'Inflação Implícita'!Q146</f>
        <v>-0.13894962602998273</v>
      </c>
    </row>
    <row r="147" spans="1:4" ht="18.75" customHeight="1" x14ac:dyDescent="0.25">
      <c r="A147" s="2">
        <v>42825</v>
      </c>
      <c r="B147" s="3">
        <f>'Inflação Implícita'!C147</f>
        <v>3.9680068644914801</v>
      </c>
      <c r="C147" s="3">
        <f>'Inflação Implícita'!Q147-'Inflação Implícita'!C147</f>
        <v>0.72383998959009155</v>
      </c>
      <c r="D147" s="3">
        <f>-'Inflação Implícita'!C147+(2*'Inflação Implícita'!G147)-'Inflação Implícita'!Q147</f>
        <v>0.35244545415897832</v>
      </c>
    </row>
    <row r="148" spans="1:4" ht="18.75" customHeight="1" x14ac:dyDescent="0.25">
      <c r="A148" s="2">
        <v>42855</v>
      </c>
      <c r="B148" s="3">
        <f>'Inflação Implícita'!C148</f>
        <v>3.8665837055944285</v>
      </c>
      <c r="C148" s="3">
        <f>'Inflação Implícita'!Q148-'Inflação Implícita'!C148</f>
        <v>0.96604968699074423</v>
      </c>
      <c r="D148" s="3">
        <f>-'Inflação Implícita'!C148+(2*'Inflação Implícita'!G148)-'Inflação Implícita'!Q148</f>
        <v>0.51744304123333418</v>
      </c>
    </row>
    <row r="149" spans="1:4" ht="18.75" customHeight="1" x14ac:dyDescent="0.25">
      <c r="A149" s="2">
        <v>42886</v>
      </c>
      <c r="B149" s="3">
        <f>'Inflação Implícita'!C149</f>
        <v>3.7874395550738571</v>
      </c>
      <c r="C149" s="3">
        <f>'Inflação Implícita'!Q149-'Inflação Implícita'!C149</f>
        <v>1.2421953521987383</v>
      </c>
      <c r="D149" s="3">
        <f>-'Inflação Implícita'!C149+(2*'Inflação Implícita'!G149)-'Inflação Implícita'!Q149</f>
        <v>0.74163114797096696</v>
      </c>
    </row>
    <row r="150" spans="1:4" ht="18.75" customHeight="1" x14ac:dyDescent="0.25">
      <c r="A150" s="2">
        <v>42916</v>
      </c>
      <c r="B150" s="3">
        <f>'Inflação Implícita'!C150</f>
        <v>3.6121977474086631</v>
      </c>
      <c r="C150" s="3">
        <f>'Inflação Implícita'!Q150-'Inflação Implícita'!C150</f>
        <v>1.2223378421780895</v>
      </c>
      <c r="D150" s="3">
        <f>-'Inflação Implícita'!C150+(2*'Inflação Implícita'!G150)-'Inflação Implícita'!Q150</f>
        <v>0.64370245592451081</v>
      </c>
    </row>
    <row r="151" spans="1:4" ht="18.75" customHeight="1" x14ac:dyDescent="0.25">
      <c r="A151" s="2">
        <v>42947</v>
      </c>
      <c r="B151" s="3">
        <f>'Inflação Implícita'!C151</f>
        <v>4.4404799004372553</v>
      </c>
      <c r="C151" s="3">
        <f>'Inflação Implícita'!Q151-'Inflação Implícita'!C151</f>
        <v>0.34683473440286772</v>
      </c>
      <c r="D151" s="3">
        <f>-'Inflação Implícita'!C151+(2*'Inflação Implícita'!G151)-'Inflação Implícita'!Q151</f>
        <v>8.8942170118522235E-2</v>
      </c>
    </row>
    <row r="152" spans="1:4" ht="18.75" customHeight="1" x14ac:dyDescent="0.25">
      <c r="A152" s="2">
        <v>42978</v>
      </c>
      <c r="B152" s="3">
        <f>'Inflação Implícita'!C152</f>
        <v>4.1376927096603788</v>
      </c>
      <c r="C152" s="3">
        <f>'Inflação Implícita'!Q152-'Inflação Implícita'!C152</f>
        <v>0.74257777753830023</v>
      </c>
      <c r="D152" s="3">
        <f>-'Inflação Implícita'!C152+(2*'Inflação Implícita'!G152)-'Inflação Implícita'!Q152</f>
        <v>0.59556903236652747</v>
      </c>
    </row>
    <row r="153" spans="1:4" ht="18.75" customHeight="1" x14ac:dyDescent="0.25">
      <c r="A153" s="2">
        <v>43008</v>
      </c>
      <c r="B153" s="3">
        <f>'Inflação Implícita'!C153</f>
        <v>4.0046593336461767</v>
      </c>
      <c r="C153" s="3">
        <f>'Inflação Implícita'!Q153-'Inflação Implícita'!C153</f>
        <v>0.81618727489654042</v>
      </c>
      <c r="D153" s="3">
        <f>-'Inflação Implícita'!C153+(2*'Inflação Implícita'!G153)-'Inflação Implícita'!Q153</f>
        <v>0.5121474543031912</v>
      </c>
    </row>
    <row r="154" spans="1:4" ht="18.75" customHeight="1" x14ac:dyDescent="0.25">
      <c r="A154" s="2">
        <v>43039</v>
      </c>
      <c r="B154" s="3">
        <f>'Inflação Implícita'!C154</f>
        <v>4.4968009794559061</v>
      </c>
      <c r="C154" s="3">
        <f>'Inflação Implícita'!Q154-'Inflação Implícita'!C154</f>
        <v>0.16546345570678245</v>
      </c>
      <c r="D154" s="3">
        <f>-'Inflação Implícita'!C154+(2*'Inflação Implícita'!G154)-'Inflação Implícita'!Q154</f>
        <v>0.52822718278455749</v>
      </c>
    </row>
    <row r="155" spans="1:4" ht="18.75" customHeight="1" x14ac:dyDescent="0.25">
      <c r="A155" s="2">
        <v>43069</v>
      </c>
      <c r="B155" s="3">
        <f>'Inflação Implícita'!C155</f>
        <v>4.4316717037116593</v>
      </c>
      <c r="C155" s="3">
        <f>'Inflação Implícita'!Q155-'Inflação Implícita'!C155</f>
        <v>0.68765166581641335</v>
      </c>
      <c r="D155" s="3">
        <f>-'Inflação Implícita'!C155+(2*'Inflação Implícita'!G155)-'Inflação Implícita'!Q155</f>
        <v>0.51634913712470532</v>
      </c>
    </row>
    <row r="156" spans="1:4" ht="18.75" customHeight="1" x14ac:dyDescent="0.25">
      <c r="A156" s="2">
        <v>43100</v>
      </c>
      <c r="B156" s="3">
        <f>'Inflação Implícita'!C156</f>
        <v>4.2282950000000001</v>
      </c>
      <c r="C156" s="3">
        <f>'Inflação Implícita'!Q156-'Inflação Implícita'!C156</f>
        <v>0.80596699999999988</v>
      </c>
      <c r="D156" s="3">
        <f>-'Inflação Implícita'!C156+(2*'Inflação Implícita'!G156)-'Inflação Implícita'!Q156</f>
        <v>0.35072499999999973</v>
      </c>
    </row>
    <row r="157" spans="1:4" ht="18.75" customHeight="1" x14ac:dyDescent="0.25">
      <c r="A157" s="2">
        <v>43131</v>
      </c>
      <c r="B157" s="3">
        <f>'Inflação Implícita'!C157</f>
        <v>4.4475110000000004</v>
      </c>
      <c r="C157" s="3">
        <f>'Inflação Implícita'!Q157-'Inflação Implícita'!C157</f>
        <v>0.6030129999999998</v>
      </c>
      <c r="D157" s="3">
        <f>-'Inflação Implícita'!C157+(2*'Inflação Implícita'!G157)-'Inflação Implícita'!Q157</f>
        <v>-9.5709000000000266E-2</v>
      </c>
    </row>
    <row r="158" spans="1:4" ht="18.75" customHeight="1" x14ac:dyDescent="0.25">
      <c r="A158" s="2">
        <v>43159</v>
      </c>
      <c r="B158" s="3">
        <f>'Inflação Implícita'!C158</f>
        <v>4.0529570000000001</v>
      </c>
      <c r="C158" s="3">
        <f>'Inflação Implícita'!Q158-'Inflação Implícita'!C158</f>
        <v>0.77124099999999984</v>
      </c>
      <c r="D158" s="3">
        <f>-'Inflação Implícita'!C158+(2*'Inflação Implícita'!G158)-'Inflação Implícita'!Q158</f>
        <v>0.188858999999999</v>
      </c>
    </row>
    <row r="159" spans="1:4" ht="18.75" customHeight="1" x14ac:dyDescent="0.25">
      <c r="A159" s="2">
        <v>43190</v>
      </c>
      <c r="B159" s="3">
        <f>'Inflação Implícita'!C159</f>
        <v>4.166919</v>
      </c>
      <c r="C159" s="3">
        <f>'Inflação Implícita'!Q159-'Inflação Implícita'!C159</f>
        <v>0.65307899999999997</v>
      </c>
      <c r="D159" s="3">
        <f>-'Inflação Implícita'!C159+(2*'Inflação Implícita'!G159)-'Inflação Implícita'!Q159</f>
        <v>0.24657299999999971</v>
      </c>
    </row>
    <row r="160" spans="1:4" ht="18.75" customHeight="1" x14ac:dyDescent="0.25">
      <c r="A160" s="2">
        <v>43220</v>
      </c>
      <c r="B160" s="3">
        <f>'Inflação Implícita'!C160</f>
        <v>4.2633140000000003</v>
      </c>
      <c r="C160" s="3">
        <f>'Inflação Implícita'!Q160-'Inflação Implícita'!C160</f>
        <v>0.66930200000000006</v>
      </c>
      <c r="D160" s="3">
        <f>-'Inflação Implícita'!C160+(2*'Inflação Implícita'!G160)-'Inflação Implícita'!Q160</f>
        <v>5.6785999999998893E-2</v>
      </c>
    </row>
    <row r="161" spans="1:4" ht="18.75" customHeight="1" x14ac:dyDescent="0.25">
      <c r="A161" s="2">
        <v>43251</v>
      </c>
      <c r="B161" s="3">
        <f>'Inflação Implícita'!C161</f>
        <v>4.7835700000000001</v>
      </c>
      <c r="C161" s="3">
        <f>'Inflação Implícita'!Q161-'Inflação Implícita'!C161</f>
        <v>1.4008409999999998</v>
      </c>
      <c r="D161" s="3">
        <f>-'Inflação Implícita'!C161+(2*'Inflação Implícita'!G161)-'Inflação Implícita'!Q161</f>
        <v>-0.59413499999999964</v>
      </c>
    </row>
    <row r="162" spans="1:4" ht="18.75" customHeight="1" x14ac:dyDescent="0.25">
      <c r="A162" s="2">
        <v>43281</v>
      </c>
      <c r="B162" s="3">
        <f>'Inflação Implícita'!C162</f>
        <v>4.7082670000000002</v>
      </c>
      <c r="C162" s="3">
        <f>'Inflação Implícita'!Q162-'Inflação Implícita'!C162</f>
        <v>1.4548230000000002</v>
      </c>
      <c r="D162" s="3">
        <f>-'Inflação Implícita'!C162+(2*'Inflação Implícita'!G162)-'Inflação Implícita'!Q162</f>
        <v>-0.46784900000000018</v>
      </c>
    </row>
    <row r="163" spans="1:4" ht="18.75" customHeight="1" x14ac:dyDescent="0.25">
      <c r="A163" s="2">
        <v>43312</v>
      </c>
      <c r="B163" s="3">
        <f>'Inflação Implícita'!C163</f>
        <v>3.893548</v>
      </c>
      <c r="C163" s="3">
        <f>'Inflação Implícita'!Q163-'Inflação Implícita'!C163</f>
        <v>1.676736</v>
      </c>
      <c r="D163" s="3">
        <f>-'Inflação Implícita'!C163+(2*'Inflação Implícita'!G163)-'Inflação Implícita'!Q163</f>
        <v>0.63943000000000083</v>
      </c>
    </row>
    <row r="164" spans="1:4" ht="18.75" customHeight="1" x14ac:dyDescent="0.25">
      <c r="A164" s="2">
        <v>43343</v>
      </c>
      <c r="B164" s="3">
        <f>'Inflação Implícita'!C164</f>
        <v>4.7169889999999999</v>
      </c>
      <c r="C164" s="3">
        <f>'Inflação Implícita'!Q164-'Inflação Implícita'!C164</f>
        <v>1.7731630000000003</v>
      </c>
      <c r="D164" s="3">
        <f>-'Inflação Implícita'!C164+(2*'Inflação Implícita'!G164)-'Inflação Implícita'!Q164</f>
        <v>0.36746100000000048</v>
      </c>
    </row>
    <row r="165" spans="1:4" ht="18.75" customHeight="1" x14ac:dyDescent="0.25">
      <c r="A165" s="2">
        <v>43373</v>
      </c>
      <c r="B165" s="3">
        <f>'Inflação Implícita'!C165</f>
        <v>5.1616109999999997</v>
      </c>
      <c r="C165" s="3">
        <f>'Inflação Implícita'!Q165-'Inflação Implícita'!C165</f>
        <v>0.696631</v>
      </c>
      <c r="D165" s="3">
        <f>-'Inflação Implícita'!C165+(2*'Inflação Implícita'!G165)-'Inflação Implícita'!Q165</f>
        <v>-0.42388899999999907</v>
      </c>
    </row>
    <row r="166" spans="1:4" ht="18.75" customHeight="1" x14ac:dyDescent="0.25">
      <c r="A166" s="2">
        <v>43404</v>
      </c>
      <c r="B166" s="3">
        <f>'Inflação Implícita'!C166</f>
        <v>4.3868159999999996</v>
      </c>
      <c r="C166" s="3">
        <f>'Inflação Implícita'!Q166-'Inflação Implícita'!C166</f>
        <v>1.0904860000000003</v>
      </c>
      <c r="D166" s="3">
        <f>-'Inflação Implícita'!C166+(2*'Inflação Implícita'!G166)-'Inflação Implícita'!Q166</f>
        <v>-0.4352879999999999</v>
      </c>
    </row>
    <row r="167" spans="1:4" ht="18.75" customHeight="1" x14ac:dyDescent="0.25">
      <c r="A167" s="2">
        <v>43434</v>
      </c>
      <c r="B167" s="3">
        <f>'Inflação Implícita'!C167</f>
        <v>3.7397909999999999</v>
      </c>
      <c r="C167" s="3">
        <f>'Inflação Implícita'!Q167-'Inflação Implícita'!C167</f>
        <v>1.3702109999999998</v>
      </c>
      <c r="D167" s="3">
        <f>-'Inflação Implícita'!C167+(2*'Inflação Implícita'!G167)-'Inflação Implícita'!Q167</f>
        <v>9.8952999999999847E-2</v>
      </c>
    </row>
    <row r="168" spans="1:4" ht="18.75" customHeight="1" x14ac:dyDescent="0.25">
      <c r="A168" s="2">
        <v>43465</v>
      </c>
      <c r="B168" s="3">
        <f>'Inflação Implícita'!C168</f>
        <v>3.8922469999999998</v>
      </c>
      <c r="C168" s="3">
        <f>'Inflação Implícita'!Q168-'Inflação Implícita'!C168</f>
        <v>0.48021000000000003</v>
      </c>
      <c r="D168" s="3">
        <f>-'Inflação Implícita'!C168+(2*'Inflação Implícita'!G168)-'Inflação Implícita'!Q168</f>
        <v>0.49451800000000024</v>
      </c>
    </row>
    <row r="169" spans="1:4" ht="18.75" customHeight="1" x14ac:dyDescent="0.25">
      <c r="A169" s="2">
        <v>43496</v>
      </c>
      <c r="B169" s="3">
        <f>'Inflação Implícita'!C169</f>
        <v>4.0213299999999998</v>
      </c>
      <c r="C169" s="3">
        <f>'Inflação Implícita'!Q169-'Inflação Implícita'!C169</f>
        <v>0.62809200000000054</v>
      </c>
      <c r="D169" s="3">
        <f>-'Inflação Implícita'!C169+(2*'Inflação Implícita'!G169)-'Inflação Implícita'!Q169</f>
        <v>-2.9170000000000584E-2</v>
      </c>
    </row>
    <row r="170" spans="1:4" ht="18.75" customHeight="1" x14ac:dyDescent="0.25">
      <c r="A170" s="2">
        <v>43524</v>
      </c>
      <c r="B170" s="3">
        <f>'Inflação Implícita'!C170</f>
        <v>4.3336180000000004</v>
      </c>
      <c r="C170" s="3">
        <f>'Inflação Implícita'!Q170-'Inflação Implícita'!C170</f>
        <v>0.37832699999999964</v>
      </c>
      <c r="D170" s="3">
        <f>-'Inflação Implícita'!C170+(2*'Inflação Implícita'!G170)-'Inflação Implícita'!Q170</f>
        <v>-0.23500700000000041</v>
      </c>
    </row>
    <row r="171" spans="1:4" ht="18.75" customHeight="1" x14ac:dyDescent="0.25">
      <c r="A171" s="2">
        <v>43555</v>
      </c>
      <c r="B171" s="3">
        <f>'Inflação Implícita'!C171</f>
        <v>4.2697440000000002</v>
      </c>
      <c r="C171" s="3">
        <f>'Inflação Implícita'!Q171-'Inflação Implícita'!C171</f>
        <v>0.44894099999999959</v>
      </c>
      <c r="D171" s="3">
        <f>-'Inflação Implícita'!C171+(2*'Inflação Implícita'!G171)-'Inflação Implícita'!Q171</f>
        <v>-0.22658700000000032</v>
      </c>
    </row>
    <row r="172" spans="1:4" ht="18.75" customHeight="1" x14ac:dyDescent="0.25">
      <c r="A172" s="2">
        <v>43585</v>
      </c>
      <c r="B172" s="3">
        <f>'Inflação Implícita'!C172</f>
        <v>4.3505190000000002</v>
      </c>
      <c r="C172" s="3">
        <f>'Inflação Implícita'!Q172-'Inflação Implícita'!C172</f>
        <v>0.44382300000000008</v>
      </c>
      <c r="D172" s="3">
        <f>-'Inflação Implícita'!C172+(2*'Inflação Implícita'!G172)-'Inflação Implícita'!Q172</f>
        <v>-0.30940700000000021</v>
      </c>
    </row>
    <row r="173" spans="1:4" ht="18.75" customHeight="1" x14ac:dyDescent="0.25">
      <c r="A173" s="2">
        <v>43616</v>
      </c>
      <c r="B173" s="3">
        <f>'Inflação Implícita'!C173</f>
        <v>3.1261489999999998</v>
      </c>
      <c r="C173" s="3">
        <f>'Inflação Implícita'!Q173-'Inflação Implícita'!C173</f>
        <v>1.6874989999999999</v>
      </c>
      <c r="D173" s="3">
        <f>-'Inflação Implícita'!C173+(2*'Inflação Implícita'!G173)-'Inflação Implícita'!Q173</f>
        <v>0.56784500000000104</v>
      </c>
    </row>
    <row r="174" spans="1:4" ht="18.75" customHeight="1" x14ac:dyDescent="0.25">
      <c r="A174" s="2">
        <v>43646</v>
      </c>
      <c r="B174" s="3">
        <f>'Inflação Implícita'!C174</f>
        <v>3.1610510000000001</v>
      </c>
      <c r="C174" s="3">
        <f>'Inflação Implícita'!Q174-'Inflação Implícita'!C174</f>
        <v>0.99530399999999952</v>
      </c>
      <c r="D174" s="3">
        <f>-'Inflação Implícita'!C174+(2*'Inflação Implícita'!G174)-'Inflação Implícita'!Q174</f>
        <v>0.38920400000000122</v>
      </c>
    </row>
    <row r="175" spans="1:4" ht="18.75" customHeight="1" x14ac:dyDescent="0.25">
      <c r="A175" s="2">
        <v>43677</v>
      </c>
      <c r="B175" s="3">
        <f>'Inflação Implícita'!C175</f>
        <v>3.3153640000000002</v>
      </c>
      <c r="C175" s="3">
        <f>'Inflação Implícita'!Q175-'Inflação Implícita'!C175</f>
        <v>0.62571999999999983</v>
      </c>
      <c r="D175" s="3">
        <f>-'Inflação Implícita'!C175+(2*'Inflação Implícita'!G175)-'Inflação Implícita'!Q175</f>
        <v>0.33679199999999909</v>
      </c>
    </row>
    <row r="176" spans="1:4" ht="18.75" customHeight="1" x14ac:dyDescent="0.25">
      <c r="A176" s="2">
        <v>43708</v>
      </c>
      <c r="B176" s="3">
        <f>'Inflação Implícita'!C176</f>
        <v>3.2248570000000001</v>
      </c>
      <c r="C176" s="3">
        <f>'Inflação Implícita'!Q176-'Inflação Implícita'!C176</f>
        <v>0.88905600000000007</v>
      </c>
      <c r="D176" s="3">
        <f>-'Inflação Implícita'!C176+(2*'Inflação Implícita'!G176)-'Inflação Implícita'!Q176</f>
        <v>0.41980400000000007</v>
      </c>
    </row>
    <row r="177" spans="1:4" ht="18.75" customHeight="1" x14ac:dyDescent="0.25">
      <c r="A177" s="2">
        <v>43738</v>
      </c>
      <c r="B177" s="3">
        <f>'Inflação Implícita'!C177</f>
        <v>3.394139</v>
      </c>
      <c r="C177" s="3">
        <f>'Inflação Implícita'!Q177-'Inflação Implícita'!C177</f>
        <v>0.70721300000000031</v>
      </c>
      <c r="D177" s="3">
        <f>-'Inflação Implícita'!C177+(2*'Inflação Implícita'!G177)-'Inflação Implícita'!Q177</f>
        <v>0.33848300000000009</v>
      </c>
    </row>
    <row r="178" spans="1:4" ht="18.75" customHeight="1" x14ac:dyDescent="0.25">
      <c r="A178" s="2">
        <v>43769</v>
      </c>
      <c r="B178" s="3">
        <f>'Inflação Implícita'!C178</f>
        <v>3.7683930000000001</v>
      </c>
      <c r="C178" s="3">
        <f>'Inflação Implícita'!Q178-'Inflação Implícita'!C178</f>
        <v>0.15443699999999971</v>
      </c>
      <c r="D178" s="3">
        <f>-'Inflação Implícita'!C178+(2*'Inflação Implícita'!G178)-'Inflação Implícita'!Q178</f>
        <v>5.1103000000000343E-2</v>
      </c>
    </row>
    <row r="179" spans="1:4" ht="18.75" customHeight="1" x14ac:dyDescent="0.25">
      <c r="A179" s="2">
        <v>43799</v>
      </c>
      <c r="B179" s="3">
        <f>'Inflação Implícita'!C179</f>
        <v>4.4351609999999999</v>
      </c>
      <c r="C179" s="3">
        <f>'Inflação Implícita'!Q179-'Inflação Implícita'!C179</f>
        <v>-0.61237299999999983</v>
      </c>
      <c r="D179" s="3">
        <f>-'Inflação Implícita'!C179+(2*'Inflação Implícita'!G179)-'Inflação Implícita'!Q179</f>
        <v>-0.36709100000000028</v>
      </c>
    </row>
    <row r="180" spans="1:4" ht="18.75" customHeight="1" x14ac:dyDescent="0.25">
      <c r="A180" s="2">
        <v>43830</v>
      </c>
      <c r="B180" s="3">
        <f>'Inflação Implícita'!C180</f>
        <v>4.2691540000000003</v>
      </c>
      <c r="C180" s="3">
        <f>'Inflação Implícita'!Q180-'Inflação Implícita'!C180</f>
        <v>-0.53920800000000035</v>
      </c>
      <c r="D180" s="3">
        <f>-'Inflação Implícita'!C180+(2*'Inflação Implícita'!G180)-'Inflação Implícita'!Q180</f>
        <v>-0.12741000000000025</v>
      </c>
    </row>
    <row r="181" spans="1:4" ht="18.75" customHeight="1" x14ac:dyDescent="0.25">
      <c r="A181" s="2">
        <v>43861</v>
      </c>
      <c r="B181" s="3">
        <f>'Inflação Implícita'!C181</f>
        <v>3.309755</v>
      </c>
      <c r="C181" s="3">
        <f>'Inflação Implícita'!Q181-'Inflação Implícita'!C181</f>
        <v>0.44583899999999987</v>
      </c>
      <c r="D181" s="3">
        <f>-'Inflação Implícita'!C181+(2*'Inflação Implícita'!G181)-'Inflação Implícita'!Q181</f>
        <v>0.39441900000000052</v>
      </c>
    </row>
    <row r="182" spans="1:4" ht="18.75" customHeight="1" x14ac:dyDescent="0.25">
      <c r="A182" s="2">
        <v>43890</v>
      </c>
      <c r="B182" s="3">
        <f>'Inflação Implícita'!C182</f>
        <v>3.3405450000000001</v>
      </c>
      <c r="C182" s="3">
        <f>'Inflação Implícita'!Q182-'Inflação Implícita'!C182</f>
        <v>0.62652200000000002</v>
      </c>
      <c r="D182" s="3">
        <f>-'Inflação Implícita'!C182+(2*'Inflação Implícita'!G182)-'Inflação Implícita'!Q182</f>
        <v>0.33091199999999965</v>
      </c>
    </row>
    <row r="183" spans="1:4" ht="18.75" customHeight="1" x14ac:dyDescent="0.25">
      <c r="A183" s="2">
        <v>43921</v>
      </c>
      <c r="B183" s="3">
        <f>'Inflação Implícita'!C183</f>
        <v>1.298708</v>
      </c>
      <c r="C183" s="3">
        <f>'Inflação Implícita'!Q183-'Inflação Implícita'!C183</f>
        <v>2.6540140000000001</v>
      </c>
      <c r="D183" s="3">
        <f>-'Inflação Implícita'!C183+(2*'Inflação Implícita'!G183)-'Inflação Implícita'!Q183</f>
        <v>2.1138039999999996</v>
      </c>
    </row>
    <row r="184" spans="1:4" ht="18.75" customHeight="1" x14ac:dyDescent="0.25">
      <c r="A184" s="2">
        <v>43951</v>
      </c>
      <c r="B184" s="3">
        <f>'Inflação Implícita'!C184</f>
        <v>0.97963999999999996</v>
      </c>
      <c r="C184" s="3">
        <f>'Inflação Implícita'!Q184-'Inflação Implícita'!C184</f>
        <v>3.0646100000000001</v>
      </c>
      <c r="D184" s="3">
        <f>-'Inflação Implícita'!C184+(2*'Inflação Implícita'!G184)-'Inflação Implícita'!Q184</f>
        <v>2.1881200000000005</v>
      </c>
    </row>
    <row r="185" spans="1:4" ht="18.75" customHeight="1" x14ac:dyDescent="0.25">
      <c r="A185" s="2">
        <v>43982</v>
      </c>
      <c r="B185" s="3">
        <f>'Inflação Implícita'!C185</f>
        <v>2.0161820000000001</v>
      </c>
      <c r="C185" s="3">
        <f>'Inflação Implícita'!Q185-'Inflação Implícita'!C185</f>
        <v>1.6152089999999997</v>
      </c>
      <c r="D185" s="3">
        <f>-'Inflação Implícita'!C185+(2*'Inflação Implícita'!G185)-'Inflação Implícita'!Q185</f>
        <v>1.9508409999999996</v>
      </c>
    </row>
    <row r="186" spans="1:4" ht="18.75" customHeight="1" x14ac:dyDescent="0.25">
      <c r="A186" s="2">
        <v>44012</v>
      </c>
      <c r="B186" s="3">
        <f>'Inflação Implícita'!C186</f>
        <v>2.6832530000000001</v>
      </c>
      <c r="C186" s="3">
        <f>'Inflação Implícita'!Q186-'Inflação Implícita'!C186</f>
        <v>0.96051899999999968</v>
      </c>
      <c r="D186" s="3">
        <f>-'Inflação Implícita'!C186+(2*'Inflação Implícita'!G186)-'Inflação Implícita'!Q186</f>
        <v>1.2814850000000004</v>
      </c>
    </row>
    <row r="187" spans="1:4" ht="18.75" customHeight="1" x14ac:dyDescent="0.25">
      <c r="A187" s="2">
        <v>44043</v>
      </c>
      <c r="B187" s="3">
        <f>'Inflação Implícita'!C187</f>
        <v>2.8073440000000001</v>
      </c>
      <c r="C187" s="3">
        <f>'Inflação Implícita'!Q187-'Inflação Implícita'!C187</f>
        <v>0.98447299999999993</v>
      </c>
      <c r="D187" s="3">
        <f>-'Inflação Implícita'!C187+(2*'Inflação Implícita'!G187)-'Inflação Implícita'!Q187</f>
        <v>1.0083490000000008</v>
      </c>
    </row>
    <row r="188" spans="1:4" ht="18.75" customHeight="1" x14ac:dyDescent="0.25">
      <c r="A188" s="2">
        <v>44074</v>
      </c>
      <c r="B188" s="3">
        <f>'Inflação Implícita'!C188</f>
        <v>3.687306</v>
      </c>
      <c r="C188" s="3">
        <f>'Inflação Implícita'!Q188-'Inflação Implícita'!C188</f>
        <v>0.22645900000000019</v>
      </c>
      <c r="D188" s="3">
        <f>-'Inflação Implícita'!C188+(2*'Inflação Implícita'!G188)-'Inflação Implícita'!Q188</f>
        <v>0.76058900000000085</v>
      </c>
    </row>
    <row r="189" spans="1:4" ht="18.75" customHeight="1" x14ac:dyDescent="0.25">
      <c r="A189" s="2">
        <v>44104</v>
      </c>
      <c r="B189" s="3">
        <f>'Inflação Implícita'!C189</f>
        <v>4.3955380000000002</v>
      </c>
      <c r="C189" s="3">
        <f>'Inflação Implícita'!Q189-'Inflação Implícita'!C189</f>
        <v>-0.36431400000000025</v>
      </c>
      <c r="D189" s="3">
        <f>-'Inflação Implícita'!C189+(2*'Inflação Implícita'!G189)-'Inflação Implícita'!Q189</f>
        <v>0.3344339999999999</v>
      </c>
    </row>
    <row r="190" spans="1:4" ht="18.75" customHeight="1" x14ac:dyDescent="0.25">
      <c r="A190" s="2">
        <v>44135</v>
      </c>
      <c r="B190" s="3">
        <f>'Inflação Implícita'!C190</f>
        <v>4.9092250000000002</v>
      </c>
      <c r="C190" s="3">
        <f>'Inflação Implícita'!Q190-'Inflação Implícita'!C190</f>
        <v>-0.61275800000000036</v>
      </c>
      <c r="D190" s="3">
        <f>-'Inflação Implícita'!C190+(2*'Inflação Implícita'!G190)-'Inflação Implícita'!Q190</f>
        <v>-0.60575400000000013</v>
      </c>
    </row>
    <row r="191" spans="1:4" ht="18.75" customHeight="1" x14ac:dyDescent="0.25">
      <c r="A191" s="2">
        <v>44165</v>
      </c>
      <c r="B191" s="3">
        <f>'Inflação Implícita'!C191</f>
        <v>5.2699629999999997</v>
      </c>
      <c r="C191" s="3">
        <f>'Inflação Implícita'!Q191-'Inflação Implícita'!C191</f>
        <v>-0.32541999999999938</v>
      </c>
      <c r="D191" s="3">
        <f>-'Inflação Implícita'!C191+(2*'Inflação Implícita'!G191)-'Inflação Implícita'!Q191</f>
        <v>-1.3156440000000007</v>
      </c>
    </row>
    <row r="192" spans="1:4" ht="18.75" customHeight="1" x14ac:dyDescent="0.25">
      <c r="A192" s="2">
        <v>44196</v>
      </c>
      <c r="B192" s="3">
        <f>'Inflação Implícita'!C192</f>
        <v>4.6206139999999998</v>
      </c>
      <c r="C192" s="3">
        <f>'Inflação Implícita'!Q192-'Inflação Implícita'!C192</f>
        <v>-0.38662399999999941</v>
      </c>
      <c r="D192" s="3">
        <f>-'Inflação Implícita'!C192+(2*'Inflação Implícita'!G192)-'Inflação Implícita'!Q192</f>
        <v>-1.0701660000000004</v>
      </c>
    </row>
    <row r="193" spans="1:4" ht="18.75" customHeight="1" x14ac:dyDescent="0.25">
      <c r="A193" s="2">
        <v>44227</v>
      </c>
      <c r="B193" s="3">
        <f>'Inflação Implícita'!C193</f>
        <v>4.6131650000000004</v>
      </c>
      <c r="C193" s="3">
        <f>'Inflação Implícita'!Q193-'Inflação Implícita'!C193</f>
        <v>0.25580099999999995</v>
      </c>
      <c r="D193" s="3">
        <f>-'Inflação Implícita'!C193+(2*'Inflação Implícita'!G193)-'Inflação Implícita'!Q193</f>
        <v>-1.1329170000000008</v>
      </c>
    </row>
    <row r="194" spans="1:4" ht="18.75" customHeight="1" x14ac:dyDescent="0.25">
      <c r="A194" s="2">
        <v>44255</v>
      </c>
      <c r="B194" s="3">
        <f>'Inflação Implícita'!C194</f>
        <v>5.0309030000000003</v>
      </c>
      <c r="C194" s="3">
        <f>'Inflação Implícita'!Q194-'Inflação Implícita'!C194</f>
        <v>0.14642099999999925</v>
      </c>
      <c r="D194" s="3">
        <f>-'Inflação Implícita'!C194+(2*'Inflação Implícita'!G194)-'Inflação Implícita'!Q194</f>
        <v>-0.88781899999999947</v>
      </c>
    </row>
    <row r="195" spans="1:4" ht="18.75" customHeight="1" x14ac:dyDescent="0.25">
      <c r="A195" s="2">
        <v>44286</v>
      </c>
      <c r="B195" s="3">
        <f>'Inflação Implícita'!C195</f>
        <v>5.3056080000000003</v>
      </c>
      <c r="C195" s="3">
        <f>'Inflação Implícita'!Q195-'Inflação Implícita'!C195</f>
        <v>0.17955100000000002</v>
      </c>
      <c r="D195" s="3">
        <f>-'Inflação Implícita'!C195+(2*'Inflação Implícita'!G195)-'Inflação Implícita'!Q195</f>
        <v>-0.56986299999999979</v>
      </c>
    </row>
    <row r="196" spans="1:4" ht="18.75" customHeight="1" x14ac:dyDescent="0.25">
      <c r="A196" s="2">
        <v>44316</v>
      </c>
      <c r="B196" s="3">
        <f>'Inflação Implícita'!C196</f>
        <v>4.0979580000000002</v>
      </c>
      <c r="C196" s="3">
        <f>'Inflação Implícita'!Q196-'Inflação Implícita'!C196</f>
        <v>1.2854929999999998</v>
      </c>
      <c r="D196" s="3">
        <f>-'Inflação Implícita'!C196+(2*'Inflação Implícita'!G196)-'Inflação Implícita'!Q196</f>
        <v>0.48987899999999929</v>
      </c>
    </row>
    <row r="197" spans="1:4" ht="18.75" customHeight="1" x14ac:dyDescent="0.25">
      <c r="A197" s="2">
        <v>44347</v>
      </c>
      <c r="B197" s="3">
        <f>'Inflação Implícita'!C197</f>
        <v>4.7823690000000001</v>
      </c>
      <c r="C197" s="3">
        <f>'Inflação Implícita'!Q197-'Inflação Implícita'!C197</f>
        <v>0.73139600000000016</v>
      </c>
      <c r="D197" s="3">
        <f>-'Inflação Implícita'!C197+(2*'Inflação Implícita'!G197)-'Inflação Implícita'!Q197</f>
        <v>-0.58117799999999953</v>
      </c>
    </row>
    <row r="198" spans="1:4" ht="18.75" customHeight="1" x14ac:dyDescent="0.25">
      <c r="A198" s="2">
        <v>44377</v>
      </c>
      <c r="B198" s="3">
        <f>'Inflação Implícita'!C198</f>
        <v>4.9227400000000001</v>
      </c>
      <c r="C198" s="3">
        <f>'Inflação Implícita'!Q198-'Inflação Implícita'!C198</f>
        <v>0.46939300000000017</v>
      </c>
      <c r="D198" s="3">
        <f>-'Inflação Implícita'!C198+(2*'Inflação Implícita'!G198)-'Inflação Implícita'!Q198</f>
        <v>-1.0472669999999997</v>
      </c>
    </row>
    <row r="199" spans="1:4" ht="18.75" customHeight="1" x14ac:dyDescent="0.25">
      <c r="A199" s="2">
        <v>44408</v>
      </c>
      <c r="B199" s="3">
        <f>'Inflação Implícita'!C199</f>
        <v>5.5147659999999998</v>
      </c>
      <c r="C199" s="3">
        <f>'Inflação Implícita'!Q199-'Inflação Implícita'!C199</f>
        <v>0.10445499999999974</v>
      </c>
      <c r="D199" s="3">
        <f>-'Inflação Implícita'!C199+(2*'Inflação Implícita'!G199)-'Inflação Implícita'!Q199</f>
        <v>-1.4285990000000002</v>
      </c>
    </row>
    <row r="200" spans="1:4" ht="18.75" customHeight="1" x14ac:dyDescent="0.25">
      <c r="A200" s="2">
        <v>44439</v>
      </c>
      <c r="B200" s="3">
        <f>'Inflação Implícita'!C200</f>
        <v>5.3839639999999997</v>
      </c>
      <c r="C200" s="3">
        <f>'Inflação Implícita'!Q200-'Inflação Implícita'!C200</f>
        <v>0.6405340000000006</v>
      </c>
      <c r="D200" s="3">
        <f>-'Inflação Implícita'!C200+(2*'Inflação Implícita'!G200)-'Inflação Implícita'!Q200</f>
        <v>-0.56912800000000097</v>
      </c>
    </row>
    <row r="201" spans="1:4" ht="18.75" customHeight="1" x14ac:dyDescent="0.25">
      <c r="A201" s="2">
        <v>44469</v>
      </c>
      <c r="B201" s="3">
        <f>'Inflação Implícita'!C201</f>
        <v>5.7926520000000004</v>
      </c>
      <c r="C201" s="3">
        <f>'Inflação Implícita'!Q201-'Inflação Implícita'!C201</f>
        <v>0.73766599999999993</v>
      </c>
      <c r="D201" s="3">
        <f>-'Inflação Implícita'!C201+(2*'Inflação Implícita'!G201)-'Inflação Implícita'!Q201</f>
        <v>-0.82784600000000008</v>
      </c>
    </row>
    <row r="202" spans="1:4" ht="18.75" customHeight="1" x14ac:dyDescent="0.25">
      <c r="A202" s="2">
        <v>44500</v>
      </c>
      <c r="B202" s="3">
        <f>'Inflação Implícita'!C202</f>
        <v>6.4190129999999996</v>
      </c>
      <c r="C202" s="3">
        <f>'Inflação Implícita'!Q202-'Inflação Implícita'!C202</f>
        <v>9.3351000000000184E-2</v>
      </c>
      <c r="D202" s="3">
        <f>-'Inflação Implícita'!C202+(2*'Inflação Implícita'!G202)-'Inflação Implícita'!Q202</f>
        <v>-0.23214499999999916</v>
      </c>
    </row>
    <row r="203" spans="1:4" ht="18.75" customHeight="1" x14ac:dyDescent="0.25">
      <c r="A203" s="2">
        <v>44530</v>
      </c>
      <c r="B203" s="3">
        <f>'Inflação Implícita'!C203</f>
        <v>6.5101430000000002</v>
      </c>
      <c r="C203" s="3">
        <f>'Inflação Implícita'!Q203-'Inflação Implícita'!C203</f>
        <v>-0.57243699999999986</v>
      </c>
      <c r="D203" s="3">
        <f>-'Inflação Implícita'!C203+(2*'Inflação Implícita'!G203)-'Inflação Implícita'!Q203</f>
        <v>-0.50329900000000105</v>
      </c>
    </row>
    <row r="204" spans="1:4" ht="18.75" customHeight="1" x14ac:dyDescent="0.25">
      <c r="A204" s="2">
        <v>44561</v>
      </c>
      <c r="B204" s="3">
        <f>'Inflação Implícita'!C204</f>
        <v>5.7107200000000002</v>
      </c>
      <c r="C204" s="3">
        <f>'Inflação Implícita'!Q204-'Inflação Implícita'!C204</f>
        <v>-0.29490900000000053</v>
      </c>
      <c r="D204" s="3">
        <f>-'Inflação Implícita'!C204+(2*'Inflação Implícita'!G204)-'Inflação Implícita'!Q204</f>
        <v>-0.61051699999999975</v>
      </c>
    </row>
    <row r="205" spans="1:4" ht="18.75" customHeight="1" x14ac:dyDescent="0.25">
      <c r="A205" s="2">
        <v>44592</v>
      </c>
      <c r="C205" s="3"/>
      <c r="D205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Juro Nominal</vt:lpstr>
      <vt:lpstr>Juro Real</vt:lpstr>
      <vt:lpstr>Inflação Implícita</vt:lpstr>
      <vt:lpstr>Metas de Inflação</vt:lpstr>
      <vt:lpstr>Hiato de Expectativas</vt:lpstr>
      <vt:lpstr>Indicador de Juro Nominal</vt:lpstr>
      <vt:lpstr>Indicador de Juro Real</vt:lpstr>
      <vt:lpstr>Indicador de Inflação Implícita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Micota Stipp</dc:creator>
  <cp:lastModifiedBy>Guilherme Micota Stipp</cp:lastModifiedBy>
  <dcterms:created xsi:type="dcterms:W3CDTF">2021-09-01T14:56:34Z</dcterms:created>
  <dcterms:modified xsi:type="dcterms:W3CDTF">2022-01-19T15:12:44Z</dcterms:modified>
</cp:coreProperties>
</file>